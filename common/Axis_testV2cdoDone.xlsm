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16" documentId="8_{E25F7BB1-2AB1-45D7-BEAF-A2A6A7FCA891}" xr6:coauthVersionLast="47" xr6:coauthVersionMax="47" xr10:uidLastSave="{EB79A3E6-1092-4B5D-A2CD-9E4666067123}"/>
  <bookViews>
    <workbookView xWindow="28635" yWindow="-165" windowWidth="29130" windowHeight="16530" firstSheet="1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11" l="1" a="1"/>
  <c r="I8" i="11"/>
  <c r="F15" i="8" a="1"/>
  <c r="F15" i="8"/>
  <c r="G15" i="8"/>
  <c r="H15" i="8"/>
  <c r="I15" i="8"/>
  <c r="J15" i="8"/>
  <c r="K15" i="8"/>
  <c r="F16" i="8"/>
  <c r="G16" i="8"/>
  <c r="H16" i="8"/>
  <c r="I16" i="8"/>
  <c r="J16" i="8"/>
  <c r="K16" i="8"/>
  <c r="F17" i="8"/>
  <c r="G17" i="8"/>
  <c r="H17" i="8"/>
  <c r="I17" i="8"/>
  <c r="J17" i="8"/>
  <c r="K17" i="8"/>
  <c r="F18" i="8"/>
  <c r="G18" i="8"/>
  <c r="H18" i="8"/>
  <c r="I18" i="8"/>
  <c r="J18" i="8"/>
  <c r="K18" i="8"/>
  <c r="F19" i="8"/>
  <c r="G19" i="8"/>
  <c r="H19" i="8"/>
  <c r="I19" i="8"/>
  <c r="J19" i="8"/>
  <c r="K19" i="8"/>
  <c r="F20" i="8"/>
  <c r="G20" i="8"/>
  <c r="H20" i="8"/>
  <c r="I20" i="8"/>
  <c r="J20" i="8"/>
  <c r="K20" i="8"/>
  <c r="F21" i="8"/>
  <c r="G21" i="8"/>
  <c r="H21" i="8"/>
  <c r="I21" i="8"/>
  <c r="J21" i="8"/>
  <c r="K21" i="8"/>
  <c r="F22" i="8"/>
  <c r="G22" i="8"/>
  <c r="H22" i="8"/>
  <c r="I22" i="8"/>
  <c r="J22" i="8"/>
  <c r="K22" i="8"/>
  <c r="F23" i="8"/>
  <c r="G23" i="8"/>
  <c r="H23" i="8"/>
  <c r="I23" i="8"/>
  <c r="J23" i="8"/>
  <c r="K23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E7" i="3" l="1"/>
  <c r="C3" i="7" l="1" a="1"/>
  <c r="C3" i="7"/>
  <c r="C7" i="4"/>
  <c r="C7" i="11" l="1" a="1"/>
  <c r="C7" i="11"/>
  <c r="B42" i="13" l="1" a="1"/>
  <c r="B42" i="13"/>
  <c r="B10" i="7" l="1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D41" i="13" l="1" a="1"/>
  <c r="D41" i="13"/>
  <c r="D4" i="6" a="1"/>
  <c r="D4" i="6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I7" i="7" a="1"/>
  <c r="I7" i="7"/>
  <c r="F11" i="8"/>
  <c r="C9" i="8"/>
  <c r="M25" i="2" l="1" a="1"/>
  <c r="J7" i="2" a="1"/>
  <c r="G9" i="2" a="1"/>
  <c r="M24" i="2" a="1"/>
  <c r="G7" i="2" a="1"/>
  <c r="P22" i="2" a="1"/>
  <c r="M22" i="2" a="1"/>
  <c r="M27" i="2" a="1"/>
  <c r="M26" i="2" a="1"/>
  <c r="F10" i="8"/>
  <c r="J3" i="7" l="1"/>
  <c r="M26" i="2"/>
  <c r="M27" i="2"/>
  <c r="M22" i="2"/>
  <c r="P22" i="2"/>
  <c r="G7" i="2"/>
  <c r="M24" i="2"/>
  <c r="G9" i="2"/>
  <c r="J7" i="2"/>
  <c r="M25" i="2"/>
  <c r="K2" i="7"/>
  <c r="K3" i="7" s="1"/>
  <c r="K4" i="7" s="1"/>
  <c r="J2" i="7"/>
  <c r="C17" i="11"/>
  <c r="C18" i="11" l="1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3" authorId="0" shapeId="0" xr:uid="{FD82A714-A8AF-4F35-825C-7F9546EBAB6F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<sst xmlns="http://schemas.openxmlformats.org/spreadsheetml/2006/main" count="2134" uniqueCount="500">
  <si>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</si>
  <si>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</si>
  <si>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</si>
  <si>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</si>
  <si>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</si>
  <si>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</si>
  <si>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</si>
  <si>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</si>
  <si>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</si>
  <si>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</si>
  <si>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</si>
  <si>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</si>
  <si>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</si>
  <si>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</si>
  <si>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</si>
  <si>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</si>
  <si>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</si>
  <si>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</si>
  <si>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</si>
  <si>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</si>
  <si>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</si>
  <si>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</si>
  <si>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</si>
  <si>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</si>
  <si>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</si>
  <si>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</si>
  <si>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</si>
  <si>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</si>
  <si>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</si>
  <si>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</si>
  <si>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</si>
  <si>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</si>
  <si>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</si>
  <si>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</si>
  <si>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</si>
  <si>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</si>
  <si>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</si>
  <si>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</si>
  <si>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</si>
  <si>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</si>
  <si>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</si>
  <si>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</si>
  <si>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</si>
  <si>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</si>
  <si>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</si>
  <si>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</si>
  <si>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</si>
  <si>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</si>
  <si>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</si>
  <si>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</si>
  <si>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</si>
  <si>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</si>
  <si>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</si>
  <si>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</si>
  <si>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</si>
  <si>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</si>
  <si>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</si>
  <si>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</si>
  <si>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</si>
  <si>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</si>
  <si>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</si>
  <si>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</si>
  <si>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</si>
  <si>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</si>
  <si>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</si>
  <si>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</si>
  <si>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</si>
  <si>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</si>
  <si>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</si>
  <si>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</si>
  <si>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</si>
  <si>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</si>
  <si>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</si>
  <si>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</si>
  <si>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</si>
  <si>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</si>
  <si>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</si>
  <si>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</si>
  <si>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</si>
  <si>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</si>
  <si>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</si>
  <si>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</si>
  <si>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</si>
  <si>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</si>
  <si>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</si>
  <si>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</si>
  <si>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</si>
  <si>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</si>
  <si>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</si>
  <si>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</si>
  <si>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</si>
  <si>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</si>
  <si>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</si>
  <si>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</si>
  <si>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</si>
  <si>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</si>
  <si>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</si>
  <si>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</si>
  <si>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</si>
  <si>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</si>
  <si>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</si>
  <si>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</si>
  <si>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</si>
  <si>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</si>
  <si>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</si>
  <si>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</si>
  <si>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</si>
  <si>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</si>
  <si>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</si>
  <si>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</si>
  <si>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</si>
  <si>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</si>
  <si>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</si>
  <si>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</si>
  <si>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</si>
  <si>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</si>
  <si>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</si>
  <si>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</si>
  <si>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</si>
  <si>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</si>
  <si>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</si>
  <si>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</si>
  <si>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</si>
  <si>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</si>
  <si>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</si>
  <si>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</si>
  <si>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</si>
  <si>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</si>
  <si>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</si>
  <si>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</si>
  <si>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</si>
  <si>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</si>
  <si>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</si>
  <si>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</si>
  <si>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</si>
  <si>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</si>
  <si>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</si>
  <si>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</si>
  <si>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</si>
  <si>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</si>
  <si>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</si>
  <si>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</si>
  <si>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</si>
  <si>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</si>
  <si>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</si>
  <si>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</si>
  <si>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</si>
  <si>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</si>
  <si>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</si>
  <si>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</si>
  <si>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</si>
  <si>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</si>
  <si>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</si>
  <si>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</si>
  <si>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</si>
  <si>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</si>
  <si>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</si>
  <si>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</si>
  <si>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</si>
  <si>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</si>
  <si>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</si>
  <si>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</si>
  <si>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</si>
  <si>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</si>
  <si>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</si>
  <si>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</si>
  <si>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</si>
  <si>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</si>
  <si>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</si>
  <si>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</si>
  <si>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</si>
  <si>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</si>
  <si>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</si>
  <si>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</si>
  <si>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</si>
  <si>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</si>
  <si>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</si>
  <si>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</si>
  <si>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</si>
  <si>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</si>
  <si>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</si>
  <si>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</si>
  <si>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</si>
  <si>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</si>
  <si>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</si>
  <si>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</si>
  <si>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</si>
  <si>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</si>
  <si>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</si>
  <si>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</si>
  <si>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</si>
  <si>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</si>
  <si>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</si>
  <si>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</si>
  <si>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</si>
  <si>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</si>
  <si>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</si>
  <si>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</si>
  <si>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</si>
  <si>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</si>
  <si>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</si>
  <si>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</si>
  <si>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</si>
  <si>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</si>
  <si>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</si>
  <si>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</si>
  <si>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</si>
  <si>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</si>
  <si>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</si>
  <si>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</si>
  <si>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</si>
  <si>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</si>
  <si>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</si>
  <si>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</si>
  <si>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</si>
  <si>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</si>
  <si>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</si>
  <si>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</si>
  <si>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</si>
  <si>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</si>
  <si>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</si>
  <si>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</si>
  <si>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</si>
  <si>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</si>
  <si>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</si>
  <si>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</si>
  <si>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</si>
  <si>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</si>
  <si>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</si>
  <si>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</si>
  <si>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</si>
  <si>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</si>
  <si>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</si>
  <si>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</si>
  <si>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</si>
  <si>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</si>
  <si>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</si>
  <si>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</si>
  <si>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</si>
  <si>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</si>
  <si>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</si>
  <si>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</si>
  <si>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</si>
  <si>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</si>
  <si>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</si>
  <si>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</si>
  <si>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</si>
  <si>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</si>
  <si>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</si>
  <si>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</si>
  <si>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</si>
  <si>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</si>
  <si>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</si>
  <si>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</si>
  <si>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</si>
  <si>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</si>
  <si>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</si>
  <si>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</si>
  <si>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</si>
  <si>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</si>
  <si>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</si>
  <si>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</si>
  <si>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</si>
  <si>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</si>
  <si>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</si>
  <si>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</si>
  <si>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</si>
  <si>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</si>
  <si>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</si>
  <si>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</si>
  <si>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</si>
  <si>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</si>
  <si>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</si>
  <si>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</si>
  <si>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</si>
  <si>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</si>
  <si>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</si>
  <si>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</si>
  <si>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</si>
  <si>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</si>
  <si>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</si>
  <si>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</si>
  <si>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</si>
  <si>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</si>
  <si>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</si>
  <si>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</si>
  <si>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</si>
  <si>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</si>
  <si>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</si>
  <si>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</si>
  <si>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</si>
  <si>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</si>
  <si>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</si>
  <si>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</si>
  <si>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</si>
  <si>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</si>
  <si>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</si>
  <si>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</si>
  <si>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</si>
  <si>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</si>
  <si>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</si>
  <si>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</si>
  <si>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</si>
  <si>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</si>
  <si>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</si>
  <si>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</si>
  <si>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</si>
  <si>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</si>
  <si>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</si>
  <si>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</si>
  <si>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</si>
  <si>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</si>
  <si>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</si>
  <si>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</si>
  <si>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</si>
  <si>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</si>
  <si>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</si>
  <si>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</si>
  <si>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</si>
  <si>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</si>
  <si>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</si>
  <si>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</si>
  <si>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</si>
  <si>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</si>
  <si>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</si>
  <si>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</si>
  <si>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</si>
  <si>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</si>
  <si>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</si>
  <si>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</si>
  <si>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</si>
  <si>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</si>
  <si>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</si>
  <si>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</si>
  <si>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</si>
  <si>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</si>
  <si>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</si>
  <si>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</si>
  <si>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</si>
  <si>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</si>
  <si>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</si>
  <si>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</si>
  <si>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</si>
  <si>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</si>
  <si>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</si>
  <si>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</si>
  <si>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</si>
  <si>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</si>
  <si>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</si>
  <si>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</si>
  <si>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</si>
  <si>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</si>
  <si>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</si>
  <si>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</si>
  <si>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</si>
  <si>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</si>
  <si>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</si>
  <si>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</si>
  <si>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</si>
  <si>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</si>
  <si>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</si>
  <si>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</si>
  <si>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</si>
  <si>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</si>
  <si>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</si>
  <si>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</si>
  <si>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</si>
  <si>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</si>
  <si>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</si>
  <si>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</si>
  <si>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</si>
  <si>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</si>
  <si>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</si>
  <si>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</si>
  <si>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</si>
  <si>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</si>
  <si>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</si>
  <si>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</si>
  <si>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</si>
  <si>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</si>
  <si>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</si>
  <si>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</si>
  <si>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</si>
  <si>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</si>
  <si>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</si>
  <si>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</si>
  <si>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</si>
  <si>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</si>
  <si>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</si>
  <si>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</si>
  <si>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</si>
  <si>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</si>
  <si>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</si>
  <si>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</si>
  <si>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</si>
  <si>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</si>
  <si>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</si>
  <si>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</si>
  <si>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</si>
  <si>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</si>
  <si>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</si>
  <si>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</si>
  <si>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</si>
  <si>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</si>
  <si>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</si>
  <si>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</si>
  <si>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</si>
  <si>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</si>
  <si>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</si>
  <si>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</si>
  <si>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</si>
  <si>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</si>
  <si>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</si>
  <si>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</si>
  <si>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</si>
  <si>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</si>
  <si>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</si>
  <si>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</si>
  <si>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</si>
  <si>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</si>
  <si>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</si>
  <si>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</si>
  <si>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</si>
  <si>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</si>
  <si>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</si>
  <si>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</si>
  <si>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</si>
  <si>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</si>
  <si>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</si>
  <si>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</si>
  <si>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</si>
  <si>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</si>
  <si>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</si>
  <si>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</si>
  <si>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</si>
  <si>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</si>
  <si>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</si>
  <si>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</si>
  <si>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</si>
  <si>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</si>
  <si>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</si>
  <si>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</si>
  <si>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</si>
  <si>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</si>
  <si>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</si>
  <si>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</si>
  <si>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</si>
  <si>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</si>
  <si>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</si>
  <si>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</si>
  <si>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</si>
  <si>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</si>
  <si>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</si>
  <si>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</si>
  <si>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</si>
  <si>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</si>
  <si>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</si>
  <si>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</si>
  <si>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</si>
  <si>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</si>
  <si>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</si>
  <si>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</si>
  <si>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</si>
  <si>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</si>
  <si>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</si>
  <si>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</si>
  <si>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</si>
  <si>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</si>
  <si>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</si>
  <si>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</si>
  <si>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</si>
  <si>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</si>
  <si>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</si>
  <si>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</si>
  <si>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</si>
  <si>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CDSR</t>
  </si>
  <si>
    <t>Param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</si>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</sst>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</numFmts>
  <fonts count="4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487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5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7" xfId="0" applyNumberFormat="1" applyFont="1" applyFill="1" applyBorder="1" applyAlignment="1">
      <alignment horizontal="center"/>
    </xf>
    <xf numFmtId="9" fontId="23" fillId="4" borderId="47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7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8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9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9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0" fontId="26" fillId="4" borderId="8" xfId="0" applyFont="1" applyFill="1" applyBorder="1"/>
    <xf numFmtId="178" fontId="26" fillId="4" borderId="0" xfId="0" applyNumberFormat="1" applyFont="1" applyFill="1"/>
    <xf numFmtId="0" fontId="26" fillId="4" borderId="2" xfId="0" applyFont="1" applyFill="1" applyBorder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0" fontId="26" fillId="2" borderId="2" xfId="0" applyFont="1" applyFill="1" applyBorder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</cellXfs>
  <cellStyles count="7">
    <cellStyle name="Lien hypertexte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2.2474497686183611E-3</c:v>
                </c:pt>
                <c:pt idx="1">
                  <c:v>2.2474497686170701E-3</c:v>
                </c:pt>
                <c:pt idx="2">
                  <c:v>2.2474497686183785E-3</c:v>
                </c:pt>
                <c:pt idx="3">
                  <c:v>2.247449768620075E-3</c:v>
                </c:pt>
                <c:pt idx="4">
                  <c:v>2.2474497686170709E-3</c:v>
                </c:pt>
                <c:pt idx="5">
                  <c:v>2.2474497686187241E-3</c:v>
                </c:pt>
                <c:pt idx="6">
                  <c:v>4.8638864372870178E-3</c:v>
                </c:pt>
                <c:pt idx="7">
                  <c:v>4.8638864372870117E-3</c:v>
                </c:pt>
                <c:pt idx="8">
                  <c:v>4.8638864372853611E-3</c:v>
                </c:pt>
                <c:pt idx="9">
                  <c:v>4.8638864372883258E-3</c:v>
                </c:pt>
                <c:pt idx="10">
                  <c:v>4.8638864372865208E-3</c:v>
                </c:pt>
                <c:pt idx="11">
                  <c:v>4.8638864372870178E-3</c:v>
                </c:pt>
                <c:pt idx="12">
                  <c:v>5.5637598498762602E-3</c:v>
                </c:pt>
                <c:pt idx="13">
                  <c:v>5.5637598498762394E-3</c:v>
                </c:pt>
                <c:pt idx="14">
                  <c:v>5.5637598498762247E-3</c:v>
                </c:pt>
                <c:pt idx="15">
                  <c:v>5.5637598498776116E-3</c:v>
                </c:pt>
                <c:pt idx="16">
                  <c:v>5.5637598498762394E-3</c:v>
                </c:pt>
                <c:pt idx="17">
                  <c:v>5.5637598498762455E-3</c:v>
                </c:pt>
                <c:pt idx="18">
                  <c:v>5.5637598498775474E-3</c:v>
                </c:pt>
                <c:pt idx="19">
                  <c:v>5.5637598498762394E-3</c:v>
                </c:pt>
                <c:pt idx="20">
                  <c:v>5.5637598498766982E-3</c:v>
                </c:pt>
                <c:pt idx="21">
                  <c:v>5.5637598498775474E-3</c:v>
                </c:pt>
                <c:pt idx="22">
                  <c:v>5.5637598498762602E-3</c:v>
                </c:pt>
                <c:pt idx="23">
                  <c:v>5.5637598498775474E-3</c:v>
                </c:pt>
                <c:pt idx="24">
                  <c:v>7.4773243765774286E-3</c:v>
                </c:pt>
                <c:pt idx="25">
                  <c:v>7.4773243765791364E-3</c:v>
                </c:pt>
                <c:pt idx="26">
                  <c:v>7.4773243765752125E-3</c:v>
                </c:pt>
                <c:pt idx="27">
                  <c:v>7.4773243765788207E-3</c:v>
                </c:pt>
                <c:pt idx="28">
                  <c:v>7.4773243765778284E-3</c:v>
                </c:pt>
                <c:pt idx="29">
                  <c:v>7.4773243765774685E-3</c:v>
                </c:pt>
                <c:pt idx="30">
                  <c:v>7.4773243765778284E-3</c:v>
                </c:pt>
                <c:pt idx="31">
                  <c:v>7.4773243765765204E-3</c:v>
                </c:pt>
                <c:pt idx="32">
                  <c:v>7.4773243765773401E-3</c:v>
                </c:pt>
                <c:pt idx="33">
                  <c:v>7.4773243765791364E-3</c:v>
                </c:pt>
                <c:pt idx="34">
                  <c:v>7.477324376576118E-3</c:v>
                </c:pt>
                <c:pt idx="35">
                  <c:v>7.4773243765765204E-3</c:v>
                </c:pt>
                <c:pt idx="36">
                  <c:v>9.2362830427000948E-3</c:v>
                </c:pt>
                <c:pt idx="37">
                  <c:v>9.2362830426993333E-3</c:v>
                </c:pt>
                <c:pt idx="38">
                  <c:v>9.2362830426993333E-3</c:v>
                </c:pt>
                <c:pt idx="39">
                  <c:v>9.2362830427001451E-3</c:v>
                </c:pt>
                <c:pt idx="40">
                  <c:v>9.2362830426993333E-3</c:v>
                </c:pt>
                <c:pt idx="41">
                  <c:v>9.2362830426987921E-3</c:v>
                </c:pt>
                <c:pt idx="42">
                  <c:v>9.236283042700643E-3</c:v>
                </c:pt>
                <c:pt idx="43">
                  <c:v>9.2362830426993333E-3</c:v>
                </c:pt>
                <c:pt idx="44">
                  <c:v>9.2362830427009466E-3</c:v>
                </c:pt>
                <c:pt idx="45">
                  <c:v>9.2362830426980253E-3</c:v>
                </c:pt>
                <c:pt idx="46">
                  <c:v>9.2362830427001451E-3</c:v>
                </c:pt>
                <c:pt idx="47">
                  <c:v>9.2362830426979767E-3</c:v>
                </c:pt>
                <c:pt idx="48">
                  <c:v>9.2362830427015468E-3</c:v>
                </c:pt>
                <c:pt idx="49">
                  <c:v>9.2362830426992847E-3</c:v>
                </c:pt>
                <c:pt idx="50">
                  <c:v>9.2362830426993819E-3</c:v>
                </c:pt>
                <c:pt idx="51">
                  <c:v>9.2362830426987435E-3</c:v>
                </c:pt>
                <c:pt idx="52">
                  <c:v>9.2362830426993819E-3</c:v>
                </c:pt>
                <c:pt idx="53">
                  <c:v>9.2362830427000948E-3</c:v>
                </c:pt>
                <c:pt idx="54">
                  <c:v>9.2362830426992847E-3</c:v>
                </c:pt>
                <c:pt idx="55">
                  <c:v>9.2362830426980739E-3</c:v>
                </c:pt>
                <c:pt idx="56">
                  <c:v>9.236283042700166E-3</c:v>
                </c:pt>
                <c:pt idx="57">
                  <c:v>9.2362830426980739E-3</c:v>
                </c:pt>
                <c:pt idx="58">
                  <c:v>9.2362830427000948E-3</c:v>
                </c:pt>
                <c:pt idx="59">
                  <c:v>9.2362830426992847E-3</c:v>
                </c:pt>
                <c:pt idx="60">
                  <c:v>9.4718114740038866E-3</c:v>
                </c:pt>
                <c:pt idx="61">
                  <c:v>9.4718114740014684E-3</c:v>
                </c:pt>
                <c:pt idx="62">
                  <c:v>9.4718114740041832E-3</c:v>
                </c:pt>
                <c:pt idx="63">
                  <c:v>9.4718114740024346E-3</c:v>
                </c:pt>
                <c:pt idx="64">
                  <c:v>9.4718114740041832E-3</c:v>
                </c:pt>
                <c:pt idx="65">
                  <c:v>9.4718114740024346E-3</c:v>
                </c:pt>
                <c:pt idx="66">
                  <c:v>9.4718114740027764E-3</c:v>
                </c:pt>
                <c:pt idx="67">
                  <c:v>9.4718114740028753E-3</c:v>
                </c:pt>
                <c:pt idx="68">
                  <c:v>9.471811474003557E-3</c:v>
                </c:pt>
                <c:pt idx="69">
                  <c:v>9.4718114740028753E-3</c:v>
                </c:pt>
                <c:pt idx="70">
                  <c:v>9.4718114740037843E-3</c:v>
                </c:pt>
                <c:pt idx="71">
                  <c:v>9.4718114740027764E-3</c:v>
                </c:pt>
                <c:pt idx="72">
                  <c:v>9.4718114740038866E-3</c:v>
                </c:pt>
                <c:pt idx="73">
                  <c:v>9.4718114740027764E-3</c:v>
                </c:pt>
                <c:pt idx="74">
                  <c:v>9.4718114740028753E-3</c:v>
                </c:pt>
                <c:pt idx="75">
                  <c:v>9.4718114740037843E-3</c:v>
                </c:pt>
                <c:pt idx="76">
                  <c:v>9.4718114740041832E-3</c:v>
                </c:pt>
                <c:pt idx="77">
                  <c:v>9.4718114740024346E-3</c:v>
                </c:pt>
                <c:pt idx="78">
                  <c:v>9.4718114740027764E-3</c:v>
                </c:pt>
                <c:pt idx="79">
                  <c:v>9.4718114740041832E-3</c:v>
                </c:pt>
                <c:pt idx="80">
                  <c:v>9.4718114740021085E-3</c:v>
                </c:pt>
                <c:pt idx="81">
                  <c:v>9.4718114740028753E-3</c:v>
                </c:pt>
                <c:pt idx="82">
                  <c:v>9.4718114740024346E-3</c:v>
                </c:pt>
                <c:pt idx="83">
                  <c:v>9.4718114740027764E-3</c:v>
                </c:pt>
                <c:pt idx="84">
                  <c:v>1.0172013424664367E-2</c:v>
                </c:pt>
                <c:pt idx="85">
                  <c:v>1.0172013424663661E-2</c:v>
                </c:pt>
                <c:pt idx="86">
                  <c:v>1.0172013424662459E-2</c:v>
                </c:pt>
                <c:pt idx="87">
                  <c:v>1.0172013424664256E-2</c:v>
                </c:pt>
                <c:pt idx="88">
                  <c:v>1.0172013424665075E-2</c:v>
                </c:pt>
                <c:pt idx="89">
                  <c:v>1.0172013424662906E-2</c:v>
                </c:pt>
                <c:pt idx="90">
                  <c:v>1.0172013424662353E-2</c:v>
                </c:pt>
                <c:pt idx="91">
                  <c:v>1.0172013424665075E-2</c:v>
                </c:pt>
                <c:pt idx="92">
                  <c:v>1.0172013424664627E-2</c:v>
                </c:pt>
                <c:pt idx="93">
                  <c:v>1.0172013424663767E-2</c:v>
                </c:pt>
                <c:pt idx="94">
                  <c:v>1.0172013424664256E-2</c:v>
                </c:pt>
                <c:pt idx="95">
                  <c:v>1.0172013424663661E-2</c:v>
                </c:pt>
                <c:pt idx="96">
                  <c:v>1.0172013424663015E-2</c:v>
                </c:pt>
                <c:pt idx="97">
                  <c:v>1.0172013424663661E-2</c:v>
                </c:pt>
                <c:pt idx="98">
                  <c:v>1.0172013424663661E-2</c:v>
                </c:pt>
                <c:pt idx="99">
                  <c:v>1.0172013424664367E-2</c:v>
                </c:pt>
                <c:pt idx="100">
                  <c:v>1.0172013424664969E-2</c:v>
                </c:pt>
                <c:pt idx="101">
                  <c:v>1.0172013424661664E-2</c:v>
                </c:pt>
                <c:pt idx="102">
                  <c:v>1.0172013424664969E-2</c:v>
                </c:pt>
                <c:pt idx="103">
                  <c:v>1.0172013424663872E-2</c:v>
                </c:pt>
                <c:pt idx="104">
                  <c:v>1.0172013424662882E-2</c:v>
                </c:pt>
                <c:pt idx="105">
                  <c:v>1.0172013424663661E-2</c:v>
                </c:pt>
                <c:pt idx="106">
                  <c:v>1.0172013424663015E-2</c:v>
                </c:pt>
                <c:pt idx="107">
                  <c:v>1.0172013424663661E-2</c:v>
                </c:pt>
                <c:pt idx="108">
                  <c:v>1.0172013424663015E-2</c:v>
                </c:pt>
                <c:pt idx="109">
                  <c:v>1.0172013424664969E-2</c:v>
                </c:pt>
                <c:pt idx="110">
                  <c:v>1.0172013424664969E-2</c:v>
                </c:pt>
                <c:pt idx="111">
                  <c:v>1.0172013424663015E-2</c:v>
                </c:pt>
                <c:pt idx="112">
                  <c:v>1.0172013424664969E-2</c:v>
                </c:pt>
                <c:pt idx="113">
                  <c:v>1.0172013424661664E-2</c:v>
                </c:pt>
                <c:pt idx="114">
                  <c:v>1.0172013424664969E-2</c:v>
                </c:pt>
                <c:pt idx="115">
                  <c:v>1.0172013424662564E-2</c:v>
                </c:pt>
                <c:pt idx="116">
                  <c:v>1.017201342466433E-2</c:v>
                </c:pt>
                <c:pt idx="117">
                  <c:v>1.0172013424663661E-2</c:v>
                </c:pt>
                <c:pt idx="118">
                  <c:v>1.0172013424663015E-2</c:v>
                </c:pt>
                <c:pt idx="119">
                  <c:v>1.0172013424662353E-2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</xdr:colOff>
          <xdr:row>10</xdr:row>
          <xdr:rowOff>76200</xdr:rowOff>
        </xdr:from>
        <xdr:to>
          <xdr:col>10</xdr:col>
          <xdr:colOff>482600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577850</xdr:colOff>
          <xdr:row>18</xdr:row>
          <xdr:rowOff>177800</xdr:rowOff>
        </xdr:from>
        <xdr:to>
          <xdr:col>6</xdr:col>
          <xdr:colOff>165100</xdr:colOff>
          <xdr:row>21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3</xdr:row>
          <xdr:rowOff>31750</xdr:rowOff>
        </xdr:from>
        <xdr:to>
          <xdr:col>13</xdr:col>
          <xdr:colOff>25400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203200</xdr:colOff>
          <xdr:row>6</xdr:row>
          <xdr:rowOff>12700</xdr:rowOff>
        </xdr:from>
        <xdr:to>
          <xdr:col>8</xdr:col>
          <xdr:colOff>577850</xdr:colOff>
          <xdr:row>8</xdr:row>
          <xdr:rowOff>25400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603250</xdr:colOff>
          <xdr:row>3</xdr:row>
          <xdr:rowOff>31750</xdr:rowOff>
        </xdr:from>
        <xdr:to>
          <xdr:col>6</xdr:col>
          <xdr:colOff>190500</xdr:colOff>
          <xdr:row>5</xdr:row>
          <xdr:rowOff>44450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file:///C:\Users\l.baduet\AppData\Local\Microsoft\Windows\INetCache\Content.Outlook\E6ISMNHN\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/personal/f_jordan-stagiaire_axisalternatives_com/Documents/Bureau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file:///C:\Users\l.baduet\OneDrive%20-%20AXIS%20ALTERNATIVES\Bureau\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baseColWidth="10" defaultRowHeight="14.5"/>
  <cols>
    <col min="2" max="2" width="15.54296875" bestFit="1" customWidth="1"/>
    <col min="3" max="3" width="4.453125" customWidth="1"/>
    <col min="4" max="4" width="14.08984375" bestFit="1" customWidth="1"/>
    <col min="5" max="5" width="11.36328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2" t="s">
        <v>45</v>
      </c>
      <c r="D7" s="92" t="s">
        <v>429</v>
      </c>
      <c r="E7" s="145">
        <f ca="1">TODAY()</f>
        <v>45429</v>
      </c>
    </row>
    <row r="8" spans="2:6">
      <c r="B8" s="143" t="s">
        <v>46</v>
      </c>
    </row>
    <row r="9" spans="2:6">
      <c r="B9" s="143" t="s">
        <v>43</v>
      </c>
    </row>
    <row r="10" spans="2:6">
      <c r="B10" s="143" t="s">
        <v>41</v>
      </c>
    </row>
    <row r="11" spans="2:6" ht="15" thickBot="1">
      <c r="B11" s="144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34" zoomScale="97" zoomScaleNormal="400" workbookViewId="0">
      <selection activeCell="G29" sqref="G29"/>
    </sheetView>
  </sheetViews>
  <sheetFormatPr baseColWidth="10" defaultRowHeight="14.5"/>
  <cols>
    <col min="1" max="1" width="6.1796875" customWidth="1"/>
    <col min="2" max="2" width="12.54296875" customWidth="1"/>
    <col min="4" max="4" width="13.36328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36328125" customWidth="1"/>
    <col min="12" max="12" width="12.81640625" customWidth="1"/>
    <col min="13" max="13" width="10" customWidth="1"/>
    <col min="14" max="14" width="5.6328125" customWidth="1"/>
    <col min="15" max="15" width="12.08984375" customWidth="1"/>
    <col min="16" max="16" width="10.6328125" customWidth="1"/>
    <col min="17" max="17" width="8" style="48" customWidth="1"/>
    <col min="23" max="23" width="10" customWidth="1"/>
    <col min="24" max="24" width="11.54296875" customWidth="1"/>
    <col min="25" max="25" width="8.36328125" customWidth="1"/>
    <col min="26" max="26" width="12.453125" customWidth="1"/>
    <col min="27" max="27" width="10" customWidth="1"/>
  </cols>
  <sheetData>
    <row r="1" spans="1:23" ht="24.65" customHeight="1" thickBot="1"/>
    <row r="2" spans="1:23" ht="31.2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21" t="s">
        <v>21</v>
      </c>
      <c r="D5" s="422"/>
      <c r="F5" s="419" t="s">
        <v>23</v>
      </c>
      <c r="G5" s="420"/>
      <c r="I5" s="419" t="s">
        <v>22</v>
      </c>
      <c r="J5" s="420"/>
      <c r="R5" s="421" t="s">
        <v>39</v>
      </c>
      <c r="S5" s="422"/>
      <c r="U5" s="419" t="s">
        <v>40</v>
      </c>
      <c r="V5" s="420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2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21" t="s">
        <v>21</v>
      </c>
      <c r="C20" s="423"/>
      <c r="D20" s="423"/>
      <c r="E20" s="423"/>
      <c r="F20" s="423"/>
      <c r="G20" s="423"/>
      <c r="H20" s="423"/>
      <c r="I20" s="423"/>
      <c r="J20" s="422"/>
      <c r="L20" s="421" t="s">
        <v>23</v>
      </c>
      <c r="M20" s="422"/>
      <c r="O20" s="421" t="s">
        <v>22</v>
      </c>
      <c r="P20" s="422"/>
      <c r="R20" s="424" t="s">
        <v>39</v>
      </c>
      <c r="S20" s="425"/>
      <c r="T20" s="425"/>
      <c r="U20" s="425"/>
      <c r="V20" s="425"/>
      <c r="W20" s="425"/>
      <c r="X20" s="426"/>
      <c r="Z20" s="419" t="s">
        <v>40</v>
      </c>
      <c r="AA20" s="420"/>
    </row>
    <row r="21" spans="2:27" ht="15" thickBot="1">
      <c r="B21" s="117" t="s">
        <v>91</v>
      </c>
      <c r="C21" s="166" t="s">
        <v>14</v>
      </c>
      <c r="D21" s="167" t="s">
        <v>27</v>
      </c>
      <c r="E21" s="166" t="s">
        <v>11</v>
      </c>
      <c r="F21" s="167" t="s">
        <v>3</v>
      </c>
      <c r="G21" s="166" t="s">
        <v>8</v>
      </c>
      <c r="H21" s="167" t="s">
        <v>9</v>
      </c>
      <c r="I21" s="166" t="s">
        <v>10</v>
      </c>
      <c r="J21" s="168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44450</xdr:colOff>
                    <xdr:row>10</xdr:row>
                    <xdr:rowOff>76200</xdr:rowOff>
                  </from>
                  <to>
                    <xdr:col>10</xdr:col>
                    <xdr:colOff>482600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A3" workbookViewId="0">
      <selection activeCell="F14" sqref="F14"/>
    </sheetView>
  </sheetViews>
  <sheetFormatPr baseColWidth="10" defaultRowHeight="14.5"/>
  <cols>
    <col min="2" max="2" width="11.90625" bestFit="1" customWidth="1"/>
    <col min="6" max="7" width="20.36328125" bestFit="1" customWidth="1"/>
    <col min="17" max="17" width="35.089843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45418</v>
      </c>
      <c r="D7" s="110"/>
      <c r="E7" s="111"/>
      <c r="F7" s="430" t="s">
        <v>48</v>
      </c>
      <c r="G7" s="431"/>
      <c r="H7" s="431"/>
      <c r="I7" s="431"/>
      <c r="J7" s="431"/>
      <c r="K7" s="431"/>
      <c r="L7" s="431"/>
      <c r="M7" s="431"/>
      <c r="N7" s="431"/>
      <c r="O7" s="431"/>
      <c r="P7" s="431"/>
      <c r="Q7" s="432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27" t="s">
        <v>68</v>
      </c>
      <c r="G13" s="428"/>
      <c r="H13" s="428"/>
      <c r="I13" s="428"/>
      <c r="J13" s="428"/>
      <c r="K13" s="428"/>
      <c r="L13" s="428"/>
      <c r="M13" s="428"/>
      <c r="N13" s="428"/>
      <c r="O13" s="428"/>
      <c r="P13" s="428"/>
      <c r="Q13" s="429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3</xdr:col>
                    <xdr:colOff>577850</xdr:colOff>
                    <xdr:row>18</xdr:row>
                    <xdr:rowOff>177800</xdr:rowOff>
                  </from>
                  <to>
                    <xdr:col>6</xdr:col>
                    <xdr:colOff>165100</xdr:colOff>
                    <xdr:row>21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2" sqref="N12"/>
    </sheetView>
  </sheetViews>
  <sheetFormatPr baseColWidth="10" defaultRowHeight="14.5"/>
  <cols>
    <col min="2" max="2" width="30.453125" bestFit="1" customWidth="1"/>
    <col min="14" max="16" width="15.08984375" bestFit="1" customWidth="1"/>
    <col min="17" max="17" width="13.90625" customWidth="1"/>
    <col min="18" max="31" width="15.089843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30" t="s">
        <v>72</v>
      </c>
      <c r="H2" s="431"/>
      <c r="I2" s="431"/>
      <c r="J2" s="146" t="b">
        <v>1</v>
      </c>
    </row>
    <row r="3" spans="1:50" ht="15" thickBot="1">
      <c r="J3" s="99"/>
    </row>
    <row r="4" spans="1:50" ht="15" thickBot="1">
      <c r="D4" t="str" cm="1">
        <f t="array" aca="1" ref="D4" ca="1">GetTest(D3)</f>
        <v>0, False, True</v>
      </c>
      <c r="G4" s="430" t="s">
        <v>73</v>
      </c>
      <c r="H4" s="431"/>
      <c r="I4" s="432"/>
      <c r="J4" s="141" t="b">
        <v>0</v>
      </c>
    </row>
    <row r="5" spans="1:50" ht="16.25" customHeight="1" thickBot="1">
      <c r="J5" s="99"/>
    </row>
    <row r="6" spans="1:50" s="79" customFormat="1" ht="15.65" customHeight="1" thickBot="1">
      <c r="B6" s="147" t="s">
        <v>70</v>
      </c>
      <c r="C6" s="436" t="b">
        <v>1</v>
      </c>
      <c r="D6" s="437"/>
      <c r="E6" s="85"/>
      <c r="F6" s="85"/>
      <c r="G6" s="430" t="s">
        <v>74</v>
      </c>
      <c r="H6" s="431"/>
      <c r="I6" s="432"/>
      <c r="J6" s="141" t="s">
        <v>422</v>
      </c>
      <c r="K6" s="85"/>
      <c r="L6" s="93">
        <v>0</v>
      </c>
      <c r="M6" s="85">
        <v>1.4705354952078142E-3</v>
      </c>
      <c r="N6" s="297">
        <v>3.8874887584594564E-3</v>
      </c>
      <c r="O6" s="297">
        <v>9.4189280591226998E-3</v>
      </c>
      <c r="P6" s="297">
        <v>1.679671022635798E-2</v>
      </c>
      <c r="Q6" s="297">
        <v>0</v>
      </c>
      <c r="R6" s="297">
        <v>3.4811141626099662E-2</v>
      </c>
      <c r="S6" s="297">
        <v>5.2919171156425637E-2</v>
      </c>
      <c r="T6" s="297">
        <v>8.1406485388277439E-2</v>
      </c>
      <c r="U6" s="297">
        <v>0</v>
      </c>
      <c r="V6" s="297">
        <v>1.5810141360579344E-3</v>
      </c>
      <c r="W6" s="297">
        <v>4.0814441556217274E-3</v>
      </c>
      <c r="X6" s="297">
        <v>9.8876848067156464E-3</v>
      </c>
      <c r="Y6" s="79">
        <v>1.7630172033305191E-2</v>
      </c>
      <c r="Z6" s="79">
        <v>0</v>
      </c>
      <c r="AA6" s="79">
        <v>3.6522890649912432E-2</v>
      </c>
      <c r="AB6" s="79">
        <v>5.5500162839300149E-2</v>
      </c>
      <c r="AC6" s="79">
        <v>8.531365270407576E-2</v>
      </c>
    </row>
    <row r="7" spans="1:50" s="79" customFormat="1" ht="13.5" customHeight="1" thickBot="1">
      <c r="B7" s="148" t="s">
        <v>71</v>
      </c>
      <c r="C7" s="438">
        <f ca="1">GetCDSRefDate(Parameter_Date,C6)</f>
        <v>45463</v>
      </c>
      <c r="D7" s="439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50"/>
      <c r="B9" s="150"/>
      <c r="C9" s="150"/>
      <c r="D9" s="149"/>
      <c r="E9" s="430" t="s">
        <v>76</v>
      </c>
      <c r="F9" s="431"/>
      <c r="G9" s="431"/>
      <c r="H9" s="431"/>
      <c r="I9" s="431"/>
      <c r="J9" s="431"/>
      <c r="K9" s="431"/>
      <c r="L9" s="431"/>
      <c r="M9" s="432"/>
      <c r="N9" s="433" t="s">
        <v>77</v>
      </c>
      <c r="O9" s="434"/>
      <c r="P9" s="434"/>
      <c r="Q9" s="434"/>
      <c r="R9" s="434"/>
      <c r="S9" s="434"/>
      <c r="T9" s="434"/>
      <c r="U9" s="434"/>
      <c r="V9" s="435"/>
      <c r="W9" s="433" t="s">
        <v>78</v>
      </c>
      <c r="X9" s="434"/>
      <c r="Y9" s="434"/>
      <c r="Z9" s="434"/>
      <c r="AA9" s="434"/>
      <c r="AB9" s="434"/>
      <c r="AC9" s="434"/>
      <c r="AD9" s="434"/>
      <c r="AE9" s="435"/>
    </row>
    <row r="10" spans="1:50" s="79" customFormat="1" ht="15" customHeight="1" thickBot="1">
      <c r="A10" s="187" t="s">
        <v>79</v>
      </c>
      <c r="B10" s="192" t="s">
        <v>80</v>
      </c>
      <c r="C10" s="191" t="s">
        <v>81</v>
      </c>
      <c r="D10" s="187" t="s">
        <v>82</v>
      </c>
      <c r="E10" s="110" t="s">
        <v>83</v>
      </c>
      <c r="F10" s="155" t="s">
        <v>84</v>
      </c>
      <c r="G10" s="155" t="s">
        <v>53</v>
      </c>
      <c r="H10" s="155" t="s">
        <v>54</v>
      </c>
      <c r="I10" s="155" t="s">
        <v>55</v>
      </c>
      <c r="J10" s="155" t="s">
        <v>56</v>
      </c>
      <c r="K10" s="155" t="s">
        <v>57</v>
      </c>
      <c r="L10" s="155" t="s">
        <v>59</v>
      </c>
      <c r="M10" s="111" t="s">
        <v>62</v>
      </c>
      <c r="N10" s="193" t="str">
        <f t="shared" ref="N10:V10" ca="1" si="0">IF(E10="","",E10)</f>
        <v>3M</v>
      </c>
      <c r="O10" s="171" t="str">
        <f t="shared" ca="1" si="0"/>
        <v>6M</v>
      </c>
      <c r="P10" s="171" t="str">
        <f t="shared" ca="1" si="0"/>
        <v>1Y</v>
      </c>
      <c r="Q10" s="171" t="str">
        <f t="shared" ca="1" si="0"/>
        <v>2Y</v>
      </c>
      <c r="R10" s="171" t="str">
        <f t="shared" ca="1" si="0"/>
        <v>3Y</v>
      </c>
      <c r="S10" s="171" t="str">
        <f t="shared" ca="1" si="0"/>
        <v>4Y</v>
      </c>
      <c r="T10" s="171" t="str">
        <f t="shared" ca="1" si="0"/>
        <v>5Y</v>
      </c>
      <c r="U10" s="171" t="str">
        <f t="shared" ca="1" si="0"/>
        <v>7Y</v>
      </c>
      <c r="V10" s="171" t="str">
        <f t="shared" ca="1" si="0"/>
        <v>10Y</v>
      </c>
      <c r="W10" s="193" t="str">
        <f t="shared" ref="W10:AE10" ca="1" si="1">IF(E10="","",E10)</f>
        <v>3M</v>
      </c>
      <c r="X10" s="171" t="str">
        <f t="shared" ca="1" si="1"/>
        <v>6M</v>
      </c>
      <c r="Y10" s="171" t="str">
        <f t="shared" ca="1" si="1"/>
        <v>1Y</v>
      </c>
      <c r="Z10" s="171" t="str">
        <f t="shared" ca="1" si="1"/>
        <v>2Y</v>
      </c>
      <c r="AA10" s="171" t="str">
        <f t="shared" ca="1" si="1"/>
        <v>3Y</v>
      </c>
      <c r="AB10" s="171" t="str">
        <f t="shared" ca="1" si="1"/>
        <v>4Y</v>
      </c>
      <c r="AC10" s="171" t="str">
        <f t="shared" ca="1" si="1"/>
        <v>5Y</v>
      </c>
      <c r="AD10" s="171" t="str">
        <f t="shared" ca="1" si="1"/>
        <v>7Y</v>
      </c>
      <c r="AE10" s="172" t="str">
        <f t="shared" ca="1" si="1"/>
        <v>10Y</v>
      </c>
    </row>
    <row r="11" spans="1:50" s="79" customFormat="1" ht="15" customHeight="1" thickBot="1">
      <c r="A11" s="189"/>
      <c r="B11" s="190"/>
      <c r="C11" s="188" t="s">
        <v>85</v>
      </c>
      <c r="D11" s="191"/>
      <c r="E11" s="153" cm="1">
        <f t="array" aca="1" ref="E11" ca="1">IF(E10="","",GetConvertDate(CDSRollDate,E10))</f>
        <v>45555</v>
      </c>
      <c r="F11" s="153" cm="1">
        <f t="array" aca="1" ref="F11" ca="1">IF(F10="","",GetConvertDate(CDSRollDate,F10))</f>
        <v>45646</v>
      </c>
      <c r="G11" s="153" cm="1">
        <f t="array" aca="1" ref="G11" ca="1">IF(G10="","",GetConvertDate(CDSRollDate,G10))</f>
        <v>45828</v>
      </c>
      <c r="H11" s="153" cm="1">
        <f t="array" aca="1" ref="H11" ca="1">IF(H10="","",GetConvertDate(CDSRollDate,H10))</f>
        <v>46193</v>
      </c>
      <c r="I11" s="153" cm="1">
        <f t="array" aca="1" ref="I11" ca="1">IF(I10="","",GetConvertDate(CDSRollDate,I10))</f>
        <v>46558</v>
      </c>
      <c r="J11" s="153" cm="1">
        <f t="array" aca="1" ref="J11" ca="1">IF(J10="","",GetConvertDate(CDSRollDate,J10))</f>
        <v>46924</v>
      </c>
      <c r="K11" s="153" cm="1">
        <f t="array" aca="1" ref="K11" ca="1">IF(K10="","",GetConvertDate(CDSRollDate,K10))</f>
        <v>47289</v>
      </c>
      <c r="L11" s="153" cm="1">
        <f t="array" aca="1" ref="L11" ca="1">IF(L10="","",GetConvertDate(CDSRollDate,L10))</f>
        <v>48019</v>
      </c>
      <c r="M11" s="153" cm="1">
        <f t="array" aca="1" ref="M11" ca="1">IF(M10="","",GetConvertDate(CDSRollDate,M10))</f>
        <v>49115</v>
      </c>
      <c r="N11" s="152"/>
      <c r="O11" s="152"/>
      <c r="P11" s="152"/>
      <c r="Q11" s="152"/>
      <c r="R11" s="152"/>
      <c r="S11" s="152"/>
      <c r="T11" s="152"/>
      <c r="U11" s="152"/>
      <c r="V11" s="152"/>
      <c r="W11" s="151"/>
      <c r="X11" s="152"/>
      <c r="Y11" s="152"/>
      <c r="Z11" s="152"/>
      <c r="AA11" s="152"/>
      <c r="AB11" s="152"/>
      <c r="AC11" s="152"/>
      <c r="AD11" s="152"/>
      <c r="AE11" s="154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2">
        <v>4.0000000000000001E-3</v>
      </c>
      <c r="L12" s="131">
        <v>4.4000000000000003E-3</v>
      </c>
      <c r="M12" s="131">
        <v>4.7999999999999996E-3</v>
      </c>
      <c r="N12" s="133">
        <f t="array" aca="1" ref="N12:AE12" ca="1">IF(OR(B12="",NOT($J$2)),"",GetStripDefaultProbability(A12,B12,Parameter_Date,CDSRollDate,E12:M12,SpreadCurveMaturities,D12,C12,$J$4,$J$6))</f>
        <v>0</v>
      </c>
      <c r="O12" s="223">
        <f ca="1"/>
        <v>1.3260652449527122E-3</v>
      </c>
      <c r="P12" s="134">
        <f ca="1"/>
        <v>3.6795153778412804E-3</v>
      </c>
      <c r="Q12" s="134">
        <f ca="1"/>
        <v>9.1653254748573776E-3</v>
      </c>
      <c r="R12" s="134">
        <f ca="1"/>
        <v>1.6496517523687082E-2</v>
      </c>
      <c r="S12" s="134">
        <f ca="1"/>
        <v>0</v>
      </c>
      <c r="T12" s="134">
        <f ca="1"/>
        <v>3.4439969414994165E-2</v>
      </c>
      <c r="U12" s="134">
        <f ca="1"/>
        <v>5.251902360056504E-2</v>
      </c>
      <c r="V12" s="135">
        <f ca="1"/>
        <v>8.0983434351630912E-2</v>
      </c>
      <c r="W12" s="133">
        <f ca="1"/>
        <v>0</v>
      </c>
      <c r="X12" s="134">
        <f ca="1"/>
        <v>1.4256942036589004E-3</v>
      </c>
      <c r="Y12" s="134">
        <f ca="1"/>
        <v>3.8455549549304413E-3</v>
      </c>
      <c r="Z12" s="134">
        <f ca="1"/>
        <v>9.6213183850343276E-3</v>
      </c>
      <c r="AA12" s="134">
        <f ca="1"/>
        <v>1.7314996147435813E-2</v>
      </c>
      <c r="AB12" s="134">
        <f ca="1"/>
        <v>0</v>
      </c>
      <c r="AC12" s="134">
        <f ca="1"/>
        <v>3.6133500749934266E-2</v>
      </c>
      <c r="AD12" s="134">
        <f ca="1"/>
        <v>5.5080673501964217E-2</v>
      </c>
      <c r="AE12" s="135">
        <f ca="1"/>
        <v>8.4870614826839996E-2</v>
      </c>
      <c r="AG12" s="225"/>
      <c r="AH12" s="224"/>
      <c r="AI12" s="226"/>
      <c r="AJ12" s="136"/>
      <c r="AK12" s="136"/>
      <c r="AL12" s="136"/>
      <c r="AM12" s="136"/>
      <c r="AN12" s="136"/>
      <c r="AO12" s="136"/>
      <c r="AQ12" s="136"/>
      <c r="AR12" s="136"/>
      <c r="AS12" s="136"/>
      <c r="AT12" s="136"/>
      <c r="AV12" s="136"/>
      <c r="AW12" s="136"/>
      <c r="AX12" s="136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7" t="s">
        <v>87</v>
      </c>
      <c r="F13" s="156">
        <v>8.0000000000000004E-4</v>
      </c>
      <c r="G13" s="156">
        <v>1.1000000000000001E-3</v>
      </c>
      <c r="H13" s="156">
        <v>1.6000000000000001E-3</v>
      </c>
      <c r="I13" s="156">
        <v>2.3E-3</v>
      </c>
      <c r="J13" s="156" t="s">
        <v>87</v>
      </c>
      <c r="K13" s="156">
        <v>3.5999999999999999E-3</v>
      </c>
      <c r="L13" s="156">
        <v>4.3E-3</v>
      </c>
      <c r="M13" s="156">
        <v>5.3E-3</v>
      </c>
      <c r="N13" s="138">
        <f t="array" aca="1" ref="N13:AE13" ca="1">IF(OR(B13="",NOT($J$2)),"",GetStripDefaultProbability(A13,B13,Parameter_Date,CDSRollDate,E13:M13,SpreadCurveMaturities,D13,C13,$J$4,$J$6))</f>
        <v>0</v>
      </c>
      <c r="O13" s="163">
        <f ca="1"/>
        <v>7.978434025011083E-4</v>
      </c>
      <c r="P13" s="163">
        <f ca="1"/>
        <v>2.0233272289342796E-3</v>
      </c>
      <c r="Q13" s="163">
        <f ca="1"/>
        <v>5.6574997992197007E-3</v>
      </c>
      <c r="R13" s="163">
        <f ca="1"/>
        <v>1.2106938749426588E-2</v>
      </c>
      <c r="S13" s="163">
        <f ca="1"/>
        <v>0</v>
      </c>
      <c r="T13" s="163">
        <f ca="1"/>
        <v>3.1450404165378254E-2</v>
      </c>
      <c r="U13" s="163">
        <f ca="1"/>
        <v>5.2212586957927409E-2</v>
      </c>
      <c r="V13" s="139">
        <f ca="1"/>
        <v>9.1737783379470805E-2</v>
      </c>
      <c r="W13" s="138">
        <f ca="1"/>
        <v>0</v>
      </c>
      <c r="X13" s="163">
        <f ca="1"/>
        <v>8.9752759609718069E-4</v>
      </c>
      <c r="Y13" s="163">
        <f ca="1"/>
        <v>2.1896428143788338E-3</v>
      </c>
      <c r="Z13" s="163">
        <f ca="1"/>
        <v>6.0074214322639596E-3</v>
      </c>
      <c r="AA13" s="163">
        <f ca="1"/>
        <v>1.2701901437713881E-2</v>
      </c>
      <c r="AB13" s="163">
        <f ca="1"/>
        <v>0</v>
      </c>
      <c r="AC13" s="163">
        <f ca="1"/>
        <v>3.299368601873498E-2</v>
      </c>
      <c r="AD13" s="163">
        <f ca="1"/>
        <v>5.4758298058663057E-2</v>
      </c>
      <c r="AE13" s="139">
        <f ca="1"/>
        <v>9.6127069500785423E-2</v>
      </c>
      <c r="AG13" s="226"/>
      <c r="AH13" s="136"/>
      <c r="AI13" s="136"/>
      <c r="AJ13" s="136"/>
      <c r="AK13" s="136"/>
      <c r="AL13" s="136"/>
      <c r="AM13" s="136"/>
      <c r="AN13" s="136"/>
      <c r="AO13" s="136"/>
      <c r="AQ13" s="136"/>
      <c r="AR13" s="136"/>
      <c r="AS13" s="136"/>
      <c r="AT13" s="136"/>
      <c r="AV13" s="136"/>
      <c r="AW13" s="136"/>
      <c r="AX13" s="136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7" t="s">
        <v>87</v>
      </c>
      <c r="F14" s="156">
        <v>5.9999999999999995E-4</v>
      </c>
      <c r="G14" s="156">
        <v>1E-3</v>
      </c>
      <c r="H14" s="156">
        <v>1.8E-3</v>
      </c>
      <c r="I14" s="156">
        <v>2.7000000000000001E-3</v>
      </c>
      <c r="J14" s="156" t="s">
        <v>87</v>
      </c>
      <c r="K14" s="156">
        <v>4.0000000000000001E-3</v>
      </c>
      <c r="L14" s="156">
        <v>5.1000000000000004E-3</v>
      </c>
      <c r="M14" s="156">
        <v>6.1999999999999998E-3</v>
      </c>
      <c r="N14" s="138">
        <f t="array" aca="1" ref="N14:AE14" ca="1">IF(OR(B14="",NOT($J$2)),"",GetStripDefaultProbability(A14,B14,Parameter_Date,CDSRollDate,E14:M14,SpreadCurveMaturities,D14,C14,$J$4,$J$6))</f>
        <v>0</v>
      </c>
      <c r="O14" s="163">
        <f ca="1"/>
        <v>5.9844205622783253E-4</v>
      </c>
      <c r="P14" s="163">
        <f ca="1"/>
        <v>1.8428118803728299E-3</v>
      </c>
      <c r="Q14" s="163">
        <f ca="1"/>
        <v>6.3863630975579122E-3</v>
      </c>
      <c r="R14" s="163">
        <f ca="1"/>
        <v>1.4244067436068319E-2</v>
      </c>
      <c r="S14" s="163">
        <f ca="1"/>
        <v>0</v>
      </c>
      <c r="T14" s="163">
        <f ca="1"/>
        <v>3.4862360155510363E-2</v>
      </c>
      <c r="U14" s="163">
        <f ca="1"/>
        <v>6.2030562912993914E-2</v>
      </c>
      <c r="V14" s="139">
        <f ca="1"/>
        <v>0.10677675195242098</v>
      </c>
      <c r="W14" s="138">
        <f ca="1"/>
        <v>0</v>
      </c>
      <c r="X14" s="163">
        <f ca="1"/>
        <v>6.9814675354706868E-4</v>
      </c>
      <c r="Y14" s="163">
        <f ca="1"/>
        <v>2.0091575491956171E-3</v>
      </c>
      <c r="Z14" s="163">
        <f ca="1"/>
        <v>6.7361151694061983E-3</v>
      </c>
      <c r="AA14" s="163">
        <f ca="1"/>
        <v>1.4945967991533582E-2</v>
      </c>
      <c r="AB14" s="163">
        <f ca="1"/>
        <v>0</v>
      </c>
      <c r="AC14" s="163">
        <f ca="1"/>
        <v>3.6572317648329467E-2</v>
      </c>
      <c r="AD14" s="163">
        <f ca="1"/>
        <v>6.504601894528883E-2</v>
      </c>
      <c r="AE14" s="139">
        <f ca="1"/>
        <v>0.11188505973894958</v>
      </c>
      <c r="AH14" s="136"/>
      <c r="AI14" s="136"/>
      <c r="AJ14" s="136"/>
      <c r="AK14" s="136"/>
      <c r="AM14" s="136"/>
      <c r="AN14" s="136"/>
      <c r="AO14" s="136"/>
      <c r="AQ14" s="136"/>
      <c r="AR14" s="136"/>
      <c r="AS14" s="136"/>
      <c r="AT14" s="136"/>
      <c r="AV14" s="136"/>
      <c r="AW14" s="136"/>
      <c r="AX14" s="136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7" t="s">
        <v>87</v>
      </c>
      <c r="F15" s="156">
        <v>1.2600000000000001E-3</v>
      </c>
      <c r="G15" s="156">
        <v>1.7700000000000001E-3</v>
      </c>
      <c r="H15" s="156">
        <v>2.3999999999999998E-3</v>
      </c>
      <c r="I15" s="156">
        <v>2.9099999999999998E-3</v>
      </c>
      <c r="J15" s="156" t="s">
        <v>87</v>
      </c>
      <c r="K15" s="156">
        <v>3.8E-3</v>
      </c>
      <c r="L15" s="156">
        <v>4.2599999999999999E-3</v>
      </c>
      <c r="M15" s="156">
        <v>4.5999999999999999E-3</v>
      </c>
      <c r="N15" s="138" cm="1">
        <f t="array" aca="1" ref="N15:AE15" ca="1">IF(OR(B15="",NOT($J$2)),"",GetStripDefaultProbability(A15,B15,Parameter_Date,CDSRollDate,E15:M15,SpreadCurveMaturities,D15,C15,$J$4,$J$6))</f>
        <v>0</v>
      </c>
      <c r="O15" s="163">
        <f ca="1"/>
        <v>1.2563160471655843E-3</v>
      </c>
      <c r="P15" s="163">
        <f ca="1"/>
        <v>3.2547371981712647E-3</v>
      </c>
      <c r="Q15" s="163">
        <f ca="1"/>
        <v>8.467009258086633E-3</v>
      </c>
      <c r="R15" s="163">
        <f ca="1"/>
        <v>1.5202381920030317E-2</v>
      </c>
      <c r="S15" s="163">
        <f ca="1"/>
        <v>0</v>
      </c>
      <c r="T15" s="163">
        <f ca="1"/>
        <v>3.2799891682412707E-2</v>
      </c>
      <c r="U15" s="163">
        <f ca="1"/>
        <v>5.1047867757617604E-2</v>
      </c>
      <c r="V15" s="139">
        <f ca="1"/>
        <v>7.7749583654512233E-2</v>
      </c>
      <c r="W15" s="138">
        <f ca="1"/>
        <v>0</v>
      </c>
      <c r="X15" s="163">
        <f ca="1"/>
        <v>1.3559523776041082E-3</v>
      </c>
      <c r="Y15" s="163">
        <f ca="1"/>
        <v>3.4208475657284687E-3</v>
      </c>
      <c r="Z15" s="163">
        <f ca="1"/>
        <v>8.8875261849328258E-3</v>
      </c>
      <c r="AA15" s="163">
        <f ca="1"/>
        <v>1.5956209969801183E-2</v>
      </c>
      <c r="AB15" s="163">
        <f ca="1"/>
        <v>0</v>
      </c>
      <c r="AC15" s="163">
        <f ca="1"/>
        <v>3.4413441232523434E-2</v>
      </c>
      <c r="AD15" s="163">
        <f ca="1"/>
        <v>5.3539739110111895E-2</v>
      </c>
      <c r="AE15" s="139">
        <f ca="1"/>
        <v>8.1487853261429155E-2</v>
      </c>
      <c r="AH15" s="136"/>
      <c r="AI15" s="136"/>
      <c r="AJ15" s="136"/>
      <c r="AK15" s="136"/>
      <c r="AL15" s="140"/>
      <c r="AM15" s="136"/>
      <c r="AN15" s="136"/>
      <c r="AO15" s="136"/>
      <c r="AQ15" s="136"/>
      <c r="AR15" s="136"/>
      <c r="AS15" s="136"/>
      <c r="AT15" s="136"/>
      <c r="AV15" s="136"/>
      <c r="AW15" s="136"/>
      <c r="AX15" s="136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7" t="s">
        <v>87</v>
      </c>
      <c r="F16" s="156">
        <v>5.0000000000000001E-4</v>
      </c>
      <c r="G16" s="156">
        <v>5.9999999999999995E-4</v>
      </c>
      <c r="H16" s="156">
        <v>1.1000000000000001E-3</v>
      </c>
      <c r="I16" s="156">
        <v>1.5E-3</v>
      </c>
      <c r="J16" s="156" t="s">
        <v>87</v>
      </c>
      <c r="K16" s="156">
        <v>2.5000000000000001E-3</v>
      </c>
      <c r="L16" s="156">
        <v>3.2000000000000002E-3</v>
      </c>
      <c r="M16" s="156">
        <v>3.8999999999999998E-3</v>
      </c>
      <c r="N16" s="138" cm="1">
        <f t="array" aca="1" ref="N16:AE16" ca="1">IF(OR(B16="",NOT($J$2)),"",GetStripDefaultProbability(A16,B16,Parameter_Date,CDSRollDate,E16:M16,SpreadCurveMaturities,D16,C16,$J$4,$J$6))</f>
        <v>0</v>
      </c>
      <c r="O16" s="163">
        <f ca="1"/>
        <v>4.9872651070981266E-4</v>
      </c>
      <c r="P16" s="163">
        <f ca="1"/>
        <v>1.1024469251739166E-3</v>
      </c>
      <c r="Q16" s="163">
        <f ca="1"/>
        <v>3.9035574208937662E-3</v>
      </c>
      <c r="R16" s="163">
        <f ca="1"/>
        <v>7.9065945447465147E-3</v>
      </c>
      <c r="S16" s="163">
        <f ca="1"/>
        <v>0</v>
      </c>
      <c r="T16" s="163">
        <f ca="1"/>
        <v>2.1966449489127959E-2</v>
      </c>
      <c r="U16" s="163">
        <f ca="1"/>
        <v>3.9334501896471363E-2</v>
      </c>
      <c r="V16" s="139">
        <f ca="1"/>
        <v>6.8302804109782844E-2</v>
      </c>
      <c r="W16" s="138">
        <f ca="1"/>
        <v>0</v>
      </c>
      <c r="X16" s="163">
        <f ca="1"/>
        <v>5.9844139207421154E-4</v>
      </c>
      <c r="Y16" s="163">
        <f ca="1"/>
        <v>1.2689159778730419E-3</v>
      </c>
      <c r="Z16" s="163">
        <f ca="1"/>
        <v>4.2540866600880856E-3</v>
      </c>
      <c r="AA16" s="163">
        <f ca="1"/>
        <v>8.4225296691906593E-3</v>
      </c>
      <c r="AB16" s="163">
        <f ca="1"/>
        <v>0</v>
      </c>
      <c r="AC16" s="163">
        <f ca="1"/>
        <v>2.3030819321541607E-2</v>
      </c>
      <c r="AD16" s="163">
        <f ca="1"/>
        <v>4.1246212674035942E-2</v>
      </c>
      <c r="AE16" s="139">
        <f ca="1"/>
        <v>7.1591759826441392E-2</v>
      </c>
      <c r="AH16" s="136"/>
      <c r="AI16" s="136"/>
      <c r="AJ16" s="136"/>
      <c r="AK16" s="136"/>
      <c r="AL16" s="140"/>
      <c r="AM16" s="136"/>
      <c r="AN16" s="136"/>
      <c r="AO16" s="136"/>
      <c r="AQ16" s="136"/>
      <c r="AR16" s="136"/>
      <c r="AS16" s="136"/>
      <c r="AT16" s="136"/>
      <c r="AV16" s="136"/>
      <c r="AW16" s="136"/>
      <c r="AX16" s="136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7" t="s">
        <v>87</v>
      </c>
      <c r="F17" s="156">
        <v>1.23E-3</v>
      </c>
      <c r="G17" s="156">
        <v>1.5900000000000001E-3</v>
      </c>
      <c r="H17" s="156">
        <v>2.2100000000000002E-3</v>
      </c>
      <c r="I17" s="156">
        <v>2.5200000000000001E-3</v>
      </c>
      <c r="J17" s="156" t="s">
        <v>87</v>
      </c>
      <c r="K17" s="156">
        <v>3.2000000000000002E-3</v>
      </c>
      <c r="L17" s="156">
        <v>3.63E-3</v>
      </c>
      <c r="M17" s="156">
        <v>4.1000000000000003E-3</v>
      </c>
      <c r="N17" s="138" cm="1">
        <f t="array" aca="1" ref="N17:AE17" ca="1">IF(OR(B17="",NOT($J$2)),"",GetStripDefaultProbability(A17,B17,Parameter_Date,CDSRollDate,E17:M17,SpreadCurveMaturities,D17,C17,$J$4,$J$6))</f>
        <v>0</v>
      </c>
      <c r="O17" s="163">
        <f ca="1"/>
        <v>1.2264220480148191E-3</v>
      </c>
      <c r="P17" s="163">
        <f ca="1"/>
        <v>2.9215727558118409E-3</v>
      </c>
      <c r="Q17" s="163">
        <f ca="1"/>
        <v>7.7996389198979887E-3</v>
      </c>
      <c r="R17" s="163">
        <f ca="1"/>
        <v>1.3145631204709685E-2</v>
      </c>
      <c r="S17" s="163">
        <f ca="1"/>
        <v>0</v>
      </c>
      <c r="T17" s="163">
        <f ca="1"/>
        <v>2.7605551532420614E-2</v>
      </c>
      <c r="U17" s="163">
        <f ca="1"/>
        <v>4.3615160165231592E-2</v>
      </c>
      <c r="V17" s="139">
        <f ca="1"/>
        <v>7.00443717297633E-2</v>
      </c>
      <c r="W17" s="138">
        <f ca="1"/>
        <v>0</v>
      </c>
      <c r="X17" s="163">
        <f ca="1"/>
        <v>1.3260615305397128E-3</v>
      </c>
      <c r="Y17" s="163">
        <f ca="1"/>
        <v>3.0877386461494183E-3</v>
      </c>
      <c r="Z17" s="163">
        <f ca="1"/>
        <v>8.186409342335943E-3</v>
      </c>
      <c r="AA17" s="163">
        <f ca="1"/>
        <v>1.3797161998897245E-2</v>
      </c>
      <c r="AB17" s="163">
        <f ca="1"/>
        <v>0</v>
      </c>
      <c r="AC17" s="163">
        <f ca="1"/>
        <v>2.8965830532087677E-2</v>
      </c>
      <c r="AD17" s="163">
        <f ca="1"/>
        <v>4.5750654889573528E-2</v>
      </c>
      <c r="AE17" s="139">
        <f ca="1"/>
        <v>7.3427173333115991E-2</v>
      </c>
      <c r="AH17" s="136"/>
      <c r="AI17" s="136"/>
      <c r="AJ17" s="136"/>
      <c r="AK17" s="136"/>
      <c r="AL17" s="140"/>
      <c r="AM17" s="136"/>
      <c r="AN17" s="136"/>
      <c r="AO17" s="136"/>
      <c r="AQ17" s="136"/>
      <c r="AR17" s="136"/>
      <c r="AS17" s="136"/>
      <c r="AT17" s="136"/>
      <c r="AV17" s="136"/>
      <c r="AW17" s="136"/>
      <c r="AX17" s="136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7" t="s">
        <v>87</v>
      </c>
      <c r="F18" s="156">
        <v>5.0000000000000001E-4</v>
      </c>
      <c r="G18" s="156">
        <v>1.4E-3</v>
      </c>
      <c r="H18" s="156">
        <v>2.3999999999999998E-3</v>
      </c>
      <c r="I18" s="156">
        <v>3.5000000000000001E-3</v>
      </c>
      <c r="J18" s="156" t="s">
        <v>87</v>
      </c>
      <c r="K18" s="156">
        <v>5.7000000000000002E-3</v>
      </c>
      <c r="L18" s="156">
        <v>7.0000000000000001E-3</v>
      </c>
      <c r="M18" s="156">
        <v>8.5000000000000006E-3</v>
      </c>
      <c r="N18" s="138" cm="1">
        <f t="array" aca="1" ref="N18:AE18" ca="1">IF(OR(B18="",NOT($J$2)),"",GetStripDefaultProbability(A18,B18,Parameter_Date,CDSRollDate,E18:M18,SpreadCurveMaturities,D18,C18,$J$4,$J$6))</f>
        <v>0</v>
      </c>
      <c r="O18" s="163">
        <f ca="1"/>
        <v>4.9872651070981266E-4</v>
      </c>
      <c r="P18" s="163">
        <f ca="1"/>
        <v>2.588083291619192E-3</v>
      </c>
      <c r="Q18" s="163">
        <f ca="1"/>
        <v>8.512221140748677E-3</v>
      </c>
      <c r="R18" s="163">
        <f ca="1"/>
        <v>1.842676342193561E-2</v>
      </c>
      <c r="S18" s="163">
        <f ca="1"/>
        <v>0</v>
      </c>
      <c r="T18" s="163">
        <f ca="1"/>
        <v>4.9613513685119126E-2</v>
      </c>
      <c r="U18" s="163">
        <f ca="1"/>
        <v>8.4334062967193035E-2</v>
      </c>
      <c r="V18" s="139">
        <f ca="1"/>
        <v>0.14409192562179662</v>
      </c>
      <c r="W18" s="138">
        <f ca="1"/>
        <v>0</v>
      </c>
      <c r="X18" s="163">
        <f ca="1"/>
        <v>5.9844139207421154E-4</v>
      </c>
      <c r="Y18" s="163">
        <f ca="1"/>
        <v>2.7543047589062564E-3</v>
      </c>
      <c r="Z18" s="163">
        <f ca="1"/>
        <v>8.9328844756942916E-3</v>
      </c>
      <c r="AA18" s="163">
        <f ca="1"/>
        <v>1.9337968390073068E-2</v>
      </c>
      <c r="AB18" s="163">
        <f ca="1"/>
        <v>0</v>
      </c>
      <c r="AC18" s="163">
        <f ca="1"/>
        <v>5.2036902872605428E-2</v>
      </c>
      <c r="AD18" s="163">
        <f ca="1"/>
        <v>8.8399163235203582E-2</v>
      </c>
      <c r="AE18" s="139">
        <f ca="1"/>
        <v>0.15087909564741842</v>
      </c>
      <c r="AH18" s="136"/>
      <c r="AI18" s="136"/>
      <c r="AJ18" s="136"/>
      <c r="AK18" s="136"/>
      <c r="AL18" s="140"/>
      <c r="AM18" s="136"/>
      <c r="AN18" s="136"/>
      <c r="AO18" s="136"/>
      <c r="AQ18" s="136"/>
      <c r="AR18" s="136"/>
      <c r="AS18" s="136"/>
      <c r="AT18" s="136"/>
      <c r="AV18" s="136"/>
      <c r="AW18" s="136"/>
      <c r="AX18" s="136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7" t="s">
        <v>87</v>
      </c>
      <c r="F19" s="156">
        <v>1.2999999999999999E-3</v>
      </c>
      <c r="G19" s="156">
        <v>1.4E-3</v>
      </c>
      <c r="H19" s="156">
        <v>2.5999999999999999E-3</v>
      </c>
      <c r="I19" s="156">
        <v>3.3E-3</v>
      </c>
      <c r="J19" s="156" t="s">
        <v>87</v>
      </c>
      <c r="K19" s="156">
        <v>5.1999999999999998E-3</v>
      </c>
      <c r="L19" s="156">
        <v>6.6E-3</v>
      </c>
      <c r="M19" s="156">
        <v>7.9000000000000008E-3</v>
      </c>
      <c r="N19" s="138" cm="1">
        <f t="array" aca="1" ref="N19:AE19" ca="1">IF(OR(B19="",NOT($J$2)),"",GetStripDefaultProbability(A19,B19,Parameter_Date,CDSRollDate,E19:M19,SpreadCurveMaturities,D19,C19,$J$4,$J$6))</f>
        <v>0</v>
      </c>
      <c r="O19" s="163">
        <f ca="1"/>
        <v>1.2961733259317931E-3</v>
      </c>
      <c r="P19" s="163">
        <f ca="1"/>
        <v>2.5671780846143744E-3</v>
      </c>
      <c r="Q19" s="163">
        <f ca="1"/>
        <v>9.2064932112090325E-3</v>
      </c>
      <c r="R19" s="163">
        <f ca="1"/>
        <v>1.7292185089633372E-2</v>
      </c>
      <c r="S19" s="163">
        <f ca="1"/>
        <v>0</v>
      </c>
      <c r="T19" s="163">
        <f ca="1"/>
        <v>4.51731870277573E-2</v>
      </c>
      <c r="U19" s="163">
        <f ca="1"/>
        <v>7.9738941111498374E-2</v>
      </c>
      <c r="V19" s="139">
        <f ca="1"/>
        <v>0.13423581942443252</v>
      </c>
      <c r="W19" s="138">
        <f ca="1"/>
        <v>0</v>
      </c>
      <c r="X19" s="163">
        <f ca="1"/>
        <v>1.3958054468619085E-3</v>
      </c>
      <c r="Y19" s="163">
        <f ca="1"/>
        <v>2.7334030358008299E-3</v>
      </c>
      <c r="Z19" s="163">
        <f ca="1"/>
        <v>9.6626057754379824E-3</v>
      </c>
      <c r="AA19" s="163">
        <f ca="1"/>
        <v>1.8148142983741344E-2</v>
      </c>
      <c r="AB19" s="163">
        <f ca="1"/>
        <v>0</v>
      </c>
      <c r="AC19" s="163">
        <f ca="1"/>
        <v>4.7383954549391039E-2</v>
      </c>
      <c r="AD19" s="163">
        <f ca="1"/>
        <v>8.3591176782457643E-2</v>
      </c>
      <c r="AE19" s="139">
        <f ca="1"/>
        <v>0.14058441900098395</v>
      </c>
      <c r="AH19" s="136"/>
      <c r="AI19" s="136"/>
      <c r="AJ19" s="136"/>
      <c r="AK19" s="136"/>
      <c r="AL19" s="140"/>
      <c r="AM19" s="136"/>
      <c r="AN19" s="136"/>
      <c r="AO19" s="136"/>
      <c r="AQ19" s="136"/>
      <c r="AR19" s="136"/>
      <c r="AS19" s="136"/>
      <c r="AT19" s="136"/>
      <c r="AV19" s="136"/>
      <c r="AW19" s="136"/>
      <c r="AX19" s="136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7" t="s">
        <v>87</v>
      </c>
      <c r="F20" s="156">
        <v>2.9999999999999997E-4</v>
      </c>
      <c r="G20" s="156">
        <v>5.9999999999999995E-4</v>
      </c>
      <c r="H20" s="156">
        <v>1.1000000000000001E-3</v>
      </c>
      <c r="I20" s="156">
        <v>1.6000000000000001E-3</v>
      </c>
      <c r="J20" s="156" t="s">
        <v>87</v>
      </c>
      <c r="K20" s="156">
        <v>2.3E-3</v>
      </c>
      <c r="L20" s="156">
        <v>2.8E-3</v>
      </c>
      <c r="M20" s="156">
        <v>3.7000000000000002E-3</v>
      </c>
      <c r="N20" s="138" cm="1">
        <f t="array" aca="1" ref="N20:AE20" ca="1">IF(OR(B20="",NOT($J$2)),"",GetStripDefaultProbability(A20,B20,Parameter_Date,CDSRollDate,E20:M20,SpreadCurveMaturities,D20,C20,$J$4,$J$6))</f>
        <v>0</v>
      </c>
      <c r="O20" s="163">
        <f ca="1"/>
        <v>2.9926566746929506E-4</v>
      </c>
      <c r="P20" s="163">
        <f ca="1"/>
        <v>1.1075289891454565E-3</v>
      </c>
      <c r="Q20" s="163">
        <f ca="1"/>
        <v>3.9087248521947338E-3</v>
      </c>
      <c r="R20" s="163">
        <f ca="1"/>
        <v>8.4530393391103464E-3</v>
      </c>
      <c r="S20" s="163">
        <f ca="1"/>
        <v>0</v>
      </c>
      <c r="T20" s="163">
        <f ca="1"/>
        <v>2.0121228932849622E-2</v>
      </c>
      <c r="U20" s="163">
        <f ca="1"/>
        <v>3.4234611175030016E-2</v>
      </c>
      <c r="V20" s="139">
        <f ca="1"/>
        <v>6.5297809745581414E-2</v>
      </c>
      <c r="W20" s="138">
        <f ca="1"/>
        <v>0</v>
      </c>
      <c r="X20" s="163">
        <f ca="1"/>
        <v>3.9900078367871572E-4</v>
      </c>
      <c r="Y20" s="163">
        <f ca="1"/>
        <v>1.2739971949056184E-3</v>
      </c>
      <c r="Z20" s="163">
        <f ca="1"/>
        <v>4.2592716513922824E-3</v>
      </c>
      <c r="AA20" s="163">
        <f ca="1"/>
        <v>8.9687926546554442E-3</v>
      </c>
      <c r="AB20" s="163">
        <f ca="1"/>
        <v>0</v>
      </c>
      <c r="AC20" s="163">
        <f ca="1"/>
        <v>2.1096659817450902E-2</v>
      </c>
      <c r="AD20" s="163">
        <f ca="1"/>
        <v>3.5899841749964412E-2</v>
      </c>
      <c r="AE20" s="139">
        <f ca="1"/>
        <v>6.8447224080289026E-2</v>
      </c>
      <c r="AH20" s="136"/>
      <c r="AI20" s="136"/>
      <c r="AJ20" s="136"/>
      <c r="AK20" s="136"/>
      <c r="AL20" s="140"/>
      <c r="AM20" s="136"/>
      <c r="AN20" s="136"/>
      <c r="AO20" s="136"/>
      <c r="AQ20" s="136"/>
      <c r="AR20" s="136"/>
      <c r="AS20" s="136"/>
      <c r="AT20" s="136"/>
      <c r="AV20" s="136"/>
      <c r="AW20" s="136"/>
      <c r="AX20" s="136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7" t="s">
        <v>87</v>
      </c>
      <c r="F21" s="156">
        <v>1.1900000000000001E-3</v>
      </c>
      <c r="G21" s="156">
        <v>1.4300000000000001E-3</v>
      </c>
      <c r="H21" s="156">
        <v>1.91E-3</v>
      </c>
      <c r="I21" s="156">
        <v>2.32E-3</v>
      </c>
      <c r="J21" s="156" t="s">
        <v>87</v>
      </c>
      <c r="K21" s="156">
        <v>3.0999999999999999E-3</v>
      </c>
      <c r="L21" s="156">
        <v>3.5100000000000001E-3</v>
      </c>
      <c r="M21" s="156">
        <v>3.8999999999999998E-3</v>
      </c>
      <c r="N21" s="138" cm="1">
        <f t="array" aca="1" ref="N21:AE21" ca="1">IF(OR(B21="",NOT($J$2)),"",GetStripDefaultProbability(A21,B21,Parameter_Date,CDSRollDate,E21:M21,SpreadCurveMaturities,D21,C21,$J$4,$J$6))</f>
        <v>0</v>
      </c>
      <c r="O21" s="163">
        <f ca="1"/>
        <v>1.1865619956058504E-3</v>
      </c>
      <c r="P21" s="163">
        <f ca="1"/>
        <v>2.6257248751727635E-3</v>
      </c>
      <c r="Q21" s="163">
        <f ca="1"/>
        <v>6.7367655157445361E-3</v>
      </c>
      <c r="R21" s="163">
        <f ca="1"/>
        <v>1.2129624488090851E-2</v>
      </c>
      <c r="S21" s="163">
        <f ca="1"/>
        <v>0</v>
      </c>
      <c r="T21" s="163">
        <f ca="1"/>
        <v>2.6848473291603003E-2</v>
      </c>
      <c r="U21" s="163">
        <f ca="1"/>
        <v>4.2286555896650535E-2</v>
      </c>
      <c r="V21" s="139">
        <f ca="1"/>
        <v>6.6636276475192546E-2</v>
      </c>
      <c r="W21" s="138">
        <f ca="1"/>
        <v>0</v>
      </c>
      <c r="X21" s="163">
        <f ca="1"/>
        <v>1.2862056741852479E-3</v>
      </c>
      <c r="Y21" s="163">
        <f ca="1"/>
        <v>2.7919400693855456E-3</v>
      </c>
      <c r="Z21" s="163">
        <f ca="1"/>
        <v>7.0862869332071199E-3</v>
      </c>
      <c r="AA21" s="163">
        <f ca="1"/>
        <v>1.2729676421428526E-2</v>
      </c>
      <c r="AB21" s="163">
        <f ca="1"/>
        <v>0</v>
      </c>
      <c r="AC21" s="163">
        <f ca="1"/>
        <v>2.8170925215690534E-2</v>
      </c>
      <c r="AD21" s="163">
        <f ca="1"/>
        <v>4.4357502618080247E-2</v>
      </c>
      <c r="AE21" s="139">
        <f ca="1"/>
        <v>6.985858765511932E-2</v>
      </c>
      <c r="AH21" s="136"/>
      <c r="AI21" s="136"/>
      <c r="AJ21" s="136"/>
      <c r="AK21" s="136"/>
      <c r="AL21" s="140"/>
      <c r="AM21" s="136"/>
      <c r="AN21" s="136"/>
      <c r="AO21" s="136"/>
      <c r="AQ21" s="136"/>
      <c r="AR21" s="136"/>
      <c r="AS21" s="136"/>
      <c r="AT21" s="136"/>
      <c r="AV21" s="136"/>
      <c r="AW21" s="136"/>
      <c r="AX21" s="136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7" t="s">
        <v>87</v>
      </c>
      <c r="F22" s="156">
        <v>1.25E-3</v>
      </c>
      <c r="G22" s="156">
        <v>1.6299999999999999E-3</v>
      </c>
      <c r="H22" s="156">
        <v>2.2599999999999999E-3</v>
      </c>
      <c r="I22" s="156">
        <v>2.64E-3</v>
      </c>
      <c r="J22" s="156" t="s">
        <v>87</v>
      </c>
      <c r="K22" s="156">
        <v>3.3999999999999998E-3</v>
      </c>
      <c r="L22" s="156">
        <v>3.8500000000000001E-3</v>
      </c>
      <c r="M22" s="156">
        <v>4.3E-3</v>
      </c>
      <c r="N22" s="138" cm="1">
        <f t="array" aca="1" ref="N22:AE22" ca="1">IF(OR(B22="",NOT($J$2)),"",GetStripDefaultProbability(A22,B22,Parameter_Date,CDSRollDate,E22:M22,SpreadCurveMaturities,D22,C22,$J$4,$J$6))</f>
        <v>0</v>
      </c>
      <c r="O22" s="163">
        <f ca="1"/>
        <v>1.2463514798459752E-3</v>
      </c>
      <c r="P22" s="163">
        <f ca="1"/>
        <v>2.9952633626401104E-3</v>
      </c>
      <c r="Q22" s="163">
        <f ca="1"/>
        <v>7.9754647780126975E-3</v>
      </c>
      <c r="R22" s="163">
        <f ca="1"/>
        <v>1.3780951900584926E-2</v>
      </c>
      <c r="S22" s="163">
        <f ca="1"/>
        <v>0</v>
      </c>
      <c r="T22" s="163">
        <f ca="1"/>
        <v>2.934652186588449E-2</v>
      </c>
      <c r="U22" s="163">
        <f ca="1"/>
        <v>4.6235699778522266E-2</v>
      </c>
      <c r="V22" s="139">
        <f ca="1"/>
        <v>7.3252026134323134E-2</v>
      </c>
      <c r="W22" s="138">
        <f ca="1"/>
        <v>0</v>
      </c>
      <c r="X22" s="163">
        <f ca="1"/>
        <v>1.3459888614500981E-3</v>
      </c>
      <c r="Y22" s="163">
        <f ca="1"/>
        <v>3.1614169722198326E-3</v>
      </c>
      <c r="Z22" s="163">
        <f ca="1"/>
        <v>8.3711189986691581E-3</v>
      </c>
      <c r="AA22" s="163">
        <f ca="1"/>
        <v>1.4464068032239097E-2</v>
      </c>
      <c r="AB22" s="163">
        <f ca="1"/>
        <v>0</v>
      </c>
      <c r="AC22" s="163">
        <f ca="1"/>
        <v>3.0791796059952414E-2</v>
      </c>
      <c r="AD22" s="163">
        <f ca="1"/>
        <v>4.8497176360116079E-2</v>
      </c>
      <c r="AE22" s="139">
        <f ca="1"/>
        <v>7.6783804003945577E-2</v>
      </c>
      <c r="AH22" s="136"/>
      <c r="AI22" s="136"/>
      <c r="AJ22" s="136"/>
      <c r="AK22" s="136"/>
      <c r="AL22" s="140"/>
      <c r="AM22" s="136"/>
      <c r="AN22" s="136"/>
      <c r="AO22" s="136"/>
      <c r="AQ22" s="136"/>
      <c r="AR22" s="136"/>
      <c r="AS22" s="136"/>
      <c r="AT22" s="136"/>
      <c r="AV22" s="136"/>
      <c r="AW22" s="136"/>
      <c r="AX22" s="136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7" t="s">
        <v>87</v>
      </c>
      <c r="F23" s="156">
        <v>1.0499999999999999E-3</v>
      </c>
      <c r="G23" s="156">
        <v>2.0500000000000002E-3</v>
      </c>
      <c r="H23" s="156">
        <v>3.1099999999999999E-3</v>
      </c>
      <c r="I23" s="156">
        <v>3.6900000000000001E-3</v>
      </c>
      <c r="J23" s="156" t="s">
        <v>87</v>
      </c>
      <c r="K23" s="156">
        <v>4.4999999999999997E-3</v>
      </c>
      <c r="L23" s="156">
        <v>5.0499999999999998E-3</v>
      </c>
      <c r="M23" s="156">
        <v>5.5500000000000002E-3</v>
      </c>
      <c r="N23" s="138" cm="1">
        <f t="array" aca="1" ref="N23:AE23" ca="1">IF(OR(B23="",NOT($J$2)),"",GetStripDefaultProbability(A23,B23,Parameter_Date,CDSRollDate,E23:M23,SpreadCurveMaturities,D23,C23,$J$4,$J$6))</f>
        <v>0</v>
      </c>
      <c r="O23" s="163">
        <f ca="1"/>
        <v>1.0470393291243107E-3</v>
      </c>
      <c r="P23" s="163">
        <f ca="1"/>
        <v>3.7797316689079929E-3</v>
      </c>
      <c r="Q23" s="163">
        <f ca="1"/>
        <v>1.099323373397143E-2</v>
      </c>
      <c r="R23" s="163">
        <f ca="1"/>
        <v>1.9262303320503271E-2</v>
      </c>
      <c r="S23" s="163">
        <f ca="1"/>
        <v>0</v>
      </c>
      <c r="T23" s="163">
        <f ca="1"/>
        <v>3.8614419074094686E-2</v>
      </c>
      <c r="U23" s="163">
        <f ca="1"/>
        <v>6.0151352589897344E-2</v>
      </c>
      <c r="V23" s="139">
        <f ca="1"/>
        <v>9.3313493585237994E-2</v>
      </c>
      <c r="W23" s="138">
        <f ca="1"/>
        <v>0</v>
      </c>
      <c r="X23" s="163">
        <f ca="1"/>
        <v>1.1466976338168067E-3</v>
      </c>
      <c r="Y23" s="163">
        <f ca="1"/>
        <v>3.9499047620468186E-3</v>
      </c>
      <c r="Z23" s="163">
        <f ca="1"/>
        <v>1.153956004054868E-2</v>
      </c>
      <c r="AA23" s="163">
        <f ca="1"/>
        <v>2.021664065090012E-2</v>
      </c>
      <c r="AB23" s="163">
        <f ca="1"/>
        <v>0</v>
      </c>
      <c r="AC23" s="163">
        <f ca="1"/>
        <v>4.0508683835235981E-2</v>
      </c>
      <c r="AD23" s="163">
        <f ca="1"/>
        <v>6.3074276943568486E-2</v>
      </c>
      <c r="AE23" s="139">
        <f ca="1"/>
        <v>9.7764122663014486E-2</v>
      </c>
      <c r="AH23" s="136"/>
      <c r="AI23" s="136"/>
      <c r="AJ23" s="136"/>
      <c r="AK23" s="136"/>
      <c r="AL23" s="140"/>
      <c r="AM23" s="136"/>
      <c r="AN23" s="136"/>
      <c r="AO23" s="136"/>
      <c r="AQ23" s="136"/>
      <c r="AR23" s="136"/>
      <c r="AS23" s="136"/>
      <c r="AT23" s="136"/>
      <c r="AV23" s="136"/>
      <c r="AW23" s="136"/>
      <c r="AX23" s="136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7" t="s">
        <v>87</v>
      </c>
      <c r="F24" s="156">
        <v>1.5399999999999999E-3</v>
      </c>
      <c r="G24" s="156">
        <v>2.3600000000000001E-3</v>
      </c>
      <c r="H24" s="156">
        <v>3.0799999999999998E-3</v>
      </c>
      <c r="I24" s="156">
        <v>3.3800000000000002E-3</v>
      </c>
      <c r="J24" s="156" t="s">
        <v>87</v>
      </c>
      <c r="K24" s="156">
        <v>4.0000000000000001E-3</v>
      </c>
      <c r="L24" s="156">
        <v>4.4000000000000003E-3</v>
      </c>
      <c r="M24" s="156">
        <v>5.0000000000000001E-3</v>
      </c>
      <c r="N24" s="138" cm="1">
        <f t="array" aca="1" ref="N24:AE24" ca="1">IF(OR(B24="",NOT($J$2)),"",GetStripDefaultProbability(A24,B24,Parameter_Date,CDSRollDate,E24:M24,SpreadCurveMaturities,D24,C24,$J$4,$J$6))</f>
        <v>0</v>
      </c>
      <c r="O24" s="163">
        <f ca="1"/>
        <v>1.5352837207512904E-3</v>
      </c>
      <c r="P24" s="163">
        <f ca="1"/>
        <v>4.3414509941051005E-3</v>
      </c>
      <c r="Q24" s="163">
        <f ca="1"/>
        <v>1.0851322276638764E-2</v>
      </c>
      <c r="R24" s="163">
        <f ca="1"/>
        <v>1.7565525074314969E-2</v>
      </c>
      <c r="S24" s="163">
        <f ca="1"/>
        <v>0</v>
      </c>
      <c r="T24" s="163">
        <f ca="1"/>
        <v>3.4233100736459909E-2</v>
      </c>
      <c r="U24" s="163">
        <f ca="1"/>
        <v>5.2312631722629233E-2</v>
      </c>
      <c r="V24" s="139">
        <f ca="1"/>
        <v>8.4607380391928388E-2</v>
      </c>
      <c r="W24" s="138">
        <f ca="1"/>
        <v>0</v>
      </c>
      <c r="X24" s="163">
        <f ca="1"/>
        <v>1.6348904209334547E-3</v>
      </c>
      <c r="Y24" s="163">
        <f ca="1"/>
        <v>4.5574844231871525E-3</v>
      </c>
      <c r="Z24" s="163">
        <f ca="1"/>
        <v>1.1390493965998894E-2</v>
      </c>
      <c r="AA24" s="163">
        <f ca="1"/>
        <v>1.8435928064305829E-2</v>
      </c>
      <c r="AB24" s="163">
        <f ca="1"/>
        <v>0</v>
      </c>
      <c r="AC24" s="163">
        <f ca="1"/>
        <v>3.5915115504900563E-2</v>
      </c>
      <c r="AD24" s="163">
        <f ca="1"/>
        <v>5.4862384693180943E-2</v>
      </c>
      <c r="AE24" s="139">
        <f ca="1"/>
        <v>8.8661365129761305E-2</v>
      </c>
      <c r="AH24" s="136"/>
      <c r="AI24" s="136"/>
      <c r="AJ24" s="136"/>
      <c r="AK24" s="136"/>
      <c r="AL24" s="140"/>
      <c r="AM24" s="136"/>
      <c r="AN24" s="136"/>
      <c r="AO24" s="136"/>
      <c r="AQ24" s="136"/>
      <c r="AR24" s="136"/>
      <c r="AS24" s="136"/>
      <c r="AT24" s="136"/>
      <c r="AV24" s="136"/>
      <c r="AW24" s="136"/>
      <c r="AX24" s="136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7" t="s">
        <v>87</v>
      </c>
      <c r="F25" s="156">
        <v>5.0000000000000001E-4</v>
      </c>
      <c r="G25" s="156">
        <v>5.9999999999999995E-4</v>
      </c>
      <c r="H25" s="156">
        <v>8.0000000000000004E-4</v>
      </c>
      <c r="I25" s="156">
        <v>1.1999999999999999E-3</v>
      </c>
      <c r="J25" s="156" t="s">
        <v>87</v>
      </c>
      <c r="K25" s="156">
        <v>1.9E-3</v>
      </c>
      <c r="L25" s="156">
        <v>2.3999999999999998E-3</v>
      </c>
      <c r="M25" s="156">
        <v>3.0999999999999999E-3</v>
      </c>
      <c r="N25" s="138" cm="1">
        <f t="array" aca="1" ref="N25:AE25" ca="1">IF(OR(B25="",NOT($J$2)),"",GetStripDefaultProbability(A25,B25,Parameter_Date,CDSRollDate,E25:M25,SpreadCurveMaturities,D25,C25,$J$4,$J$6))</f>
        <v>0</v>
      </c>
      <c r="O25" s="163">
        <f ca="1"/>
        <v>4.9872651070981266E-4</v>
      </c>
      <c r="P25" s="163">
        <f ca="1"/>
        <v>1.1024469251739166E-3</v>
      </c>
      <c r="Q25" s="163">
        <f ca="1"/>
        <v>2.8262421570121044E-3</v>
      </c>
      <c r="R25" s="163">
        <f ca="1"/>
        <v>6.3317766191897107E-3</v>
      </c>
      <c r="S25" s="163">
        <f ca="1"/>
        <v>0</v>
      </c>
      <c r="T25" s="163">
        <f ca="1"/>
        <v>1.6694536647804958E-2</v>
      </c>
      <c r="U25" s="163">
        <f ca="1"/>
        <v>2.9541131820182143E-2</v>
      </c>
      <c r="V25" s="139">
        <f ca="1"/>
        <v>5.4905211208143068E-2</v>
      </c>
      <c r="W25" s="138">
        <f ca="1"/>
        <v>0</v>
      </c>
      <c r="X25" s="163">
        <f ca="1"/>
        <v>5.9844139207421154E-4</v>
      </c>
      <c r="Y25" s="163">
        <f ca="1"/>
        <v>1.2689159778730419E-3</v>
      </c>
      <c r="Z25" s="163">
        <f ca="1"/>
        <v>3.1770604395455759E-3</v>
      </c>
      <c r="AA25" s="163">
        <f ca="1"/>
        <v>6.848436353525722E-3</v>
      </c>
      <c r="AB25" s="163">
        <f ca="1"/>
        <v>0</v>
      </c>
      <c r="AC25" s="163">
        <f ca="1"/>
        <v>1.7537135317068575E-2</v>
      </c>
      <c r="AD25" s="163">
        <f ca="1"/>
        <v>3.0964105320656521E-2</v>
      </c>
      <c r="AE25" s="139">
        <f ca="1"/>
        <v>5.7548726136087303E-2</v>
      </c>
      <c r="AH25" s="136"/>
      <c r="AI25" s="136"/>
      <c r="AJ25" s="136"/>
      <c r="AK25" s="136"/>
      <c r="AL25" s="140"/>
      <c r="AM25" s="136"/>
      <c r="AN25" s="136"/>
      <c r="AO25" s="136"/>
      <c r="AQ25" s="136"/>
      <c r="AR25" s="136"/>
      <c r="AS25" s="136"/>
      <c r="AT25" s="136"/>
      <c r="AV25" s="136"/>
      <c r="AW25" s="136"/>
      <c r="AX25" s="136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7" t="s">
        <v>87</v>
      </c>
      <c r="F26" s="156">
        <v>2.9999999999999997E-4</v>
      </c>
      <c r="G26" s="156">
        <v>8.9999999999999998E-4</v>
      </c>
      <c r="H26" s="156">
        <v>1.5E-3</v>
      </c>
      <c r="I26" s="156">
        <v>2E-3</v>
      </c>
      <c r="J26" s="156" t="s">
        <v>87</v>
      </c>
      <c r="K26" s="156">
        <v>3.3E-3</v>
      </c>
      <c r="L26" s="156">
        <v>4.1000000000000003E-3</v>
      </c>
      <c r="M26" s="156">
        <v>5.1999999999999998E-3</v>
      </c>
      <c r="N26" s="138" cm="1">
        <f t="array" aca="1" ref="N26:AE26" ca="1">IF(OR(B26="",NOT($J$2)),"",GetStripDefaultProbability(A26,B26,Parameter_Date,CDSRollDate,E26:M26,SpreadCurveMaturities,D26,C26,$J$4,$J$6))</f>
        <v>0</v>
      </c>
      <c r="O26" s="163">
        <f ca="1"/>
        <v>2.9926566746929506E-4</v>
      </c>
      <c r="P26" s="163">
        <f ca="1"/>
        <v>1.664813862855663E-3</v>
      </c>
      <c r="Q26" s="163">
        <f ca="1"/>
        <v>5.3249410582175694E-3</v>
      </c>
      <c r="R26" s="163">
        <f ca="1"/>
        <v>1.0529622845458109E-2</v>
      </c>
      <c r="S26" s="163">
        <f ca="1"/>
        <v>0</v>
      </c>
      <c r="T26" s="163">
        <f ca="1"/>
        <v>2.8913102913993738E-2</v>
      </c>
      <c r="U26" s="163">
        <f ca="1"/>
        <v>5.0062856698548375E-2</v>
      </c>
      <c r="V26" s="139">
        <f ca="1"/>
        <v>9.0632690905888547E-2</v>
      </c>
      <c r="W26" s="138">
        <f ca="1"/>
        <v>0</v>
      </c>
      <c r="X26" s="163">
        <f ca="1"/>
        <v>3.9900078367871572E-4</v>
      </c>
      <c r="Y26" s="163">
        <f ca="1"/>
        <v>1.831189195552585E-3</v>
      </c>
      <c r="Z26" s="163">
        <f ca="1"/>
        <v>5.675039899400991E-3</v>
      </c>
      <c r="AA26" s="163">
        <f ca="1"/>
        <v>1.1044343034741777E-2</v>
      </c>
      <c r="AB26" s="163">
        <f ca="1"/>
        <v>0</v>
      </c>
      <c r="AC26" s="163">
        <f ca="1"/>
        <v>3.0330870738898619E-2</v>
      </c>
      <c r="AD26" s="163">
        <f ca="1"/>
        <v>5.2504812933611089E-2</v>
      </c>
      <c r="AE26" s="139">
        <f ca="1"/>
        <v>9.4998369763893198E-2</v>
      </c>
      <c r="AH26" s="136"/>
      <c r="AI26" s="136"/>
      <c r="AJ26" s="136"/>
      <c r="AK26" s="136"/>
      <c r="AL26" s="140"/>
      <c r="AM26" s="136"/>
      <c r="AN26" s="136"/>
      <c r="AO26" s="136"/>
      <c r="AQ26" s="136"/>
      <c r="AR26" s="136"/>
      <c r="AS26" s="136"/>
      <c r="AT26" s="136"/>
      <c r="AV26" s="136"/>
      <c r="AW26" s="136"/>
      <c r="AX26" s="136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7" t="s">
        <v>87</v>
      </c>
      <c r="F27" s="156">
        <v>5.9999999999999995E-4</v>
      </c>
      <c r="G27" s="156">
        <v>5.9999999999999995E-4</v>
      </c>
      <c r="H27" s="156">
        <v>1.1000000000000001E-3</v>
      </c>
      <c r="I27" s="156">
        <v>1.5E-3</v>
      </c>
      <c r="J27" s="156" t="s">
        <v>87</v>
      </c>
      <c r="K27" s="156">
        <v>2.5000000000000001E-3</v>
      </c>
      <c r="L27" s="156">
        <v>3.3E-3</v>
      </c>
      <c r="M27" s="156">
        <v>4.3E-3</v>
      </c>
      <c r="N27" s="138" cm="1">
        <f t="array" aca="1" ref="N27:AE27" ca="1">IF(OR(B27="",NOT($J$2)),"",GetStripDefaultProbability(A27,B27,Parameter_Date,CDSRollDate,E27:M27,SpreadCurveMaturities,D27,C27,$J$4,$J$6))</f>
        <v>0</v>
      </c>
      <c r="O27" s="163">
        <f ca="1"/>
        <v>5.9844205622783253E-4</v>
      </c>
      <c r="P27" s="163">
        <f ca="1"/>
        <v>1.0999062039814822E-3</v>
      </c>
      <c r="Q27" s="163">
        <f ca="1"/>
        <v>3.9009739593999226E-3</v>
      </c>
      <c r="R27" s="163">
        <f ca="1"/>
        <v>7.9039795440156713E-3</v>
      </c>
      <c r="S27" s="163">
        <f ca="1"/>
        <v>0</v>
      </c>
      <c r="T27" s="163">
        <f ca="1"/>
        <v>2.1963760074922289E-2</v>
      </c>
      <c r="U27" s="163">
        <f ca="1"/>
        <v>4.0643371459928246E-2</v>
      </c>
      <c r="V27" s="139">
        <f ca="1"/>
        <v>7.5861832549205532E-2</v>
      </c>
      <c r="W27" s="138">
        <f ca="1"/>
        <v>0</v>
      </c>
      <c r="X27" s="163">
        <f ca="1"/>
        <v>6.9814675354706868E-4</v>
      </c>
      <c r="Y27" s="163">
        <f ca="1"/>
        <v>1.266375680099352E-3</v>
      </c>
      <c r="Z27" s="163">
        <f ca="1"/>
        <v>4.2514944219190776E-3</v>
      </c>
      <c r="AA27" s="163">
        <f ca="1"/>
        <v>8.4199063560648213E-3</v>
      </c>
      <c r="AB27" s="163">
        <f ca="1"/>
        <v>0</v>
      </c>
      <c r="AC27" s="163">
        <f ca="1"/>
        <v>2.3028120448064793E-2</v>
      </c>
      <c r="AD27" s="163">
        <f ca="1"/>
        <v>4.26188291239461E-2</v>
      </c>
      <c r="AE27" s="139">
        <f ca="1"/>
        <v>7.9507275124513388E-2</v>
      </c>
      <c r="AH27" s="136"/>
      <c r="AI27" s="136"/>
      <c r="AJ27" s="136"/>
      <c r="AK27" s="136"/>
      <c r="AL27" s="140"/>
      <c r="AM27" s="136"/>
      <c r="AN27" s="136"/>
      <c r="AO27" s="136"/>
      <c r="AQ27" s="136"/>
      <c r="AR27" s="136"/>
      <c r="AS27" s="136"/>
      <c r="AT27" s="136"/>
      <c r="AV27" s="136"/>
      <c r="AW27" s="136"/>
      <c r="AX27" s="136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7" t="s">
        <v>87</v>
      </c>
      <c r="F28" s="156">
        <v>1.1299999999999999E-3</v>
      </c>
      <c r="G28" s="156">
        <v>1.83E-3</v>
      </c>
      <c r="H28" s="156">
        <v>2.63E-3</v>
      </c>
      <c r="I28" s="156">
        <v>2.8999999999999998E-3</v>
      </c>
      <c r="J28" s="156" t="s">
        <v>87</v>
      </c>
      <c r="K28" s="156">
        <v>3.3E-3</v>
      </c>
      <c r="L28" s="156">
        <v>3.65E-3</v>
      </c>
      <c r="M28" s="156">
        <v>4.1000000000000003E-3</v>
      </c>
      <c r="N28" s="138" cm="1">
        <f t="array" aca="1" ref="N28:AE28" ca="1">IF(OR(B28="",NOT($J$2)),"",GetStripDefaultProbability(A28,B28,Parameter_Date,CDSRollDate,E28:M28,SpreadCurveMaturities,D28,C28,$J$4,$J$6))</f>
        <v>0</v>
      </c>
      <c r="O28" s="163">
        <f ca="1"/>
        <v>1.1267689449596663E-3</v>
      </c>
      <c r="P28" s="163">
        <f ca="1"/>
        <v>3.3694911941215544E-3</v>
      </c>
      <c r="Q28" s="163">
        <f ca="1"/>
        <v>9.2895131448332835E-3</v>
      </c>
      <c r="R28" s="163">
        <f ca="1"/>
        <v>1.5107952297213845E-2</v>
      </c>
      <c r="S28" s="163">
        <f ca="1"/>
        <v>0</v>
      </c>
      <c r="T28" s="163">
        <f ca="1"/>
        <v>2.8266480567060159E-2</v>
      </c>
      <c r="U28" s="163">
        <f ca="1"/>
        <v>4.3542177723241537E-2</v>
      </c>
      <c r="V28" s="139">
        <f ca="1"/>
        <v>6.9675522189337036E-2</v>
      </c>
      <c r="W28" s="138">
        <f ca="1"/>
        <v>0</v>
      </c>
      <c r="X28" s="163">
        <f ca="1"/>
        <v>1.2264189032719086E-3</v>
      </c>
      <c r="Y28" s="163">
        <f ca="1"/>
        <v>3.5355824375917777E-3</v>
      </c>
      <c r="Z28" s="163">
        <f ca="1"/>
        <v>9.7508898586631254E-3</v>
      </c>
      <c r="AA28" s="163">
        <f ca="1"/>
        <v>1.5856959251273728E-2</v>
      </c>
      <c r="AB28" s="163">
        <f ca="1"/>
        <v>0</v>
      </c>
      <c r="AC28" s="163">
        <f ca="1"/>
        <v>2.9658785327311477E-2</v>
      </c>
      <c r="AD28" s="163">
        <f ca="1"/>
        <v>4.5672871847767471E-2</v>
      </c>
      <c r="AE28" s="139">
        <f ca="1"/>
        <v>7.3038987104311559E-2</v>
      </c>
      <c r="AH28" s="136"/>
      <c r="AI28" s="136"/>
      <c r="AJ28" s="136"/>
      <c r="AK28" s="136"/>
      <c r="AL28" s="140"/>
      <c r="AM28" s="136"/>
      <c r="AN28" s="136"/>
      <c r="AO28" s="136"/>
      <c r="AQ28" s="136"/>
      <c r="AR28" s="136"/>
      <c r="AS28" s="136"/>
      <c r="AT28" s="136"/>
      <c r="AV28" s="136"/>
      <c r="AW28" s="136"/>
      <c r="AX28" s="136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7" t="s">
        <v>87</v>
      </c>
      <c r="F29" s="156">
        <v>6.9999999999999999E-4</v>
      </c>
      <c r="G29" s="156">
        <v>8.0000000000000004E-4</v>
      </c>
      <c r="H29" s="156">
        <v>1.4E-3</v>
      </c>
      <c r="I29" s="156">
        <v>1.9E-3</v>
      </c>
      <c r="J29" s="156" t="s">
        <v>87</v>
      </c>
      <c r="K29" s="156">
        <v>3.0999999999999999E-3</v>
      </c>
      <c r="L29" s="156">
        <v>3.8999999999999998E-3</v>
      </c>
      <c r="M29" s="156">
        <v>5.3E-3</v>
      </c>
      <c r="N29" s="138" cm="1">
        <f t="array" aca="1" ref="N29:AE29" ca="1">IF(OR(B29="",NOT($J$2)),"",GetStripDefaultProbability(A29,B29,Parameter_Date,CDSRollDate,E29:M29,SpreadCurveMaturities,D29,C29,$J$4,$J$6))</f>
        <v>0</v>
      </c>
      <c r="O29" s="163">
        <f ca="1"/>
        <v>6.98147686336692E-4</v>
      </c>
      <c r="P29" s="163">
        <f ca="1"/>
        <v>1.4688312592168185E-3</v>
      </c>
      <c r="Q29" s="163">
        <f ca="1"/>
        <v>4.9622032348299872E-3</v>
      </c>
      <c r="R29" s="163">
        <f ca="1"/>
        <v>1.0001880064386404E-2</v>
      </c>
      <c r="S29" s="163">
        <f ca="1"/>
        <v>0</v>
      </c>
      <c r="T29" s="163">
        <f ca="1"/>
        <v>2.7161691353748685E-2</v>
      </c>
      <c r="U29" s="163">
        <f ca="1"/>
        <v>4.7697763744212085E-2</v>
      </c>
      <c r="V29" s="139">
        <f ca="1"/>
        <v>9.3169317734262069E-2</v>
      </c>
      <c r="W29" s="138">
        <f ca="1"/>
        <v>0</v>
      </c>
      <c r="X29" s="163">
        <f ca="1"/>
        <v>7.9784215457201491E-4</v>
      </c>
      <c r="Y29" s="163">
        <f ca="1"/>
        <v>1.6352392529477289E-3</v>
      </c>
      <c r="Z29" s="163">
        <f ca="1"/>
        <v>5.3123837518624928E-3</v>
      </c>
      <c r="AA29" s="163">
        <f ca="1"/>
        <v>1.0516830761535201E-2</v>
      </c>
      <c r="AB29" s="163">
        <f ca="1"/>
        <v>0</v>
      </c>
      <c r="AC29" s="163">
        <f ca="1"/>
        <v>2.8491362041701218E-2</v>
      </c>
      <c r="AD29" s="163">
        <f ca="1"/>
        <v>5.0023682536646907E-2</v>
      </c>
      <c r="AE29" s="139">
        <f ca="1"/>
        <v>9.7658266973839836E-2</v>
      </c>
      <c r="AH29" s="136"/>
      <c r="AI29" s="136"/>
      <c r="AJ29" s="136"/>
      <c r="AK29" s="136"/>
      <c r="AL29" s="140"/>
      <c r="AM29" s="136"/>
      <c r="AN29" s="136"/>
      <c r="AO29" s="136"/>
      <c r="AQ29" s="136"/>
      <c r="AR29" s="136"/>
      <c r="AS29" s="136"/>
      <c r="AT29" s="136"/>
      <c r="AV29" s="136"/>
      <c r="AW29" s="136"/>
      <c r="AX29" s="136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7" t="s">
        <v>87</v>
      </c>
      <c r="F30" s="156">
        <v>5.0000000000000001E-4</v>
      </c>
      <c r="G30" s="156">
        <v>8.0000000000000004E-4</v>
      </c>
      <c r="H30" s="156">
        <v>1.1999999999999999E-3</v>
      </c>
      <c r="I30" s="156">
        <v>1.6000000000000001E-3</v>
      </c>
      <c r="J30" s="156" t="s">
        <v>87</v>
      </c>
      <c r="K30" s="156">
        <v>2.5999999999999999E-3</v>
      </c>
      <c r="L30" s="156">
        <v>3.2000000000000002E-3</v>
      </c>
      <c r="M30" s="156">
        <v>3.5999999999999999E-3</v>
      </c>
      <c r="N30" s="138" cm="1">
        <f t="array" aca="1" ref="N30:AE30" ca="1">IF(OR(B30="",NOT($J$2)),"",GetStripDefaultProbability(A30,B30,Parameter_Date,CDSRollDate,E30:M30,SpreadCurveMaturities,D30,C30,$J$4,$J$6))</f>
        <v>0</v>
      </c>
      <c r="O30" s="163">
        <f ca="1"/>
        <v>4.9872651070981266E-4</v>
      </c>
      <c r="P30" s="163">
        <f ca="1"/>
        <v>1.4739490898789676E-3</v>
      </c>
      <c r="Q30" s="163">
        <f ca="1"/>
        <v>4.2497236025992313E-3</v>
      </c>
      <c r="R30" s="163">
        <f ca="1"/>
        <v>8.4181452713483207E-3</v>
      </c>
      <c r="S30" s="163">
        <f ca="1"/>
        <v>0</v>
      </c>
      <c r="T30" s="163">
        <f ca="1"/>
        <v>2.2801716178815434E-2</v>
      </c>
      <c r="U30" s="163">
        <f ca="1"/>
        <v>3.9170223289659134E-2</v>
      </c>
      <c r="V30" s="139">
        <f ca="1"/>
        <v>6.2320579694662759E-2</v>
      </c>
      <c r="W30" s="138">
        <f ca="1"/>
        <v>0</v>
      </c>
      <c r="X30" s="163">
        <f ca="1"/>
        <v>5.9844139207421154E-4</v>
      </c>
      <c r="Y30" s="163">
        <f ca="1"/>
        <v>1.6403562307232278E-3</v>
      </c>
      <c r="Z30" s="163">
        <f ca="1"/>
        <v>4.6001191656769302E-3</v>
      </c>
      <c r="AA30" s="163">
        <f ca="1"/>
        <v>8.9337969338907364E-3</v>
      </c>
      <c r="AB30" s="163">
        <f ca="1"/>
        <v>0</v>
      </c>
      <c r="AC30" s="163">
        <f ca="1"/>
        <v>2.3910346969666096E-2</v>
      </c>
      <c r="AD30" s="163">
        <f ca="1"/>
        <v>4.1076826880632855E-2</v>
      </c>
      <c r="AE30" s="139">
        <f ca="1"/>
        <v>6.5328085361477273E-2</v>
      </c>
      <c r="AH30" s="136"/>
      <c r="AI30" s="136"/>
      <c r="AJ30" s="136"/>
      <c r="AK30" s="136"/>
      <c r="AL30" s="140"/>
      <c r="AM30" s="136"/>
      <c r="AN30" s="136"/>
      <c r="AO30" s="136"/>
      <c r="AQ30" s="136"/>
      <c r="AR30" s="136"/>
      <c r="AS30" s="136"/>
      <c r="AT30" s="136"/>
      <c r="AV30" s="136"/>
      <c r="AW30" s="136"/>
      <c r="AX30" s="136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7" t="s">
        <v>87</v>
      </c>
      <c r="F31" s="156">
        <v>6.4000000000000005E-4</v>
      </c>
      <c r="G31" s="156">
        <v>1.1800000000000001E-3</v>
      </c>
      <c r="H31" s="156">
        <v>1.66E-3</v>
      </c>
      <c r="I31" s="156">
        <v>2.1099999999999999E-3</v>
      </c>
      <c r="J31" s="156" t="s">
        <v>87</v>
      </c>
      <c r="K31" s="156">
        <v>3.0000000000000001E-3</v>
      </c>
      <c r="L31" s="156">
        <v>3.5999999999999999E-3</v>
      </c>
      <c r="M31" s="156">
        <v>3.8E-3</v>
      </c>
      <c r="N31" s="138" cm="1">
        <f t="array" aca="1" ref="N31:AE31" ca="1">IF(OR(B31="",NOT($J$2)),"",GetStripDefaultProbability(A31,B31,Parameter_Date,CDSRollDate,E31:M31,SpreadCurveMaturities,D31,C31,$J$4,$J$6))</f>
        <v>0</v>
      </c>
      <c r="O31" s="163">
        <f ca="1"/>
        <v>6.383254980441011E-4</v>
      </c>
      <c r="P31" s="163">
        <f ca="1"/>
        <v>2.1760010124565188E-3</v>
      </c>
      <c r="Q31" s="163">
        <f ca="1"/>
        <v>5.8716330328352218E-3</v>
      </c>
      <c r="R31" s="163">
        <f ca="1"/>
        <v>1.106943735905408E-2</v>
      </c>
      <c r="S31" s="163">
        <f ca="1"/>
        <v>0</v>
      </c>
      <c r="T31" s="163">
        <f ca="1"/>
        <v>2.6105551735397525E-2</v>
      </c>
      <c r="U31" s="163">
        <f ca="1"/>
        <v>4.3717377657688017E-2</v>
      </c>
      <c r="V31" s="139">
        <f ca="1"/>
        <v>6.4792435511414115E-2</v>
      </c>
      <c r="W31" s="138">
        <f ca="1"/>
        <v>0</v>
      </c>
      <c r="X31" s="163">
        <f ca="1"/>
        <v>7.3802610915596478E-4</v>
      </c>
      <c r="Y31" s="163">
        <f ca="1"/>
        <v>2.3422911543856673E-3</v>
      </c>
      <c r="Z31" s="163">
        <f ca="1"/>
        <v>6.2214952810135671E-3</v>
      </c>
      <c r="AA31" s="163">
        <f ca="1"/>
        <v>1.1613484056597012E-2</v>
      </c>
      <c r="AB31" s="163">
        <f ca="1"/>
        <v>0</v>
      </c>
      <c r="AC31" s="163">
        <f ca="1"/>
        <v>2.7388488980265802E-2</v>
      </c>
      <c r="AD31" s="163">
        <f ca="1"/>
        <v>4.5855280928988273E-2</v>
      </c>
      <c r="AE31" s="139">
        <f ca="1"/>
        <v>6.7925129076704671E-2</v>
      </c>
      <c r="AH31" s="136"/>
      <c r="AI31" s="136"/>
      <c r="AJ31" s="136"/>
      <c r="AK31" s="136"/>
      <c r="AL31" s="140"/>
      <c r="AM31" s="136"/>
      <c r="AN31" s="136"/>
      <c r="AO31" s="136"/>
      <c r="AQ31" s="136"/>
      <c r="AR31" s="136"/>
      <c r="AS31" s="136"/>
      <c r="AT31" s="136"/>
      <c r="AV31" s="136"/>
      <c r="AW31" s="136"/>
      <c r="AX31" s="136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7" t="s">
        <v>87</v>
      </c>
      <c r="F32" s="156">
        <v>1.1000000000000001E-3</v>
      </c>
      <c r="G32" s="156">
        <v>1.6000000000000001E-3</v>
      </c>
      <c r="H32" s="156">
        <v>2.0999999999999999E-3</v>
      </c>
      <c r="I32" s="156">
        <v>3.0000000000000001E-3</v>
      </c>
      <c r="J32" s="156" t="s">
        <v>87</v>
      </c>
      <c r="K32" s="156">
        <v>3.8999999999999998E-3</v>
      </c>
      <c r="L32" s="156">
        <v>4.5999999999999999E-3</v>
      </c>
      <c r="M32" s="156">
        <v>5.7000000000000002E-3</v>
      </c>
      <c r="N32" s="138" cm="1">
        <f t="array" aca="1" ref="N32:AE32" ca="1">IF(OR(B32="",NOT($J$2)),"",GetStripDefaultProbability(A32,B32,Parameter_Date,CDSRollDate,E32:M32,SpreadCurveMaturities,D32,C32,$J$4,$J$6))</f>
        <v>0</v>
      </c>
      <c r="O32" s="163">
        <f ca="1"/>
        <v>1.0968710821319672E-3</v>
      </c>
      <c r="P32" s="163">
        <f ca="1"/>
        <v>2.9435474346423129E-3</v>
      </c>
      <c r="Q32" s="163">
        <f ca="1"/>
        <v>7.4085469273097448E-3</v>
      </c>
      <c r="R32" s="163">
        <f ca="1"/>
        <v>1.5755655183275263E-2</v>
      </c>
      <c r="S32" s="163">
        <f ca="1"/>
        <v>0</v>
      </c>
      <c r="T32" s="163">
        <f ca="1"/>
        <v>3.3731021740459277E-2</v>
      </c>
      <c r="U32" s="163">
        <f ca="1"/>
        <v>5.5402970439849319E-2</v>
      </c>
      <c r="V32" s="139">
        <f ca="1"/>
        <v>9.8072550115627433E-2</v>
      </c>
      <c r="W32" s="138">
        <f ca="1"/>
        <v>0</v>
      </c>
      <c r="X32" s="163">
        <f ca="1"/>
        <v>1.1965241739009258E-3</v>
      </c>
      <c r="Y32" s="163">
        <f ca="1"/>
        <v>3.1097096628280863E-3</v>
      </c>
      <c r="Z32" s="163">
        <f ca="1"/>
        <v>7.7757573357623011E-3</v>
      </c>
      <c r="AA32" s="163">
        <f ca="1"/>
        <v>1.6536364709034856E-2</v>
      </c>
      <c r="AB32" s="163">
        <f ca="1"/>
        <v>0</v>
      </c>
      <c r="AC32" s="163">
        <f ca="1"/>
        <v>3.5389458145498875E-2</v>
      </c>
      <c r="AD32" s="163">
        <f ca="1"/>
        <v>5.8103527260463639E-2</v>
      </c>
      <c r="AE32" s="139">
        <f ca="1"/>
        <v>0.10278130457170753</v>
      </c>
      <c r="AH32" s="136"/>
      <c r="AI32" s="136"/>
      <c r="AJ32" s="136"/>
      <c r="AK32" s="136"/>
      <c r="AL32" s="140"/>
      <c r="AM32" s="136"/>
      <c r="AN32" s="136"/>
      <c r="AO32" s="136"/>
      <c r="AQ32" s="136"/>
      <c r="AR32" s="136"/>
      <c r="AS32" s="136"/>
      <c r="AT32" s="136"/>
      <c r="AV32" s="136"/>
      <c r="AW32" s="136"/>
      <c r="AX32" s="136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7" t="s">
        <v>87</v>
      </c>
      <c r="F33" s="156">
        <v>7.7999999999999999E-4</v>
      </c>
      <c r="G33" s="156">
        <v>1.3699999999999999E-3</v>
      </c>
      <c r="H33" s="156">
        <v>2.3E-3</v>
      </c>
      <c r="I33" s="156">
        <v>2.7000000000000001E-3</v>
      </c>
      <c r="J33" s="156" t="s">
        <v>87</v>
      </c>
      <c r="K33" s="156">
        <v>3.3E-3</v>
      </c>
      <c r="L33" s="156">
        <v>3.7000000000000002E-3</v>
      </c>
      <c r="M33" s="156">
        <v>4.0000000000000001E-3</v>
      </c>
      <c r="N33" s="138" cm="1">
        <f t="array" aca="1" ref="N33:AE33" ca="1">IF(OR(B33="",NOT($J$2)),"",GetStripDefaultProbability(A33,B33,Parameter_Date,CDSRollDate,E33:M33,SpreadCurveMaturities,D33,C33,$J$4,$J$6))</f>
        <v>0</v>
      </c>
      <c r="O33" s="163">
        <f ca="1"/>
        <v>7.7790505231445373E-4</v>
      </c>
      <c r="P33" s="163">
        <f ca="1"/>
        <v>2.525079146883269E-3</v>
      </c>
      <c r="Q33" s="163">
        <f ca="1"/>
        <v>8.1486082970294582E-3</v>
      </c>
      <c r="R33" s="163">
        <f ca="1"/>
        <v>1.4127763491910805E-2</v>
      </c>
      <c r="S33" s="163">
        <f ca="1"/>
        <v>0</v>
      </c>
      <c r="T33" s="163">
        <f ca="1"/>
        <v>2.8445478691091042E-2</v>
      </c>
      <c r="U33" s="163">
        <f ca="1"/>
        <v>4.437346954420307E-2</v>
      </c>
      <c r="V33" s="139">
        <f ca="1"/>
        <v>6.7833690281959846E-2</v>
      </c>
      <c r="W33" s="138">
        <f ca="1"/>
        <v>0</v>
      </c>
      <c r="X33" s="163">
        <f ca="1"/>
        <v>8.7759130448494815E-4</v>
      </c>
      <c r="Y33" s="163">
        <f ca="1"/>
        <v>2.6913111139797996E-3</v>
      </c>
      <c r="Z33" s="163">
        <f ca="1"/>
        <v>8.5514671987230173E-3</v>
      </c>
      <c r="AA33" s="163">
        <f ca="1"/>
        <v>1.4826658941367477E-2</v>
      </c>
      <c r="AB33" s="163">
        <f ca="1"/>
        <v>0</v>
      </c>
      <c r="AC33" s="163">
        <f ca="1"/>
        <v>2.9845304892255009E-2</v>
      </c>
      <c r="AD33" s="163">
        <f ca="1"/>
        <v>4.6543575814017135E-2</v>
      </c>
      <c r="AE33" s="139">
        <f ca="1"/>
        <v>7.1109331717914004E-2</v>
      </c>
      <c r="AH33" s="136"/>
      <c r="AI33" s="136"/>
      <c r="AJ33" s="136"/>
      <c r="AK33" s="136"/>
      <c r="AL33" s="140"/>
      <c r="AM33" s="136"/>
      <c r="AN33" s="136"/>
      <c r="AO33" s="136"/>
      <c r="AQ33" s="136"/>
      <c r="AR33" s="136"/>
      <c r="AS33" s="136"/>
      <c r="AT33" s="136"/>
      <c r="AV33" s="136"/>
      <c r="AW33" s="136"/>
      <c r="AX33" s="136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7" t="s">
        <v>87</v>
      </c>
      <c r="F34" s="156">
        <v>5.0000000000000001E-4</v>
      </c>
      <c r="G34" s="156">
        <v>8.9999999999999998E-4</v>
      </c>
      <c r="H34" s="156">
        <v>1.6000000000000001E-3</v>
      </c>
      <c r="I34" s="156">
        <v>2.3999999999999998E-3</v>
      </c>
      <c r="J34" s="156" t="s">
        <v>87</v>
      </c>
      <c r="K34" s="156">
        <v>3.5999999999999999E-3</v>
      </c>
      <c r="L34" s="156">
        <v>4.5999999999999999E-3</v>
      </c>
      <c r="M34" s="156">
        <v>5.7999999999999996E-3</v>
      </c>
      <c r="N34" s="138" cm="1">
        <f t="array" aca="1" ref="N34:AE34" ca="1">IF(OR(B34="",NOT($J$2)),"",GetStripDefaultProbability(A34,B34,Parameter_Date,CDSRollDate,E34:M34,SpreadCurveMaturities,D34,C34,$J$4,$J$6))</f>
        <v>0</v>
      </c>
      <c r="O34" s="163">
        <f ca="1"/>
        <v>4.9872651070981266E-4</v>
      </c>
      <c r="P34" s="163">
        <f ca="1"/>
        <v>1.6596768991038457E-3</v>
      </c>
      <c r="Q34" s="163">
        <f ca="1"/>
        <v>5.6783807850767642E-3</v>
      </c>
      <c r="R34" s="163">
        <f ca="1"/>
        <v>1.2668372494073821E-2</v>
      </c>
      <c r="S34" s="163">
        <f ca="1"/>
        <v>0</v>
      </c>
      <c r="T34" s="163">
        <f ca="1"/>
        <v>3.1431724908123737E-2</v>
      </c>
      <c r="U34" s="163">
        <f ca="1"/>
        <v>5.6098747698395179E-2</v>
      </c>
      <c r="V34" s="139">
        <f ca="1"/>
        <v>0.10068031154875157</v>
      </c>
      <c r="W34" s="138">
        <f ca="1"/>
        <v>0</v>
      </c>
      <c r="X34" s="163">
        <f ca="1"/>
        <v>5.9844139207421154E-4</v>
      </c>
      <c r="Y34" s="163">
        <f ca="1"/>
        <v>1.8260530878893011E-3</v>
      </c>
      <c r="Z34" s="163">
        <f ca="1"/>
        <v>6.0283613312329676E-3</v>
      </c>
      <c r="AA34" s="163">
        <f ca="1"/>
        <v>1.329018118496661E-2</v>
      </c>
      <c r="AB34" s="163">
        <f ca="1"/>
        <v>0</v>
      </c>
      <c r="AC34" s="163">
        <f ca="1"/>
        <v>3.2973051399207254E-2</v>
      </c>
      <c r="AD34" s="163">
        <f ca="1"/>
        <v>5.8830230244933834E-2</v>
      </c>
      <c r="AE34" s="139">
        <f ca="1"/>
        <v>0.10551221468572247</v>
      </c>
      <c r="AH34" s="136"/>
      <c r="AI34" s="136"/>
      <c r="AJ34" s="136"/>
      <c r="AK34" s="136"/>
      <c r="AL34" s="140"/>
      <c r="AM34" s="136"/>
      <c r="AN34" s="136"/>
      <c r="AO34" s="136"/>
      <c r="AQ34" s="136"/>
      <c r="AR34" s="136"/>
      <c r="AS34" s="136"/>
      <c r="AT34" s="136"/>
      <c r="AV34" s="136"/>
      <c r="AW34" s="136"/>
      <c r="AX34" s="136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7" t="s">
        <v>87</v>
      </c>
      <c r="F35" s="156">
        <v>1.15E-3</v>
      </c>
      <c r="G35" s="156">
        <v>1.81E-3</v>
      </c>
      <c r="H35" s="156">
        <v>2.8E-3</v>
      </c>
      <c r="I35" s="156">
        <v>3.5000000000000001E-3</v>
      </c>
      <c r="J35" s="156" t="s">
        <v>87</v>
      </c>
      <c r="K35" s="156">
        <v>4.5999999999999999E-3</v>
      </c>
      <c r="L35" s="156">
        <v>5.1999999999999998E-3</v>
      </c>
      <c r="M35" s="156">
        <v>5.7000000000000002E-3</v>
      </c>
      <c r="N35" s="138" cm="1">
        <f t="array" aca="1" ref="N35:AE35" ca="1">IF(OR(B35="",NOT($J$2)),"",GetStripDefaultProbability(A35,B35,Parameter_Date,CDSRollDate,E35:M35,SpreadCurveMaturities,D35,C35,$J$4,$J$6))</f>
        <v>0</v>
      </c>
      <c r="O35" s="163">
        <f ca="1"/>
        <v>1.1467003581168145E-3</v>
      </c>
      <c r="P35" s="163">
        <f ca="1"/>
        <v>3.3318572044148675E-3</v>
      </c>
      <c r="Q35" s="163">
        <f ca="1"/>
        <v>9.8984298376574298E-3</v>
      </c>
      <c r="R35" s="163">
        <f ca="1"/>
        <v>1.8309326501480538E-2</v>
      </c>
      <c r="S35" s="163">
        <f ca="1"/>
        <v>0</v>
      </c>
      <c r="T35" s="163">
        <f ca="1"/>
        <v>3.9659348673085626E-2</v>
      </c>
      <c r="U35" s="163">
        <f ca="1"/>
        <v>6.2142756136775668E-2</v>
      </c>
      <c r="V35" s="139">
        <f ca="1"/>
        <v>9.5936337618325762E-2</v>
      </c>
      <c r="W35" s="138">
        <f ca="1"/>
        <v>0</v>
      </c>
      <c r="X35" s="163">
        <f ca="1"/>
        <v>1.2463482251061642E-3</v>
      </c>
      <c r="Y35" s="163">
        <f ca="1"/>
        <v>3.4979547197019345E-3</v>
      </c>
      <c r="Z35" s="163">
        <f ca="1"/>
        <v>1.0389982203571457E-2</v>
      </c>
      <c r="AA35" s="163">
        <f ca="1"/>
        <v>1.9216435378708985E-2</v>
      </c>
      <c r="AB35" s="163">
        <f ca="1"/>
        <v>0</v>
      </c>
      <c r="AC35" s="163">
        <f ca="1"/>
        <v>4.1604470504921109E-2</v>
      </c>
      <c r="AD35" s="163">
        <f ca="1"/>
        <v>6.5161315998461755E-2</v>
      </c>
      <c r="AE35" s="139">
        <f ca="1"/>
        <v>0.10050760207043041</v>
      </c>
      <c r="AH35" s="136"/>
      <c r="AI35" s="136"/>
      <c r="AJ35" s="136"/>
      <c r="AK35" s="136"/>
      <c r="AL35" s="140"/>
      <c r="AM35" s="136"/>
      <c r="AN35" s="136"/>
      <c r="AO35" s="136"/>
      <c r="AQ35" s="136"/>
      <c r="AR35" s="136"/>
      <c r="AS35" s="136"/>
      <c r="AT35" s="136"/>
      <c r="AV35" s="136"/>
      <c r="AW35" s="136"/>
      <c r="AX35" s="136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7" t="s">
        <v>87</v>
      </c>
      <c r="F36" s="156">
        <v>5.0000000000000001E-4</v>
      </c>
      <c r="G36" s="156">
        <v>6.9999999999999999E-4</v>
      </c>
      <c r="H36" s="156">
        <v>1.1000000000000001E-3</v>
      </c>
      <c r="I36" s="156">
        <v>1.6000000000000001E-3</v>
      </c>
      <c r="J36" s="156" t="s">
        <v>87</v>
      </c>
      <c r="K36" s="156">
        <v>2.3E-3</v>
      </c>
      <c r="L36" s="156">
        <v>2.8999999999999998E-3</v>
      </c>
      <c r="M36" s="156">
        <v>3.7000000000000002E-3</v>
      </c>
      <c r="N36" s="138" cm="1">
        <f t="array" aca="1" ref="N36:AE36" ca="1">IF(OR(B36="",NOT($J$2)),"",GetStripDefaultProbability(A36,B36,Parameter_Date,CDSRollDate,E36:M36,SpreadCurveMaturities,D36,C36,$J$4,$J$6))</f>
        <v>0</v>
      </c>
      <c r="O36" s="163">
        <f ca="1"/>
        <v>4.9872651070981266E-4</v>
      </c>
      <c r="P36" s="163">
        <f ca="1"/>
        <v>1.2882057658748503E-3</v>
      </c>
      <c r="Q36" s="163">
        <f ca="1"/>
        <v>3.8971707420715207E-3</v>
      </c>
      <c r="R36" s="163">
        <f ca="1"/>
        <v>8.4413035981952822E-3</v>
      </c>
      <c r="S36" s="163">
        <f ca="1"/>
        <v>0</v>
      </c>
      <c r="T36" s="163">
        <f ca="1"/>
        <v>2.0109274411166389E-2</v>
      </c>
      <c r="U36" s="163">
        <f ca="1"/>
        <v>3.5536330562923824E-2</v>
      </c>
      <c r="V36" s="139">
        <f ca="1"/>
        <v>6.5105252282947723E-2</v>
      </c>
      <c r="W36" s="138">
        <f ca="1"/>
        <v>0</v>
      </c>
      <c r="X36" s="163">
        <f ca="1"/>
        <v>5.9844139207421154E-4</v>
      </c>
      <c r="Y36" s="163">
        <f ca="1"/>
        <v>1.454643861349969E-3</v>
      </c>
      <c r="Z36" s="163">
        <f ca="1"/>
        <v>4.2476819057671866E-3</v>
      </c>
      <c r="AA36" s="163">
        <f ca="1"/>
        <v>8.9570194471012554E-3</v>
      </c>
      <c r="AB36" s="163">
        <f ca="1"/>
        <v>0</v>
      </c>
      <c r="AC36" s="163">
        <f ca="1"/>
        <v>2.1084666301198096E-2</v>
      </c>
      <c r="AD36" s="163">
        <f ca="1"/>
        <v>3.7265595372221072E-2</v>
      </c>
      <c r="AE36" s="139">
        <f ca="1"/>
        <v>6.8246148246928207E-2</v>
      </c>
      <c r="AH36" s="136"/>
      <c r="AI36" s="136"/>
      <c r="AJ36" s="136"/>
      <c r="AK36" s="136"/>
      <c r="AL36" s="140"/>
      <c r="AM36" s="136"/>
      <c r="AN36" s="136"/>
      <c r="AO36" s="136"/>
      <c r="AQ36" s="136"/>
      <c r="AR36" s="136"/>
      <c r="AS36" s="136"/>
      <c r="AT36" s="136"/>
      <c r="AV36" s="136"/>
      <c r="AW36" s="136"/>
      <c r="AX36" s="136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7" t="s">
        <v>87</v>
      </c>
      <c r="F37" s="156">
        <v>8.9999999999999998E-4</v>
      </c>
      <c r="G37" s="156">
        <v>2.2000000000000001E-3</v>
      </c>
      <c r="H37" s="156">
        <v>3.3E-3</v>
      </c>
      <c r="I37" s="156">
        <v>4.4999999999999997E-3</v>
      </c>
      <c r="J37" s="156" t="s">
        <v>87</v>
      </c>
      <c r="K37" s="156">
        <v>6.7999999999999996E-3</v>
      </c>
      <c r="L37" s="156">
        <v>8.3999999999999995E-3</v>
      </c>
      <c r="M37" s="156">
        <v>1.01E-2</v>
      </c>
      <c r="N37" s="138" cm="1">
        <f t="array" aca="1" ref="N37:AE37" ca="1">IF(OR(B37="",NOT($J$2)),"",GetStripDefaultProbability(A37,B37,Parameter_Date,CDSRollDate,E37:M37,SpreadCurveMaturities,D37,C37,$J$4,$J$6))</f>
        <v>0</v>
      </c>
      <c r="O37" s="163">
        <f ca="1"/>
        <v>8.9752920618468846E-4</v>
      </c>
      <c r="P37" s="163">
        <f ca="1"/>
        <v>4.061980679438304E-3</v>
      </c>
      <c r="Q37" s="163">
        <f ca="1"/>
        <v>1.1666079363363946E-2</v>
      </c>
      <c r="R37" s="163">
        <f ca="1"/>
        <v>2.3573432352731238E-2</v>
      </c>
      <c r="S37" s="163">
        <f ca="1"/>
        <v>0</v>
      </c>
      <c r="T37" s="163">
        <f ca="1"/>
        <v>5.871728826874123E-2</v>
      </c>
      <c r="U37" s="163">
        <f ca="1"/>
        <v>0.10035722875713171</v>
      </c>
      <c r="V37" s="139">
        <f ca="1"/>
        <v>0.16895476517519681</v>
      </c>
      <c r="W37" s="138">
        <f ca="1"/>
        <v>0</v>
      </c>
      <c r="X37" s="163">
        <f ca="1"/>
        <v>9.9720307914286099E-4</v>
      </c>
      <c r="Y37" s="163">
        <f ca="1"/>
        <v>4.2632849405240814E-3</v>
      </c>
      <c r="Z37" s="163">
        <f ca="1"/>
        <v>1.224488194070128E-2</v>
      </c>
      <c r="AA37" s="163">
        <f ca="1"/>
        <v>2.4739191125663251E-2</v>
      </c>
      <c r="AB37" s="163">
        <f ca="1"/>
        <v>0</v>
      </c>
      <c r="AC37" s="163">
        <f ca="1"/>
        <v>6.1573884257996148E-2</v>
      </c>
      <c r="AD37" s="163">
        <f ca="1"/>
        <v>0.10515880764903762</v>
      </c>
      <c r="AE37" s="139">
        <f ca="1"/>
        <v>0.17682001653632751</v>
      </c>
      <c r="AH37" s="136"/>
      <c r="AI37" s="136"/>
      <c r="AJ37" s="136"/>
      <c r="AK37" s="136"/>
      <c r="AL37" s="140"/>
      <c r="AM37" s="136"/>
      <c r="AN37" s="136"/>
      <c r="AO37" s="136"/>
      <c r="AQ37" s="136"/>
      <c r="AR37" s="136"/>
      <c r="AS37" s="136"/>
      <c r="AT37" s="136"/>
      <c r="AV37" s="136"/>
      <c r="AW37" s="136"/>
      <c r="AX37" s="136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7" t="s">
        <v>87</v>
      </c>
      <c r="F38" s="156">
        <v>5.0000000000000001E-4</v>
      </c>
      <c r="G38" s="156">
        <v>5.9999999999999995E-4</v>
      </c>
      <c r="H38" s="156">
        <v>1.1999999999999999E-3</v>
      </c>
      <c r="I38" s="156">
        <v>1.6000000000000001E-3</v>
      </c>
      <c r="J38" s="156" t="s">
        <v>87</v>
      </c>
      <c r="K38" s="156">
        <v>2.3E-3</v>
      </c>
      <c r="L38" s="156">
        <v>2.7000000000000001E-3</v>
      </c>
      <c r="M38" s="156">
        <v>3.3E-3</v>
      </c>
      <c r="N38" s="138" cm="1">
        <f t="array" aca="1" ref="N38:AE38" ca="1">IF(OR(B38="",NOT($J$2)),"",GetStripDefaultProbability(A38,B38,Parameter_Date,CDSRollDate,E38:M38,SpreadCurveMaturities,D38,C38,$J$4,$J$6))</f>
        <v>0</v>
      </c>
      <c r="O38" s="163">
        <f ca="1"/>
        <v>4.9872651070981266E-4</v>
      </c>
      <c r="P38" s="163">
        <f ca="1"/>
        <v>1.1024469251739166E-3</v>
      </c>
      <c r="Q38" s="163">
        <f ca="1"/>
        <v>4.2625428447867764E-3</v>
      </c>
      <c r="R38" s="163">
        <f ca="1"/>
        <v>8.4311164720473064E-3</v>
      </c>
      <c r="S38" s="163">
        <f ca="1"/>
        <v>0</v>
      </c>
      <c r="T38" s="163">
        <f ca="1"/>
        <v>2.0098899828656425E-2</v>
      </c>
      <c r="U38" s="163">
        <f ca="1"/>
        <v>3.2897891238755084E-2</v>
      </c>
      <c r="V38" s="139">
        <f ca="1"/>
        <v>5.76751964551111E-2</v>
      </c>
      <c r="W38" s="138">
        <f ca="1"/>
        <v>0</v>
      </c>
      <c r="X38" s="163">
        <f ca="1"/>
        <v>5.9844139207421154E-4</v>
      </c>
      <c r="Y38" s="163">
        <f ca="1"/>
        <v>1.2689159778730419E-3</v>
      </c>
      <c r="Z38" s="163">
        <f ca="1"/>
        <v>4.6129737567995877E-3</v>
      </c>
      <c r="AA38" s="163">
        <f ca="1"/>
        <v>8.9468098516004568E-3</v>
      </c>
      <c r="AB38" s="163">
        <f ca="1"/>
        <v>0</v>
      </c>
      <c r="AC38" s="163">
        <f ca="1"/>
        <v>2.1074254612883259E-2</v>
      </c>
      <c r="AD38" s="163">
        <f ca="1"/>
        <v>3.4498881568005735E-2</v>
      </c>
      <c r="AE38" s="139">
        <f ca="1"/>
        <v>6.0463193365824952E-2</v>
      </c>
      <c r="AH38" s="136"/>
      <c r="AI38" s="136"/>
      <c r="AJ38" s="136"/>
      <c r="AK38" s="136"/>
      <c r="AL38" s="140"/>
      <c r="AM38" s="136"/>
      <c r="AN38" s="136"/>
      <c r="AO38" s="136"/>
      <c r="AQ38" s="136"/>
      <c r="AR38" s="136"/>
      <c r="AS38" s="136"/>
      <c r="AT38" s="136"/>
      <c r="AV38" s="136"/>
      <c r="AW38" s="136"/>
      <c r="AX38" s="136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7" t="s">
        <v>87</v>
      </c>
      <c r="F39" s="156">
        <v>1E-3</v>
      </c>
      <c r="G39" s="156">
        <v>1.2999999999999999E-3</v>
      </c>
      <c r="H39" s="156">
        <v>2.3E-3</v>
      </c>
      <c r="I39" s="156">
        <v>3.3999999999999998E-3</v>
      </c>
      <c r="J39" s="156" t="s">
        <v>87</v>
      </c>
      <c r="K39" s="156">
        <v>5.1000000000000004E-3</v>
      </c>
      <c r="L39" s="156">
        <v>6.4999999999999997E-3</v>
      </c>
      <c r="M39" s="156">
        <v>7.6E-3</v>
      </c>
      <c r="N39" s="138" cm="1">
        <f t="array" aca="1" ref="N39:AE39" ca="1">IF(OR(B39="",NOT($J$2)),"",GetStripDefaultProbability(A39,B39,Parameter_Date,CDSRollDate,E39:M39,SpreadCurveMaturities,D39,C39,$J$4,$J$6))</f>
        <v>0</v>
      </c>
      <c r="O39" s="163">
        <f ca="1"/>
        <v>9.9720509892320397E-4</v>
      </c>
      <c r="P39" s="163">
        <f ca="1"/>
        <v>2.3894113886210322E-3</v>
      </c>
      <c r="Q39" s="163">
        <f ca="1"/>
        <v>8.1473565416537719E-3</v>
      </c>
      <c r="R39" s="163">
        <f ca="1"/>
        <v>1.7898953263963624E-2</v>
      </c>
      <c r="S39" s="163">
        <f ca="1"/>
        <v>0</v>
      </c>
      <c r="T39" s="163">
        <f ca="1"/>
        <v>4.4307720813391627E-2</v>
      </c>
      <c r="U39" s="163">
        <f ca="1"/>
        <v>7.8585001435211965E-2</v>
      </c>
      <c r="V39" s="139">
        <f ca="1"/>
        <v>0.12895032481855406</v>
      </c>
      <c r="W39" s="138">
        <f ca="1"/>
        <v>0</v>
      </c>
      <c r="X39" s="163">
        <f ca="1"/>
        <v>1.0968686047534426E-3</v>
      </c>
      <c r="Y39" s="163">
        <f ca="1"/>
        <v>2.5556659651251312E-3</v>
      </c>
      <c r="Z39" s="163">
        <f ca="1"/>
        <v>8.5502049614435416E-3</v>
      </c>
      <c r="AA39" s="163">
        <f ca="1"/>
        <v>1.8784468681319555E-2</v>
      </c>
      <c r="AB39" s="163">
        <f ca="1"/>
        <v>0</v>
      </c>
      <c r="AC39" s="163">
        <f ca="1"/>
        <v>4.6476560756004481E-2</v>
      </c>
      <c r="AD39" s="163">
        <f ca="1"/>
        <v>8.2382631092486558E-2</v>
      </c>
      <c r="AE39" s="139">
        <f ca="1"/>
        <v>0.1350564475461572</v>
      </c>
      <c r="AH39" s="136"/>
      <c r="AI39" s="136"/>
      <c r="AJ39" s="136"/>
      <c r="AK39" s="136"/>
      <c r="AM39" s="136"/>
      <c r="AN39" s="136"/>
      <c r="AO39" s="136"/>
      <c r="AQ39" s="136"/>
      <c r="AR39" s="136"/>
      <c r="AS39" s="136"/>
      <c r="AT39" s="136"/>
      <c r="AV39" s="136"/>
      <c r="AW39" s="136"/>
      <c r="AX39" s="136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7" t="s">
        <v>87</v>
      </c>
      <c r="F40" s="156">
        <v>1.91E-3</v>
      </c>
      <c r="G40" s="156">
        <v>2.1800000000000001E-3</v>
      </c>
      <c r="H40" s="156">
        <v>2.9099999999999998E-3</v>
      </c>
      <c r="I40" s="156">
        <v>3.48E-3</v>
      </c>
      <c r="J40" s="156" t="s">
        <v>87</v>
      </c>
      <c r="K40" s="156">
        <v>4.3E-3</v>
      </c>
      <c r="L40" s="156">
        <v>4.7499999999999999E-3</v>
      </c>
      <c r="M40" s="156">
        <v>5.1000000000000004E-3</v>
      </c>
      <c r="N40" s="138" cm="1">
        <f t="array" aca="1" ref="N40:AE40" ca="1">IF(OR(B40="",NOT($J$2)),"",GetStripDefaultProbability(A40,B40,Parameter_Date,CDSRollDate,E40:M40,SpreadCurveMaturities,D40,C40,$J$4,$J$6))</f>
        <v>0</v>
      </c>
      <c r="O40" s="163">
        <f ca="1"/>
        <v>1.9038005145463055E-3</v>
      </c>
      <c r="P40" s="163">
        <f ca="1"/>
        <v>3.9977823889406627E-3</v>
      </c>
      <c r="Q40" s="163">
        <f ca="1"/>
        <v>1.0245866233480894E-2</v>
      </c>
      <c r="R40" s="163">
        <f ca="1"/>
        <v>1.8135615715221043E-2</v>
      </c>
      <c r="S40" s="163">
        <f ca="1"/>
        <v>0</v>
      </c>
      <c r="T40" s="163">
        <f ca="1"/>
        <v>3.6913560105145793E-2</v>
      </c>
      <c r="U40" s="163">
        <f ca="1"/>
        <v>5.655277101079248E-2</v>
      </c>
      <c r="V40" s="139">
        <f ca="1"/>
        <v>8.5575196702617817E-2</v>
      </c>
      <c r="W40" s="138">
        <f ca="1"/>
        <v>0</v>
      </c>
      <c r="X40" s="163">
        <f ca="1"/>
        <v>2.0033674635615561E-3</v>
      </c>
      <c r="Y40" s="163">
        <f ca="1"/>
        <v>4.1971505372456752E-3</v>
      </c>
      <c r="Z40" s="163">
        <f ca="1"/>
        <v>1.0755526310714303E-2</v>
      </c>
      <c r="AA40" s="163">
        <f ca="1"/>
        <v>1.90348558131892E-2</v>
      </c>
      <c r="AB40" s="163">
        <f ca="1"/>
        <v>0</v>
      </c>
      <c r="AC40" s="163">
        <f ca="1"/>
        <v>3.8726304075097917E-2</v>
      </c>
      <c r="AD40" s="163">
        <f ca="1"/>
        <v>5.9305491807017718E-2</v>
      </c>
      <c r="AE40" s="139">
        <f ca="1"/>
        <v>8.9671192784089748E-2</v>
      </c>
      <c r="AH40" s="136"/>
      <c r="AI40" s="136"/>
      <c r="AJ40" s="136"/>
      <c r="AK40" s="136"/>
      <c r="AM40" s="136"/>
      <c r="AN40" s="136"/>
      <c r="AO40" s="136"/>
      <c r="AQ40" s="136"/>
      <c r="AR40" s="136"/>
      <c r="AS40" s="136"/>
      <c r="AT40" s="136"/>
      <c r="AV40" s="136"/>
      <c r="AW40" s="136"/>
      <c r="AX40" s="136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7" t="s">
        <v>87</v>
      </c>
      <c r="F41" s="156">
        <v>4.0000000000000002E-4</v>
      </c>
      <c r="G41" s="156">
        <v>6.9999999999999999E-4</v>
      </c>
      <c r="H41" s="156">
        <v>1.1999999999999999E-3</v>
      </c>
      <c r="I41" s="156">
        <v>1.9E-3</v>
      </c>
      <c r="J41" s="156" t="s">
        <v>87</v>
      </c>
      <c r="K41" s="156">
        <v>2.8E-3</v>
      </c>
      <c r="L41" s="156">
        <v>3.5999999999999999E-3</v>
      </c>
      <c r="M41" s="156">
        <v>4.4000000000000003E-3</v>
      </c>
      <c r="N41" s="138" cm="1">
        <f t="array" aca="1" ref="N41:AE41" ca="1">IF(OR(B41="",NOT($J$2)),"",GetStripDefaultProbability(A41,B41,Parameter_Date,CDSRollDate,E41:M41,SpreadCurveMaturities,D41,C41,$J$4,$J$6))</f>
        <v>0</v>
      </c>
      <c r="O41" s="163">
        <f ca="1"/>
        <v>3.9900104827061966E-4</v>
      </c>
      <c r="P41" s="163">
        <f ca="1"/>
        <v>1.2907558445212075E-3</v>
      </c>
      <c r="Q41" s="163">
        <f ca="1"/>
        <v>4.2587252807656517E-3</v>
      </c>
      <c r="R41" s="163">
        <f ca="1"/>
        <v>1.0050079916547272E-2</v>
      </c>
      <c r="S41" s="163">
        <f ca="1"/>
        <v>0</v>
      </c>
      <c r="T41" s="163">
        <f ca="1"/>
        <v>2.4501087646036979E-2</v>
      </c>
      <c r="U41" s="163">
        <f ca="1"/>
        <v>4.4111161243909347E-2</v>
      </c>
      <c r="V41" s="139">
        <f ca="1"/>
        <v>7.6777310227501228E-2</v>
      </c>
      <c r="W41" s="138">
        <f ca="1"/>
        <v>0</v>
      </c>
      <c r="X41" s="163">
        <f ca="1"/>
        <v>4.9872606913303752E-4</v>
      </c>
      <c r="Y41" s="163">
        <f ca="1"/>
        <v>1.4571935150202719E-3</v>
      </c>
      <c r="Z41" s="163">
        <f ca="1"/>
        <v>4.6091474307335956E-3</v>
      </c>
      <c r="AA41" s="163">
        <f ca="1"/>
        <v>1.0565156291645228E-2</v>
      </c>
      <c r="AB41" s="163">
        <f ca="1"/>
        <v>0</v>
      </c>
      <c r="AC41" s="163">
        <f ca="1"/>
        <v>2.5698337388783909E-2</v>
      </c>
      <c r="AD41" s="163">
        <f ca="1"/>
        <v>4.6262018632014734E-2</v>
      </c>
      <c r="AE41" s="139">
        <f ca="1"/>
        <v>8.0471051962533346E-2</v>
      </c>
      <c r="AH41" s="136"/>
      <c r="AI41" s="136"/>
      <c r="AJ41" s="136"/>
      <c r="AK41" s="136"/>
      <c r="AM41" s="136"/>
      <c r="AN41" s="136"/>
      <c r="AO41" s="136"/>
      <c r="AQ41" s="136"/>
      <c r="AR41" s="136"/>
      <c r="AS41" s="136"/>
      <c r="AT41" s="136"/>
      <c r="AV41" s="136"/>
      <c r="AW41" s="136"/>
      <c r="AX41" s="136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7" t="s">
        <v>87</v>
      </c>
      <c r="F42" s="156">
        <v>8.9999999999999998E-4</v>
      </c>
      <c r="G42" s="156">
        <v>1.8E-3</v>
      </c>
      <c r="H42" s="156">
        <v>3.5000000000000001E-3</v>
      </c>
      <c r="I42" s="156">
        <v>4.1000000000000003E-3</v>
      </c>
      <c r="J42" s="156" t="s">
        <v>87</v>
      </c>
      <c r="K42" s="156">
        <v>5.8999999999999999E-3</v>
      </c>
      <c r="L42" s="156">
        <v>7.1999999999999998E-3</v>
      </c>
      <c r="M42" s="156">
        <v>8.5000000000000006E-3</v>
      </c>
      <c r="N42" s="138" cm="1">
        <f t="array" aca="1" ref="N42:AE42" ca="1">IF(OR(B42="",NOT($J$2)),"",GetStripDefaultProbability(A42,B42,Parameter_Date,CDSRollDate,E42:M42,SpreadCurveMaturities,D42,C42,$J$4,$J$6))</f>
        <v>0</v>
      </c>
      <c r="O42" s="163">
        <f ca="1"/>
        <v>8.9752920618468846E-4</v>
      </c>
      <c r="P42" s="163">
        <f ca="1"/>
        <v>3.3199287698784108E-3</v>
      </c>
      <c r="Q42" s="163">
        <f ca="1"/>
        <v>1.2408290966475999E-2</v>
      </c>
      <c r="R42" s="163">
        <f ca="1"/>
        <v>2.1417256873840551E-2</v>
      </c>
      <c r="S42" s="163">
        <f ca="1"/>
        <v>0</v>
      </c>
      <c r="T42" s="163">
        <f ca="1"/>
        <v>5.0886982439878103E-2</v>
      </c>
      <c r="U42" s="163">
        <f ca="1"/>
        <v>8.6171462864952253E-2</v>
      </c>
      <c r="V42" s="139">
        <f ca="1"/>
        <v>0.14296960824744198</v>
      </c>
      <c r="W42" s="138">
        <f ca="1"/>
        <v>0</v>
      </c>
      <c r="X42" s="163">
        <f ca="1"/>
        <v>9.9720307914286099E-4</v>
      </c>
      <c r="Y42" s="163">
        <f ca="1"/>
        <v>3.4860282730666547E-3</v>
      </c>
      <c r="Z42" s="163">
        <f ca="1"/>
        <v>1.3023905999787755E-2</v>
      </c>
      <c r="AA42" s="163">
        <f ca="1"/>
        <v>2.2476729877762058E-2</v>
      </c>
      <c r="AB42" s="163">
        <f ca="1"/>
        <v>0</v>
      </c>
      <c r="AC42" s="163">
        <f ca="1"/>
        <v>5.3370234264886296E-2</v>
      </c>
      <c r="AD42" s="163">
        <f ca="1"/>
        <v>9.0317748396076203E-2</v>
      </c>
      <c r="AE42" s="139">
        <f ca="1"/>
        <v>0.14969321060297613</v>
      </c>
      <c r="AH42" s="136"/>
      <c r="AI42" s="136"/>
      <c r="AJ42" s="136"/>
      <c r="AK42" s="136"/>
      <c r="AM42" s="136"/>
      <c r="AN42" s="136"/>
      <c r="AO42" s="136"/>
      <c r="AQ42" s="136"/>
      <c r="AR42" s="136"/>
      <c r="AS42" s="136"/>
      <c r="AT42" s="136"/>
      <c r="AV42" s="136"/>
      <c r="AW42" s="136"/>
      <c r="AX42" s="136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7" t="s">
        <v>87</v>
      </c>
      <c r="F43" s="156">
        <v>3.3E-4</v>
      </c>
      <c r="G43" s="156">
        <v>9.1E-4</v>
      </c>
      <c r="H43" s="156">
        <v>1.64E-3</v>
      </c>
      <c r="I43" s="156">
        <v>2.1800000000000001E-3</v>
      </c>
      <c r="J43" s="156" t="s">
        <v>87</v>
      </c>
      <c r="K43" s="156">
        <v>3.0000000000000001E-3</v>
      </c>
      <c r="L43" s="156">
        <v>3.4499999999999999E-3</v>
      </c>
      <c r="M43" s="156">
        <v>3.8E-3</v>
      </c>
      <c r="N43" s="138" cm="1">
        <f t="array" aca="1" ref="N43:AE43" ca="1">IF(OR(B43="",NOT($J$2)),"",GetStripDefaultProbability(A43,B43,Parameter_Date,CDSRollDate,E43:M43,SpreadCurveMaturities,D43,C43,$J$4,$J$6))</f>
        <v>0</v>
      </c>
      <c r="O43" s="163">
        <f ca="1"/>
        <v>3.2918732322928523E-4</v>
      </c>
      <c r="P43" s="163">
        <f ca="1"/>
        <v>1.6826167478989351E-3</v>
      </c>
      <c r="Q43" s="163">
        <f ca="1"/>
        <v>5.8256566962808787E-3</v>
      </c>
      <c r="R43" s="163">
        <f ca="1"/>
        <v>1.1477097432552763E-2</v>
      </c>
      <c r="S43" s="163">
        <f ca="1"/>
        <v>0</v>
      </c>
      <c r="T43" s="163">
        <f ca="1"/>
        <v>2.6107709053258987E-2</v>
      </c>
      <c r="U43" s="163">
        <f ca="1"/>
        <v>4.175816845615099E-2</v>
      </c>
      <c r="V43" s="139">
        <f ca="1"/>
        <v>6.5064766643052829E-2</v>
      </c>
      <c r="W43" s="138">
        <f ca="1"/>
        <v>0</v>
      </c>
      <c r="X43" s="163">
        <f ca="1"/>
        <v>4.2891941541867151E-4</v>
      </c>
      <c r="Y43" s="163">
        <f ca="1"/>
        <v>1.8489891136874714E-3</v>
      </c>
      <c r="Z43" s="163">
        <f ca="1"/>
        <v>6.1756099574488132E-3</v>
      </c>
      <c r="AA43" s="163">
        <f ca="1"/>
        <v>1.2039994914183838E-2</v>
      </c>
      <c r="AB43" s="163">
        <f ca="1"/>
        <v>0</v>
      </c>
      <c r="AC43" s="163">
        <f ca="1"/>
        <v>2.7389350263730683E-2</v>
      </c>
      <c r="AD43" s="163">
        <f ca="1"/>
        <v>4.3799484824575741E-2</v>
      </c>
      <c r="AE43" s="139">
        <f ca="1"/>
        <v>6.8209260271586802E-2</v>
      </c>
      <c r="AH43" s="136"/>
      <c r="AI43" s="136"/>
      <c r="AJ43" s="136"/>
      <c r="AK43" s="136"/>
      <c r="AM43" s="136"/>
      <c r="AN43" s="136"/>
      <c r="AO43" s="136"/>
      <c r="AQ43" s="136"/>
      <c r="AR43" s="136"/>
      <c r="AS43" s="136"/>
      <c r="AT43" s="136"/>
      <c r="AV43" s="136"/>
      <c r="AW43" s="136"/>
      <c r="AX43" s="136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7" t="s">
        <v>87</v>
      </c>
      <c r="F44" s="156">
        <v>8.3000000000000001E-4</v>
      </c>
      <c r="G44" s="156">
        <v>1.7600000000000001E-3</v>
      </c>
      <c r="H44" s="156">
        <v>2.8300000000000001E-3</v>
      </c>
      <c r="I44" s="156">
        <v>3.5100000000000001E-3</v>
      </c>
      <c r="J44" s="156" t="s">
        <v>87</v>
      </c>
      <c r="K44" s="156">
        <v>4.7999999999999996E-3</v>
      </c>
      <c r="L44" s="156">
        <v>5.3E-3</v>
      </c>
      <c r="M44" s="156">
        <v>5.7000000000000002E-3</v>
      </c>
      <c r="N44" s="138" cm="1">
        <f t="array" aca="1" ref="N44:AE44" ca="1">IF(OR(B44="",NOT($J$2)),"",GetStripDefaultProbability(A44,B44,Parameter_Date,CDSRollDate,E44:M44,SpreadCurveMaturities,D44,C44,$J$4,$J$6))</f>
        <v>0</v>
      </c>
      <c r="O44" s="163">
        <f ca="1"/>
        <v>8.277501843425572E-4</v>
      </c>
      <c r="P44" s="163">
        <f ca="1"/>
        <v>3.2475622385741421E-3</v>
      </c>
      <c r="Q44" s="163">
        <f ca="1"/>
        <v>1.0017863248183434E-2</v>
      </c>
      <c r="R44" s="163">
        <f ca="1"/>
        <v>1.8370153200574113E-2</v>
      </c>
      <c r="S44" s="163">
        <f ca="1"/>
        <v>0</v>
      </c>
      <c r="T44" s="163">
        <f ca="1"/>
        <v>4.1452250860338102E-2</v>
      </c>
      <c r="U44" s="163">
        <f ca="1"/>
        <v>6.3240831657716434E-2</v>
      </c>
      <c r="V44" s="139">
        <f ca="1"/>
        <v>9.5557134675773092E-2</v>
      </c>
      <c r="W44" s="138">
        <f ca="1"/>
        <v>0</v>
      </c>
      <c r="X44" s="163">
        <f ca="1"/>
        <v>9.2743128659400487E-4</v>
      </c>
      <c r="Y44" s="163">
        <f ca="1"/>
        <v>3.4136738018502033E-3</v>
      </c>
      <c r="Z44" s="163">
        <f ca="1"/>
        <v>1.0514788436127853E-2</v>
      </c>
      <c r="AA44" s="163">
        <f ca="1"/>
        <v>1.9279696513961331E-2</v>
      </c>
      <c r="AB44" s="163">
        <f ca="1"/>
        <v>0</v>
      </c>
      <c r="AC44" s="163">
        <f ca="1"/>
        <v>4.3483453364080771E-2</v>
      </c>
      <c r="AD44" s="163">
        <f ca="1"/>
        <v>6.6310375017560097E-2</v>
      </c>
      <c r="AE44" s="139">
        <f ca="1"/>
        <v>0.10010803972310722</v>
      </c>
      <c r="AH44" s="136"/>
      <c r="AI44" s="136"/>
      <c r="AJ44" s="136"/>
      <c r="AK44" s="136"/>
      <c r="AM44" s="136"/>
      <c r="AN44" s="136"/>
      <c r="AO44" s="136"/>
      <c r="AQ44" s="136"/>
      <c r="AR44" s="136"/>
      <c r="AS44" s="136"/>
      <c r="AT44" s="136"/>
      <c r="AV44" s="136"/>
      <c r="AW44" s="136"/>
      <c r="AX44" s="136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7" t="s">
        <v>87</v>
      </c>
      <c r="F45" s="156">
        <v>1.1999999999999999E-3</v>
      </c>
      <c r="G45" s="156">
        <v>1.4E-3</v>
      </c>
      <c r="H45" s="156">
        <v>1.8E-3</v>
      </c>
      <c r="I45" s="156">
        <v>2.3E-3</v>
      </c>
      <c r="J45" s="156" t="s">
        <v>87</v>
      </c>
      <c r="K45" s="156">
        <v>2.7000000000000001E-3</v>
      </c>
      <c r="L45" s="156">
        <v>3.3E-3</v>
      </c>
      <c r="M45" s="156">
        <v>4.1000000000000003E-3</v>
      </c>
      <c r="N45" s="138" cm="1">
        <f t="array" aca="1" ref="N45:AE45" ca="1">IF(OR(B45="",NOT($J$2)),"",GetStripDefaultProbability(A45,B45,Parameter_Date,CDSRollDate,E45:M45,SpreadCurveMaturities,D45,C45,$J$4,$J$6))</f>
        <v>0</v>
      </c>
      <c r="O45" s="163">
        <f ca="1"/>
        <v>1.1965271572978997E-3</v>
      </c>
      <c r="P45" s="163">
        <f ca="1"/>
        <v>2.5697904899188995E-3</v>
      </c>
      <c r="Q45" s="163">
        <f ca="1"/>
        <v>6.3443228357322745E-3</v>
      </c>
      <c r="R45" s="163">
        <f ca="1"/>
        <v>1.204216389719448E-2</v>
      </c>
      <c r="S45" s="163">
        <f ca="1"/>
        <v>0</v>
      </c>
      <c r="T45" s="163">
        <f ca="1"/>
        <v>2.3267251791945887E-2</v>
      </c>
      <c r="U45" s="163">
        <f ca="1"/>
        <v>3.9944233015870467E-2</v>
      </c>
      <c r="V45" s="139">
        <f ca="1"/>
        <v>7.1287270459205909E-2</v>
      </c>
      <c r="W45" s="138">
        <f ca="1"/>
        <v>0</v>
      </c>
      <c r="X45" s="163">
        <f ca="1"/>
        <v>1.2961697875810696E-3</v>
      </c>
      <c r="Y45" s="163">
        <f ca="1"/>
        <v>2.7360150057507138E-3</v>
      </c>
      <c r="Z45" s="163">
        <f ca="1"/>
        <v>6.693959364077573E-3</v>
      </c>
      <c r="AA45" s="163">
        <f ca="1"/>
        <v>1.263692281719242E-2</v>
      </c>
      <c r="AB45" s="163">
        <f ca="1"/>
        <v>0</v>
      </c>
      <c r="AC45" s="163">
        <f ca="1"/>
        <v>2.4413390221264986E-2</v>
      </c>
      <c r="AD45" s="163">
        <f ca="1"/>
        <v>4.1901701791170587E-2</v>
      </c>
      <c r="AE45" s="139">
        <f ca="1"/>
        <v>7.4731583325808093E-2</v>
      </c>
      <c r="AH45" s="136"/>
      <c r="AI45" s="136"/>
      <c r="AJ45" s="136"/>
      <c r="AK45" s="136"/>
      <c r="AM45" s="136"/>
      <c r="AN45" s="136"/>
      <c r="AO45" s="136"/>
      <c r="AQ45" s="136"/>
      <c r="AR45" s="136"/>
      <c r="AS45" s="136"/>
      <c r="AT45" s="136"/>
      <c r="AV45" s="136"/>
      <c r="AW45" s="136"/>
      <c r="AX45" s="136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7" t="s">
        <v>87</v>
      </c>
      <c r="F46" s="156">
        <v>4.0000000000000002E-4</v>
      </c>
      <c r="G46" s="156">
        <v>8.9999999999999998E-4</v>
      </c>
      <c r="H46" s="156">
        <v>1.4E-3</v>
      </c>
      <c r="I46" s="156">
        <v>1.8E-3</v>
      </c>
      <c r="J46" s="156" t="s">
        <v>87</v>
      </c>
      <c r="K46" s="156">
        <v>2.7000000000000001E-3</v>
      </c>
      <c r="L46" s="156">
        <v>3.3999999999999998E-3</v>
      </c>
      <c r="M46" s="156">
        <v>4.1000000000000003E-3</v>
      </c>
      <c r="N46" s="138" cm="1">
        <f t="array" aca="1" ref="N46:AE46" ca="1">IF(OR(B46="",NOT($J$2)),"",GetStripDefaultProbability(A46,B46,Parameter_Date,CDSRollDate,E46:M46,SpreadCurveMaturities,D46,C46,$J$4,$J$6))</f>
        <v>0</v>
      </c>
      <c r="O46" s="163">
        <f ca="1"/>
        <v>3.9900104827061966E-4</v>
      </c>
      <c r="P46" s="163">
        <f ca="1"/>
        <v>1.6622452761001494E-3</v>
      </c>
      <c r="Q46" s="163">
        <f ca="1"/>
        <v>4.9635767122303553E-3</v>
      </c>
      <c r="R46" s="163">
        <f ca="1"/>
        <v>9.4625891847893717E-3</v>
      </c>
      <c r="S46" s="163">
        <f ca="1"/>
        <v>0</v>
      </c>
      <c r="T46" s="163">
        <f ca="1"/>
        <v>2.3588829924819255E-2</v>
      </c>
      <c r="U46" s="163">
        <f ca="1"/>
        <v>4.1578726795005627E-2</v>
      </c>
      <c r="V46" s="139">
        <f ca="1"/>
        <v>7.143290865769869E-2</v>
      </c>
      <c r="W46" s="138">
        <f ca="1"/>
        <v>0</v>
      </c>
      <c r="X46" s="163">
        <f ca="1"/>
        <v>4.9872606913303752E-4</v>
      </c>
      <c r="Y46" s="163">
        <f ca="1"/>
        <v>1.828621036846334E-3</v>
      </c>
      <c r="Z46" s="163">
        <f ca="1"/>
        <v>5.3137665251158372E-3</v>
      </c>
      <c r="AA46" s="163">
        <f ca="1"/>
        <v>9.9777444452822106E-3</v>
      </c>
      <c r="AB46" s="163">
        <f ca="1"/>
        <v>0</v>
      </c>
      <c r="AC46" s="163">
        <f ca="1"/>
        <v>2.4741606679616779E-2</v>
      </c>
      <c r="AD46" s="163">
        <f ca="1"/>
        <v>4.3607347868092949E-2</v>
      </c>
      <c r="AE46" s="139">
        <f ca="1"/>
        <v>7.4876299408104252E-2</v>
      </c>
      <c r="AH46" s="136"/>
      <c r="AI46" s="136"/>
      <c r="AJ46" s="136"/>
      <c r="AK46" s="136"/>
      <c r="AM46" s="136"/>
      <c r="AN46" s="136"/>
      <c r="AO46" s="136"/>
      <c r="AQ46" s="136"/>
      <c r="AR46" s="136"/>
      <c r="AS46" s="136"/>
      <c r="AT46" s="136"/>
      <c r="AV46" s="136"/>
      <c r="AW46" s="136"/>
      <c r="AX46" s="136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7" t="s">
        <v>87</v>
      </c>
      <c r="F47" s="156">
        <v>1.8500000000000001E-3</v>
      </c>
      <c r="G47" s="156">
        <v>2.0699999999999998E-3</v>
      </c>
      <c r="H47" s="156">
        <v>2.81E-3</v>
      </c>
      <c r="I47" s="156">
        <v>3.2599999999999999E-3</v>
      </c>
      <c r="J47" s="156" t="s">
        <v>87</v>
      </c>
      <c r="K47" s="156">
        <v>4.1000000000000003E-3</v>
      </c>
      <c r="L47" s="156">
        <v>4.5999999999999999E-3</v>
      </c>
      <c r="M47" s="156">
        <v>5.0000000000000001E-3</v>
      </c>
      <c r="N47" s="138" cm="1">
        <f t="array" aca="1" ref="N47:AE47" ca="1">IF(OR(B47="",NOT($J$2)),"",GetStripDefaultProbability(A47,B47,Parameter_Date,CDSRollDate,E47:M47,SpreadCurveMaturities,D47,C47,$J$4,$J$6))</f>
        <v>0</v>
      </c>
      <c r="O47" s="163">
        <f ca="1"/>
        <v>1.844050239766637E-3</v>
      </c>
      <c r="P47" s="163">
        <f ca="1"/>
        <v>3.7954442133506516E-3</v>
      </c>
      <c r="Q47" s="163">
        <f ca="1"/>
        <v>9.8974764888682953E-3</v>
      </c>
      <c r="R47" s="163">
        <f ca="1"/>
        <v>1.6978815958761606E-2</v>
      </c>
      <c r="S47" s="163">
        <f ca="1"/>
        <v>0</v>
      </c>
      <c r="T47" s="163">
        <f ca="1"/>
        <v>3.5239059317082932E-2</v>
      </c>
      <c r="U47" s="163">
        <f ca="1"/>
        <v>5.4920367792737124E-2</v>
      </c>
      <c r="V47" s="139">
        <f ca="1"/>
        <v>8.4249917416369891E-2</v>
      </c>
      <c r="W47" s="138">
        <f ca="1"/>
        <v>0</v>
      </c>
      <c r="X47" s="163">
        <f ca="1"/>
        <v>1.9436236819484476E-3</v>
      </c>
      <c r="Y47" s="163">
        <f ca="1"/>
        <v>3.984651622563784E-3</v>
      </c>
      <c r="Z47" s="163">
        <f ca="1"/>
        <v>1.0389812244381069E-2</v>
      </c>
      <c r="AA47" s="163">
        <f ca="1"/>
        <v>1.7820960334372415E-2</v>
      </c>
      <c r="AB47" s="163">
        <f ca="1"/>
        <v>0</v>
      </c>
      <c r="AC47" s="163">
        <f ca="1"/>
        <v>3.697096471213579E-2</v>
      </c>
      <c r="AD47" s="163">
        <f ca="1"/>
        <v>5.7596433293940485E-2</v>
      </c>
      <c r="AE47" s="139">
        <f ca="1"/>
        <v>8.8287384822163695E-2</v>
      </c>
      <c r="AH47" s="136"/>
      <c r="AI47" s="136"/>
      <c r="AJ47" s="136"/>
      <c r="AK47" s="136"/>
      <c r="AM47" s="136"/>
      <c r="AN47" s="136"/>
      <c r="AO47" s="136"/>
      <c r="AQ47" s="136"/>
      <c r="AR47" s="136"/>
      <c r="AS47" s="136"/>
      <c r="AT47" s="136"/>
      <c r="AV47" s="136"/>
      <c r="AW47" s="136"/>
      <c r="AX47" s="136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7" t="s">
        <v>87</v>
      </c>
      <c r="F48" s="156">
        <v>5.0000000000000001E-4</v>
      </c>
      <c r="G48" s="156">
        <v>6.9999999999999999E-4</v>
      </c>
      <c r="H48" s="156">
        <v>1.1000000000000001E-3</v>
      </c>
      <c r="I48" s="156">
        <v>1.5E-3</v>
      </c>
      <c r="J48" s="156" t="s">
        <v>87</v>
      </c>
      <c r="K48" s="156">
        <v>2.3999999999999998E-3</v>
      </c>
      <c r="L48" s="156">
        <v>3.0999999999999999E-3</v>
      </c>
      <c r="M48" s="156">
        <v>4.0000000000000001E-3</v>
      </c>
      <c r="N48" s="138" cm="1">
        <f t="array" aca="1" ref="N48:AE48" ca="1">IF(OR(B48="",NOT($J$2)),"",GetStripDefaultProbability(A48,B48,Parameter_Date,CDSRollDate,E48:M48,SpreadCurveMaturities,D48,C48,$J$4,$J$6))</f>
        <v>0</v>
      </c>
      <c r="O48" s="163">
        <f ca="1"/>
        <v>4.9872651070981266E-4</v>
      </c>
      <c r="P48" s="163">
        <f ca="1"/>
        <v>1.2882057658748503E-3</v>
      </c>
      <c r="Q48" s="163">
        <f ca="1"/>
        <v>3.8971707420715207E-3</v>
      </c>
      <c r="R48" s="163">
        <f ca="1"/>
        <v>7.9001303270516132E-3</v>
      </c>
      <c r="S48" s="163">
        <f ca="1"/>
        <v>0</v>
      </c>
      <c r="T48" s="163">
        <f ca="1"/>
        <v>2.1054233063140471E-2</v>
      </c>
      <c r="U48" s="163">
        <f ca="1"/>
        <v>3.8109031302571039E-2</v>
      </c>
      <c r="V48" s="139">
        <f ca="1"/>
        <v>7.0509597209305275E-2</v>
      </c>
      <c r="W48" s="138">
        <f ca="1"/>
        <v>0</v>
      </c>
      <c r="X48" s="163">
        <f ca="1"/>
        <v>5.9844139207421154E-4</v>
      </c>
      <c r="Y48" s="163">
        <f ca="1"/>
        <v>1.454643861349969E-3</v>
      </c>
      <c r="Z48" s="163">
        <f ca="1"/>
        <v>4.2476819057671866E-3</v>
      </c>
      <c r="AA48" s="163">
        <f ca="1"/>
        <v>8.416044594103278E-3</v>
      </c>
      <c r="AB48" s="163">
        <f ca="1"/>
        <v>0</v>
      </c>
      <c r="AC48" s="163">
        <f ca="1"/>
        <v>2.2074137976305752E-2</v>
      </c>
      <c r="AD48" s="163">
        <f ca="1"/>
        <v>3.9961643693069204E-2</v>
      </c>
      <c r="AE48" s="139">
        <f ca="1"/>
        <v>7.3903812819765879E-2</v>
      </c>
      <c r="AH48" s="136"/>
      <c r="AI48" s="136"/>
      <c r="AJ48" s="136"/>
      <c r="AK48" s="136"/>
      <c r="AM48" s="136"/>
      <c r="AN48" s="136"/>
      <c r="AO48" s="136"/>
      <c r="AQ48" s="136"/>
      <c r="AR48" s="136"/>
      <c r="AS48" s="136"/>
      <c r="AT48" s="136"/>
      <c r="AV48" s="136"/>
      <c r="AW48" s="136"/>
      <c r="AX48" s="136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7" t="s">
        <v>87</v>
      </c>
      <c r="F49" s="156">
        <v>1.1000000000000001E-3</v>
      </c>
      <c r="G49" s="156">
        <v>1.6000000000000001E-3</v>
      </c>
      <c r="H49" s="156">
        <v>2E-3</v>
      </c>
      <c r="I49" s="156">
        <v>2.8E-3</v>
      </c>
      <c r="J49" s="156" t="s">
        <v>87</v>
      </c>
      <c r="K49" s="156">
        <v>3.8999999999999998E-3</v>
      </c>
      <c r="L49" s="156">
        <v>4.5999999999999999E-3</v>
      </c>
      <c r="M49" s="156">
        <v>5.5999999999999999E-3</v>
      </c>
      <c r="N49" s="138" cm="1">
        <f t="array" aca="1" ref="N49:AE49" ca="1">IF(OR(B49="",NOT($J$2)),"",GetStripDefaultProbability(A49,B49,Parameter_Date,CDSRollDate,E49:M49,SpreadCurveMaturities,D49,C49,$J$4,$J$6))</f>
        <v>0</v>
      </c>
      <c r="O49" s="163">
        <f ca="1"/>
        <v>1.0968710821319672E-3</v>
      </c>
      <c r="P49" s="163">
        <f ca="1"/>
        <v>2.9435474346423129E-3</v>
      </c>
      <c r="Q49" s="163">
        <f ca="1"/>
        <v>7.0503841602606032E-3</v>
      </c>
      <c r="R49" s="163">
        <f ca="1"/>
        <v>1.4694816302945668E-2</v>
      </c>
      <c r="S49" s="163">
        <f ca="1"/>
        <v>0</v>
      </c>
      <c r="T49" s="163">
        <f ca="1"/>
        <v>3.3831012788557602E-2</v>
      </c>
      <c r="U49" s="163">
        <f ca="1"/>
        <v>5.5503520765370351E-2</v>
      </c>
      <c r="V49" s="139">
        <f ca="1"/>
        <v>9.626868675360456E-2</v>
      </c>
      <c r="W49" s="138">
        <f ca="1"/>
        <v>0</v>
      </c>
      <c r="X49" s="163">
        <f ca="1"/>
        <v>1.1965241739009258E-3</v>
      </c>
      <c r="Y49" s="163">
        <f ca="1"/>
        <v>3.1097096628280863E-3</v>
      </c>
      <c r="Z49" s="163">
        <f ca="1"/>
        <v>7.3997952051966243E-3</v>
      </c>
      <c r="AA49" s="163">
        <f ca="1"/>
        <v>1.5423086084951576E-2</v>
      </c>
      <c r="AB49" s="163">
        <f ca="1"/>
        <v>0</v>
      </c>
      <c r="AC49" s="163">
        <f ca="1"/>
        <v>3.5494657696708565E-2</v>
      </c>
      <c r="AD49" s="163">
        <f ca="1"/>
        <v>5.8209770795902505E-2</v>
      </c>
      <c r="AE49" s="139">
        <f ca="1"/>
        <v>0.1008929444801282</v>
      </c>
      <c r="AH49" s="136"/>
      <c r="AI49" s="136"/>
      <c r="AJ49" s="136"/>
      <c r="AK49" s="136"/>
      <c r="AM49" s="136"/>
      <c r="AN49" s="136"/>
      <c r="AO49" s="136"/>
      <c r="AQ49" s="136"/>
      <c r="AR49" s="136"/>
      <c r="AS49" s="136"/>
      <c r="AT49" s="136"/>
      <c r="AV49" s="136"/>
      <c r="AW49" s="136"/>
      <c r="AX49" s="136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7" t="s">
        <v>87</v>
      </c>
      <c r="F50" s="156">
        <v>6.9999999999999999E-4</v>
      </c>
      <c r="G50" s="156">
        <v>8.9999999999999998E-4</v>
      </c>
      <c r="H50" s="156">
        <v>1.2999999999999999E-3</v>
      </c>
      <c r="I50" s="156">
        <v>1.8E-3</v>
      </c>
      <c r="J50" s="156" t="s">
        <v>87</v>
      </c>
      <c r="K50" s="156">
        <v>2.8999999999999998E-3</v>
      </c>
      <c r="L50" s="156">
        <v>3.5999999999999999E-3</v>
      </c>
      <c r="M50" s="156">
        <v>4.4000000000000003E-3</v>
      </c>
      <c r="N50" s="138" cm="1">
        <f t="array" aca="1" ref="N50:AE50" ca="1">IF(OR(B50="",NOT($J$2)),"",GetStripDefaultProbability(A50,B50,Parameter_Date,CDSRollDate,E50:M50,SpreadCurveMaturities,D50,C50,$J$4,$J$6))</f>
        <v>0</v>
      </c>
      <c r="O50" s="163">
        <f ca="1"/>
        <v>6.98147686336692E-4</v>
      </c>
      <c r="P50" s="163">
        <f ca="1"/>
        <v>1.6545407729871009E-3</v>
      </c>
      <c r="Q50" s="163">
        <f ca="1"/>
        <v>4.5969703247138449E-3</v>
      </c>
      <c r="R50" s="163">
        <f ca="1"/>
        <v>9.4714561307461809E-3</v>
      </c>
      <c r="S50" s="163">
        <f ca="1"/>
        <v>0</v>
      </c>
      <c r="T50" s="163">
        <f ca="1"/>
        <v>2.540579506229379E-2</v>
      </c>
      <c r="U50" s="163">
        <f ca="1"/>
        <v>4.4017298047781095E-2</v>
      </c>
      <c r="V50" s="139">
        <f ca="1"/>
        <v>7.6683180874739798E-2</v>
      </c>
      <c r="W50" s="138">
        <f ca="1"/>
        <v>0</v>
      </c>
      <c r="X50" s="163">
        <f ca="1"/>
        <v>7.9784215457201491E-4</v>
      </c>
      <c r="Y50" s="163">
        <f ca="1"/>
        <v>1.8209178177219787E-3</v>
      </c>
      <c r="Z50" s="163">
        <f ca="1"/>
        <v>4.9472325546502383E-3</v>
      </c>
      <c r="AA50" s="163">
        <f ca="1"/>
        <v>9.9866286793877102E-3</v>
      </c>
      <c r="AB50" s="163">
        <f ca="1"/>
        <v>0</v>
      </c>
      <c r="AC50" s="163">
        <f ca="1"/>
        <v>2.6647166783388077E-2</v>
      </c>
      <c r="AD50" s="163">
        <f ca="1"/>
        <v>4.6163327847539515E-2</v>
      </c>
      <c r="AE50" s="139">
        <f ca="1"/>
        <v>8.0371669913123056E-2</v>
      </c>
      <c r="AH50" s="136"/>
      <c r="AI50" s="136"/>
      <c r="AJ50" s="136"/>
      <c r="AK50" s="136"/>
      <c r="AM50" s="136"/>
      <c r="AN50" s="136"/>
      <c r="AO50" s="136"/>
      <c r="AQ50" s="136"/>
      <c r="AR50" s="136"/>
      <c r="AS50" s="136"/>
      <c r="AT50" s="136"/>
      <c r="AV50" s="136"/>
      <c r="AW50" s="136"/>
      <c r="AX50" s="136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7" t="s">
        <v>87</v>
      </c>
      <c r="F51" s="156">
        <v>1.1999999999999999E-3</v>
      </c>
      <c r="G51" s="156">
        <v>2.3999999999999998E-3</v>
      </c>
      <c r="H51" s="156">
        <v>3.8E-3</v>
      </c>
      <c r="I51" s="156">
        <v>5.4000000000000003E-3</v>
      </c>
      <c r="J51" s="156" t="s">
        <v>87</v>
      </c>
      <c r="K51" s="156">
        <v>8.0000000000000002E-3</v>
      </c>
      <c r="L51" s="156">
        <v>9.5999999999999992E-3</v>
      </c>
      <c r="M51" s="156">
        <v>1.12E-2</v>
      </c>
      <c r="N51" s="138" cm="1">
        <f t="array" aca="1" ref="N51:AE51" ca="1">IF(OR(B51="",NOT($J$2)),"",GetStripDefaultProbability(A51,B51,Parameter_Date,CDSRollDate,E51:M51,SpreadCurveMaturities,D51,C51,$J$4,$J$6))</f>
        <v>0</v>
      </c>
      <c r="O51" s="163">
        <f ca="1"/>
        <v>1.1965271572978997E-3</v>
      </c>
      <c r="P51" s="163">
        <f ca="1"/>
        <v>4.4248011350213057E-3</v>
      </c>
      <c r="Q51" s="163">
        <f ca="1"/>
        <v>1.3429372238182302E-2</v>
      </c>
      <c r="R51" s="163">
        <f ca="1"/>
        <v>2.8283506724236629E-2</v>
      </c>
      <c r="S51" s="163">
        <f ca="1"/>
        <v>0</v>
      </c>
      <c r="T51" s="163">
        <f ca="1"/>
        <v>6.8801106841521298E-2</v>
      </c>
      <c r="U51" s="163">
        <f ca="1"/>
        <v>0.11368955546039661</v>
      </c>
      <c r="V51" s="139">
        <f ca="1"/>
        <v>0.18470147602486753</v>
      </c>
      <c r="W51" s="138">
        <f ca="1"/>
        <v>0</v>
      </c>
      <c r="X51" s="163">
        <f ca="1"/>
        <v>1.2961697875810696E-3</v>
      </c>
      <c r="Y51" s="163">
        <f ca="1"/>
        <v>4.6445620901022222E-3</v>
      </c>
      <c r="Z51" s="163">
        <f ca="1"/>
        <v>1.4095780509235989E-2</v>
      </c>
      <c r="AA51" s="163">
        <f ca="1"/>
        <v>2.9680483964602766E-2</v>
      </c>
      <c r="AB51" s="163">
        <f ca="1"/>
        <v>0</v>
      </c>
      <c r="AC51" s="163">
        <f ca="1"/>
        <v>7.2132676602143397E-2</v>
      </c>
      <c r="AD51" s="163">
        <f ca="1"/>
        <v>0.11911527273473232</v>
      </c>
      <c r="AE51" s="139">
        <f ca="1"/>
        <v>0.19321094289384955</v>
      </c>
      <c r="AH51" s="136"/>
      <c r="AI51" s="136"/>
      <c r="AJ51" s="136"/>
      <c r="AK51" s="136"/>
      <c r="AM51" s="136"/>
      <c r="AN51" s="136"/>
      <c r="AO51" s="136"/>
      <c r="AQ51" s="136"/>
      <c r="AR51" s="136"/>
      <c r="AS51" s="136"/>
      <c r="AT51" s="136"/>
      <c r="AV51" s="136"/>
      <c r="AW51" s="136"/>
      <c r="AX51" s="136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7" t="s">
        <v>87</v>
      </c>
      <c r="F52" s="156">
        <v>5.9999999999999995E-4</v>
      </c>
      <c r="G52" s="156">
        <v>6.9999999999999999E-4</v>
      </c>
      <c r="H52" s="156">
        <v>1.1999999999999999E-3</v>
      </c>
      <c r="I52" s="156">
        <v>1.8E-3</v>
      </c>
      <c r="J52" s="156" t="s">
        <v>87</v>
      </c>
      <c r="K52" s="156">
        <v>2.8E-3</v>
      </c>
      <c r="L52" s="156">
        <v>3.5000000000000001E-3</v>
      </c>
      <c r="M52" s="156">
        <v>4.4000000000000003E-3</v>
      </c>
      <c r="N52" s="138" cm="1">
        <f t="array" aca="1" ref="N52:AE52" ca="1">IF(OR(B52="",NOT($J$2)),"",GetStripDefaultProbability(A52,B52,Parameter_Date,CDSRollDate,E52:M52,SpreadCurveMaturities,D52,C52,$J$4,$J$6))</f>
        <v>0</v>
      </c>
      <c r="O52" s="163">
        <f ca="1"/>
        <v>5.9844205622783253E-4</v>
      </c>
      <c r="P52" s="163">
        <f ca="1"/>
        <v>1.2856558950586905E-3</v>
      </c>
      <c r="Q52" s="163">
        <f ca="1"/>
        <v>4.2535409362317589E-3</v>
      </c>
      <c r="R52" s="163">
        <f ca="1"/>
        <v>9.5039457100781766E-3</v>
      </c>
      <c r="S52" s="163">
        <f ca="1"/>
        <v>0</v>
      </c>
      <c r="T52" s="163">
        <f ca="1"/>
        <v>2.4535411769439408E-2</v>
      </c>
      <c r="U52" s="163">
        <f ca="1"/>
        <v>4.2837015526936417E-2</v>
      </c>
      <c r="V52" s="139">
        <f ca="1"/>
        <v>7.6995851256600467E-2</v>
      </c>
      <c r="W52" s="138">
        <f ca="1"/>
        <v>0</v>
      </c>
      <c r="X52" s="163">
        <f ca="1"/>
        <v>6.9814675354706868E-4</v>
      </c>
      <c r="Y52" s="163">
        <f ca="1"/>
        <v>1.4520944154741144E-3</v>
      </c>
      <c r="Z52" s="163">
        <f ca="1"/>
        <v>4.6039455378485972E-3</v>
      </c>
      <c r="AA52" s="163">
        <f ca="1"/>
        <v>1.0019209331473267E-2</v>
      </c>
      <c r="AB52" s="163">
        <f ca="1"/>
        <v>0</v>
      </c>
      <c r="AC52" s="163">
        <f ca="1"/>
        <v>2.5732667213386518E-2</v>
      </c>
      <c r="AD52" s="163">
        <f ca="1"/>
        <v>4.4924574322956046E-2</v>
      </c>
      <c r="AE52" s="139">
        <f ca="1"/>
        <v>8.0698363301199061E-2</v>
      </c>
      <c r="AH52" s="136"/>
      <c r="AI52" s="136"/>
      <c r="AJ52" s="136"/>
      <c r="AK52" s="136"/>
      <c r="AM52" s="136"/>
      <c r="AN52" s="136"/>
      <c r="AO52" s="136"/>
      <c r="AQ52" s="136"/>
      <c r="AR52" s="136"/>
      <c r="AS52" s="136"/>
      <c r="AT52" s="136"/>
      <c r="AV52" s="136"/>
      <c r="AW52" s="136"/>
      <c r="AX52" s="136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7" t="s">
        <v>87</v>
      </c>
      <c r="F53" s="156">
        <v>6.9999999999999999E-4</v>
      </c>
      <c r="G53" s="156">
        <v>8.0000000000000004E-4</v>
      </c>
      <c r="H53" s="156">
        <v>1.1000000000000001E-3</v>
      </c>
      <c r="I53" s="156">
        <v>1.6999999999999999E-3</v>
      </c>
      <c r="J53" s="156" t="s">
        <v>87</v>
      </c>
      <c r="K53" s="156">
        <v>2.8E-3</v>
      </c>
      <c r="L53" s="156">
        <v>3.5999999999999999E-3</v>
      </c>
      <c r="M53" s="156">
        <v>4.4999999999999997E-3</v>
      </c>
      <c r="N53" s="138" cm="1">
        <f t="array" aca="1" ref="N53:AE53" ca="1">IF(OR(B53="",NOT($J$2)),"",GetStripDefaultProbability(A53,B53,Parameter_Date,CDSRollDate,E53:M53,SpreadCurveMaturities,D53,C53,$J$4,$J$6))</f>
        <v>0</v>
      </c>
      <c r="O53" s="163">
        <f ca="1"/>
        <v>6.98147686336692E-4</v>
      </c>
      <c r="P53" s="163">
        <f ca="1"/>
        <v>1.4688312592168185E-3</v>
      </c>
      <c r="Q53" s="163">
        <f ca="1"/>
        <v>3.8856192634586506E-3</v>
      </c>
      <c r="R53" s="163">
        <f ca="1"/>
        <v>8.9706123903716684E-3</v>
      </c>
      <c r="S53" s="163">
        <f ca="1"/>
        <v>0</v>
      </c>
      <c r="T53" s="163">
        <f ca="1"/>
        <v>2.4582999086783408E-2</v>
      </c>
      <c r="U53" s="163">
        <f ca="1"/>
        <v>4.4194213322543474E-2</v>
      </c>
      <c r="V53" s="139">
        <f ca="1"/>
        <v>7.879070305814917E-2</v>
      </c>
      <c r="W53" s="138">
        <f ca="1"/>
        <v>0</v>
      </c>
      <c r="X53" s="163">
        <f ca="1"/>
        <v>7.9784215457201491E-4</v>
      </c>
      <c r="Y53" s="163">
        <f ca="1"/>
        <v>1.6352392529477289E-3</v>
      </c>
      <c r="Z53" s="163">
        <f ca="1"/>
        <v>4.2360945321644472E-3</v>
      </c>
      <c r="AA53" s="163">
        <f ca="1"/>
        <v>9.4860900726584374E-3</v>
      </c>
      <c r="AB53" s="163">
        <f ca="1"/>
        <v>0</v>
      </c>
      <c r="AC53" s="163">
        <f ca="1"/>
        <v>2.5780311695885683E-2</v>
      </c>
      <c r="AD53" s="163">
        <f ca="1"/>
        <v>4.6345507734383729E-2</v>
      </c>
      <c r="AE53" s="139">
        <f ca="1"/>
        <v>8.257541692047321E-2</v>
      </c>
      <c r="AH53" s="136"/>
      <c r="AI53" s="136"/>
      <c r="AJ53" s="136"/>
      <c r="AK53" s="136"/>
      <c r="AM53" s="136"/>
      <c r="AN53" s="136"/>
      <c r="AO53" s="136"/>
      <c r="AQ53" s="136"/>
      <c r="AR53" s="136"/>
      <c r="AS53" s="136"/>
      <c r="AT53" s="136"/>
      <c r="AV53" s="136"/>
      <c r="AW53" s="136"/>
      <c r="AX53" s="136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7" t="s">
        <v>87</v>
      </c>
      <c r="F54" s="156">
        <v>4.0000000000000002E-4</v>
      </c>
      <c r="G54" s="156">
        <v>5.9999999999999995E-4</v>
      </c>
      <c r="H54" s="156">
        <v>1E-3</v>
      </c>
      <c r="I54" s="156">
        <v>1.4E-3</v>
      </c>
      <c r="J54" s="156" t="s">
        <v>87</v>
      </c>
      <c r="K54" s="156">
        <v>2.0999999999999999E-3</v>
      </c>
      <c r="L54" s="156">
        <v>2.3999999999999998E-3</v>
      </c>
      <c r="M54" s="156">
        <v>2.8999999999999998E-3</v>
      </c>
      <c r="N54" s="138" cm="1">
        <f t="array" aca="1" ref="N54:AE54" ca="1">IF(OR(B54="",NOT($J$2)),"",GetStripDefaultProbability(A54,B54,Parameter_Date,CDSRollDate,E54:M54,SpreadCurveMaturities,D54,C54,$J$4,$J$6))</f>
        <v>0</v>
      </c>
      <c r="O54" s="163">
        <f ca="1"/>
        <v>3.9900104827061966E-4</v>
      </c>
      <c r="P54" s="163">
        <f ca="1"/>
        <v>1.1049878534659108E-3</v>
      </c>
      <c r="Q54" s="163">
        <f ca="1"/>
        <v>3.5470867876303824E-3</v>
      </c>
      <c r="R54" s="163">
        <f ca="1"/>
        <v>7.3844705864435367E-3</v>
      </c>
      <c r="S54" s="163">
        <f ca="1"/>
        <v>0</v>
      </c>
      <c r="T54" s="163">
        <f ca="1"/>
        <v>1.8400707468931299E-2</v>
      </c>
      <c r="U54" s="163">
        <f ca="1"/>
        <v>2.9249441227693462E-2</v>
      </c>
      <c r="V54" s="139">
        <f ca="1"/>
        <v>5.0705990672810342E-2</v>
      </c>
      <c r="W54" s="138">
        <f ca="1"/>
        <v>0</v>
      </c>
      <c r="X54" s="163">
        <f ca="1"/>
        <v>4.9872606913303752E-4</v>
      </c>
      <c r="Y54" s="163">
        <f ca="1"/>
        <v>1.2714564827104313E-3</v>
      </c>
      <c r="Z54" s="163">
        <f ca="1"/>
        <v>3.8977221388336591E-3</v>
      </c>
      <c r="AA54" s="163">
        <f ca="1"/>
        <v>7.9006556713892007E-3</v>
      </c>
      <c r="AB54" s="163">
        <f ca="1"/>
        <v>0</v>
      </c>
      <c r="AC54" s="163">
        <f ca="1"/>
        <v>1.9287117360851092E-2</v>
      </c>
      <c r="AD54" s="163">
        <f ca="1"/>
        <v>3.0667276449974135E-2</v>
      </c>
      <c r="AE54" s="139">
        <f ca="1"/>
        <v>5.3156738783723179E-2</v>
      </c>
      <c r="AH54" s="136"/>
      <c r="AI54" s="136"/>
      <c r="AJ54" s="136"/>
      <c r="AK54" s="136"/>
      <c r="AM54" s="136"/>
      <c r="AN54" s="136"/>
      <c r="AO54" s="136"/>
      <c r="AQ54" s="136"/>
      <c r="AR54" s="136"/>
      <c r="AS54" s="136"/>
      <c r="AT54" s="136"/>
      <c r="AV54" s="136"/>
      <c r="AW54" s="136"/>
      <c r="AX54" s="136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7" t="s">
        <v>87</v>
      </c>
      <c r="F55" s="156">
        <v>5.9999999999999995E-4</v>
      </c>
      <c r="G55" s="156">
        <v>1.1000000000000001E-3</v>
      </c>
      <c r="H55" s="156">
        <v>1.8E-3</v>
      </c>
      <c r="I55" s="156">
        <v>2.5000000000000001E-3</v>
      </c>
      <c r="J55" s="156" t="s">
        <v>87</v>
      </c>
      <c r="K55" s="156">
        <v>3.3999999999999998E-3</v>
      </c>
      <c r="L55" s="156">
        <v>4.1999999999999997E-3</v>
      </c>
      <c r="M55" s="156">
        <v>5.0000000000000001E-3</v>
      </c>
      <c r="N55" s="138" cm="1">
        <f t="array" aca="1" ref="N55:AE55" ca="1">IF(OR(B55="",NOT($J$2)),"",GetStripDefaultProbability(A55,B55,Parameter_Date,CDSRollDate,E55:M55,SpreadCurveMaturities,D55,C55,$J$4,$J$6))</f>
        <v>0</v>
      </c>
      <c r="O55" s="163">
        <f ca="1"/>
        <v>5.9844205622783253E-4</v>
      </c>
      <c r="P55" s="163">
        <f ca="1"/>
        <v>2.0284995193046162E-3</v>
      </c>
      <c r="Q55" s="163">
        <f ca="1"/>
        <v>6.3798165399243656E-3</v>
      </c>
      <c r="R55" s="163">
        <f ca="1"/>
        <v>1.3157924810770272E-2</v>
      </c>
      <c r="S55" s="163">
        <f ca="1"/>
        <v>0</v>
      </c>
      <c r="T55" s="163">
        <f ca="1"/>
        <v>2.9537897962136239E-2</v>
      </c>
      <c r="U55" s="163">
        <f ca="1"/>
        <v>5.0990592021867176E-2</v>
      </c>
      <c r="V55" s="139">
        <f ca="1"/>
        <v>8.6255334807632589E-2</v>
      </c>
      <c r="W55" s="138">
        <f ca="1"/>
        <v>0</v>
      </c>
      <c r="X55" s="163">
        <f ca="1"/>
        <v>6.9814675354706868E-4</v>
      </c>
      <c r="Y55" s="163">
        <f ca="1"/>
        <v>2.1948142427737904E-3</v>
      </c>
      <c r="Z55" s="163">
        <f ca="1"/>
        <v>6.7295532603939279E-3</v>
      </c>
      <c r="AA55" s="163">
        <f ca="1"/>
        <v>1.3806329180761745E-2</v>
      </c>
      <c r="AB55" s="163">
        <f ca="1"/>
        <v>0</v>
      </c>
      <c r="AC55" s="163">
        <f ca="1"/>
        <v>3.0989030885947733E-2</v>
      </c>
      <c r="AD55" s="163">
        <f ca="1"/>
        <v>5.3478635119556306E-2</v>
      </c>
      <c r="AE55" s="139">
        <f ca="1"/>
        <v>9.0392487376555586E-2</v>
      </c>
      <c r="AH55" s="136"/>
      <c r="AI55" s="136"/>
      <c r="AJ55" s="136"/>
      <c r="AK55" s="136"/>
      <c r="AM55" s="136"/>
      <c r="AN55" s="136"/>
      <c r="AO55" s="136"/>
      <c r="AQ55" s="136"/>
      <c r="AR55" s="136"/>
      <c r="AS55" s="136"/>
      <c r="AT55" s="136"/>
      <c r="AV55" s="136"/>
      <c r="AW55" s="136"/>
      <c r="AX55" s="136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7" t="s">
        <v>87</v>
      </c>
      <c r="F56" s="156">
        <v>5.9999999999999995E-4</v>
      </c>
      <c r="G56" s="156">
        <v>1.4E-3</v>
      </c>
      <c r="H56" s="156">
        <v>2.0999999999999999E-3</v>
      </c>
      <c r="I56" s="156">
        <v>2.7000000000000001E-3</v>
      </c>
      <c r="J56" s="156" t="s">
        <v>87</v>
      </c>
      <c r="K56" s="156">
        <v>3.5999999999999999E-3</v>
      </c>
      <c r="L56" s="156">
        <v>4.4000000000000003E-3</v>
      </c>
      <c r="M56" s="156">
        <v>5.1999999999999998E-3</v>
      </c>
      <c r="N56" s="138" cm="1">
        <f t="array" aca="1" ref="N56:AE56" ca="1">IF(OR(B56="",NOT($J$2)),"",GetStripDefaultProbability(A56,B56,Parameter_Date,CDSRollDate,E56:M56,SpreadCurveMaturities,D56,C56,$J$4,$J$6))</f>
        <v>0</v>
      </c>
      <c r="O56" s="163">
        <f ca="1"/>
        <v>5.9844205622783253E-4</v>
      </c>
      <c r="P56" s="163">
        <f ca="1"/>
        <v>2.5854693948048624E-3</v>
      </c>
      <c r="Q56" s="163">
        <f ca="1"/>
        <v>7.4351199606090823E-3</v>
      </c>
      <c r="R56" s="163">
        <f ca="1"/>
        <v>1.4165236689033467E-2</v>
      </c>
      <c r="S56" s="163">
        <f ca="1"/>
        <v>0</v>
      </c>
      <c r="T56" s="163">
        <f ca="1"/>
        <v>3.1184058931521874E-2</v>
      </c>
      <c r="U56" s="163">
        <f ca="1"/>
        <v>5.3245366252024029E-2</v>
      </c>
      <c r="V56" s="139">
        <f ca="1"/>
        <v>8.9365706071785955E-2</v>
      </c>
      <c r="W56" s="138">
        <f ca="1"/>
        <v>0</v>
      </c>
      <c r="X56" s="163">
        <f ca="1"/>
        <v>6.9814675354706868E-4</v>
      </c>
      <c r="Y56" s="163">
        <f ca="1"/>
        <v>2.7516912976994767E-3</v>
      </c>
      <c r="Z56" s="163">
        <f ca="1"/>
        <v>7.802408403912553E-3</v>
      </c>
      <c r="AA56" s="163">
        <f ca="1"/>
        <v>1.4865992520505134E-2</v>
      </c>
      <c r="AB56" s="163">
        <f ca="1"/>
        <v>0</v>
      </c>
      <c r="AC56" s="163">
        <f ca="1"/>
        <v>3.2717601540729224E-2</v>
      </c>
      <c r="AD56" s="163">
        <f ca="1"/>
        <v>5.584302239906247E-2</v>
      </c>
      <c r="AE56" s="139">
        <f ca="1"/>
        <v>9.3646798586097035E-2</v>
      </c>
      <c r="AH56" s="136"/>
      <c r="AI56" s="136"/>
      <c r="AJ56" s="136"/>
      <c r="AK56" s="136"/>
      <c r="AM56" s="136"/>
      <c r="AN56" s="136"/>
      <c r="AO56" s="136"/>
      <c r="AQ56" s="136"/>
      <c r="AR56" s="136"/>
      <c r="AS56" s="136"/>
      <c r="AT56" s="136"/>
      <c r="AV56" s="136"/>
      <c r="AW56" s="136"/>
      <c r="AX56" s="136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7" t="s">
        <v>87</v>
      </c>
      <c r="F57" s="156">
        <v>5.0000000000000001E-4</v>
      </c>
      <c r="G57" s="156">
        <v>8.0000000000000004E-4</v>
      </c>
      <c r="H57" s="156">
        <v>1.4E-3</v>
      </c>
      <c r="I57" s="156">
        <v>2.2000000000000001E-3</v>
      </c>
      <c r="J57" s="156" t="s">
        <v>87</v>
      </c>
      <c r="K57" s="156">
        <v>3.5000000000000001E-3</v>
      </c>
      <c r="L57" s="156">
        <v>4.3E-3</v>
      </c>
      <c r="M57" s="156">
        <v>5.3E-3</v>
      </c>
      <c r="N57" s="138" cm="1">
        <f t="array" aca="1" ref="N57:AE57" ca="1">IF(OR(B57="",NOT($J$2)),"",GetStripDefaultProbability(A57,B57,Parameter_Date,CDSRollDate,E57:M57,SpreadCurveMaturities,D57,C57,$J$4,$J$6))</f>
        <v>0</v>
      </c>
      <c r="O57" s="163">
        <f ca="1"/>
        <v>4.9872651070981266E-4</v>
      </c>
      <c r="P57" s="163">
        <f ca="1"/>
        <v>1.4739490898789676E-3</v>
      </c>
      <c r="Q57" s="163">
        <f ca="1"/>
        <v>4.9674225022224849E-3</v>
      </c>
      <c r="R57" s="163">
        <f ca="1"/>
        <v>1.1628736572798393E-2</v>
      </c>
      <c r="S57" s="163">
        <f ca="1"/>
        <v>0</v>
      </c>
      <c r="T57" s="163">
        <f ca="1"/>
        <v>3.0654377818537859E-2</v>
      </c>
      <c r="U57" s="163">
        <f ca="1"/>
        <v>5.2415184668383241E-2</v>
      </c>
      <c r="V57" s="139">
        <f ca="1"/>
        <v>9.194180956288367E-2</v>
      </c>
      <c r="W57" s="138">
        <f ca="1"/>
        <v>0</v>
      </c>
      <c r="X57" s="163">
        <f ca="1"/>
        <v>5.9844139207421154E-4</v>
      </c>
      <c r="Y57" s="163">
        <f ca="1"/>
        <v>1.6403562307232278E-3</v>
      </c>
      <c r="Z57" s="163">
        <f ca="1"/>
        <v>5.3176205503109308E-3</v>
      </c>
      <c r="AA57" s="163">
        <f ca="1"/>
        <v>1.2197105012526799E-2</v>
      </c>
      <c r="AB57" s="163">
        <f ca="1"/>
        <v>0</v>
      </c>
      <c r="AC57" s="163">
        <f ca="1"/>
        <v>3.2156137582289301E-2</v>
      </c>
      <c r="AD57" s="163">
        <f ca="1"/>
        <v>5.4968551686991662E-2</v>
      </c>
      <c r="AE57" s="139">
        <f ca="1"/>
        <v>9.633928651350121E-2</v>
      </c>
      <c r="AH57" s="136"/>
      <c r="AI57" s="136"/>
      <c r="AJ57" s="136"/>
      <c r="AK57" s="136"/>
      <c r="AM57" s="136"/>
      <c r="AN57" s="136"/>
      <c r="AO57" s="136"/>
      <c r="AQ57" s="136"/>
      <c r="AR57" s="136"/>
      <c r="AS57" s="136"/>
      <c r="AT57" s="136"/>
      <c r="AV57" s="136"/>
      <c r="AW57" s="136"/>
      <c r="AX57" s="136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7" t="s">
        <v>87</v>
      </c>
      <c r="F58" s="156">
        <v>1.1999999999999999E-3</v>
      </c>
      <c r="G58" s="156">
        <v>1.6999999999999999E-3</v>
      </c>
      <c r="H58" s="156">
        <v>2.8E-3</v>
      </c>
      <c r="I58" s="156">
        <v>3.5000000000000001E-3</v>
      </c>
      <c r="J58" s="156" t="s">
        <v>87</v>
      </c>
      <c r="K58" s="156">
        <v>4.4999999999999997E-3</v>
      </c>
      <c r="L58" s="156">
        <v>5.1999999999999998E-3</v>
      </c>
      <c r="M58" s="156">
        <v>6.1999999999999998E-3</v>
      </c>
      <c r="N58" s="138" cm="1">
        <f t="array" aca="1" ref="N58:AE58" ca="1">IF(OR(B58="",NOT($J$2)),"",GetStripDefaultProbability(A58,B58,Parameter_Date,CDSRollDate,E58:M58,SpreadCurveMaturities,D58,C58,$J$4,$J$6))</f>
        <v>0</v>
      </c>
      <c r="O58" s="163">
        <f ca="1"/>
        <v>1.1965271572978997E-3</v>
      </c>
      <c r="P58" s="163">
        <f ca="1"/>
        <v>3.1264563217608954E-3</v>
      </c>
      <c r="Q58" s="163">
        <f ca="1"/>
        <v>9.9045138370412733E-3</v>
      </c>
      <c r="R58" s="163">
        <f ca="1"/>
        <v>1.8315516435748469E-2</v>
      </c>
      <c r="S58" s="163">
        <f ca="1"/>
        <v>0</v>
      </c>
      <c r="T58" s="163">
        <f ca="1"/>
        <v>3.8770273727502524E-2</v>
      </c>
      <c r="U58" s="163">
        <f ca="1"/>
        <v>6.2247753313979137E-2</v>
      </c>
      <c r="V58" s="139">
        <f ca="1"/>
        <v>0.10550625884058507</v>
      </c>
      <c r="W58" s="138">
        <f ca="1"/>
        <v>0</v>
      </c>
      <c r="X58" s="163">
        <f ca="1"/>
        <v>1.2961697875810696E-3</v>
      </c>
      <c r="Y58" s="163">
        <f ca="1"/>
        <v>3.2925880676745178E-3</v>
      </c>
      <c r="Z58" s="163">
        <f ca="1"/>
        <v>1.0396082719475341E-2</v>
      </c>
      <c r="AA58" s="163">
        <f ca="1"/>
        <v>1.9222658992229524E-2</v>
      </c>
      <c r="AB58" s="163">
        <f ca="1"/>
        <v>0</v>
      </c>
      <c r="AC58" s="163">
        <f ca="1"/>
        <v>4.0672099002935225E-2</v>
      </c>
      <c r="AD58" s="163">
        <f ca="1"/>
        <v>6.527148534556404E-2</v>
      </c>
      <c r="AE58" s="139">
        <f ca="1"/>
        <v>0.11054733898125679</v>
      </c>
      <c r="AH58" s="136"/>
      <c r="AI58" s="136"/>
      <c r="AJ58" s="136"/>
      <c r="AK58" s="136"/>
      <c r="AM58" s="136"/>
      <c r="AN58" s="136"/>
      <c r="AO58" s="136"/>
      <c r="AQ58" s="136"/>
      <c r="AR58" s="136"/>
      <c r="AS58" s="136"/>
      <c r="AT58" s="136"/>
      <c r="AV58" s="136"/>
      <c r="AW58" s="136"/>
      <c r="AX58" s="136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7" t="s">
        <v>87</v>
      </c>
      <c r="F59" s="156">
        <v>8.0000000000000004E-4</v>
      </c>
      <c r="G59" s="156">
        <v>1.2999999999999999E-3</v>
      </c>
      <c r="H59" s="156">
        <v>2.3E-3</v>
      </c>
      <c r="I59" s="156">
        <v>2.8999999999999998E-3</v>
      </c>
      <c r="J59" s="156" t="s">
        <v>87</v>
      </c>
      <c r="K59" s="156">
        <v>3.8E-3</v>
      </c>
      <c r="L59" s="156">
        <v>4.4999999999999997E-3</v>
      </c>
      <c r="M59" s="156">
        <v>5.4999999999999997E-3</v>
      </c>
      <c r="N59" s="138" cm="1">
        <f t="array" aca="1" ref="N59:AE59" ca="1">IF(OR(B59="",NOT($J$2)),"",GetStripDefaultProbability(A59,B59,Parameter_Date,CDSRollDate,E59:M59,SpreadCurveMaturities,D59,C59,$J$4,$J$6))</f>
        <v>0</v>
      </c>
      <c r="O59" s="163">
        <f ca="1"/>
        <v>7.978434025011083E-4</v>
      </c>
      <c r="P59" s="163">
        <f ca="1"/>
        <v>2.3946194070484372E-3</v>
      </c>
      <c r="Q59" s="163">
        <f ca="1"/>
        <v>8.1527327401650362E-3</v>
      </c>
      <c r="R59" s="163">
        <f ca="1"/>
        <v>1.5210252634792698E-2</v>
      </c>
      <c r="S59" s="163">
        <f ca="1"/>
        <v>0</v>
      </c>
      <c r="T59" s="163">
        <f ca="1"/>
        <v>3.2866950491276303E-2</v>
      </c>
      <c r="U59" s="163">
        <f ca="1"/>
        <v>5.423542339332188E-2</v>
      </c>
      <c r="V59" s="139">
        <f ca="1"/>
        <v>9.4579318279801039E-2</v>
      </c>
      <c r="W59" s="138">
        <f ca="1"/>
        <v>0</v>
      </c>
      <c r="X59" s="163">
        <f ca="1"/>
        <v>8.9752759609718069E-4</v>
      </c>
      <c r="Y59" s="163">
        <f ca="1"/>
        <v>2.560873115622031E-3</v>
      </c>
      <c r="Z59" s="163">
        <f ca="1"/>
        <v>8.5556013136859344E-3</v>
      </c>
      <c r="AA59" s="163">
        <f ca="1"/>
        <v>1.5962548899835838E-2</v>
      </c>
      <c r="AB59" s="163">
        <f ca="1"/>
        <v>0</v>
      </c>
      <c r="AC59" s="163">
        <f ca="1"/>
        <v>3.4481940603586003E-2</v>
      </c>
      <c r="AD59" s="163">
        <f ca="1"/>
        <v>5.6879013954041491E-2</v>
      </c>
      <c r="AE59" s="139">
        <f ca="1"/>
        <v>9.9123841139693081E-2</v>
      </c>
      <c r="AH59" s="136"/>
      <c r="AI59" s="136"/>
      <c r="AJ59" s="136"/>
      <c r="AK59" s="136"/>
      <c r="AM59" s="136"/>
      <c r="AN59" s="136"/>
      <c r="AO59" s="136"/>
      <c r="AQ59" s="136"/>
      <c r="AR59" s="136"/>
      <c r="AS59" s="136"/>
      <c r="AT59" s="136"/>
      <c r="AV59" s="136"/>
      <c r="AW59" s="136"/>
      <c r="AX59" s="136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7" t="s">
        <v>87</v>
      </c>
      <c r="F60" s="156">
        <v>5.9999999999999995E-4</v>
      </c>
      <c r="G60" s="156">
        <v>8.9999999999999998E-4</v>
      </c>
      <c r="H60" s="156">
        <v>1.2999999999999999E-3</v>
      </c>
      <c r="I60" s="156">
        <v>1.6999999999999999E-3</v>
      </c>
      <c r="J60" s="156" t="s">
        <v>87</v>
      </c>
      <c r="K60" s="156">
        <v>2.2000000000000001E-3</v>
      </c>
      <c r="L60" s="156">
        <v>2.5999999999999999E-3</v>
      </c>
      <c r="M60" s="156">
        <v>3.2000000000000002E-3</v>
      </c>
      <c r="N60" s="138" cm="1">
        <f t="array" aca="1" ref="N60:AE60" ca="1">IF(OR(B60="",NOT($J$2)),"",GetStripDefaultProbability(A60,B60,Parameter_Date,CDSRollDate,E60:M60,SpreadCurveMaturities,D60,C60,$J$4,$J$6))</f>
        <v>0</v>
      </c>
      <c r="O60" s="163">
        <f ca="1"/>
        <v>5.9844205622783253E-4</v>
      </c>
      <c r="P60" s="163">
        <f ca="1"/>
        <v>1.6571087313170807E-3</v>
      </c>
      <c r="Q60" s="163">
        <f ca="1"/>
        <v>4.5995704707495477E-3</v>
      </c>
      <c r="R60" s="163">
        <f ca="1"/>
        <v>8.9332780093670516E-3</v>
      </c>
      <c r="S60" s="163">
        <f ca="1"/>
        <v>0</v>
      </c>
      <c r="T60" s="163">
        <f ca="1"/>
        <v>1.9114621336515425E-2</v>
      </c>
      <c r="U60" s="163">
        <f ca="1"/>
        <v>3.1596377949782539E-2</v>
      </c>
      <c r="V60" s="139">
        <f ca="1"/>
        <v>5.5918411968390647E-2</v>
      </c>
      <c r="W60" s="138">
        <f ca="1"/>
        <v>0</v>
      </c>
      <c r="X60" s="163">
        <f ca="1"/>
        <v>6.9814675354706868E-4</v>
      </c>
      <c r="Y60" s="163">
        <f ca="1"/>
        <v>1.8234853480852964E-3</v>
      </c>
      <c r="Z60" s="163">
        <f ca="1"/>
        <v>4.9498414674888913E-3</v>
      </c>
      <c r="AA60" s="163">
        <f ca="1"/>
        <v>9.4486586597236633E-3</v>
      </c>
      <c r="AB60" s="163">
        <f ca="1"/>
        <v>0</v>
      </c>
      <c r="AC60" s="163">
        <f ca="1"/>
        <v>2.0045281828646511E-2</v>
      </c>
      <c r="AD60" s="163">
        <f ca="1"/>
        <v>3.3137560653481057E-2</v>
      </c>
      <c r="AE60" s="139">
        <f ca="1"/>
        <v>5.86266498374447E-2</v>
      </c>
      <c r="AH60" s="136"/>
      <c r="AI60" s="136"/>
      <c r="AJ60" s="136"/>
      <c r="AK60" s="136"/>
      <c r="AM60" s="136"/>
      <c r="AN60" s="136"/>
      <c r="AO60" s="136"/>
      <c r="AQ60" s="136"/>
      <c r="AR60" s="136"/>
      <c r="AS60" s="136"/>
      <c r="AT60" s="136"/>
      <c r="AV60" s="136"/>
      <c r="AW60" s="136"/>
      <c r="AX60" s="136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7" t="s">
        <v>87</v>
      </c>
      <c r="F61" s="156">
        <v>8.0000000000000004E-4</v>
      </c>
      <c r="G61" s="156">
        <v>1.1000000000000001E-3</v>
      </c>
      <c r="H61" s="156">
        <v>1.6000000000000001E-3</v>
      </c>
      <c r="I61" s="156">
        <v>1.8E-3</v>
      </c>
      <c r="J61" s="156" t="s">
        <v>87</v>
      </c>
      <c r="K61" s="156">
        <v>2.3999999999999998E-3</v>
      </c>
      <c r="L61" s="156">
        <v>2.8E-3</v>
      </c>
      <c r="M61" s="156">
        <v>3.5000000000000001E-3</v>
      </c>
      <c r="N61" s="138" cm="1">
        <f t="array" aca="1" ref="N61:AE61" ca="1">IF(OR(B61="",NOT($J$2)),"",GetStripDefaultProbability(A61,B61,Parameter_Date,CDSRollDate,E61:M61,SpreadCurveMaturities,D61,C61,$J$4,$J$6))</f>
        <v>0</v>
      </c>
      <c r="O61" s="163">
        <f ca="1"/>
        <v>7.978434025011083E-4</v>
      </c>
      <c r="P61" s="163">
        <f ca="1"/>
        <v>2.0233272289342796E-3</v>
      </c>
      <c r="Q61" s="163">
        <f ca="1"/>
        <v>5.6574997992197007E-3</v>
      </c>
      <c r="R61" s="163">
        <f ca="1"/>
        <v>9.4054199393686089E-3</v>
      </c>
      <c r="S61" s="163">
        <f ca="1"/>
        <v>0</v>
      </c>
      <c r="T61" s="163">
        <f ca="1"/>
        <v>2.0816888202580985E-2</v>
      </c>
      <c r="U61" s="163">
        <f ca="1"/>
        <v>3.3931137155015945E-2</v>
      </c>
      <c r="V61" s="139">
        <f ca="1"/>
        <v>6.1104628115612791E-2</v>
      </c>
      <c r="W61" s="138">
        <f ca="1"/>
        <v>0</v>
      </c>
      <c r="X61" s="163">
        <f ca="1"/>
        <v>8.9752759609718069E-4</v>
      </c>
      <c r="Y61" s="163">
        <f ca="1"/>
        <v>2.1896428143788338E-3</v>
      </c>
      <c r="Z61" s="163">
        <f ca="1"/>
        <v>6.0074214322639596E-3</v>
      </c>
      <c r="AA61" s="163">
        <f ca="1"/>
        <v>9.9204128845127304E-3</v>
      </c>
      <c r="AB61" s="163">
        <f ca="1"/>
        <v>0</v>
      </c>
      <c r="AC61" s="163">
        <f ca="1"/>
        <v>2.1836282031540311E-2</v>
      </c>
      <c r="AD61" s="163">
        <f ca="1"/>
        <v>3.559081037554046E-2</v>
      </c>
      <c r="AE61" s="139">
        <f ca="1"/>
        <v>6.4063587598686467E-2</v>
      </c>
      <c r="AH61" s="136"/>
      <c r="AI61" s="136"/>
      <c r="AJ61" s="136"/>
      <c r="AK61" s="136"/>
      <c r="AM61" s="136"/>
      <c r="AN61" s="136"/>
      <c r="AO61" s="136"/>
      <c r="AQ61" s="136"/>
      <c r="AR61" s="136"/>
      <c r="AS61" s="136"/>
      <c r="AT61" s="136"/>
      <c r="AV61" s="136"/>
      <c r="AW61" s="136"/>
      <c r="AX61" s="136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7" t="s">
        <v>87</v>
      </c>
      <c r="F62" s="156">
        <v>5.0000000000000001E-4</v>
      </c>
      <c r="G62" s="156">
        <v>5.9999999999999995E-4</v>
      </c>
      <c r="H62" s="156">
        <v>1.1999999999999999E-3</v>
      </c>
      <c r="I62" s="156">
        <v>1.6999999999999999E-3</v>
      </c>
      <c r="J62" s="156" t="s">
        <v>87</v>
      </c>
      <c r="K62" s="156">
        <v>2.7000000000000001E-3</v>
      </c>
      <c r="L62" s="156">
        <v>3.3E-3</v>
      </c>
      <c r="M62" s="156">
        <v>4.0000000000000001E-3</v>
      </c>
      <c r="N62" s="138" cm="1">
        <f t="array" aca="1" ref="N62:AE62" ca="1">IF(OR(B62="",NOT($J$2)),"",GetStripDefaultProbability(A62,B62,Parameter_Date,CDSRollDate,E62:M62,SpreadCurveMaturities,D62,C62,$J$4,$J$6))</f>
        <v>0</v>
      </c>
      <c r="O62" s="163">
        <f ca="1"/>
        <v>4.9872651070981266E-4</v>
      </c>
      <c r="P62" s="163">
        <f ca="1"/>
        <v>1.1024469251739166E-3</v>
      </c>
      <c r="Q62" s="163">
        <f ca="1"/>
        <v>4.2625428447867764E-3</v>
      </c>
      <c r="R62" s="163">
        <f ca="1"/>
        <v>8.9721625653722548E-3</v>
      </c>
      <c r="S62" s="163">
        <f ca="1"/>
        <v>0</v>
      </c>
      <c r="T62" s="163">
        <f ca="1"/>
        <v>2.3680235822909568E-2</v>
      </c>
      <c r="U62" s="163">
        <f ca="1"/>
        <v>4.036107713797854E-2</v>
      </c>
      <c r="V62" s="139">
        <f ca="1"/>
        <v>6.9772753598174142E-2</v>
      </c>
      <c r="W62" s="138">
        <f ca="1"/>
        <v>0</v>
      </c>
      <c r="X62" s="163">
        <f ca="1"/>
        <v>5.9844139207421154E-4</v>
      </c>
      <c r="Y62" s="163">
        <f ca="1"/>
        <v>1.2689159778730419E-3</v>
      </c>
      <c r="Z62" s="163">
        <f ca="1"/>
        <v>4.6129737567995877E-3</v>
      </c>
      <c r="AA62" s="163">
        <f ca="1"/>
        <v>9.4876568056634358E-3</v>
      </c>
      <c r="AB62" s="163">
        <f ca="1"/>
        <v>0</v>
      </c>
      <c r="AC62" s="163">
        <f ca="1"/>
        <v>2.4833245917964208E-2</v>
      </c>
      <c r="AD62" s="163">
        <f ca="1"/>
        <v>4.2326483623173816E-2</v>
      </c>
      <c r="AE62" s="139">
        <f ca="1"/>
        <v>7.3133862857459486E-2</v>
      </c>
      <c r="AH62" s="136"/>
      <c r="AI62" s="136"/>
      <c r="AJ62" s="136"/>
      <c r="AK62" s="136"/>
      <c r="AM62" s="136"/>
      <c r="AN62" s="136"/>
      <c r="AO62" s="136"/>
      <c r="AQ62" s="136"/>
      <c r="AR62" s="136"/>
      <c r="AS62" s="136"/>
      <c r="AT62" s="136"/>
      <c r="AV62" s="136"/>
      <c r="AW62" s="136"/>
      <c r="AX62" s="136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7" t="s">
        <v>87</v>
      </c>
      <c r="F63" s="156">
        <v>1E-3</v>
      </c>
      <c r="G63" s="156">
        <v>1.1999999999999999E-3</v>
      </c>
      <c r="H63" s="156">
        <v>1.5E-3</v>
      </c>
      <c r="I63" s="156">
        <v>2.2000000000000001E-3</v>
      </c>
      <c r="J63" s="156" t="s">
        <v>87</v>
      </c>
      <c r="K63" s="156">
        <v>3.0000000000000001E-3</v>
      </c>
      <c r="L63" s="156">
        <v>3.5999999999999999E-3</v>
      </c>
      <c r="M63" s="156">
        <v>4.5999999999999999E-3</v>
      </c>
      <c r="N63" s="138" cm="1">
        <f t="array" aca="1" ref="N63:AE63" ca="1">IF(OR(B63="",NOT($J$2)),"",GetStripDefaultProbability(A63,B63,Parameter_Date,CDSRollDate,E63:M63,SpreadCurveMaturities,D63,C63,$J$4,$J$6))</f>
        <v>0</v>
      </c>
      <c r="O63" s="163">
        <f ca="1"/>
        <v>9.9720509892320397E-4</v>
      </c>
      <c r="P63" s="163">
        <f ca="1"/>
        <v>2.2037913368142537E-3</v>
      </c>
      <c r="Q63" s="163">
        <f ca="1"/>
        <v>5.2871870230128959E-3</v>
      </c>
      <c r="R63" s="163">
        <f ca="1"/>
        <v>1.1571869795035772E-2</v>
      </c>
      <c r="S63" s="163">
        <f ca="1"/>
        <v>0</v>
      </c>
      <c r="T63" s="163">
        <f ca="1"/>
        <v>2.6086178611028576E-2</v>
      </c>
      <c r="U63" s="163">
        <f ca="1"/>
        <v>4.3697962093462661E-2</v>
      </c>
      <c r="V63" s="139">
        <f ca="1"/>
        <v>8.0217145409771873E-2</v>
      </c>
      <c r="W63" s="138">
        <f ca="1"/>
        <v>0</v>
      </c>
      <c r="X63" s="163">
        <f ca="1"/>
        <v>1.0968686047534426E-3</v>
      </c>
      <c r="Y63" s="163">
        <f ca="1"/>
        <v>2.3700768474069767E-3</v>
      </c>
      <c r="Z63" s="163">
        <f ca="1"/>
        <v>5.6371735218695429E-3</v>
      </c>
      <c r="AA63" s="163">
        <f ca="1"/>
        <v>1.2140057616339406E-2</v>
      </c>
      <c r="AB63" s="163">
        <f ca="1"/>
        <v>0</v>
      </c>
      <c r="AC63" s="163">
        <f ca="1"/>
        <v>2.7367359811453329E-2</v>
      </c>
      <c r="AD63" s="163">
        <f ca="1"/>
        <v>4.5833945125681175E-2</v>
      </c>
      <c r="AE63" s="139">
        <f ca="1"/>
        <v>8.4075689656123442E-2</v>
      </c>
      <c r="AH63" s="136"/>
      <c r="AI63" s="136"/>
      <c r="AJ63" s="136"/>
      <c r="AK63" s="136"/>
      <c r="AM63" s="136"/>
      <c r="AN63" s="136"/>
      <c r="AO63" s="136"/>
      <c r="AQ63" s="136"/>
      <c r="AR63" s="136"/>
      <c r="AS63" s="136"/>
      <c r="AT63" s="136"/>
      <c r="AV63" s="136"/>
      <c r="AW63" s="136"/>
      <c r="AX63" s="136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7" t="s">
        <v>87</v>
      </c>
      <c r="F64" s="156">
        <v>2.9999999999999997E-4</v>
      </c>
      <c r="G64" s="156">
        <v>5.0000000000000001E-4</v>
      </c>
      <c r="H64" s="156">
        <v>1E-3</v>
      </c>
      <c r="I64" s="156">
        <v>1.5E-3</v>
      </c>
      <c r="J64" s="156" t="s">
        <v>87</v>
      </c>
      <c r="K64" s="156">
        <v>2.3E-3</v>
      </c>
      <c r="L64" s="156">
        <v>2.8999999999999998E-3</v>
      </c>
      <c r="M64" s="156">
        <v>3.3999999999999998E-3</v>
      </c>
      <c r="N64" s="138" cm="1">
        <f t="array" aca="1" ref="N64:AE64" ca="1">IF(OR(B64="",NOT($J$2)),"",GetStripDefaultProbability(A64,B64,Parameter_Date,CDSRollDate,E64:M64,SpreadCurveMaturities,D64,C64,$J$4,$J$6))</f>
        <v>0</v>
      </c>
      <c r="O64" s="163">
        <f ca="1"/>
        <v>2.9926566746929506E-4</v>
      </c>
      <c r="P64" s="163">
        <f ca="1"/>
        <v>9.2173632679792838E-4</v>
      </c>
      <c r="Q64" s="163">
        <f ca="1"/>
        <v>3.5560262748963734E-3</v>
      </c>
      <c r="R64" s="163">
        <f ca="1"/>
        <v>7.9349086715492234E-3</v>
      </c>
      <c r="S64" s="163">
        <f ca="1"/>
        <v>0</v>
      </c>
      <c r="T64" s="163">
        <f ca="1"/>
        <v>2.0183941271042727E-2</v>
      </c>
      <c r="U64" s="163">
        <f ca="1"/>
        <v>3.5611839707859971E-2</v>
      </c>
      <c r="V64" s="139">
        <f ca="1"/>
        <v>5.9350411945918391E-2</v>
      </c>
      <c r="W64" s="138">
        <f ca="1"/>
        <v>0</v>
      </c>
      <c r="X64" s="163">
        <f ca="1"/>
        <v>3.9900078367871572E-4</v>
      </c>
      <c r="Y64" s="163">
        <f ca="1"/>
        <v>1.088235495418588E-3</v>
      </c>
      <c r="Z64" s="163">
        <f ca="1"/>
        <v>3.9066887490182278E-3</v>
      </c>
      <c r="AA64" s="163">
        <f ca="1"/>
        <v>8.4509251940650953E-3</v>
      </c>
      <c r="AB64" s="163">
        <f ca="1"/>
        <v>0</v>
      </c>
      <c r="AC64" s="163">
        <f ca="1"/>
        <v>2.1159478323862557E-2</v>
      </c>
      <c r="AD64" s="163">
        <f ca="1"/>
        <v>3.7341413057054518E-2</v>
      </c>
      <c r="AE64" s="139">
        <f ca="1"/>
        <v>6.221441220832169E-2</v>
      </c>
      <c r="AH64" s="136"/>
      <c r="AI64" s="136"/>
      <c r="AJ64" s="136"/>
      <c r="AK64" s="136"/>
      <c r="AM64" s="136"/>
      <c r="AN64" s="136"/>
      <c r="AO64" s="136"/>
      <c r="AQ64" s="136"/>
      <c r="AR64" s="136"/>
      <c r="AS64" s="136"/>
      <c r="AT64" s="136"/>
      <c r="AV64" s="136"/>
      <c r="AW64" s="136"/>
      <c r="AX64" s="136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7" t="s">
        <v>87</v>
      </c>
      <c r="F65" s="156">
        <v>2.9999999999999997E-4</v>
      </c>
      <c r="G65" s="156">
        <v>5.0000000000000001E-4</v>
      </c>
      <c r="H65" s="156">
        <v>1E-3</v>
      </c>
      <c r="I65" s="156">
        <v>1.2999999999999999E-3</v>
      </c>
      <c r="J65" s="156" t="s">
        <v>87</v>
      </c>
      <c r="K65" s="156">
        <v>2E-3</v>
      </c>
      <c r="L65" s="156">
        <v>2.3999999999999998E-3</v>
      </c>
      <c r="M65" s="156">
        <v>2.8999999999999998E-3</v>
      </c>
      <c r="N65" s="138" cm="1">
        <f t="array" aca="1" ref="N65:AE65" ca="1">IF(OR(B65="",NOT($J$2)),"",GetStripDefaultProbability(A65,B65,Parameter_Date,CDSRollDate,E65:M65,SpreadCurveMaturities,D65,C65,$J$4,$J$6))</f>
        <v>0</v>
      </c>
      <c r="O65" s="163">
        <f ca="1"/>
        <v>2.9926566746929506E-4</v>
      </c>
      <c r="P65" s="163">
        <f ca="1"/>
        <v>9.2173632679792838E-4</v>
      </c>
      <c r="Q65" s="163">
        <f ca="1"/>
        <v>3.5560262748963734E-3</v>
      </c>
      <c r="R65" s="163">
        <f ca="1"/>
        <v>6.8520431961853756E-3</v>
      </c>
      <c r="S65" s="163">
        <f ca="1"/>
        <v>0</v>
      </c>
      <c r="T65" s="163">
        <f ca="1"/>
        <v>1.7541645365925729E-2</v>
      </c>
      <c r="U65" s="163">
        <f ca="1"/>
        <v>2.9388887276754483E-2</v>
      </c>
      <c r="V65" s="139">
        <f ca="1"/>
        <v>5.0845887518815025E-2</v>
      </c>
      <c r="W65" s="138">
        <f ca="1"/>
        <v>0</v>
      </c>
      <c r="X65" s="163">
        <f ca="1"/>
        <v>3.9900078367871572E-4</v>
      </c>
      <c r="Y65" s="163">
        <f ca="1"/>
        <v>1.088235495418588E-3</v>
      </c>
      <c r="Z65" s="163">
        <f ca="1"/>
        <v>3.9066887490182278E-3</v>
      </c>
      <c r="AA65" s="163">
        <f ca="1"/>
        <v>7.3684529247277641E-3</v>
      </c>
      <c r="AB65" s="163">
        <f ca="1"/>
        <v>0</v>
      </c>
      <c r="AC65" s="163">
        <f ca="1"/>
        <v>1.8383476286491507E-2</v>
      </c>
      <c r="AD65" s="163">
        <f ca="1"/>
        <v>3.0811561335048254E-2</v>
      </c>
      <c r="AE65" s="139">
        <f ca="1"/>
        <v>5.3301726757999268E-2</v>
      </c>
      <c r="AH65" s="136"/>
      <c r="AI65" s="136"/>
      <c r="AJ65" s="136"/>
      <c r="AK65" s="136"/>
      <c r="AM65" s="136"/>
      <c r="AN65" s="136"/>
      <c r="AO65" s="136"/>
      <c r="AQ65" s="136"/>
      <c r="AR65" s="136"/>
      <c r="AS65" s="136"/>
      <c r="AT65" s="136"/>
      <c r="AV65" s="136"/>
      <c r="AW65" s="136"/>
      <c r="AX65" s="136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7" t="s">
        <v>87</v>
      </c>
      <c r="F66" s="156">
        <v>2.0000000000000001E-4</v>
      </c>
      <c r="G66" s="156">
        <v>5.0000000000000001E-4</v>
      </c>
      <c r="H66" s="156">
        <v>1.1000000000000001E-3</v>
      </c>
      <c r="I66" s="156">
        <v>1.4E-3</v>
      </c>
      <c r="J66" s="156" t="s">
        <v>87</v>
      </c>
      <c r="K66" s="156">
        <v>2.0999999999999999E-3</v>
      </c>
      <c r="L66" s="156">
        <v>2.5000000000000001E-3</v>
      </c>
      <c r="M66" s="156">
        <v>3.0000000000000001E-3</v>
      </c>
      <c r="N66" s="138" cm="1">
        <f t="array" aca="1" ref="N66:AE66" ca="1">IF(OR(B66="",NOT($J$2)),"",GetStripDefaultProbability(A66,B66,Parameter_Date,CDSRollDate,E66:M66,SpreadCurveMaturities,D66,C66,$J$4,$J$6))</f>
        <v>0</v>
      </c>
      <c r="O66" s="163">
        <f ca="1"/>
        <v>1.9952036681669671E-4</v>
      </c>
      <c r="P66" s="163">
        <f ca="1"/>
        <v>9.2426851716076452E-4</v>
      </c>
      <c r="Q66" s="163">
        <f ca="1"/>
        <v>3.9176970674391631E-3</v>
      </c>
      <c r="R66" s="163">
        <f ca="1"/>
        <v>7.3795696099634434E-3</v>
      </c>
      <c r="S66" s="163">
        <f ca="1"/>
        <v>0</v>
      </c>
      <c r="T66" s="163">
        <f ca="1"/>
        <v>1.8395708065234051E-2</v>
      </c>
      <c r="U66" s="163">
        <f ca="1"/>
        <v>3.0560872996133193E-2</v>
      </c>
      <c r="V66" s="139">
        <f ca="1"/>
        <v>5.2476884670437873E-2</v>
      </c>
      <c r="W66" s="138">
        <f ca="1"/>
        <v>0</v>
      </c>
      <c r="X66" s="163">
        <f ca="1"/>
        <v>2.9926553473869077E-4</v>
      </c>
      <c r="Y66" s="163">
        <f ca="1"/>
        <v>1.0907672637936461E-3</v>
      </c>
      <c r="Z66" s="163">
        <f ca="1"/>
        <v>4.2682704546526118E-3</v>
      </c>
      <c r="AA66" s="163">
        <f ca="1"/>
        <v>7.8957467083987654E-3</v>
      </c>
      <c r="AB66" s="163">
        <f ca="1"/>
        <v>0</v>
      </c>
      <c r="AC66" s="163">
        <f ca="1"/>
        <v>1.928210003600539E-2</v>
      </c>
      <c r="AD66" s="163">
        <f ca="1"/>
        <v>3.2043108266404663E-2</v>
      </c>
      <c r="AE66" s="139">
        <f ca="1"/>
        <v>5.5012714129258344E-2</v>
      </c>
      <c r="AH66" s="136"/>
      <c r="AI66" s="136"/>
      <c r="AJ66" s="136"/>
      <c r="AK66" s="136"/>
      <c r="AM66" s="136"/>
      <c r="AN66" s="136"/>
      <c r="AO66" s="136"/>
      <c r="AQ66" s="136"/>
      <c r="AR66" s="136"/>
      <c r="AS66" s="136"/>
      <c r="AT66" s="136"/>
      <c r="AV66" s="136"/>
      <c r="AW66" s="136"/>
      <c r="AX66" s="136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7" t="s">
        <v>87</v>
      </c>
      <c r="F67" s="156">
        <v>8.5999999999999998E-4</v>
      </c>
      <c r="G67" s="156">
        <v>1.2999999999999999E-3</v>
      </c>
      <c r="H67" s="156">
        <v>1.98E-3</v>
      </c>
      <c r="I67" s="156">
        <v>2.4099999999999998E-3</v>
      </c>
      <c r="J67" s="156" t="s">
        <v>87</v>
      </c>
      <c r="K67" s="156">
        <v>3.0999999999999999E-3</v>
      </c>
      <c r="L67" s="156">
        <v>3.5400000000000002E-3</v>
      </c>
      <c r="M67" s="156">
        <v>4.0000000000000001E-3</v>
      </c>
      <c r="N67" s="138" cm="1">
        <f t="array" aca="1" ref="N67:AE67" ca="1">IF(OR(B67="",NOT($J$2)),"",GetStripDefaultProbability(A67,B67,Parameter_Date,CDSRollDate,E67:M67,SpreadCurveMaturities,D67,C67,$J$4,$J$6))</f>
        <v>0</v>
      </c>
      <c r="O67" s="163">
        <f ca="1"/>
        <v>8.5765607412002787E-4</v>
      </c>
      <c r="P67" s="163">
        <f ca="1"/>
        <v>2.3930569121991541E-3</v>
      </c>
      <c r="Q67" s="163">
        <f ca="1"/>
        <v>7.0048800157395119E-3</v>
      </c>
      <c r="R67" s="163">
        <f ca="1"/>
        <v>1.2620911643993815E-2</v>
      </c>
      <c r="S67" s="163">
        <f ca="1"/>
        <v>0</v>
      </c>
      <c r="T67" s="163">
        <f ca="1"/>
        <v>2.6818034659598755E-2</v>
      </c>
      <c r="U67" s="163">
        <f ca="1"/>
        <v>4.264815782431064E-2</v>
      </c>
      <c r="V67" s="139">
        <f ca="1"/>
        <v>6.8484187456989254E-2</v>
      </c>
      <c r="W67" s="138">
        <f ca="1"/>
        <v>0</v>
      </c>
      <c r="X67" s="163">
        <f ca="1"/>
        <v>9.5733408086196015E-4</v>
      </c>
      <c r="Y67" s="163">
        <f ca="1"/>
        <v>2.5593108811567955E-3</v>
      </c>
      <c r="Z67" s="163">
        <f ca="1"/>
        <v>7.3543787097243296E-3</v>
      </c>
      <c r="AA67" s="163">
        <f ca="1"/>
        <v>1.324507342691128E-2</v>
      </c>
      <c r="AB67" s="163">
        <f ca="1"/>
        <v>0</v>
      </c>
      <c r="AC67" s="163">
        <f ca="1"/>
        <v>2.813866188376124E-2</v>
      </c>
      <c r="AD67" s="163">
        <f ca="1"/>
        <v>4.4736153566496517E-2</v>
      </c>
      <c r="AE67" s="139">
        <f ca="1"/>
        <v>7.1793359152748093E-2</v>
      </c>
      <c r="AH67" s="136"/>
      <c r="AI67" s="136"/>
      <c r="AJ67" s="136"/>
      <c r="AK67" s="136"/>
      <c r="AM67" s="136"/>
      <c r="AN67" s="136"/>
      <c r="AO67" s="136"/>
      <c r="AQ67" s="136"/>
      <c r="AR67" s="136"/>
      <c r="AS67" s="136"/>
      <c r="AT67" s="136"/>
      <c r="AV67" s="136"/>
      <c r="AW67" s="136"/>
      <c r="AX67" s="136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7" t="s">
        <v>87</v>
      </c>
      <c r="F68" s="156">
        <v>1E-3</v>
      </c>
      <c r="G68" s="156">
        <v>1.8E-3</v>
      </c>
      <c r="H68" s="156">
        <v>2.5000000000000001E-3</v>
      </c>
      <c r="I68" s="156">
        <v>3.7000000000000002E-3</v>
      </c>
      <c r="J68" s="156" t="s">
        <v>87</v>
      </c>
      <c r="K68" s="156">
        <v>5.4999999999999997E-3</v>
      </c>
      <c r="L68" s="156">
        <v>6.8999999999999999E-3</v>
      </c>
      <c r="M68" s="156">
        <v>8.3000000000000001E-3</v>
      </c>
      <c r="N68" s="138" cm="1">
        <f t="array" aca="1" ref="N68:AE68" ca="1">IF(OR(B68="",NOT($J$2)),"",GetStripDefaultProbability(A68,B68,Parameter_Date,CDSRollDate,E68:M68,SpreadCurveMaturities,D68,C68,$J$4,$J$6))</f>
        <v>0</v>
      </c>
      <c r="O68" s="163">
        <f ca="1"/>
        <v>9.9720509892320397E-4</v>
      </c>
      <c r="P68" s="163">
        <f ca="1"/>
        <v>3.3172791679404456E-3</v>
      </c>
      <c r="Q68" s="163">
        <f ca="1"/>
        <v>8.8298987099990622E-3</v>
      </c>
      <c r="R68" s="163">
        <f ca="1"/>
        <v>1.9443868516324625E-2</v>
      </c>
      <c r="S68" s="163">
        <f ca="1"/>
        <v>0</v>
      </c>
      <c r="T68" s="163">
        <f ca="1"/>
        <v>4.7679529923441044E-2</v>
      </c>
      <c r="U68" s="163">
        <f ca="1"/>
        <v>8.3106842757693311E-2</v>
      </c>
      <c r="V68" s="139">
        <f ca="1"/>
        <v>0.14062233603169283</v>
      </c>
      <c r="W68" s="138">
        <f ca="1"/>
        <v>0</v>
      </c>
      <c r="X68" s="163">
        <f ca="1"/>
        <v>1.0968686047534426E-3</v>
      </c>
      <c r="Y68" s="163">
        <f ca="1"/>
        <v>3.483379112706575E-3</v>
      </c>
      <c r="Z68" s="163">
        <f ca="1"/>
        <v>9.2682069363994035E-3</v>
      </c>
      <c r="AA68" s="163">
        <f ca="1"/>
        <v>2.0407050273610783E-2</v>
      </c>
      <c r="AB68" s="163">
        <f ca="1"/>
        <v>0</v>
      </c>
      <c r="AC68" s="163">
        <f ca="1"/>
        <v>5.0011436807639309E-2</v>
      </c>
      <c r="AD68" s="163">
        <f ca="1"/>
        <v>8.711548361067567E-2</v>
      </c>
      <c r="AE68" s="139">
        <f ca="1"/>
        <v>0.14725471038341298</v>
      </c>
      <c r="AH68" s="136"/>
      <c r="AI68" s="136"/>
      <c r="AJ68" s="136"/>
      <c r="AK68" s="136"/>
      <c r="AM68" s="136"/>
      <c r="AN68" s="136"/>
      <c r="AO68" s="136"/>
      <c r="AQ68" s="136"/>
      <c r="AR68" s="136"/>
      <c r="AS68" s="136"/>
      <c r="AT68" s="136"/>
      <c r="AV68" s="136"/>
      <c r="AW68" s="136"/>
      <c r="AX68" s="136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7" t="s">
        <v>87</v>
      </c>
      <c r="F69" s="156">
        <v>1.6999999999999999E-3</v>
      </c>
      <c r="G69" s="156">
        <v>2.0999999999999999E-3</v>
      </c>
      <c r="H69" s="156">
        <v>2.8999999999999998E-3</v>
      </c>
      <c r="I69" s="156">
        <v>4.4000000000000003E-3</v>
      </c>
      <c r="J69" s="156" t="s">
        <v>87</v>
      </c>
      <c r="K69" s="156">
        <v>6.0000000000000001E-3</v>
      </c>
      <c r="L69" s="156">
        <v>7.4999999999999997E-3</v>
      </c>
      <c r="M69" s="156">
        <v>9.1999999999999998E-3</v>
      </c>
      <c r="N69" s="138" cm="1">
        <f t="array" aca="1" ref="N69:AE69" ca="1">IF(OR(B69="",NOT($J$2)),"",GetStripDefaultProbability(A69,B69,Parameter_Date,CDSRollDate,E69:M69,SpreadCurveMaturities,D69,C69,$J$4,$J$6))</f>
        <v>0</v>
      </c>
      <c r="O69" s="163">
        <f ca="1"/>
        <v>1.6946589644637466E-3</v>
      </c>
      <c r="P69" s="163">
        <f ca="1"/>
        <v>3.855080947753331E-3</v>
      </c>
      <c r="Q69" s="163">
        <f ca="1"/>
        <v>1.0221301733752242E-2</v>
      </c>
      <c r="R69" s="163">
        <f ca="1"/>
        <v>2.3093926471777659E-2</v>
      </c>
      <c r="S69" s="163">
        <f ca="1"/>
        <v>0</v>
      </c>
      <c r="T69" s="163">
        <f ca="1"/>
        <v>5.1713765507856113E-2</v>
      </c>
      <c r="U69" s="163">
        <f ca="1"/>
        <v>8.9839920047974919E-2</v>
      </c>
      <c r="V69" s="139">
        <f ca="1"/>
        <v>0.15516983471304124</v>
      </c>
      <c r="W69" s="138">
        <f ca="1"/>
        <v>0</v>
      </c>
      <c r="X69" s="163">
        <f ca="1"/>
        <v>1.7942485595207058E-3</v>
      </c>
      <c r="Y69" s="163">
        <f ca="1"/>
        <v>4.0470738514851723E-3</v>
      </c>
      <c r="Z69" s="163">
        <f ca="1"/>
        <v>1.0729505694067276E-2</v>
      </c>
      <c r="AA69" s="163">
        <f ca="1"/>
        <v>2.4237519217238046E-2</v>
      </c>
      <c r="AB69" s="163">
        <f ca="1"/>
        <v>0</v>
      </c>
      <c r="AC69" s="163">
        <f ca="1"/>
        <v>5.4238205191427302E-2</v>
      </c>
      <c r="AD69" s="163">
        <f ca="1"/>
        <v>9.4158028444277675E-2</v>
      </c>
      <c r="AE69" s="139">
        <f ca="1"/>
        <v>0.16244527210310866</v>
      </c>
      <c r="AH69" s="136"/>
      <c r="AI69" s="136"/>
      <c r="AJ69" s="136"/>
      <c r="AK69" s="136"/>
      <c r="AM69" s="136"/>
      <c r="AN69" s="136"/>
      <c r="AO69" s="136"/>
      <c r="AQ69" s="136"/>
      <c r="AR69" s="136"/>
      <c r="AS69" s="136"/>
      <c r="AT69" s="136"/>
      <c r="AV69" s="136"/>
      <c r="AW69" s="136"/>
      <c r="AX69" s="136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7" t="s">
        <v>87</v>
      </c>
      <c r="F70" s="156">
        <v>4.0000000000000002E-4</v>
      </c>
      <c r="G70" s="156">
        <v>8.9999999999999998E-4</v>
      </c>
      <c r="H70" s="156">
        <v>1.5E-3</v>
      </c>
      <c r="I70" s="156">
        <v>2.2000000000000001E-3</v>
      </c>
      <c r="J70" s="156" t="s">
        <v>87</v>
      </c>
      <c r="K70" s="156">
        <v>3.5000000000000001E-3</v>
      </c>
      <c r="L70" s="156">
        <v>4.4999999999999997E-3</v>
      </c>
      <c r="M70" s="156">
        <v>5.5999999999999999E-3</v>
      </c>
      <c r="N70" s="138" cm="1">
        <f t="array" aca="1" ref="N70:AE70" ca="1">IF(OR(B70="",NOT($J$2)),"",GetStripDefaultProbability(A70,B70,Parameter_Date,CDSRollDate,E70:M70,SpreadCurveMaturities,D70,C70,$J$4,$J$6))</f>
        <v>0</v>
      </c>
      <c r="O70" s="163">
        <f ca="1"/>
        <v>3.9900104827061966E-4</v>
      </c>
      <c r="P70" s="163">
        <f ca="1"/>
        <v>1.6622452761001494E-3</v>
      </c>
      <c r="Q70" s="163">
        <f ca="1"/>
        <v>5.3223223809408804E-3</v>
      </c>
      <c r="R70" s="163">
        <f ca="1"/>
        <v>1.1607766743442327E-2</v>
      </c>
      <c r="S70" s="163">
        <f ca="1"/>
        <v>0</v>
      </c>
      <c r="T70" s="163">
        <f ca="1"/>
        <v>3.0632644099777395E-2</v>
      </c>
      <c r="U70" s="163">
        <f ca="1"/>
        <v>5.4998043950884257E-2</v>
      </c>
      <c r="V70" s="139">
        <f ca="1"/>
        <v>9.7256041923757586E-2</v>
      </c>
      <c r="W70" s="138">
        <f ca="1"/>
        <v>0</v>
      </c>
      <c r="X70" s="163">
        <f ca="1"/>
        <v>4.9872606913303752E-4</v>
      </c>
      <c r="Y70" s="163">
        <f ca="1"/>
        <v>1.828621036846334E-3</v>
      </c>
      <c r="Z70" s="163">
        <f ca="1"/>
        <v>5.672412455043796E-3</v>
      </c>
      <c r="AA70" s="163">
        <f ca="1"/>
        <v>1.2176078828268766E-2</v>
      </c>
      <c r="AB70" s="163">
        <f ca="1"/>
        <v>0</v>
      </c>
      <c r="AC70" s="163">
        <f ca="1"/>
        <v>3.213429048840144E-2</v>
      </c>
      <c r="AD70" s="163">
        <f ca="1"/>
        <v>5.7676736276804808E-2</v>
      </c>
      <c r="AE70" s="139">
        <f ca="1"/>
        <v>0.10192808369905448</v>
      </c>
      <c r="AH70" s="136"/>
      <c r="AI70" s="136"/>
      <c r="AJ70" s="136"/>
      <c r="AK70" s="136"/>
      <c r="AM70" s="136"/>
      <c r="AN70" s="136"/>
      <c r="AO70" s="136"/>
      <c r="AQ70" s="136"/>
      <c r="AR70" s="136"/>
      <c r="AS70" s="136"/>
      <c r="AT70" s="136"/>
      <c r="AV70" s="136"/>
      <c r="AW70" s="136"/>
      <c r="AX70" s="136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7" t="s">
        <v>87</v>
      </c>
      <c r="F71" s="156">
        <v>1.15E-3</v>
      </c>
      <c r="G71" s="156">
        <v>1.4400000000000001E-3</v>
      </c>
      <c r="H71" s="156">
        <v>2.0100000000000001E-3</v>
      </c>
      <c r="I71" s="156">
        <v>2.3600000000000001E-3</v>
      </c>
      <c r="J71" s="156" t="s">
        <v>87</v>
      </c>
      <c r="K71" s="156">
        <v>3.0000000000000001E-3</v>
      </c>
      <c r="L71" s="156">
        <v>3.4299999999999999E-3</v>
      </c>
      <c r="M71" s="156">
        <v>3.8999999999999998E-3</v>
      </c>
      <c r="N71" s="138" cm="1">
        <f t="array" aca="1" ref="N71:AE71" ca="1">IF(OR(B71="",NOT($J$2)),"",GetStripDefaultProbability(A71,B71,Parameter_Date,CDSRollDate,E71:M71,SpreadCurveMaturities,D71,C71,$J$4,$J$6))</f>
        <v>0</v>
      </c>
      <c r="O71" s="163">
        <f ca="1"/>
        <v>1.1467003581168145E-3</v>
      </c>
      <c r="P71" s="163">
        <f ca="1"/>
        <v>2.6453287688613658E-3</v>
      </c>
      <c r="Q71" s="163">
        <f ca="1"/>
        <v>7.0954184077761662E-3</v>
      </c>
      <c r="R71" s="163">
        <f ca="1"/>
        <v>1.2328832631246511E-2</v>
      </c>
      <c r="S71" s="163">
        <f ca="1"/>
        <v>0</v>
      </c>
      <c r="T71" s="163">
        <f ca="1"/>
        <v>2.5913602803711022E-2</v>
      </c>
      <c r="U71" s="163">
        <f ca="1"/>
        <v>4.1301864917358766E-2</v>
      </c>
      <c r="V71" s="139">
        <f ca="1"/>
        <v>6.684117255026889E-2</v>
      </c>
      <c r="W71" s="138">
        <f ca="1"/>
        <v>0</v>
      </c>
      <c r="X71" s="163">
        <f ca="1"/>
        <v>1.2463482251061642E-3</v>
      </c>
      <c r="Y71" s="163">
        <f ca="1"/>
        <v>2.8115406960133038E-3</v>
      </c>
      <c r="Z71" s="163">
        <f ca="1"/>
        <v>7.4466302947487906E-3</v>
      </c>
      <c r="AA71" s="163">
        <f ca="1"/>
        <v>1.293945323210699E-2</v>
      </c>
      <c r="AB71" s="163">
        <f ca="1"/>
        <v>0</v>
      </c>
      <c r="AC71" s="163">
        <f ca="1"/>
        <v>2.7190941969569615E-2</v>
      </c>
      <c r="AD71" s="163">
        <f ca="1"/>
        <v>4.3325868696201253E-2</v>
      </c>
      <c r="AE71" s="139">
        <f ca="1"/>
        <v>7.0074543970074399E-2</v>
      </c>
      <c r="AH71" s="136"/>
      <c r="AI71" s="136"/>
      <c r="AJ71" s="136"/>
      <c r="AK71" s="136"/>
      <c r="AM71" s="136"/>
      <c r="AN71" s="136"/>
      <c r="AO71" s="136"/>
      <c r="AQ71" s="136"/>
      <c r="AR71" s="136"/>
      <c r="AS71" s="136"/>
      <c r="AT71" s="136"/>
      <c r="AV71" s="136"/>
      <c r="AW71" s="136"/>
      <c r="AX71" s="136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7" t="s">
        <v>87</v>
      </c>
      <c r="F72" s="156">
        <v>6.9999999999999999E-4</v>
      </c>
      <c r="G72" s="156">
        <v>1.1999999999999999E-3</v>
      </c>
      <c r="H72" s="156">
        <v>2.3999999999999998E-3</v>
      </c>
      <c r="I72" s="156">
        <v>3.2000000000000002E-3</v>
      </c>
      <c r="J72" s="156" t="s">
        <v>87</v>
      </c>
      <c r="K72" s="156">
        <v>4.7000000000000002E-3</v>
      </c>
      <c r="L72" s="156">
        <v>5.5999999999999999E-3</v>
      </c>
      <c r="M72" s="156">
        <v>7.1000000000000004E-3</v>
      </c>
      <c r="N72" s="138" cm="1">
        <f t="array" aca="1" ref="N72:AE72" ca="1">IF(OR(B72="",NOT($J$2)),"",GetStripDefaultProbability(A72,B72,Parameter_Date,CDSRollDate,E72:M72,SpreadCurveMaturities,D72,C72,$J$4,$J$6))</f>
        <v>0</v>
      </c>
      <c r="O72" s="163">
        <f ca="1"/>
        <v>6.98147686336692E-4</v>
      </c>
      <c r="P72" s="163">
        <f ca="1"/>
        <v>2.2115762542517237E-3</v>
      </c>
      <c r="Q72" s="163">
        <f ca="1"/>
        <v>8.5201941173354001E-3</v>
      </c>
      <c r="R72" s="163">
        <f ca="1"/>
        <v>1.6819064438943543E-2</v>
      </c>
      <c r="S72" s="163">
        <f ca="1"/>
        <v>0</v>
      </c>
      <c r="T72" s="163">
        <f ca="1"/>
        <v>4.0809746754992049E-2</v>
      </c>
      <c r="U72" s="163">
        <f ca="1"/>
        <v>6.7469574904116758E-2</v>
      </c>
      <c r="V72" s="139">
        <f ca="1"/>
        <v>0.12179381336002615</v>
      </c>
      <c r="W72" s="138">
        <f ca="1"/>
        <v>0</v>
      </c>
      <c r="X72" s="163">
        <f ca="1"/>
        <v>7.9784215457201491E-4</v>
      </c>
      <c r="Y72" s="163">
        <f ca="1"/>
        <v>2.3778604674680182E-3</v>
      </c>
      <c r="Z72" s="163">
        <f ca="1"/>
        <v>8.9408706858354892E-3</v>
      </c>
      <c r="AA72" s="163">
        <f ca="1"/>
        <v>1.7650446319023128E-2</v>
      </c>
      <c r="AB72" s="163">
        <f ca="1"/>
        <v>0</v>
      </c>
      <c r="AC72" s="163">
        <f ca="1"/>
        <v>4.2809123364614843E-2</v>
      </c>
      <c r="AD72" s="163">
        <f ca="1"/>
        <v>7.0741560778202817E-2</v>
      </c>
      <c r="AE72" s="139">
        <f ca="1"/>
        <v>0.12758951444633593</v>
      </c>
      <c r="AH72" s="136"/>
      <c r="AI72" s="136"/>
      <c r="AJ72" s="136"/>
      <c r="AK72" s="136"/>
      <c r="AM72" s="136"/>
      <c r="AN72" s="136"/>
      <c r="AO72" s="136"/>
      <c r="AQ72" s="136"/>
      <c r="AR72" s="136"/>
      <c r="AS72" s="136"/>
      <c r="AT72" s="136"/>
      <c r="AV72" s="136"/>
      <c r="AW72" s="136"/>
      <c r="AX72" s="136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7" t="s">
        <v>87</v>
      </c>
      <c r="F73" s="156">
        <v>4.0000000000000002E-4</v>
      </c>
      <c r="G73" s="156">
        <v>5.9999999999999995E-4</v>
      </c>
      <c r="H73" s="156">
        <v>1.1000000000000001E-3</v>
      </c>
      <c r="I73" s="156">
        <v>1.4E-3</v>
      </c>
      <c r="J73" s="156" t="s">
        <v>87</v>
      </c>
      <c r="K73" s="156">
        <v>2.3999999999999998E-3</v>
      </c>
      <c r="L73" s="156">
        <v>3.2000000000000002E-3</v>
      </c>
      <c r="M73" s="156">
        <v>4.1000000000000003E-3</v>
      </c>
      <c r="N73" s="138" cm="1">
        <f t="array" aca="1" ref="N73:AE73" ca="1">IF(OR(B73="",NOT($J$2)),"",GetStripDefaultProbability(A73,B73,Parameter_Date,CDSRollDate,E73:M73,SpreadCurveMaturities,D73,C73,$J$4,$J$6))</f>
        <v>0</v>
      </c>
      <c r="O73" s="163">
        <f ca="1"/>
        <v>3.9900104827061966E-4</v>
      </c>
      <c r="P73" s="163">
        <f ca="1"/>
        <v>1.1049878534659108E-3</v>
      </c>
      <c r="Q73" s="163">
        <f ca="1"/>
        <v>3.9061410518371753E-3</v>
      </c>
      <c r="R73" s="163">
        <f ca="1"/>
        <v>7.3679142559065491E-3</v>
      </c>
      <c r="S73" s="163">
        <f ca="1"/>
        <v>0</v>
      </c>
      <c r="T73" s="163">
        <f ca="1"/>
        <v>2.1102789733880356E-2</v>
      </c>
      <c r="U73" s="163">
        <f ca="1"/>
        <v>3.9470699320086511E-2</v>
      </c>
      <c r="V73" s="139">
        <f ca="1"/>
        <v>7.2314824112811205E-2</v>
      </c>
      <c r="W73" s="138">
        <f ca="1"/>
        <v>0</v>
      </c>
      <c r="X73" s="163">
        <f ca="1"/>
        <v>4.9872606913303752E-4</v>
      </c>
      <c r="Y73" s="163">
        <f ca="1"/>
        <v>1.2714564827104313E-3</v>
      </c>
      <c r="Z73" s="163">
        <f ca="1"/>
        <v>4.2566790699356538E-3</v>
      </c>
      <c r="AA73" s="163">
        <f ca="1"/>
        <v>7.8840538246789382E-3</v>
      </c>
      <c r="AB73" s="163">
        <f ca="1"/>
        <v>0</v>
      </c>
      <c r="AC73" s="163">
        <f ca="1"/>
        <v>2.2122744204687184E-2</v>
      </c>
      <c r="AD73" s="163">
        <f ca="1"/>
        <v>4.1387381274566537E-2</v>
      </c>
      <c r="AE73" s="139">
        <f ca="1"/>
        <v>7.5792148326529474E-2</v>
      </c>
      <c r="AH73" s="136"/>
      <c r="AI73" s="136"/>
      <c r="AJ73" s="136"/>
      <c r="AK73" s="136"/>
      <c r="AM73" s="136"/>
      <c r="AN73" s="136"/>
      <c r="AO73" s="136"/>
      <c r="AQ73" s="136"/>
      <c r="AR73" s="136"/>
      <c r="AS73" s="136"/>
      <c r="AT73" s="136"/>
      <c r="AV73" s="136"/>
      <c r="AW73" s="136"/>
      <c r="AX73" s="136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7" t="s">
        <v>87</v>
      </c>
      <c r="F74" s="156">
        <v>5.9999999999999995E-4</v>
      </c>
      <c r="G74" s="156">
        <v>1.1000000000000001E-3</v>
      </c>
      <c r="H74" s="156">
        <v>2E-3</v>
      </c>
      <c r="I74" s="156">
        <v>2.5999999999999999E-3</v>
      </c>
      <c r="J74" s="156" t="s">
        <v>87</v>
      </c>
      <c r="K74" s="156">
        <v>3.3999999999999998E-3</v>
      </c>
      <c r="L74" s="156">
        <v>4.1000000000000003E-3</v>
      </c>
      <c r="M74" s="156">
        <v>4.8999999999999998E-3</v>
      </c>
      <c r="N74" s="138" cm="1">
        <f t="array" aca="1" ref="N74:AE74" ca="1">IF(OR(B74="",NOT($J$2)),"",GetStripDefaultProbability(A74,B74,Parameter_Date,CDSRollDate,E74:M74,SpreadCurveMaturities,D74,C74,$J$4,$J$6))</f>
        <v>0</v>
      </c>
      <c r="O74" s="163">
        <f ca="1"/>
        <v>5.9844205622783253E-4</v>
      </c>
      <c r="P74" s="163">
        <f ca="1"/>
        <v>2.0284995193046162E-3</v>
      </c>
      <c r="Q74" s="163">
        <f ca="1"/>
        <v>7.096641915642854E-3</v>
      </c>
      <c r="R74" s="163">
        <f ca="1"/>
        <v>1.3663172017733149E-2</v>
      </c>
      <c r="S74" s="163">
        <f ca="1"/>
        <v>0</v>
      </c>
      <c r="T74" s="163">
        <f ca="1"/>
        <v>2.9462326936363414E-2</v>
      </c>
      <c r="U74" s="163">
        <f ca="1"/>
        <v>4.9611102342142277E-2</v>
      </c>
      <c r="V74" s="139">
        <f ca="1"/>
        <v>8.4445389121147407E-2</v>
      </c>
      <c r="W74" s="138">
        <f ca="1"/>
        <v>0</v>
      </c>
      <c r="X74" s="163">
        <f ca="1"/>
        <v>6.9814675354706868E-4</v>
      </c>
      <c r="Y74" s="163">
        <f ca="1"/>
        <v>2.1948142427737904E-3</v>
      </c>
      <c r="Z74" s="163">
        <f ca="1"/>
        <v>7.4461720081763216E-3</v>
      </c>
      <c r="AA74" s="163">
        <f ca="1"/>
        <v>1.433821193113316E-2</v>
      </c>
      <c r="AB74" s="163">
        <f ca="1"/>
        <v>0</v>
      </c>
      <c r="AC74" s="163">
        <f ca="1"/>
        <v>3.0911210815628754E-2</v>
      </c>
      <c r="AD74" s="163">
        <f ca="1"/>
        <v>5.203378471637865E-2</v>
      </c>
      <c r="AE74" s="139">
        <f ca="1"/>
        <v>8.8499361479496885E-2</v>
      </c>
      <c r="AH74" s="136"/>
      <c r="AI74" s="136"/>
      <c r="AJ74" s="136"/>
      <c r="AK74" s="136"/>
      <c r="AM74" s="136"/>
      <c r="AN74" s="136"/>
      <c r="AO74" s="136"/>
      <c r="AQ74" s="136"/>
      <c r="AR74" s="136"/>
      <c r="AS74" s="136"/>
      <c r="AT74" s="136"/>
      <c r="AV74" s="136"/>
      <c r="AW74" s="136"/>
      <c r="AX74" s="136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7" t="s">
        <v>87</v>
      </c>
      <c r="F75" s="156">
        <v>2.0000000000000001E-4</v>
      </c>
      <c r="G75" s="156">
        <v>2.9999999999999997E-4</v>
      </c>
      <c r="H75" s="156">
        <v>5.9999999999999995E-4</v>
      </c>
      <c r="I75" s="156">
        <v>8.9999999999999998E-4</v>
      </c>
      <c r="J75" s="156" t="s">
        <v>87</v>
      </c>
      <c r="K75" s="156">
        <v>1.2999999999999999E-3</v>
      </c>
      <c r="L75" s="156">
        <v>1.8E-3</v>
      </c>
      <c r="M75" s="156">
        <v>2.5000000000000001E-3</v>
      </c>
      <c r="N75" s="138" cm="1">
        <f t="array" aca="1" ref="N75:AE75" ca="1">IF(OR(B75="",NOT($J$2)),"",GetStripDefaultProbability(A75,B75,Parameter_Date,CDSRollDate,E75:M75,SpreadCurveMaturities,D75,C75,$J$4,$J$6))</f>
        <v>0</v>
      </c>
      <c r="O75" s="163">
        <f ca="1"/>
        <v>1.9952036681669671E-4</v>
      </c>
      <c r="P75" s="163">
        <f ca="1"/>
        <v>5.5261831656039373E-4</v>
      </c>
      <c r="Q75" s="163">
        <f ca="1"/>
        <v>2.1341672654442423E-3</v>
      </c>
      <c r="R75" s="163">
        <f ca="1"/>
        <v>4.7655109735624812E-3</v>
      </c>
      <c r="S75" s="163">
        <f ca="1"/>
        <v>0</v>
      </c>
      <c r="T75" s="163">
        <f ca="1"/>
        <v>1.1415611992424579E-2</v>
      </c>
      <c r="U75" s="163">
        <f ca="1"/>
        <v>2.2340324455258909E-2</v>
      </c>
      <c r="V75" s="139">
        <f ca="1"/>
        <v>4.4943270711893857E-2</v>
      </c>
      <c r="W75" s="138">
        <f ca="1"/>
        <v>0</v>
      </c>
      <c r="X75" s="163">
        <f ca="1"/>
        <v>2.9926553473869077E-4</v>
      </c>
      <c r="Y75" s="163">
        <f ca="1"/>
        <v>7.1917899974027755E-4</v>
      </c>
      <c r="Z75" s="163">
        <f ca="1"/>
        <v>2.4852603031543241E-3</v>
      </c>
      <c r="AA75" s="163">
        <f ca="1"/>
        <v>5.2829336392000714E-3</v>
      </c>
      <c r="AB75" s="163">
        <f ca="1"/>
        <v>0</v>
      </c>
      <c r="AC75" s="163">
        <f ca="1"/>
        <v>1.2262403123262988E-2</v>
      </c>
      <c r="AD75" s="163">
        <f ca="1"/>
        <v>2.3508144718795476E-2</v>
      </c>
      <c r="AE75" s="139">
        <f ca="1"/>
        <v>4.7058525722171396E-2</v>
      </c>
      <c r="AH75" s="136"/>
      <c r="AI75" s="136"/>
      <c r="AJ75" s="136"/>
      <c r="AK75" s="136"/>
      <c r="AM75" s="136"/>
      <c r="AN75" s="136"/>
      <c r="AO75" s="136"/>
      <c r="AQ75" s="136"/>
      <c r="AR75" s="136"/>
      <c r="AS75" s="136"/>
      <c r="AT75" s="136"/>
      <c r="AV75" s="136"/>
      <c r="AW75" s="136"/>
      <c r="AX75" s="136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7" t="s">
        <v>87</v>
      </c>
      <c r="F76" s="156">
        <v>9.2000000000000003E-4</v>
      </c>
      <c r="G76" s="156">
        <v>1.39E-3</v>
      </c>
      <c r="H76" s="156">
        <v>2.0799999999999998E-3</v>
      </c>
      <c r="I76" s="156">
        <v>2.49E-3</v>
      </c>
      <c r="J76" s="156" t="s">
        <v>87</v>
      </c>
      <c r="K76" s="156">
        <v>3.0000000000000001E-3</v>
      </c>
      <c r="L76" s="156">
        <v>3.3500000000000001E-3</v>
      </c>
      <c r="M76" s="156">
        <v>3.7000000000000002E-3</v>
      </c>
      <c r="N76" s="138" cm="1">
        <f t="array" aca="1" ref="N76:AE76" ca="1">IF(OR(B76="",NOT($J$2)),"",GetStripDefaultProbability(A76,B76,Parameter_Date,CDSRollDate,E76:M76,SpreadCurveMaturities,D76,C76,$J$4,$J$6))</f>
        <v>0</v>
      </c>
      <c r="O76" s="163">
        <f ca="1"/>
        <v>9.1746517756496893E-4</v>
      </c>
      <c r="P76" s="163">
        <f ca="1"/>
        <v>2.558545868762363E-3</v>
      </c>
      <c r="Q76" s="163">
        <f ca="1"/>
        <v>7.3555966759061286E-3</v>
      </c>
      <c r="R76" s="163">
        <f ca="1"/>
        <v>1.3027840119176348E-2</v>
      </c>
      <c r="S76" s="163">
        <f ca="1"/>
        <v>0</v>
      </c>
      <c r="T76" s="163">
        <f ca="1"/>
        <v>2.585919719621721E-2</v>
      </c>
      <c r="U76" s="163">
        <f ca="1"/>
        <v>4.0201449590659966E-2</v>
      </c>
      <c r="V76" s="139">
        <f ca="1"/>
        <v>6.3061473433850601E-2</v>
      </c>
      <c r="W76" s="138">
        <f ca="1"/>
        <v>0</v>
      </c>
      <c r="X76" s="163">
        <f ca="1"/>
        <v>1.0171369808192887E-3</v>
      </c>
      <c r="Y76" s="163">
        <f ca="1"/>
        <v>2.7247722585238554E-3</v>
      </c>
      <c r="Z76" s="163">
        <f ca="1"/>
        <v>7.7192976102623545E-3</v>
      </c>
      <c r="AA76" s="163">
        <f ca="1"/>
        <v>1.3672627281318128E-2</v>
      </c>
      <c r="AB76" s="163">
        <f ca="1"/>
        <v>0</v>
      </c>
      <c r="AC76" s="163">
        <f ca="1"/>
        <v>2.713324734548539E-2</v>
      </c>
      <c r="AD76" s="163">
        <f ca="1"/>
        <v>4.2171171116586526E-2</v>
      </c>
      <c r="AE76" s="139">
        <f ca="1"/>
        <v>6.6114902465269743E-2</v>
      </c>
      <c r="AH76" s="136"/>
      <c r="AI76" s="136"/>
      <c r="AJ76" s="136"/>
      <c r="AK76" s="136"/>
      <c r="AM76" s="136"/>
      <c r="AN76" s="136"/>
      <c r="AO76" s="136"/>
      <c r="AQ76" s="136"/>
      <c r="AR76" s="136"/>
      <c r="AS76" s="136"/>
      <c r="AT76" s="136"/>
      <c r="AV76" s="136"/>
      <c r="AW76" s="136"/>
      <c r="AX76" s="136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7" t="s">
        <v>87</v>
      </c>
      <c r="F77" s="156">
        <v>2.3999999999999998E-3</v>
      </c>
      <c r="G77" s="156">
        <v>3.2000000000000002E-3</v>
      </c>
      <c r="H77" s="156">
        <v>4.8999999999999998E-3</v>
      </c>
      <c r="I77" s="156">
        <v>6.7000000000000002E-3</v>
      </c>
      <c r="J77" s="156" t="s">
        <v>87</v>
      </c>
      <c r="K77" s="156">
        <v>1.03E-2</v>
      </c>
      <c r="L77" s="156">
        <v>1.23E-2</v>
      </c>
      <c r="M77" s="156">
        <v>1.4200000000000001E-2</v>
      </c>
      <c r="N77" s="138" cm="1">
        <f t="array" aca="1" ref="N77:AE77" ca="1">IF(OR(B77="",NOT($J$2)),"",GetStripDefaultProbability(A77,B77,Parameter_Date,CDSRollDate,E77:M77,SpreadCurveMaturities,D77,C77,$J$4,$J$6))</f>
        <v>0</v>
      </c>
      <c r="O77" s="163">
        <f ca="1"/>
        <v>2.3916277706961253E-3</v>
      </c>
      <c r="P77" s="163">
        <f ca="1"/>
        <v>5.8743887111939452E-3</v>
      </c>
      <c r="Q77" s="163">
        <f ca="1"/>
        <v>1.7259059914905284E-2</v>
      </c>
      <c r="R77" s="163">
        <f ca="1"/>
        <v>3.4926542048238751E-2</v>
      </c>
      <c r="S77" s="163">
        <f ca="1"/>
        <v>0</v>
      </c>
      <c r="T77" s="163">
        <f ca="1"/>
        <v>8.8008542836872872E-2</v>
      </c>
      <c r="U77" s="163">
        <f ca="1"/>
        <v>0.14389963119440108</v>
      </c>
      <c r="V77" s="139">
        <f ca="1"/>
        <v>0.2290775228724321</v>
      </c>
      <c r="W77" s="138">
        <f ca="1"/>
        <v>0</v>
      </c>
      <c r="X77" s="163">
        <f ca="1"/>
        <v>2.5110450443133203E-3</v>
      </c>
      <c r="Y77" s="163">
        <f ca="1"/>
        <v>6.1673010045854015E-3</v>
      </c>
      <c r="Z77" s="163">
        <f ca="1"/>
        <v>1.8115246144122854E-2</v>
      </c>
      <c r="AA77" s="163">
        <f ca="1"/>
        <v>3.6647560835196602E-2</v>
      </c>
      <c r="AB77" s="163">
        <f ca="1"/>
        <v>0</v>
      </c>
      <c r="AC77" s="163">
        <f ca="1"/>
        <v>9.2261521699224525E-2</v>
      </c>
      <c r="AD77" s="163">
        <f ca="1"/>
        <v>0.15067497036229593</v>
      </c>
      <c r="AE77" s="139">
        <f ca="1"/>
        <v>0.23938794837150779</v>
      </c>
      <c r="AH77" s="136"/>
      <c r="AI77" s="136"/>
      <c r="AJ77" s="136"/>
      <c r="AK77" s="136"/>
      <c r="AM77" s="136"/>
      <c r="AN77" s="136"/>
      <c r="AO77" s="136"/>
      <c r="AQ77" s="136"/>
      <c r="AR77" s="136"/>
      <c r="AS77" s="136"/>
      <c r="AT77" s="136"/>
      <c r="AV77" s="136"/>
      <c r="AW77" s="136"/>
      <c r="AX77" s="136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7" t="s">
        <v>87</v>
      </c>
      <c r="F78" s="156">
        <v>5.9999999999999995E-4</v>
      </c>
      <c r="G78" s="156">
        <v>1.1000000000000001E-3</v>
      </c>
      <c r="H78" s="156">
        <v>2.0999999999999999E-3</v>
      </c>
      <c r="I78" s="156">
        <v>2.8E-3</v>
      </c>
      <c r="J78" s="156" t="s">
        <v>87</v>
      </c>
      <c r="K78" s="156">
        <v>4.0000000000000001E-3</v>
      </c>
      <c r="L78" s="156">
        <v>4.7999999999999996E-3</v>
      </c>
      <c r="M78" s="156">
        <v>6.1000000000000004E-3</v>
      </c>
      <c r="N78" s="138" cm="1">
        <f t="array" aca="1" ref="N78:AE78" ca="1">IF(OR(B78="",NOT($J$2)),"",GetStripDefaultProbability(A78,B78,Parameter_Date,CDSRollDate,E78:M78,SpreadCurveMaturities,D78,C78,$J$4,$J$6))</f>
        <v>0</v>
      </c>
      <c r="O78" s="163">
        <f ca="1"/>
        <v>5.9844205622783253E-4</v>
      </c>
      <c r="P78" s="163">
        <f ca="1"/>
        <v>2.0284995193046162E-3</v>
      </c>
      <c r="Q78" s="163">
        <f ca="1"/>
        <v>7.4549650956047264E-3</v>
      </c>
      <c r="R78" s="163">
        <f ca="1"/>
        <v>1.4724797745685025E-2</v>
      </c>
      <c r="S78" s="163">
        <f ca="1"/>
        <v>0</v>
      </c>
      <c r="T78" s="163">
        <f ca="1"/>
        <v>3.4760495188271179E-2</v>
      </c>
      <c r="U78" s="163">
        <f ca="1"/>
        <v>5.8034388977466156E-2</v>
      </c>
      <c r="V78" s="139">
        <f ca="1"/>
        <v>0.10534092347830548</v>
      </c>
      <c r="W78" s="138">
        <f ca="1"/>
        <v>0</v>
      </c>
      <c r="X78" s="163">
        <f ca="1"/>
        <v>6.9814675354706868E-4</v>
      </c>
      <c r="Y78" s="163">
        <f ca="1"/>
        <v>2.1948142427737904E-3</v>
      </c>
      <c r="Z78" s="163">
        <f ca="1"/>
        <v>7.822299589756998E-3</v>
      </c>
      <c r="AA78" s="163">
        <f ca="1"/>
        <v>1.5452349041522706E-2</v>
      </c>
      <c r="AB78" s="163">
        <f ca="1"/>
        <v>0</v>
      </c>
      <c r="AC78" s="163">
        <f ca="1"/>
        <v>3.6467098823894095E-2</v>
      </c>
      <c r="AD78" s="163">
        <f ca="1"/>
        <v>6.0859610965779409E-2</v>
      </c>
      <c r="AE78" s="139">
        <f ca="1"/>
        <v>0.11038783677695929</v>
      </c>
      <c r="AH78" s="136"/>
      <c r="AI78" s="136"/>
      <c r="AJ78" s="136"/>
      <c r="AK78" s="136"/>
      <c r="AM78" s="136"/>
      <c r="AN78" s="136"/>
      <c r="AO78" s="136"/>
      <c r="AQ78" s="136"/>
      <c r="AR78" s="136"/>
      <c r="AS78" s="136"/>
      <c r="AT78" s="136"/>
      <c r="AV78" s="136"/>
      <c r="AW78" s="136"/>
      <c r="AX78" s="136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7" t="s">
        <v>87</v>
      </c>
      <c r="F79" s="156">
        <v>1E-3</v>
      </c>
      <c r="G79" s="156">
        <v>1.4E-3</v>
      </c>
      <c r="H79" s="156">
        <v>2.2000000000000001E-3</v>
      </c>
      <c r="I79" s="156">
        <v>3.3E-3</v>
      </c>
      <c r="J79" s="156" t="s">
        <v>87</v>
      </c>
      <c r="K79" s="156">
        <v>5.1000000000000004E-3</v>
      </c>
      <c r="L79" s="156">
        <v>6.3E-3</v>
      </c>
      <c r="M79" s="156">
        <v>7.6E-3</v>
      </c>
      <c r="N79" s="138" cm="1">
        <f t="array" aca="1" ref="N79:AE79" ca="1">IF(OR(B79="",NOT($J$2)),"",GetStripDefaultProbability(A79,B79,Parameter_Date,CDSRollDate,E79:M79,SpreadCurveMaturities,D79,C79,$J$4,$J$6))</f>
        <v>0</v>
      </c>
      <c r="O79" s="163">
        <f ca="1"/>
        <v>9.9720509892320397E-4</v>
      </c>
      <c r="P79" s="163">
        <f ca="1"/>
        <v>2.5750159392085026E-3</v>
      </c>
      <c r="Q79" s="163">
        <f ca="1"/>
        <v>7.7825986765700517E-3</v>
      </c>
      <c r="R79" s="163">
        <f ca="1"/>
        <v>1.7371102871529209E-2</v>
      </c>
      <c r="S79" s="163">
        <f ca="1"/>
        <v>0</v>
      </c>
      <c r="T79" s="163">
        <f ca="1"/>
        <v>4.4361662248117995E-2</v>
      </c>
      <c r="U79" s="163">
        <f ca="1"/>
        <v>7.6065575893073389E-2</v>
      </c>
      <c r="V79" s="139">
        <f ca="1"/>
        <v>0.12939522704522521</v>
      </c>
      <c r="W79" s="138">
        <f ca="1"/>
        <v>0</v>
      </c>
      <c r="X79" s="163">
        <f ca="1"/>
        <v>1.0968686047534426E-3</v>
      </c>
      <c r="Y79" s="163">
        <f ca="1"/>
        <v>2.7412395841939219E-3</v>
      </c>
      <c r="Z79" s="163">
        <f ca="1"/>
        <v>8.1676440185992627E-3</v>
      </c>
      <c r="AA79" s="163">
        <f ca="1"/>
        <v>1.8230908210388863E-2</v>
      </c>
      <c r="AB79" s="163">
        <f ca="1"/>
        <v>0</v>
      </c>
      <c r="AC79" s="163">
        <f ca="1"/>
        <v>4.6533675406947639E-2</v>
      </c>
      <c r="AD79" s="163">
        <f ca="1"/>
        <v>7.9745060309932114E-2</v>
      </c>
      <c r="AE79" s="139">
        <f ca="1"/>
        <v>0.13552725143148781</v>
      </c>
      <c r="AH79" s="136"/>
      <c r="AI79" s="136"/>
      <c r="AJ79" s="136"/>
      <c r="AK79" s="136"/>
      <c r="AM79" s="136"/>
      <c r="AN79" s="136"/>
      <c r="AO79" s="136"/>
      <c r="AQ79" s="136"/>
      <c r="AR79" s="136"/>
      <c r="AS79" s="136"/>
      <c r="AT79" s="136"/>
      <c r="AV79" s="136"/>
      <c r="AW79" s="136"/>
      <c r="AX79" s="136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7" t="s">
        <v>87</v>
      </c>
      <c r="F80" s="156">
        <v>5.0000000000000001E-4</v>
      </c>
      <c r="G80" s="156">
        <v>5.0000000000000001E-4</v>
      </c>
      <c r="H80" s="156">
        <v>1E-3</v>
      </c>
      <c r="I80" s="156">
        <v>1.8E-3</v>
      </c>
      <c r="J80" s="156" t="s">
        <v>87</v>
      </c>
      <c r="K80" s="156">
        <v>2.7000000000000001E-3</v>
      </c>
      <c r="L80" s="156">
        <v>3.5000000000000001E-3</v>
      </c>
      <c r="M80" s="156">
        <v>4.4999999999999997E-3</v>
      </c>
      <c r="N80" s="138" cm="1">
        <f t="array" aca="1" ref="N80:AE80" ca="1">IF(OR(B80="",NOT($J$2)),"",GetStripDefaultProbability(A80,B80,Parameter_Date,CDSRollDate,E80:M80,SpreadCurveMaturities,D80,C80,$J$4,$J$6))</f>
        <v>0</v>
      </c>
      <c r="O80" s="163">
        <f ca="1"/>
        <v>4.9872651070981266E-4</v>
      </c>
      <c r="P80" s="163">
        <f ca="1"/>
        <v>9.1667256579530676E-4</v>
      </c>
      <c r="Q80" s="163">
        <f ca="1"/>
        <v>3.550876104413736E-3</v>
      </c>
      <c r="R80" s="163">
        <f ca="1"/>
        <v>9.5532446510834257E-3</v>
      </c>
      <c r="S80" s="163">
        <f ca="1"/>
        <v>0</v>
      </c>
      <c r="T80" s="163">
        <f ca="1"/>
        <v>2.3681726884419718E-2</v>
      </c>
      <c r="U80" s="163">
        <f ca="1"/>
        <v>4.2982819661412819E-2</v>
      </c>
      <c r="V80" s="139">
        <f ca="1"/>
        <v>7.9073386611940966E-2</v>
      </c>
      <c r="W80" s="138">
        <f ca="1"/>
        <v>0</v>
      </c>
      <c r="X80" s="163">
        <f ca="1"/>
        <v>5.9844139207421154E-4</v>
      </c>
      <c r="Y80" s="163">
        <f ca="1"/>
        <v>1.0831725783114754E-3</v>
      </c>
      <c r="Z80" s="163">
        <f ca="1"/>
        <v>3.901521012269149E-3</v>
      </c>
      <c r="AA80" s="163">
        <f ca="1"/>
        <v>1.0068637309758044E-2</v>
      </c>
      <c r="AB80" s="163">
        <f ca="1"/>
        <v>0</v>
      </c>
      <c r="AC80" s="163">
        <f ca="1"/>
        <v>2.4834879135829602E-2</v>
      </c>
      <c r="AD80" s="163">
        <f ca="1"/>
        <v>4.5075451764088337E-2</v>
      </c>
      <c r="AE80" s="139">
        <f ca="1"/>
        <v>8.2871945583787077E-2</v>
      </c>
      <c r="AH80" s="136"/>
      <c r="AI80" s="136"/>
      <c r="AJ80" s="136"/>
      <c r="AK80" s="136"/>
      <c r="AM80" s="136"/>
      <c r="AN80" s="136"/>
      <c r="AO80" s="136"/>
      <c r="AQ80" s="136"/>
      <c r="AR80" s="136"/>
      <c r="AS80" s="136"/>
      <c r="AT80" s="136"/>
      <c r="AV80" s="136"/>
      <c r="AW80" s="136"/>
      <c r="AX80" s="136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7" t="s">
        <v>87</v>
      </c>
      <c r="F81" s="156">
        <v>1E-3</v>
      </c>
      <c r="G81" s="156">
        <v>1E-3</v>
      </c>
      <c r="H81" s="156">
        <v>1.8E-3</v>
      </c>
      <c r="I81" s="156">
        <v>2.8999999999999998E-3</v>
      </c>
      <c r="J81" s="156" t="s">
        <v>87</v>
      </c>
      <c r="K81" s="156">
        <v>4.3E-3</v>
      </c>
      <c r="L81" s="156">
        <v>5.4000000000000003E-3</v>
      </c>
      <c r="M81" s="156">
        <v>6.8999999999999999E-3</v>
      </c>
      <c r="N81" s="138" cm="1">
        <f t="array" aca="1" ref="N81:AE81" ca="1">IF(OR(B81="",NOT($J$2)),"",GetStripDefaultProbability(A81,B81,Parameter_Date,CDSRollDate,E81:M81,SpreadCurveMaturities,D81,C81,$J$4,$J$6))</f>
        <v>0</v>
      </c>
      <c r="O81" s="163">
        <f ca="1"/>
        <v>9.9720509892320397E-4</v>
      </c>
      <c r="P81" s="163">
        <f ca="1"/>
        <v>1.8325047216835033E-3</v>
      </c>
      <c r="Q81" s="163">
        <f ca="1"/>
        <v>6.3757850425724127E-3</v>
      </c>
      <c r="R81" s="163">
        <f ca="1"/>
        <v>1.5312227512584542E-2</v>
      </c>
      <c r="S81" s="163">
        <f ca="1"/>
        <v>0</v>
      </c>
      <c r="T81" s="163">
        <f ca="1"/>
        <v>3.7463023546731922E-2</v>
      </c>
      <c r="U81" s="163">
        <f ca="1"/>
        <v>6.5525224566029938E-2</v>
      </c>
      <c r="V81" s="139">
        <f ca="1"/>
        <v>0.11905796639560229</v>
      </c>
      <c r="W81" s="138">
        <f ca="1"/>
        <v>0</v>
      </c>
      <c r="X81" s="163">
        <f ca="1"/>
        <v>1.0968686047534426E-3</v>
      </c>
      <c r="Y81" s="163">
        <f ca="1"/>
        <v>1.9988521082260347E-3</v>
      </c>
      <c r="Z81" s="163">
        <f ca="1"/>
        <v>6.7255021180081531E-3</v>
      </c>
      <c r="AA81" s="163">
        <f ca="1"/>
        <v>1.6067500753909836E-2</v>
      </c>
      <c r="AB81" s="163">
        <f ca="1"/>
        <v>0</v>
      </c>
      <c r="AC81" s="163">
        <f ca="1"/>
        <v>3.9299519354575763E-2</v>
      </c>
      <c r="AD81" s="163">
        <f ca="1"/>
        <v>6.8706296505636977E-2</v>
      </c>
      <c r="AE81" s="139">
        <f ca="1"/>
        <v>0.12473457162555568</v>
      </c>
      <c r="AH81" s="136"/>
      <c r="AI81" s="136"/>
      <c r="AJ81" s="136"/>
      <c r="AK81" s="136"/>
      <c r="AM81" s="136"/>
      <c r="AN81" s="136"/>
      <c r="AO81" s="136"/>
      <c r="AQ81" s="136"/>
      <c r="AR81" s="136"/>
      <c r="AS81" s="136"/>
      <c r="AT81" s="136"/>
      <c r="AV81" s="136"/>
      <c r="AW81" s="136"/>
      <c r="AX81" s="136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7" t="s">
        <v>87</v>
      </c>
      <c r="F82" s="156">
        <v>4.0000000000000002E-4</v>
      </c>
      <c r="G82" s="156">
        <v>8.9999999999999998E-4</v>
      </c>
      <c r="H82" s="156">
        <v>1.2999999999999999E-3</v>
      </c>
      <c r="I82" s="156">
        <v>1.8E-3</v>
      </c>
      <c r="J82" s="156" t="s">
        <v>87</v>
      </c>
      <c r="K82" s="156">
        <v>2.8E-3</v>
      </c>
      <c r="L82" s="156">
        <v>3.5000000000000001E-3</v>
      </c>
      <c r="M82" s="156">
        <v>4.3E-3</v>
      </c>
      <c r="N82" s="138" cm="1">
        <f t="array" aca="1" ref="N82:AE82" ca="1">IF(OR(B82="",NOT($J$2)),"",GetStripDefaultProbability(A82,B82,Parameter_Date,CDSRollDate,E82:M82,SpreadCurveMaturities,D82,C82,$J$4,$J$6))</f>
        <v>0</v>
      </c>
      <c r="O82" s="163">
        <f ca="1"/>
        <v>3.9900104827061966E-4</v>
      </c>
      <c r="P82" s="163">
        <f ca="1"/>
        <v>1.6622452761001494E-3</v>
      </c>
      <c r="Q82" s="163">
        <f ca="1"/>
        <v>4.6047712763783721E-3</v>
      </c>
      <c r="R82" s="163">
        <f ca="1"/>
        <v>9.4793757683272473E-3</v>
      </c>
      <c r="S82" s="163">
        <f ca="1"/>
        <v>0</v>
      </c>
      <c r="T82" s="163">
        <f ca="1"/>
        <v>2.4510141790321072E-2</v>
      </c>
      <c r="U82" s="163">
        <f ca="1"/>
        <v>4.2811379492754376E-2</v>
      </c>
      <c r="V82" s="139">
        <f ca="1"/>
        <v>7.5038998185703587E-2</v>
      </c>
      <c r="W82" s="138">
        <f ca="1"/>
        <v>0</v>
      </c>
      <c r="X82" s="163">
        <f ca="1"/>
        <v>4.9872606913303752E-4</v>
      </c>
      <c r="Y82" s="163">
        <f ca="1"/>
        <v>1.828621036846334E-3</v>
      </c>
      <c r="Z82" s="163">
        <f ca="1"/>
        <v>4.9550598112454436E-3</v>
      </c>
      <c r="AA82" s="163">
        <f ca="1"/>
        <v>9.9945731995818576E-3</v>
      </c>
      <c r="AB82" s="163">
        <f ca="1"/>
        <v>0</v>
      </c>
      <c r="AC82" s="163">
        <f ca="1"/>
        <v>2.5707291207821115E-2</v>
      </c>
      <c r="AD82" s="163">
        <f ca="1"/>
        <v>4.4898816241598416E-2</v>
      </c>
      <c r="AE82" s="139">
        <f ca="1"/>
        <v>7.8650687412632592E-2</v>
      </c>
      <c r="AH82" s="136"/>
      <c r="AI82" s="136"/>
      <c r="AJ82" s="136"/>
      <c r="AK82" s="136"/>
      <c r="AM82" s="136"/>
      <c r="AN82" s="136"/>
      <c r="AO82" s="136"/>
      <c r="AQ82" s="136"/>
      <c r="AR82" s="136"/>
      <c r="AS82" s="136"/>
      <c r="AT82" s="136"/>
      <c r="AV82" s="136"/>
      <c r="AW82" s="136"/>
      <c r="AX82" s="136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7" t="s">
        <v>87</v>
      </c>
      <c r="F83" s="156">
        <v>5.9999999999999995E-4</v>
      </c>
      <c r="G83" s="156">
        <v>1.2999999999999999E-3</v>
      </c>
      <c r="H83" s="156">
        <v>1.9E-3</v>
      </c>
      <c r="I83" s="156">
        <v>2.5000000000000001E-3</v>
      </c>
      <c r="J83" s="156" t="s">
        <v>87</v>
      </c>
      <c r="K83" s="156">
        <v>4.0000000000000001E-3</v>
      </c>
      <c r="L83" s="156">
        <v>5.1000000000000004E-3</v>
      </c>
      <c r="M83" s="156">
        <v>6.1999999999999998E-3</v>
      </c>
      <c r="N83" s="138" cm="1">
        <f t="array" aca="1" ref="N83:AE83" ca="1">IF(OR(B83="",NOT($J$2)),"",GetStripDefaultProbability(A83,B83,Parameter_Date,CDSRollDate,E83:M83,SpreadCurveMaturities,D83,C83,$J$4,$J$6))</f>
        <v>0</v>
      </c>
      <c r="O83" s="163">
        <f ca="1"/>
        <v>5.9844205622783253E-4</v>
      </c>
      <c r="P83" s="163">
        <f ca="1"/>
        <v>2.3998282745746335E-3</v>
      </c>
      <c r="Q83" s="163">
        <f ca="1"/>
        <v>6.7251209656573607E-3</v>
      </c>
      <c r="R83" s="163">
        <f ca="1"/>
        <v>1.3127370905827163E-2</v>
      </c>
      <c r="S83" s="163">
        <f ca="1"/>
        <v>0</v>
      </c>
      <c r="T83" s="163">
        <f ca="1"/>
        <v>3.4906111932097916E-2</v>
      </c>
      <c r="U83" s="163">
        <f ca="1"/>
        <v>6.2074805564702351E-2</v>
      </c>
      <c r="V83" s="139">
        <f ca="1"/>
        <v>0.10682133891185508</v>
      </c>
      <c r="W83" s="138">
        <f ca="1"/>
        <v>0</v>
      </c>
      <c r="X83" s="163">
        <f ca="1"/>
        <v>6.9814675354706868E-4</v>
      </c>
      <c r="Y83" s="163">
        <f ca="1"/>
        <v>2.5660811150699514E-3</v>
      </c>
      <c r="Z83" s="163">
        <f ca="1"/>
        <v>7.0747244790576591E-3</v>
      </c>
      <c r="AA83" s="163">
        <f ca="1"/>
        <v>1.3775671825491442E-2</v>
      </c>
      <c r="AB83" s="163">
        <f ca="1"/>
        <v>0</v>
      </c>
      <c r="AC83" s="163">
        <f ca="1"/>
        <v>3.662003154211424E-2</v>
      </c>
      <c r="AD83" s="163">
        <f ca="1"/>
        <v>6.5094816573799452E-2</v>
      </c>
      <c r="AE83" s="139">
        <f ca="1"/>
        <v>0.11193423867019181</v>
      </c>
      <c r="AH83" s="136"/>
      <c r="AI83" s="136"/>
      <c r="AJ83" s="136"/>
      <c r="AK83" s="136"/>
      <c r="AM83" s="136"/>
      <c r="AN83" s="136"/>
      <c r="AO83" s="136"/>
      <c r="AQ83" s="136"/>
      <c r="AR83" s="136"/>
      <c r="AS83" s="136"/>
      <c r="AT83" s="136"/>
      <c r="AV83" s="136"/>
      <c r="AW83" s="136"/>
      <c r="AX83" s="136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7" t="s">
        <v>87</v>
      </c>
      <c r="F84" s="156">
        <v>2.9999999999999997E-4</v>
      </c>
      <c r="G84" s="156">
        <v>8.9999999999999998E-4</v>
      </c>
      <c r="H84" s="156">
        <v>1.5E-3</v>
      </c>
      <c r="I84" s="156">
        <v>2.2000000000000001E-3</v>
      </c>
      <c r="J84" s="156" t="s">
        <v>87</v>
      </c>
      <c r="K84" s="156">
        <v>3.0999999999999999E-3</v>
      </c>
      <c r="L84" s="156">
        <v>4.0000000000000001E-3</v>
      </c>
      <c r="M84" s="156">
        <v>5.1000000000000004E-3</v>
      </c>
      <c r="N84" s="138" cm="1">
        <f t="array" aca="1" ref="N84:AE84" ca="1">IF(OR(B84="",NOT($J$2)),"",GetStripDefaultProbability(A84,B84,Parameter_Date,CDSRollDate,E84:M84,SpreadCurveMaturities,D84,C84,$J$4,$J$6))</f>
        <v>0</v>
      </c>
      <c r="O84" s="163">
        <f ca="1"/>
        <v>2.9926566746929506E-4</v>
      </c>
      <c r="P84" s="163">
        <f ca="1"/>
        <v>1.664813862855663E-3</v>
      </c>
      <c r="Q84" s="163">
        <f ca="1"/>
        <v>5.3249410582175694E-3</v>
      </c>
      <c r="R84" s="163">
        <f ca="1"/>
        <v>1.1610441956154238E-2</v>
      </c>
      <c r="S84" s="163">
        <f ca="1"/>
        <v>0</v>
      </c>
      <c r="T84" s="163">
        <f ca="1"/>
        <v>2.7028074197003038E-2</v>
      </c>
      <c r="U84" s="163">
        <f ca="1"/>
        <v>4.8868066549577427E-2</v>
      </c>
      <c r="V84" s="139">
        <f ca="1"/>
        <v>8.9035799714080932E-2</v>
      </c>
      <c r="W84" s="138">
        <f ca="1"/>
        <v>0</v>
      </c>
      <c r="X84" s="163">
        <f ca="1"/>
        <v>3.9900078367871572E-4</v>
      </c>
      <c r="Y84" s="163">
        <f ca="1"/>
        <v>1.831189195552585E-3</v>
      </c>
      <c r="Z84" s="163">
        <f ca="1"/>
        <v>5.675039899400991E-3</v>
      </c>
      <c r="AA84" s="163">
        <f ca="1"/>
        <v>1.2178763214583999E-2</v>
      </c>
      <c r="AB84" s="163">
        <f ca="1"/>
        <v>0</v>
      </c>
      <c r="AC84" s="163">
        <f ca="1"/>
        <v>2.8353579402733753E-2</v>
      </c>
      <c r="AD84" s="163">
        <f ca="1"/>
        <v>5.1252250543834865E-2</v>
      </c>
      <c r="AE84" s="139">
        <f ca="1"/>
        <v>9.3302958036747818E-2</v>
      </c>
      <c r="AH84" s="136"/>
      <c r="AI84" s="136"/>
      <c r="AJ84" s="136"/>
      <c r="AK84" s="136"/>
      <c r="AM84" s="136"/>
      <c r="AN84" s="136"/>
      <c r="AO84" s="136"/>
      <c r="AQ84" s="136"/>
      <c r="AR84" s="136"/>
      <c r="AS84" s="136"/>
      <c r="AT84" s="136"/>
      <c r="AV84" s="136"/>
      <c r="AW84" s="136"/>
      <c r="AX84" s="136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7" t="s">
        <v>87</v>
      </c>
      <c r="F85" s="156">
        <v>1E-3</v>
      </c>
      <c r="G85" s="156">
        <v>1.1000000000000001E-3</v>
      </c>
      <c r="H85" s="156">
        <v>1.9E-3</v>
      </c>
      <c r="I85" s="156">
        <v>2.5000000000000001E-3</v>
      </c>
      <c r="J85" s="156" t="s">
        <v>87</v>
      </c>
      <c r="K85" s="156">
        <v>4.0000000000000001E-3</v>
      </c>
      <c r="L85" s="156">
        <v>5.0000000000000001E-3</v>
      </c>
      <c r="M85" s="156">
        <v>5.5999999999999999E-3</v>
      </c>
      <c r="N85" s="138" cm="1">
        <f t="array" aca="1" ref="N85:AE85" ca="1">IF(OR(B85="",NOT($J$2)),"",GetStripDefaultProbability(A85,B85,Parameter_Date,CDSRollDate,E85:M85,SpreadCurveMaturities,D85,C85,$J$4,$J$6))</f>
        <v>0</v>
      </c>
      <c r="O85" s="163">
        <f ca="1"/>
        <v>9.9720509892320397E-4</v>
      </c>
      <c r="P85" s="163">
        <f ca="1"/>
        <v>2.0181557818189644E-3</v>
      </c>
      <c r="Q85" s="163">
        <f ca="1"/>
        <v>6.7276466177247363E-3</v>
      </c>
      <c r="R85" s="163">
        <f ca="1"/>
        <v>1.3129936412305754E-2</v>
      </c>
      <c r="S85" s="163">
        <f ca="1"/>
        <v>0</v>
      </c>
      <c r="T85" s="163">
        <f ca="1"/>
        <v>3.4908806291709116E-2</v>
      </c>
      <c r="U85" s="163">
        <f ca="1"/>
        <v>6.0780096977258502E-2</v>
      </c>
      <c r="V85" s="139">
        <f ca="1"/>
        <v>9.5623413222732379E-2</v>
      </c>
      <c r="W85" s="138">
        <f ca="1"/>
        <v>0</v>
      </c>
      <c r="X85" s="163">
        <f ca="1"/>
        <v>1.0968686047534426E-3</v>
      </c>
      <c r="Y85" s="163">
        <f ca="1"/>
        <v>2.1844722290910168E-3</v>
      </c>
      <c r="Z85" s="163">
        <f ca="1"/>
        <v>7.0772455750419683E-3</v>
      </c>
      <c r="AA85" s="163">
        <f ca="1"/>
        <v>1.3778248523571346E-2</v>
      </c>
      <c r="AB85" s="163">
        <f ca="1"/>
        <v>0</v>
      </c>
      <c r="AC85" s="163">
        <f ca="1"/>
        <v>3.6622743131888291E-2</v>
      </c>
      <c r="AD85" s="163">
        <f ca="1"/>
        <v>6.3737998893295233E-2</v>
      </c>
      <c r="AE85" s="139">
        <f ca="1"/>
        <v>0.10018959536721528</v>
      </c>
      <c r="AH85" s="136"/>
      <c r="AI85" s="136"/>
      <c r="AJ85" s="136"/>
      <c r="AK85" s="136"/>
      <c r="AM85" s="136"/>
      <c r="AN85" s="136"/>
      <c r="AO85" s="136"/>
      <c r="AQ85" s="136"/>
      <c r="AR85" s="136"/>
      <c r="AS85" s="136"/>
      <c r="AT85" s="136"/>
      <c r="AV85" s="136"/>
      <c r="AW85" s="136"/>
      <c r="AX85" s="136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7" t="s">
        <v>87</v>
      </c>
      <c r="F86" s="156">
        <v>1.7600000000000001E-3</v>
      </c>
      <c r="G86" s="156">
        <v>2.0899999999999998E-3</v>
      </c>
      <c r="H86" s="156">
        <v>2.7299999999999998E-3</v>
      </c>
      <c r="I86" s="156">
        <v>3.0999999999999999E-3</v>
      </c>
      <c r="J86" s="156" t="s">
        <v>87</v>
      </c>
      <c r="K86" s="156">
        <v>3.7000000000000002E-3</v>
      </c>
      <c r="L86" s="156">
        <v>4.0499999999999998E-3</v>
      </c>
      <c r="M86" s="156">
        <v>4.4000000000000003E-3</v>
      </c>
      <c r="N86" s="138" cm="1">
        <f t="array" aca="1" ref="N86:AE86" ca="1">IF(OR(B86="",NOT($J$2)),"",GetStripDefaultProbability(A86,B86,Parameter_Date,CDSRollDate,E86:M86,SpreadCurveMaturities,D86,C86,$J$4,$J$6))</f>
        <v>0</v>
      </c>
      <c r="O86" s="163">
        <f ca="1"/>
        <v>1.7544181470888764E-3</v>
      </c>
      <c r="P86" s="163">
        <f ca="1"/>
        <v>3.834933789090389E-3</v>
      </c>
      <c r="Q86" s="163">
        <f ca="1"/>
        <v>9.6125292407317486E-3</v>
      </c>
      <c r="R86" s="163">
        <f ca="1"/>
        <v>1.6132737668719588E-2</v>
      </c>
      <c r="S86" s="163">
        <f ca="1"/>
        <v>0</v>
      </c>
      <c r="T86" s="163">
        <f ca="1"/>
        <v>3.1729493672209008E-2</v>
      </c>
      <c r="U86" s="163">
        <f ca="1"/>
        <v>4.8240309450668928E-2</v>
      </c>
      <c r="V86" s="139">
        <f ca="1"/>
        <v>7.4216365641243898E-2</v>
      </c>
      <c r="W86" s="138">
        <f ca="1"/>
        <v>0</v>
      </c>
      <c r="X86" s="163">
        <f ca="1"/>
        <v>1.8540012946367534E-3</v>
      </c>
      <c r="Y86" s="163">
        <f ca="1"/>
        <v>4.0259973406624461E-3</v>
      </c>
      <c r="Z86" s="163">
        <f ca="1"/>
        <v>1.0090613118293179E-2</v>
      </c>
      <c r="AA86" s="163">
        <f ca="1"/>
        <v>1.693300188000757E-2</v>
      </c>
      <c r="AB86" s="163">
        <f ca="1"/>
        <v>0</v>
      </c>
      <c r="AC86" s="163">
        <f ca="1"/>
        <v>3.3290933647283083E-2</v>
      </c>
      <c r="AD86" s="163">
        <f ca="1"/>
        <v>5.0596689660661665E-2</v>
      </c>
      <c r="AE86" s="139">
        <f ca="1"/>
        <v>7.7789582198720786E-2</v>
      </c>
      <c r="AH86" s="136"/>
      <c r="AI86" s="136"/>
      <c r="AJ86" s="136"/>
      <c r="AK86" s="136"/>
      <c r="AM86" s="136"/>
      <c r="AN86" s="136"/>
      <c r="AO86" s="136"/>
      <c r="AQ86" s="136"/>
      <c r="AR86" s="136"/>
      <c r="AS86" s="136"/>
      <c r="AT86" s="136"/>
      <c r="AV86" s="136"/>
      <c r="AW86" s="136"/>
      <c r="AX86" s="136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7" t="s">
        <v>87</v>
      </c>
      <c r="F87" s="156">
        <v>1.16E-3</v>
      </c>
      <c r="G87" s="156">
        <v>1.5100000000000001E-3</v>
      </c>
      <c r="H87" s="156">
        <v>2.0300000000000001E-3</v>
      </c>
      <c r="I87" s="156">
        <v>2.3800000000000002E-3</v>
      </c>
      <c r="J87" s="156" t="s">
        <v>87</v>
      </c>
      <c r="K87" s="156">
        <v>2.8999999999999998E-3</v>
      </c>
      <c r="L87" s="156">
        <v>3.29E-3</v>
      </c>
      <c r="M87" s="156">
        <v>3.7000000000000002E-3</v>
      </c>
      <c r="N87" s="138" cm="1">
        <f t="array" aca="1" ref="N87:AE87" ca="1">IF(OR(B87="",NOT($J$2)),"",GetStripDefaultProbability(A87,B87,Parameter_Date,CDSRollDate,E87:M87,SpreadCurveMaturities,D87,C87,$J$4,$J$6))</f>
        <v>0</v>
      </c>
      <c r="O87" s="163">
        <f ca="1"/>
        <v>1.1566659161087456E-3</v>
      </c>
      <c r="P87" s="163">
        <f ca="1"/>
        <v>2.7749665301843862E-3</v>
      </c>
      <c r="Q87" s="163">
        <f ca="1"/>
        <v>7.1621777534933706E-3</v>
      </c>
      <c r="R87" s="163">
        <f ca="1"/>
        <v>1.2428420630166803E-2</v>
      </c>
      <c r="S87" s="163">
        <f ca="1"/>
        <v>0</v>
      </c>
      <c r="T87" s="163">
        <f ca="1"/>
        <v>2.4995047200320641E-2</v>
      </c>
      <c r="U87" s="163">
        <f ca="1"/>
        <v>3.9548148048974885E-2</v>
      </c>
      <c r="V87" s="139">
        <f ca="1"/>
        <v>6.3299816388799779E-2</v>
      </c>
      <c r="W87" s="138">
        <f ca="1"/>
        <v>0</v>
      </c>
      <c r="X87" s="163">
        <f ca="1"/>
        <v>1.2563127367071214E-3</v>
      </c>
      <c r="Y87" s="163">
        <f ca="1"/>
        <v>2.9411568528509013E-3</v>
      </c>
      <c r="Z87" s="163">
        <f ca="1"/>
        <v>7.5169382878370605E-3</v>
      </c>
      <c r="AA87" s="163">
        <f ca="1"/>
        <v>1.3044191262493121E-2</v>
      </c>
      <c r="AB87" s="163">
        <f ca="1"/>
        <v>0</v>
      </c>
      <c r="AC87" s="163">
        <f ca="1"/>
        <v>2.6227595193499154E-2</v>
      </c>
      <c r="AD87" s="163">
        <f ca="1"/>
        <v>4.1487399679893899E-2</v>
      </c>
      <c r="AE87" s="139">
        <f ca="1"/>
        <v>6.6366340513696387E-2</v>
      </c>
      <c r="AH87" s="136"/>
      <c r="AI87" s="136"/>
      <c r="AJ87" s="136"/>
      <c r="AK87" s="136"/>
      <c r="AM87" s="136"/>
      <c r="AN87" s="136"/>
      <c r="AO87" s="136"/>
      <c r="AQ87" s="136"/>
      <c r="AR87" s="136"/>
      <c r="AS87" s="136"/>
      <c r="AT87" s="136"/>
      <c r="AV87" s="136"/>
      <c r="AW87" s="136"/>
      <c r="AX87" s="136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7" t="s">
        <v>87</v>
      </c>
      <c r="F88" s="156">
        <v>6.9999999999999999E-4</v>
      </c>
      <c r="G88" s="156">
        <v>1E-3</v>
      </c>
      <c r="H88" s="156">
        <v>1.6000000000000001E-3</v>
      </c>
      <c r="I88" s="156">
        <v>2.0999999999999999E-3</v>
      </c>
      <c r="J88" s="156" t="s">
        <v>87</v>
      </c>
      <c r="K88" s="156">
        <v>3.3E-3</v>
      </c>
      <c r="L88" s="156">
        <v>4.0000000000000001E-3</v>
      </c>
      <c r="M88" s="156">
        <v>4.7999999999999996E-3</v>
      </c>
      <c r="N88" s="138" cm="1">
        <f t="array" aca="1" ref="N88:AE88" ca="1">IF(OR(B88="",NOT($J$2)),"",GetStripDefaultProbability(A88,B88,Parameter_Date,CDSRollDate,E88:M88,SpreadCurveMaturities,D88,C88,$J$4,$J$6))</f>
        <v>0</v>
      </c>
      <c r="O88" s="163">
        <f ca="1"/>
        <v>6.98147686336692E-4</v>
      </c>
      <c r="P88" s="163">
        <f ca="1"/>
        <v>1.8402347754473691E-3</v>
      </c>
      <c r="Q88" s="163">
        <f ca="1"/>
        <v>5.6666259377905481E-3</v>
      </c>
      <c r="R88" s="163">
        <f ca="1"/>
        <v>1.103585842482957E-2</v>
      </c>
      <c r="S88" s="163">
        <f ca="1"/>
        <v>0</v>
      </c>
      <c r="T88" s="163">
        <f ca="1"/>
        <v>2.883736785630453E-2</v>
      </c>
      <c r="U88" s="163">
        <f ca="1"/>
        <v>4.8681584581681037E-2</v>
      </c>
      <c r="V88" s="139">
        <f ca="1"/>
        <v>8.3085775238884052E-2</v>
      </c>
      <c r="W88" s="138">
        <f ca="1"/>
        <v>0</v>
      </c>
      <c r="X88" s="163">
        <f ca="1"/>
        <v>7.9784215457201491E-4</v>
      </c>
      <c r="Y88" s="163">
        <f ca="1"/>
        <v>2.0065808737579349E-3</v>
      </c>
      <c r="Z88" s="163">
        <f ca="1"/>
        <v>6.0165727842366179E-3</v>
      </c>
      <c r="AA88" s="163">
        <f ca="1"/>
        <v>1.157728597637353E-2</v>
      </c>
      <c r="AB88" s="163">
        <f ca="1"/>
        <v>0</v>
      </c>
      <c r="AC88" s="163">
        <f ca="1"/>
        <v>3.0252922461683984E-2</v>
      </c>
      <c r="AD88" s="163">
        <f ca="1"/>
        <v>5.1058032585925894E-2</v>
      </c>
      <c r="AE88" s="139">
        <f ca="1"/>
        <v>8.7076063794787828E-2</v>
      </c>
      <c r="AH88" s="136"/>
      <c r="AI88" s="136"/>
      <c r="AJ88" s="136"/>
      <c r="AK88" s="136"/>
      <c r="AM88" s="136"/>
      <c r="AN88" s="136"/>
      <c r="AO88" s="136"/>
      <c r="AQ88" s="136"/>
      <c r="AR88" s="136"/>
      <c r="AS88" s="136"/>
      <c r="AT88" s="136"/>
      <c r="AV88" s="136"/>
      <c r="AW88" s="136"/>
      <c r="AX88" s="136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7" t="s">
        <v>87</v>
      </c>
      <c r="F89" s="156">
        <v>1.6999999999999999E-3</v>
      </c>
      <c r="G89" s="156">
        <v>1.8E-3</v>
      </c>
      <c r="H89" s="156">
        <v>2.7000000000000001E-3</v>
      </c>
      <c r="I89" s="156">
        <v>3.8999999999999998E-3</v>
      </c>
      <c r="J89" s="156" t="s">
        <v>87</v>
      </c>
      <c r="K89" s="156">
        <v>6.0000000000000001E-3</v>
      </c>
      <c r="L89" s="156">
        <v>7.1999999999999998E-3</v>
      </c>
      <c r="M89" s="156">
        <v>8.6999999999999994E-3</v>
      </c>
      <c r="N89" s="138" cm="1">
        <f t="array" aca="1" ref="N89:AE89" ca="1">IF(OR(B89="",NOT($J$2)),"",GetStripDefaultProbability(A89,B89,Parameter_Date,CDSRollDate,E89:M89,SpreadCurveMaturities,D89,C89,$J$4,$J$6))</f>
        <v>0</v>
      </c>
      <c r="O89" s="163">
        <f ca="1"/>
        <v>1.6946589644637466E-3</v>
      </c>
      <c r="P89" s="163">
        <f ca="1"/>
        <v>3.2987380025293334E-3</v>
      </c>
      <c r="Q89" s="163">
        <f ca="1"/>
        <v>9.5264462011612761E-3</v>
      </c>
      <c r="R89" s="163">
        <f ca="1"/>
        <v>2.0464182398774344E-2</v>
      </c>
      <c r="S89" s="163">
        <f ca="1"/>
        <v>0</v>
      </c>
      <c r="T89" s="163">
        <f ca="1"/>
        <v>5.199234299318467E-2</v>
      </c>
      <c r="U89" s="163">
        <f ca="1"/>
        <v>8.6285293541269459E-2</v>
      </c>
      <c r="V89" s="139">
        <f ca="1"/>
        <v>0.14679672794293142</v>
      </c>
      <c r="W89" s="138">
        <f ca="1"/>
        <v>0</v>
      </c>
      <c r="X89" s="163">
        <f ca="1"/>
        <v>1.7942485595207058E-3</v>
      </c>
      <c r="Y89" s="163">
        <f ca="1"/>
        <v>3.4648410372206673E-3</v>
      </c>
      <c r="Z89" s="163">
        <f ca="1"/>
        <v>1.0000188622175998E-2</v>
      </c>
      <c r="AA89" s="163">
        <f ca="1"/>
        <v>2.1478405615655394E-2</v>
      </c>
      <c r="AB89" s="163">
        <f ca="1"/>
        <v>0</v>
      </c>
      <c r="AC89" s="163">
        <f ca="1"/>
        <v>5.4531308433891978E-2</v>
      </c>
      <c r="AD89" s="163">
        <f ca="1"/>
        <v>9.0440365808758805E-2</v>
      </c>
      <c r="AE89" s="139">
        <f ca="1"/>
        <v>0.15369907996384224</v>
      </c>
      <c r="AH89" s="136"/>
      <c r="AI89" s="136"/>
      <c r="AJ89" s="136"/>
      <c r="AK89" s="136"/>
      <c r="AM89" s="136"/>
      <c r="AN89" s="136"/>
      <c r="AO89" s="136"/>
      <c r="AQ89" s="136"/>
      <c r="AR89" s="136"/>
      <c r="AS89" s="136"/>
      <c r="AT89" s="136"/>
      <c r="AV89" s="136"/>
      <c r="AW89" s="136"/>
      <c r="AX89" s="136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7" t="s">
        <v>87</v>
      </c>
      <c r="F90" s="156">
        <v>4.0000000000000002E-4</v>
      </c>
      <c r="G90" s="156">
        <v>6.9999999999999999E-4</v>
      </c>
      <c r="H90" s="156">
        <v>1.5E-3</v>
      </c>
      <c r="I90" s="156">
        <v>2.2000000000000001E-3</v>
      </c>
      <c r="J90" s="156" t="s">
        <v>87</v>
      </c>
      <c r="K90" s="156">
        <v>3.3999999999999998E-3</v>
      </c>
      <c r="L90" s="156">
        <v>4.1999999999999997E-3</v>
      </c>
      <c r="M90" s="156">
        <v>5.4999999999999997E-3</v>
      </c>
      <c r="N90" s="138" cm="1">
        <f t="array" aca="1" ref="N90:AE90" ca="1">IF(OR(B90="",NOT($J$2)),"",GetStripDefaultProbability(A90,B90,Parameter_Date,CDSRollDate,E90:M90,SpreadCurveMaturities,D90,C90,$J$4,$J$6))</f>
        <v>0</v>
      </c>
      <c r="O90" s="163">
        <f ca="1"/>
        <v>3.9900104827061966E-4</v>
      </c>
      <c r="P90" s="163">
        <f ca="1"/>
        <v>1.2907558445212075E-3</v>
      </c>
      <c r="Q90" s="163">
        <f ca="1"/>
        <v>5.3352804036103096E-3</v>
      </c>
      <c r="R90" s="163">
        <f ca="1"/>
        <v>1.1621005063179535E-2</v>
      </c>
      <c r="S90" s="163">
        <f ca="1"/>
        <v>0</v>
      </c>
      <c r="T90" s="163">
        <f ca="1"/>
        <v>2.9744942852801048E-2</v>
      </c>
      <c r="U90" s="163">
        <f ca="1"/>
        <v>5.1200170527430089E-2</v>
      </c>
      <c r="V90" s="139">
        <f ca="1"/>
        <v>9.6018270298576902E-2</v>
      </c>
      <c r="W90" s="138">
        <f ca="1"/>
        <v>0</v>
      </c>
      <c r="X90" s="163">
        <f ca="1"/>
        <v>4.9872606913303752E-4</v>
      </c>
      <c r="Y90" s="163">
        <f ca="1"/>
        <v>1.4571935150202719E-3</v>
      </c>
      <c r="Z90" s="163">
        <f ca="1"/>
        <v>5.6854031142832273E-3</v>
      </c>
      <c r="AA90" s="163">
        <f ca="1"/>
        <v>1.2189363412463572E-2</v>
      </c>
      <c r="AB90" s="163">
        <f ca="1"/>
        <v>0</v>
      </c>
      <c r="AC90" s="163">
        <f ca="1"/>
        <v>3.1202688704106918E-2</v>
      </c>
      <c r="AD90" s="163">
        <f ca="1"/>
        <v>5.3695596971216952E-2</v>
      </c>
      <c r="AE90" s="139">
        <f ca="1"/>
        <v>0.10063656748233751</v>
      </c>
      <c r="AH90" s="136"/>
      <c r="AI90" s="136"/>
      <c r="AJ90" s="136"/>
      <c r="AK90" s="136"/>
      <c r="AM90" s="136"/>
      <c r="AN90" s="136"/>
      <c r="AO90" s="136"/>
      <c r="AQ90" s="136"/>
      <c r="AR90" s="136"/>
      <c r="AS90" s="136"/>
      <c r="AT90" s="136"/>
      <c r="AV90" s="136"/>
      <c r="AW90" s="136"/>
      <c r="AX90" s="136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7" t="s">
        <v>87</v>
      </c>
      <c r="F91" s="156">
        <v>1.1000000000000001E-3</v>
      </c>
      <c r="G91" s="156">
        <v>1.1000000000000001E-3</v>
      </c>
      <c r="H91" s="156">
        <v>1.6000000000000001E-3</v>
      </c>
      <c r="I91" s="156">
        <v>2.3E-3</v>
      </c>
      <c r="J91" s="156" t="s">
        <v>87</v>
      </c>
      <c r="K91" s="156">
        <v>3.7000000000000002E-3</v>
      </c>
      <c r="L91" s="156">
        <v>4.3E-3</v>
      </c>
      <c r="M91" s="156">
        <v>5.4000000000000003E-3</v>
      </c>
      <c r="N91" s="138" cm="1">
        <f t="array" aca="1" ref="N91:AE91" ca="1">IF(OR(B91="",NOT($J$2)),"",GetStripDefaultProbability(A91,B91,Parameter_Date,CDSRollDate,E91:M91,SpreadCurveMaturities,D91,C91,$J$4,$J$6))</f>
        <v>0</v>
      </c>
      <c r="O91" s="163">
        <f ca="1"/>
        <v>1.0968710821319672E-3</v>
      </c>
      <c r="P91" s="163">
        <f ca="1"/>
        <v>2.0155703746645992E-3</v>
      </c>
      <c r="Q91" s="163">
        <f ca="1"/>
        <v>5.6496222263411333E-3</v>
      </c>
      <c r="R91" s="163">
        <f ca="1"/>
        <v>1.2098893131934574E-2</v>
      </c>
      <c r="S91" s="163">
        <f ca="1"/>
        <v>0</v>
      </c>
      <c r="T91" s="163">
        <f ca="1"/>
        <v>3.2342573699211896E-2</v>
      </c>
      <c r="U91" s="163">
        <f ca="1"/>
        <v>5.2107701232546488E-2</v>
      </c>
      <c r="V91" s="139">
        <f ca="1"/>
        <v>9.3520722221657304E-2</v>
      </c>
      <c r="W91" s="138">
        <f ca="1"/>
        <v>0</v>
      </c>
      <c r="X91" s="163">
        <f ca="1"/>
        <v>1.1965241739009258E-3</v>
      </c>
      <c r="Y91" s="163">
        <f ca="1"/>
        <v>2.1818872528038824E-3</v>
      </c>
      <c r="Z91" s="163">
        <f ca="1"/>
        <v>5.9995176065202882E-3</v>
      </c>
      <c r="AA91" s="163">
        <f ca="1"/>
        <v>1.2693827020830106E-2</v>
      </c>
      <c r="AB91" s="163">
        <f ca="1"/>
        <v>0</v>
      </c>
      <c r="AC91" s="163">
        <f ca="1"/>
        <v>3.3929675615419375E-2</v>
      </c>
      <c r="AD91" s="163">
        <f ca="1"/>
        <v>5.4648376171250956E-2</v>
      </c>
      <c r="AE91" s="139">
        <f ca="1"/>
        <v>9.8018502022361176E-2</v>
      </c>
      <c r="AH91" s="136"/>
      <c r="AI91" s="136"/>
      <c r="AJ91" s="136"/>
      <c r="AK91" s="136"/>
      <c r="AM91" s="136"/>
      <c r="AN91" s="136"/>
      <c r="AO91" s="136"/>
      <c r="AQ91" s="136"/>
      <c r="AR91" s="136"/>
      <c r="AS91" s="136"/>
      <c r="AT91" s="136"/>
      <c r="AV91" s="136"/>
      <c r="AW91" s="136"/>
      <c r="AX91" s="136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7" t="s">
        <v>87</v>
      </c>
      <c r="F92" s="156">
        <v>5.9999999999999995E-4</v>
      </c>
      <c r="G92" s="156">
        <v>6.9999999999999999E-4</v>
      </c>
      <c r="H92" s="156">
        <v>1.1999999999999999E-3</v>
      </c>
      <c r="I92" s="156">
        <v>1.6999999999999999E-3</v>
      </c>
      <c r="J92" s="156" t="s">
        <v>87</v>
      </c>
      <c r="K92" s="156">
        <v>2.7000000000000001E-3</v>
      </c>
      <c r="L92" s="156">
        <v>3.5000000000000001E-3</v>
      </c>
      <c r="M92" s="156">
        <v>4.5999999999999999E-3</v>
      </c>
      <c r="N92" s="138" cm="1">
        <f t="array" aca="1" ref="N92:AE92" ca="1">IF(OR(B92="",NOT($J$2)),"",GetStripDefaultProbability(A92,B92,Parameter_Date,CDSRollDate,E92:M92,SpreadCurveMaturities,D92,C92,$J$4,$J$6))</f>
        <v>0</v>
      </c>
      <c r="O92" s="163">
        <f ca="1"/>
        <v>5.9844205622783253E-4</v>
      </c>
      <c r="P92" s="163">
        <f ca="1"/>
        <v>1.2856558950586905E-3</v>
      </c>
      <c r="Q92" s="163">
        <f ca="1"/>
        <v>4.2535409362317589E-3</v>
      </c>
      <c r="R92" s="163">
        <f ca="1"/>
        <v>8.9630217299676573E-3</v>
      </c>
      <c r="S92" s="163">
        <f ca="1"/>
        <v>0</v>
      </c>
      <c r="T92" s="163">
        <f ca="1"/>
        <v>2.3670834171097277E-2</v>
      </c>
      <c r="U92" s="163">
        <f ca="1"/>
        <v>4.2971582462263958E-2</v>
      </c>
      <c r="V92" s="139">
        <f ca="1"/>
        <v>8.0991518455731049E-2</v>
      </c>
      <c r="W92" s="138">
        <f ca="1"/>
        <v>0</v>
      </c>
      <c r="X92" s="163">
        <f ca="1"/>
        <v>6.9814675354706868E-4</v>
      </c>
      <c r="Y92" s="163">
        <f ca="1"/>
        <v>1.4520944154741144E-3</v>
      </c>
      <c r="Z92" s="163">
        <f ca="1"/>
        <v>4.6039455378485972E-3</v>
      </c>
      <c r="AA92" s="163">
        <f ca="1"/>
        <v>9.4784868165682656E-3</v>
      </c>
      <c r="AB92" s="163">
        <f ca="1"/>
        <v>0</v>
      </c>
      <c r="AC92" s="163">
        <f ca="1"/>
        <v>2.482380786822147E-2</v>
      </c>
      <c r="AD92" s="163">
        <f ca="1"/>
        <v>4.5064175078361024E-2</v>
      </c>
      <c r="AE92" s="139">
        <f ca="1"/>
        <v>8.4880303897051146E-2</v>
      </c>
      <c r="AH92" s="136"/>
      <c r="AI92" s="136"/>
      <c r="AJ92" s="136"/>
      <c r="AK92" s="136"/>
      <c r="AM92" s="136"/>
      <c r="AN92" s="136"/>
      <c r="AO92" s="136"/>
      <c r="AQ92" s="136"/>
      <c r="AR92" s="136"/>
      <c r="AS92" s="136"/>
      <c r="AT92" s="136"/>
      <c r="AV92" s="136"/>
      <c r="AW92" s="136"/>
      <c r="AX92" s="136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7" t="s">
        <v>87</v>
      </c>
      <c r="F93" s="156">
        <v>8.9999999999999998E-4</v>
      </c>
      <c r="G93" s="156">
        <v>2.3999999999999998E-3</v>
      </c>
      <c r="H93" s="156">
        <v>3.5000000000000001E-3</v>
      </c>
      <c r="I93" s="156">
        <v>4.4999999999999997E-3</v>
      </c>
      <c r="J93" s="156" t="s">
        <v>87</v>
      </c>
      <c r="K93" s="156">
        <v>6.7999999999999996E-3</v>
      </c>
      <c r="L93" s="156">
        <v>8.2000000000000007E-3</v>
      </c>
      <c r="M93" s="156">
        <v>9.9000000000000008E-3</v>
      </c>
      <c r="N93" s="138" cm="1">
        <f t="array" aca="1" ref="N93:AE93" ca="1">IF(OR(B93="",NOT($J$2)),"",GetStripDefaultProbability(A93,B93,Parameter_Date,CDSRollDate,E93:M93,SpreadCurveMaturities,D93,C93,$J$4,$J$6))</f>
        <v>0</v>
      </c>
      <c r="O93" s="163">
        <f ca="1"/>
        <v>8.9752920618468846E-4</v>
      </c>
      <c r="P93" s="163">
        <f ca="1"/>
        <v>4.4329137192425927E-3</v>
      </c>
      <c r="Q93" s="163">
        <f ca="1"/>
        <v>1.2366692623117181E-2</v>
      </c>
      <c r="R93" s="163">
        <f ca="1"/>
        <v>2.3522538232092716E-2</v>
      </c>
      <c r="S93" s="163">
        <f ca="1"/>
        <v>0</v>
      </c>
      <c r="T93" s="163">
        <f ca="1"/>
        <v>5.8663598767768721E-2</v>
      </c>
      <c r="U93" s="163">
        <f ca="1"/>
        <v>9.7758605609783444E-2</v>
      </c>
      <c r="V93" s="139">
        <f ca="1"/>
        <v>0.16563969560524383</v>
      </c>
      <c r="W93" s="138">
        <f ca="1"/>
        <v>0</v>
      </c>
      <c r="X93" s="163">
        <f ca="1"/>
        <v>9.9720307914286099E-4</v>
      </c>
      <c r="Y93" s="163">
        <f ca="1"/>
        <v>4.6527026239576719E-3</v>
      </c>
      <c r="Z93" s="163">
        <f ca="1"/>
        <v>1.2980134592436965E-2</v>
      </c>
      <c r="AA93" s="163">
        <f ca="1"/>
        <v>2.4685465296604203E-2</v>
      </c>
      <c r="AB93" s="163">
        <f ca="1"/>
        <v>0</v>
      </c>
      <c r="AC93" s="163">
        <f ca="1"/>
        <v>6.1517006596882418E-2</v>
      </c>
      <c r="AD93" s="163">
        <f ca="1"/>
        <v>0.10243878242706228</v>
      </c>
      <c r="AE93" s="139">
        <f ca="1"/>
        <v>0.17335908041899417</v>
      </c>
      <c r="AH93" s="136"/>
      <c r="AI93" s="136"/>
      <c r="AJ93" s="136"/>
      <c r="AK93" s="136"/>
      <c r="AM93" s="136"/>
      <c r="AN93" s="136"/>
      <c r="AO93" s="136"/>
      <c r="AQ93" s="136"/>
      <c r="AR93" s="136"/>
      <c r="AS93" s="136"/>
      <c r="AT93" s="136"/>
      <c r="AV93" s="136"/>
      <c r="AW93" s="136"/>
      <c r="AX93" s="136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7" t="s">
        <v>87</v>
      </c>
      <c r="F94" s="156">
        <v>6.9999999999999999E-4</v>
      </c>
      <c r="G94" s="156">
        <v>1E-3</v>
      </c>
      <c r="H94" s="156">
        <v>2E-3</v>
      </c>
      <c r="I94" s="156">
        <v>3.0999999999999999E-3</v>
      </c>
      <c r="J94" s="156" t="s">
        <v>87</v>
      </c>
      <c r="K94" s="156">
        <v>4.7999999999999996E-3</v>
      </c>
      <c r="L94" s="156">
        <v>5.8999999999999999E-3</v>
      </c>
      <c r="M94" s="156">
        <v>7.3000000000000001E-3</v>
      </c>
      <c r="N94" s="138" cm="1">
        <f t="array" aca="1" ref="N94:AE94" ca="1">IF(OR(B94="",NOT($J$2)),"",GetStripDefaultProbability(A94,B94,Parameter_Date,CDSRollDate,E94:M94,SpreadCurveMaturities,D94,C94,$J$4,$J$6))</f>
        <v>0</v>
      </c>
      <c r="O94" s="163">
        <f ca="1"/>
        <v>6.98147686336692E-4</v>
      </c>
      <c r="P94" s="163">
        <f ca="1"/>
        <v>1.8402347754473691E-3</v>
      </c>
      <c r="Q94" s="163">
        <f ca="1"/>
        <v>7.1005719140073698E-3</v>
      </c>
      <c r="R94" s="163">
        <f ca="1"/>
        <v>1.6364051109814315E-2</v>
      </c>
      <c r="S94" s="163">
        <f ca="1"/>
        <v>0</v>
      </c>
      <c r="T94" s="163">
        <f ca="1"/>
        <v>4.1835132457323509E-2</v>
      </c>
      <c r="U94" s="163">
        <f ca="1"/>
        <v>7.1374363681798281E-2</v>
      </c>
      <c r="V94" s="139">
        <f ca="1"/>
        <v>0.12500909839265895</v>
      </c>
      <c r="W94" s="138">
        <f ca="1"/>
        <v>0</v>
      </c>
      <c r="X94" s="163">
        <f ca="1"/>
        <v>7.9784215457201491E-4</v>
      </c>
      <c r="Y94" s="163">
        <f ca="1"/>
        <v>2.0065808737579349E-3</v>
      </c>
      <c r="Z94" s="163">
        <f ca="1"/>
        <v>7.4501074860131578E-3</v>
      </c>
      <c r="AA94" s="163">
        <f ca="1"/>
        <v>1.7172618050338317E-2</v>
      </c>
      <c r="AB94" s="163">
        <f ca="1"/>
        <v>0</v>
      </c>
      <c r="AC94" s="163">
        <f ca="1"/>
        <v>4.388421538881826E-2</v>
      </c>
      <c r="AD94" s="163">
        <f ca="1"/>
        <v>7.4832368424394002E-2</v>
      </c>
      <c r="AE94" s="139">
        <f ca="1"/>
        <v>0.13094859741966092</v>
      </c>
      <c r="AH94" s="136"/>
      <c r="AI94" s="136"/>
      <c r="AJ94" s="136"/>
      <c r="AK94" s="136"/>
      <c r="AM94" s="136"/>
      <c r="AN94" s="136"/>
      <c r="AO94" s="136"/>
      <c r="AQ94" s="136"/>
      <c r="AR94" s="136"/>
      <c r="AS94" s="136"/>
      <c r="AT94" s="136"/>
      <c r="AV94" s="136"/>
      <c r="AW94" s="136"/>
      <c r="AX94" s="136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7" t="s">
        <v>87</v>
      </c>
      <c r="F95" s="156">
        <v>5.0000000000000001E-4</v>
      </c>
      <c r="G95" s="156">
        <v>5.9999999999999995E-4</v>
      </c>
      <c r="H95" s="156">
        <v>1.4E-3</v>
      </c>
      <c r="I95" s="156">
        <v>1.9E-3</v>
      </c>
      <c r="J95" s="156" t="s">
        <v>87</v>
      </c>
      <c r="K95" s="156">
        <v>3.0000000000000001E-3</v>
      </c>
      <c r="L95" s="156">
        <v>3.8E-3</v>
      </c>
      <c r="M95" s="156">
        <v>5.0000000000000001E-3</v>
      </c>
      <c r="N95" s="138" cm="1">
        <f t="array" aca="1" ref="N95:AE95" ca="1">IF(OR(B95="",NOT($J$2)),"",GetStripDefaultProbability(A95,B95,Parameter_Date,CDSRollDate,E95:M95,SpreadCurveMaturities,D95,C95,$J$4,$J$6))</f>
        <v>0</v>
      </c>
      <c r="O95" s="163">
        <f ca="1"/>
        <v>4.9872651070981266E-4</v>
      </c>
      <c r="P95" s="163">
        <f ca="1"/>
        <v>1.1024469251739166E-3</v>
      </c>
      <c r="Q95" s="163">
        <f ca="1"/>
        <v>4.9803342860696986E-3</v>
      </c>
      <c r="R95" s="163">
        <f ca="1"/>
        <v>1.0020280449809738E-2</v>
      </c>
      <c r="S95" s="163">
        <f ca="1"/>
        <v>0</v>
      </c>
      <c r="T95" s="163">
        <f ca="1"/>
        <v>2.627763862730359E-2</v>
      </c>
      <c r="U95" s="163">
        <f ca="1"/>
        <v>4.6505780158067833E-2</v>
      </c>
      <c r="V95" s="139">
        <f ca="1"/>
        <v>8.771678275255157E-2</v>
      </c>
      <c r="W95" s="138">
        <f ca="1"/>
        <v>0</v>
      </c>
      <c r="X95" s="163">
        <f ca="1"/>
        <v>5.9844139207421154E-4</v>
      </c>
      <c r="Y95" s="163">
        <f ca="1"/>
        <v>1.2689159778730419E-3</v>
      </c>
      <c r="Z95" s="163">
        <f ca="1"/>
        <v>5.3305655113261574E-3</v>
      </c>
      <c r="AA95" s="163">
        <f ca="1"/>
        <v>1.0535289448240337E-2</v>
      </c>
      <c r="AB95" s="163">
        <f ca="1"/>
        <v>0</v>
      </c>
      <c r="AC95" s="163">
        <f ca="1"/>
        <v>2.756322916914844E-2</v>
      </c>
      <c r="AD95" s="163">
        <f ca="1"/>
        <v>4.8773462155335956E-2</v>
      </c>
      <c r="AE95" s="139">
        <f ca="1"/>
        <v>9.1947141523117226E-2</v>
      </c>
      <c r="AH95" s="136"/>
      <c r="AI95" s="136"/>
      <c r="AJ95" s="136"/>
      <c r="AK95" s="136"/>
      <c r="AM95" s="136"/>
      <c r="AN95" s="136"/>
      <c r="AO95" s="136"/>
      <c r="AQ95" s="136"/>
      <c r="AR95" s="136"/>
      <c r="AS95" s="136"/>
      <c r="AT95" s="136"/>
      <c r="AV95" s="136"/>
      <c r="AW95" s="136"/>
      <c r="AX95" s="136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7" t="s">
        <v>87</v>
      </c>
      <c r="F96" s="156">
        <v>8.9999999999999998E-4</v>
      </c>
      <c r="G96" s="156">
        <v>8.9999999999999998E-4</v>
      </c>
      <c r="H96" s="156">
        <v>1.8E-3</v>
      </c>
      <c r="I96" s="156">
        <v>2.3E-3</v>
      </c>
      <c r="J96" s="156" t="s">
        <v>87</v>
      </c>
      <c r="K96" s="156">
        <v>3.7000000000000002E-3</v>
      </c>
      <c r="L96" s="156">
        <v>4.3E-3</v>
      </c>
      <c r="M96" s="156">
        <v>5.3E-3</v>
      </c>
      <c r="N96" s="138" cm="1">
        <f t="array" aca="1" ref="N96:AE96" ca="1">IF(OR(B96="",NOT($J$2)),"",GetStripDefaultProbability(A96,B96,Parameter_Date,CDSRollDate,E96:M96,SpreadCurveMaturities,D96,C96,$J$4,$J$6))</f>
        <v>0</v>
      </c>
      <c r="O96" s="163">
        <f ca="1"/>
        <v>8.9752920618468846E-4</v>
      </c>
      <c r="P96" s="163">
        <f ca="1"/>
        <v>1.649405484672184E-3</v>
      </c>
      <c r="Q96" s="163">
        <f ca="1"/>
        <v>6.3849750667389626E-3</v>
      </c>
      <c r="R96" s="163">
        <f ca="1"/>
        <v>1.2083376609863916E-2</v>
      </c>
      <c r="S96" s="163">
        <f ca="1"/>
        <v>0</v>
      </c>
      <c r="T96" s="163">
        <f ca="1"/>
        <v>3.2326449092231591E-2</v>
      </c>
      <c r="U96" s="163">
        <f ca="1"/>
        <v>5.2091447655352674E-2</v>
      </c>
      <c r="V96" s="139">
        <f ca="1"/>
        <v>9.1615962780784765E-2</v>
      </c>
      <c r="W96" s="138">
        <f ca="1"/>
        <v>0</v>
      </c>
      <c r="X96" s="163">
        <f ca="1"/>
        <v>9.9720307914286099E-4</v>
      </c>
      <c r="Y96" s="163">
        <f ca="1"/>
        <v>1.8157833852218142E-3</v>
      </c>
      <c r="Z96" s="163">
        <f ca="1"/>
        <v>6.734715956392634E-3</v>
      </c>
      <c r="AA96" s="163">
        <f ca="1"/>
        <v>1.2678285688638269E-2</v>
      </c>
      <c r="AB96" s="163">
        <f ca="1"/>
        <v>0</v>
      </c>
      <c r="AC96" s="163">
        <f ca="1"/>
        <v>3.3913457991375462E-2</v>
      </c>
      <c r="AD96" s="163">
        <f ca="1"/>
        <v>5.4632024897055764E-2</v>
      </c>
      <c r="AE96" s="139">
        <f ca="1"/>
        <v>9.5999637358809231E-2</v>
      </c>
      <c r="AH96" s="136"/>
      <c r="AI96" s="136"/>
      <c r="AJ96" s="136"/>
      <c r="AK96" s="136"/>
      <c r="AM96" s="136"/>
      <c r="AN96" s="136"/>
      <c r="AO96" s="136"/>
      <c r="AQ96" s="136"/>
      <c r="AR96" s="136"/>
      <c r="AS96" s="136"/>
      <c r="AT96" s="136"/>
      <c r="AV96" s="136"/>
      <c r="AW96" s="136"/>
      <c r="AX96" s="136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7" t="s">
        <v>87</v>
      </c>
      <c r="F97" s="156">
        <v>6.9999999999999999E-4</v>
      </c>
      <c r="G97" s="156">
        <v>1.6999999999999999E-3</v>
      </c>
      <c r="H97" s="156">
        <v>2.7000000000000001E-3</v>
      </c>
      <c r="I97" s="156">
        <v>3.5000000000000001E-3</v>
      </c>
      <c r="J97" s="156" t="s">
        <v>87</v>
      </c>
      <c r="K97" s="156">
        <v>4.7999999999999996E-3</v>
      </c>
      <c r="L97" s="156">
        <v>5.7000000000000002E-3</v>
      </c>
      <c r="M97" s="156">
        <v>6.7999999999999996E-3</v>
      </c>
      <c r="N97" s="138" cm="1">
        <f t="array" aca="1" ref="N97:AE97" ca="1">IF(OR(B97="",NOT($J$2)),"",GetStripDefaultProbability(A97,B97,Parameter_Date,CDSRollDate,E97:M97,SpreadCurveMaturities,D97,C97,$J$4,$J$6))</f>
        <v>0</v>
      </c>
      <c r="O97" s="163">
        <f ca="1"/>
        <v>6.98147686336692E-4</v>
      </c>
      <c r="P97" s="163">
        <f ca="1"/>
        <v>3.1396586394589754E-3</v>
      </c>
      <c r="Q97" s="163">
        <f ca="1"/>
        <v>9.5604116750560575E-3</v>
      </c>
      <c r="R97" s="163">
        <f ca="1"/>
        <v>1.8347187342561577E-2</v>
      </c>
      <c r="S97" s="163">
        <f ca="1"/>
        <v>0</v>
      </c>
      <c r="T97" s="163">
        <f ca="1"/>
        <v>4.1488215669140294E-2</v>
      </c>
      <c r="U97" s="163">
        <f ca="1"/>
        <v>6.8442111401486261E-2</v>
      </c>
      <c r="V97" s="139">
        <f ca="1"/>
        <v>0.11562825154004031</v>
      </c>
      <c r="W97" s="138">
        <f ca="1"/>
        <v>0</v>
      </c>
      <c r="X97" s="163">
        <f ca="1"/>
        <v>7.9784215457201491E-4</v>
      </c>
      <c r="Y97" s="163">
        <f ca="1"/>
        <v>3.3057881851646931E-3</v>
      </c>
      <c r="Z97" s="163">
        <f ca="1"/>
        <v>1.0034292626943442E-2</v>
      </c>
      <c r="AA97" s="163">
        <f ca="1"/>
        <v>1.9255366477297642E-2</v>
      </c>
      <c r="AB97" s="163">
        <f ca="1"/>
        <v>0</v>
      </c>
      <c r="AC97" s="163">
        <f ca="1"/>
        <v>4.3521043008177718E-2</v>
      </c>
      <c r="AD97" s="163">
        <f ca="1"/>
        <v>7.1759595896284556E-2</v>
      </c>
      <c r="AE97" s="139">
        <f ca="1"/>
        <v>0.12113186679873134</v>
      </c>
      <c r="AH97" s="136"/>
      <c r="AI97" s="136"/>
      <c r="AJ97" s="136"/>
      <c r="AK97" s="136"/>
      <c r="AM97" s="136"/>
      <c r="AN97" s="136"/>
      <c r="AO97" s="136"/>
      <c r="AQ97" s="136"/>
      <c r="AR97" s="136"/>
      <c r="AS97" s="136"/>
      <c r="AT97" s="136"/>
      <c r="AV97" s="136"/>
      <c r="AW97" s="136"/>
      <c r="AX97" s="136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7" t="s">
        <v>87</v>
      </c>
      <c r="F98" s="156">
        <v>2.9999999999999997E-4</v>
      </c>
      <c r="G98" s="156">
        <v>5.0000000000000001E-4</v>
      </c>
      <c r="H98" s="156">
        <v>8.9999999999999998E-4</v>
      </c>
      <c r="I98" s="156">
        <v>1.2999999999999999E-3</v>
      </c>
      <c r="J98" s="156" t="s">
        <v>87</v>
      </c>
      <c r="K98" s="156">
        <v>2.0999999999999999E-3</v>
      </c>
      <c r="L98" s="156">
        <v>2.7000000000000001E-3</v>
      </c>
      <c r="M98" s="156">
        <v>3.3999999999999998E-3</v>
      </c>
      <c r="N98" s="138" cm="1">
        <f t="array" aca="1" ref="N98:AE98" ca="1">IF(OR(B98="",NOT($J$2)),"",GetStripDefaultProbability(A98,B98,Parameter_Date,CDSRollDate,E98:M98,SpreadCurveMaturities,D98,C98,$J$4,$J$6))</f>
        <v>0</v>
      </c>
      <c r="O98" s="163">
        <f ca="1"/>
        <v>2.9926566746929506E-4</v>
      </c>
      <c r="P98" s="163">
        <f ca="1"/>
        <v>9.2173632679792838E-4</v>
      </c>
      <c r="Q98" s="163">
        <f ca="1"/>
        <v>3.1968799979277263E-3</v>
      </c>
      <c r="R98" s="163">
        <f ca="1"/>
        <v>6.868543143585204E-3</v>
      </c>
      <c r="S98" s="163">
        <f ca="1"/>
        <v>0</v>
      </c>
      <c r="T98" s="163">
        <f ca="1"/>
        <v>1.8465679281941871E-2</v>
      </c>
      <c r="U98" s="163">
        <f ca="1"/>
        <v>3.326331310043773E-2</v>
      </c>
      <c r="V98" s="139">
        <f ca="1"/>
        <v>5.9990034900452294E-2</v>
      </c>
      <c r="W98" s="138">
        <f ca="1"/>
        <v>0</v>
      </c>
      <c r="X98" s="163">
        <f ca="1"/>
        <v>3.9900078367871572E-4</v>
      </c>
      <c r="Y98" s="163">
        <f ca="1"/>
        <v>1.088235495418588E-3</v>
      </c>
      <c r="Z98" s="163">
        <f ca="1"/>
        <v>3.5476393525042393E-3</v>
      </c>
      <c r="AA98" s="163">
        <f ca="1"/>
        <v>7.3849989566759922E-3</v>
      </c>
      <c r="AB98" s="163">
        <f ca="1"/>
        <v>0</v>
      </c>
      <c r="AC98" s="163">
        <f ca="1"/>
        <v>1.93521900145458E-2</v>
      </c>
      <c r="AD98" s="163">
        <f ca="1"/>
        <v>3.4874426681013815E-2</v>
      </c>
      <c r="AE98" s="139">
        <f ca="1"/>
        <v>6.288165744785057E-2</v>
      </c>
      <c r="AH98" s="136"/>
      <c r="AI98" s="136"/>
      <c r="AJ98" s="136"/>
      <c r="AK98" s="136"/>
      <c r="AM98" s="136"/>
      <c r="AN98" s="136"/>
      <c r="AO98" s="136"/>
      <c r="AQ98" s="136"/>
      <c r="AR98" s="136"/>
      <c r="AS98" s="136"/>
      <c r="AT98" s="136"/>
      <c r="AV98" s="136"/>
      <c r="AW98" s="136"/>
      <c r="AX98" s="136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7" t="s">
        <v>87</v>
      </c>
      <c r="F99" s="156">
        <v>1.65E-3</v>
      </c>
      <c r="G99" s="156">
        <v>2.5300000000000001E-3</v>
      </c>
      <c r="H99" s="156">
        <v>3.2299999999999998E-3</v>
      </c>
      <c r="I99" s="156">
        <v>3.5400000000000002E-3</v>
      </c>
      <c r="J99" s="156" t="s">
        <v>87</v>
      </c>
      <c r="K99" s="156">
        <v>4.1999999999999997E-3</v>
      </c>
      <c r="L99" s="156">
        <v>4.5999999999999999E-3</v>
      </c>
      <c r="M99" s="156">
        <v>5.0000000000000001E-3</v>
      </c>
      <c r="N99" s="138" cm="1">
        <f t="array" aca="1" ref="N99:AE99" ca="1">IF(OR(B99="",NOT($J$2)),"",GetStripDefaultProbability(A99,B99,Parameter_Date,CDSRollDate,E99:M99,SpreadCurveMaturities,D99,C99,$J$4,$J$6))</f>
        <v>0</v>
      </c>
      <c r="O99" s="163">
        <f ca="1"/>
        <v>1.6448569233522559E-3</v>
      </c>
      <c r="P99" s="163">
        <f ca="1"/>
        <v>4.6536202261334703E-3</v>
      </c>
      <c r="Q99" s="163">
        <f ca="1"/>
        <v>1.1372542480457937E-2</v>
      </c>
      <c r="R99" s="163">
        <f ca="1"/>
        <v>1.8384583914232144E-2</v>
      </c>
      <c r="S99" s="163">
        <f ca="1"/>
        <v>0</v>
      </c>
      <c r="T99" s="163">
        <f ca="1"/>
        <v>3.5918233195165961E-2</v>
      </c>
      <c r="U99" s="163">
        <f ca="1"/>
        <v>5.4606601603905403E-2</v>
      </c>
      <c r="V99" s="139">
        <f ca="1"/>
        <v>8.3939786183197973E-2</v>
      </c>
      <c r="W99" s="138">
        <f ca="1"/>
        <v>0</v>
      </c>
      <c r="X99" s="163">
        <f ca="1"/>
        <v>1.7444518775037166E-3</v>
      </c>
      <c r="Y99" s="163">
        <f ca="1"/>
        <v>4.8853462356646116E-3</v>
      </c>
      <c r="Z99" s="163">
        <f ca="1"/>
        <v>1.193762983213531E-2</v>
      </c>
      <c r="AA99" s="163">
        <f ca="1"/>
        <v>1.9295359919811128E-2</v>
      </c>
      <c r="AB99" s="163">
        <f ca="1"/>
        <v>0</v>
      </c>
      <c r="AC99" s="163">
        <f ca="1"/>
        <v>3.7681680734967138E-2</v>
      </c>
      <c r="AD99" s="163">
        <f ca="1"/>
        <v>5.7265120053859198E-2</v>
      </c>
      <c r="AE99" s="139">
        <f ca="1"/>
        <v>8.7959713006479201E-2</v>
      </c>
      <c r="AH99" s="136"/>
      <c r="AI99" s="136"/>
      <c r="AJ99" s="136"/>
      <c r="AK99" s="136"/>
      <c r="AM99" s="136"/>
      <c r="AN99" s="136"/>
      <c r="AO99" s="136"/>
      <c r="AQ99" s="136"/>
      <c r="AR99" s="136"/>
      <c r="AS99" s="136"/>
      <c r="AT99" s="136"/>
      <c r="AV99" s="136"/>
      <c r="AW99" s="136"/>
      <c r="AX99" s="136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7" t="s">
        <v>87</v>
      </c>
      <c r="F100" s="156">
        <v>4.0000000000000002E-4</v>
      </c>
      <c r="G100" s="156">
        <v>6.9999999999999999E-4</v>
      </c>
      <c r="H100" s="156">
        <v>1.1999999999999999E-3</v>
      </c>
      <c r="I100" s="156">
        <v>1.4E-3</v>
      </c>
      <c r="J100" s="156" t="s">
        <v>87</v>
      </c>
      <c r="K100" s="156">
        <v>2.0999999999999999E-3</v>
      </c>
      <c r="L100" s="156">
        <v>2.5000000000000001E-3</v>
      </c>
      <c r="M100" s="156">
        <v>3.0000000000000001E-3</v>
      </c>
      <c r="N100" s="138" cm="1">
        <f t="array" aca="1" ref="N100:AE100" ca="1">IF(OR(B100="",NOT($J$2)),"",GetStripDefaultProbability(A100,B100,Parameter_Date,CDSRollDate,E100:M100,SpreadCurveMaturities,D100,C100,$J$4,$J$6))</f>
        <v>0</v>
      </c>
      <c r="O100" s="163">
        <f ca="1"/>
        <v>3.9900104827061966E-4</v>
      </c>
      <c r="P100" s="163">
        <f ca="1"/>
        <v>1.2907558445212075E-3</v>
      </c>
      <c r="Q100" s="163">
        <f ca="1"/>
        <v>4.2587252807656517E-3</v>
      </c>
      <c r="R100" s="163">
        <f ca="1"/>
        <v>7.344919733013211E-3</v>
      </c>
      <c r="S100" s="163">
        <f ca="1"/>
        <v>0</v>
      </c>
      <c r="T100" s="163">
        <f ca="1"/>
        <v>1.8360375374241511E-2</v>
      </c>
      <c r="U100" s="163">
        <f ca="1"/>
        <v>3.0525297437442589E-2</v>
      </c>
      <c r="V100" s="139">
        <f ca="1"/>
        <v>5.2441153384964467E-2</v>
      </c>
      <c r="W100" s="138">
        <f ca="1"/>
        <v>0</v>
      </c>
      <c r="X100" s="163">
        <f ca="1"/>
        <v>4.9872606913303752E-4</v>
      </c>
      <c r="Y100" s="163">
        <f ca="1"/>
        <v>1.4571935150202719E-3</v>
      </c>
      <c r="Z100" s="163">
        <f ca="1"/>
        <v>4.6091474307335956E-3</v>
      </c>
      <c r="AA100" s="163">
        <f ca="1"/>
        <v>7.860991884922619E-3</v>
      </c>
      <c r="AB100" s="163">
        <f ca="1"/>
        <v>0</v>
      </c>
      <c r="AC100" s="163">
        <f ca="1"/>
        <v>1.9246659688393897E-2</v>
      </c>
      <c r="AD100" s="163">
        <f ca="1"/>
        <v>3.2007414780713894E-2</v>
      </c>
      <c r="AE100" s="139">
        <f ca="1"/>
        <v>5.497686099460275E-2</v>
      </c>
      <c r="AH100" s="136"/>
      <c r="AI100" s="136"/>
      <c r="AJ100" s="136"/>
      <c r="AK100" s="136"/>
      <c r="AM100" s="136"/>
      <c r="AN100" s="136"/>
      <c r="AO100" s="136"/>
      <c r="AQ100" s="136"/>
      <c r="AR100" s="136"/>
      <c r="AS100" s="136"/>
      <c r="AT100" s="136"/>
      <c r="AV100" s="136"/>
      <c r="AW100" s="136"/>
      <c r="AX100" s="136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7" t="s">
        <v>87</v>
      </c>
      <c r="F101" s="156">
        <v>5.9999999999999995E-4</v>
      </c>
      <c r="G101" s="156">
        <v>1.5E-3</v>
      </c>
      <c r="H101" s="156">
        <v>2.3E-3</v>
      </c>
      <c r="I101" s="156">
        <v>3.3999999999999998E-3</v>
      </c>
      <c r="J101" s="156" t="s">
        <v>87</v>
      </c>
      <c r="K101" s="156">
        <v>5.3E-3</v>
      </c>
      <c r="L101" s="156">
        <v>6.6E-3</v>
      </c>
      <c r="M101" s="156">
        <v>8.2000000000000007E-3</v>
      </c>
      <c r="N101" s="138" cm="1">
        <f t="array" aca="1" ref="N101:AE101" ca="1">IF(OR(B101="",NOT($J$2)),"",GetStripDefaultProbability(A101,B101,Parameter_Date,CDSRollDate,E101:M101,SpreadCurveMaturities,D101,C101,$J$4,$J$6))</f>
        <v>0</v>
      </c>
      <c r="O101" s="163">
        <f ca="1"/>
        <v>5.9844205622783253E-4</v>
      </c>
      <c r="P101" s="163">
        <f ca="1"/>
        <v>2.7710950126746958E-3</v>
      </c>
      <c r="Q101" s="163">
        <f ca="1"/>
        <v>8.1447884334114873E-3</v>
      </c>
      <c r="R101" s="163">
        <f ca="1"/>
        <v>1.7896299907995239E-2</v>
      </c>
      <c r="S101" s="163">
        <f ca="1"/>
        <v>0</v>
      </c>
      <c r="T101" s="163">
        <f ca="1"/>
        <v>4.6092959465464656E-2</v>
      </c>
      <c r="U101" s="163">
        <f ca="1"/>
        <v>7.9663064550412499E-2</v>
      </c>
      <c r="V101" s="139">
        <f ca="1"/>
        <v>0.13976204391808089</v>
      </c>
      <c r="W101" s="138">
        <f ca="1"/>
        <v>0</v>
      </c>
      <c r="X101" s="163">
        <f ca="1"/>
        <v>6.9814675354706868E-4</v>
      </c>
      <c r="Y101" s="163">
        <f ca="1"/>
        <v>2.9372859805391061E-3</v>
      </c>
      <c r="Z101" s="163">
        <f ca="1"/>
        <v>8.5476434013966873E-3</v>
      </c>
      <c r="AA101" s="163">
        <f ca="1"/>
        <v>1.878179973006544E-2</v>
      </c>
      <c r="AB101" s="163">
        <f ca="1"/>
        <v>0</v>
      </c>
      <c r="AC101" s="163">
        <f ca="1"/>
        <v>4.8347895164110866E-2</v>
      </c>
      <c r="AD101" s="163">
        <f ca="1"/>
        <v>8.3510907152065328E-2</v>
      </c>
      <c r="AE101" s="139">
        <f ca="1"/>
        <v>0.14636491826957843</v>
      </c>
      <c r="AH101" s="136"/>
      <c r="AI101" s="136"/>
      <c r="AJ101" s="136"/>
      <c r="AK101" s="136"/>
      <c r="AM101" s="136"/>
      <c r="AN101" s="136"/>
      <c r="AO101" s="136"/>
      <c r="AQ101" s="136"/>
      <c r="AR101" s="136"/>
      <c r="AS101" s="136"/>
      <c r="AT101" s="136"/>
      <c r="AV101" s="136"/>
      <c r="AW101" s="136"/>
      <c r="AX101" s="136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7" t="s">
        <v>87</v>
      </c>
      <c r="F102" s="156">
        <v>4.0000000000000002E-4</v>
      </c>
      <c r="G102" s="156">
        <v>5.0000000000000001E-4</v>
      </c>
      <c r="H102" s="156">
        <v>8.9999999999999998E-4</v>
      </c>
      <c r="I102" s="156">
        <v>1.1999999999999999E-3</v>
      </c>
      <c r="J102" s="156" t="s">
        <v>87</v>
      </c>
      <c r="K102" s="156">
        <v>2E-3</v>
      </c>
      <c r="L102" s="156">
        <v>2.5000000000000001E-3</v>
      </c>
      <c r="M102" s="156">
        <v>3.3E-3</v>
      </c>
      <c r="N102" s="138" cm="1">
        <f t="array" aca="1" ref="N102:AE102" ca="1">IF(OR(B102="",NOT($J$2)),"",GetStripDefaultProbability(A102,B102,Parameter_Date,CDSRollDate,E102:M102,SpreadCurveMaturities,D102,C102,$J$4,$J$6))</f>
        <v>0</v>
      </c>
      <c r="O102" s="163">
        <f ca="1"/>
        <v>3.9900104827061966E-4</v>
      </c>
      <c r="P102" s="163">
        <f ca="1"/>
        <v>9.1920434298853326E-4</v>
      </c>
      <c r="Q102" s="163">
        <f ca="1"/>
        <v>3.1943138499956891E-3</v>
      </c>
      <c r="R102" s="163">
        <f ca="1"/>
        <v>6.3243252992007948E-3</v>
      </c>
      <c r="S102" s="163">
        <f ca="1"/>
        <v>0</v>
      </c>
      <c r="T102" s="163">
        <f ca="1"/>
        <v>1.7594557145368728E-2</v>
      </c>
      <c r="U102" s="163">
        <f ca="1"/>
        <v>3.0759204497674997E-2</v>
      </c>
      <c r="V102" s="139">
        <f ca="1"/>
        <v>5.852883781111029E-2</v>
      </c>
      <c r="W102" s="138">
        <f ca="1"/>
        <v>0</v>
      </c>
      <c r="X102" s="163">
        <f ca="1"/>
        <v>4.9872606913303752E-4</v>
      </c>
      <c r="Y102" s="163">
        <f ca="1"/>
        <v>1.0857039335719909E-3</v>
      </c>
      <c r="Z102" s="163">
        <f ca="1"/>
        <v>3.5450644177309476E-3</v>
      </c>
      <c r="AA102" s="163">
        <f ca="1"/>
        <v>6.8409675508170897E-3</v>
      </c>
      <c r="AB102" s="163">
        <f ca="1"/>
        <v>0</v>
      </c>
      <c r="AC102" s="163">
        <f ca="1"/>
        <v>1.8436448682509377E-2</v>
      </c>
      <c r="AD102" s="163">
        <f ca="1"/>
        <v>3.2246507356122334E-2</v>
      </c>
      <c r="AE102" s="139">
        <f ca="1"/>
        <v>6.1349771827477029E-2</v>
      </c>
      <c r="AH102" s="136"/>
      <c r="AI102" s="136"/>
      <c r="AJ102" s="136"/>
      <c r="AK102" s="136"/>
      <c r="AM102" s="136"/>
      <c r="AN102" s="136"/>
      <c r="AO102" s="136"/>
      <c r="AQ102" s="136"/>
      <c r="AR102" s="136"/>
      <c r="AS102" s="136"/>
      <c r="AT102" s="136"/>
      <c r="AV102" s="136"/>
      <c r="AW102" s="136"/>
      <c r="AX102" s="136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7" t="s">
        <v>87</v>
      </c>
      <c r="F103" s="156">
        <v>5.0000000000000001E-4</v>
      </c>
      <c r="G103" s="156">
        <v>5.0000000000000001E-4</v>
      </c>
      <c r="H103" s="156">
        <v>8.9999999999999998E-4</v>
      </c>
      <c r="I103" s="156">
        <v>1.2999999999999999E-3</v>
      </c>
      <c r="J103" s="156" t="s">
        <v>87</v>
      </c>
      <c r="K103" s="156">
        <v>2E-3</v>
      </c>
      <c r="L103" s="156">
        <v>2.5000000000000001E-3</v>
      </c>
      <c r="M103" s="156">
        <v>2.8E-3</v>
      </c>
      <c r="N103" s="138" cm="1">
        <f t="array" aca="1" ref="N103:AE103" ca="1">IF(OR(B103="",NOT($J$2)),"",GetStripDefaultProbability(A103,B103,Parameter_Date,CDSRollDate,E103:M103,SpreadCurveMaturities,D103,C103,$J$4,$J$6))</f>
        <v>0</v>
      </c>
      <c r="O103" s="163">
        <f ca="1"/>
        <v>4.9872651070981266E-4</v>
      </c>
      <c r="P103" s="163">
        <f ca="1"/>
        <v>9.1667256579530676E-4</v>
      </c>
      <c r="Q103" s="163">
        <f ca="1"/>
        <v>3.1917478704388547E-3</v>
      </c>
      <c r="R103" s="163">
        <f ca="1"/>
        <v>6.8633460933084089E-3</v>
      </c>
      <c r="S103" s="163">
        <f ca="1"/>
        <v>0</v>
      </c>
      <c r="T103" s="163">
        <f ca="1"/>
        <v>1.7553180015533298E-2</v>
      </c>
      <c r="U103" s="163">
        <f ca="1"/>
        <v>3.0717492287967052E-2</v>
      </c>
      <c r="V103" s="139">
        <f ca="1"/>
        <v>4.8727457155600229E-2</v>
      </c>
      <c r="W103" s="138">
        <f ca="1"/>
        <v>0</v>
      </c>
      <c r="X103" s="163">
        <f ca="1"/>
        <v>5.9844139207421154E-4</v>
      </c>
      <c r="Y103" s="163">
        <f ca="1"/>
        <v>1.0831725783114754E-3</v>
      </c>
      <c r="Z103" s="163">
        <f ca="1"/>
        <v>3.5424896534085315E-3</v>
      </c>
      <c r="AA103" s="163">
        <f ca="1"/>
        <v>7.3797852514050355E-3</v>
      </c>
      <c r="AB103" s="163">
        <f ca="1"/>
        <v>0</v>
      </c>
      <c r="AC103" s="163">
        <f ca="1"/>
        <v>1.8395046420616179E-2</v>
      </c>
      <c r="AD103" s="163">
        <f ca="1"/>
        <v>3.220464099705922E-2</v>
      </c>
      <c r="AE103" s="139">
        <f ca="1"/>
        <v>5.1080880632024317E-2</v>
      </c>
      <c r="AH103" s="136"/>
      <c r="AI103" s="136"/>
      <c r="AJ103" s="136"/>
      <c r="AK103" s="136"/>
      <c r="AM103" s="136"/>
      <c r="AN103" s="136"/>
      <c r="AO103" s="136"/>
      <c r="AQ103" s="136"/>
      <c r="AR103" s="136"/>
      <c r="AS103" s="136"/>
      <c r="AT103" s="136"/>
      <c r="AV103" s="136"/>
      <c r="AW103" s="136"/>
      <c r="AX103" s="136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7" t="s">
        <v>87</v>
      </c>
      <c r="F104" s="156">
        <v>2.9999999999999997E-4</v>
      </c>
      <c r="G104" s="156">
        <v>1.1000000000000001E-3</v>
      </c>
      <c r="H104" s="156">
        <v>1.5E-3</v>
      </c>
      <c r="I104" s="156">
        <v>2E-3</v>
      </c>
      <c r="J104" s="156" t="s">
        <v>87</v>
      </c>
      <c r="K104" s="156">
        <v>2.8999999999999998E-3</v>
      </c>
      <c r="L104" s="156">
        <v>3.5999999999999999E-3</v>
      </c>
      <c r="M104" s="156">
        <v>4.4999999999999997E-3</v>
      </c>
      <c r="N104" s="138" cm="1">
        <f t="array" aca="1" ref="N104:AE104" ca="1">IF(OR(B104="",NOT($J$2)),"",GetStripDefaultProbability(A104,B104,Parameter_Date,CDSRollDate,E104:M104,SpreadCurveMaturities,D104,C104,$J$4,$J$6))</f>
        <v>0</v>
      </c>
      <c r="O104" s="163">
        <f ca="1"/>
        <v>2.9926566746929506E-4</v>
      </c>
      <c r="P104" s="163">
        <f ca="1"/>
        <v>2.0362595369394221E-3</v>
      </c>
      <c r="Q104" s="163">
        <f ca="1"/>
        <v>5.3119838629895888E-3</v>
      </c>
      <c r="R104" s="163">
        <f ca="1"/>
        <v>1.051647624447638E-2</v>
      </c>
      <c r="S104" s="163">
        <f ca="1"/>
        <v>0</v>
      </c>
      <c r="T104" s="163">
        <f ca="1"/>
        <v>2.5288858692757432E-2</v>
      </c>
      <c r="U104" s="163">
        <f ca="1"/>
        <v>4.3899051633880082E-2</v>
      </c>
      <c r="V104" s="139">
        <f ca="1"/>
        <v>7.8492753682155914E-2</v>
      </c>
      <c r="W104" s="138">
        <f ca="1"/>
        <v>0</v>
      </c>
      <c r="X104" s="163">
        <f ca="1"/>
        <v>3.9900078367871572E-4</v>
      </c>
      <c r="Y104" s="163">
        <f ca="1"/>
        <v>2.2025729671697469E-3</v>
      </c>
      <c r="Z104" s="163">
        <f ca="1"/>
        <v>5.6620489574852328E-3</v>
      </c>
      <c r="AA104" s="163">
        <f ca="1"/>
        <v>1.1031154769254981E-2</v>
      </c>
      <c r="AB104" s="163">
        <f ca="1"/>
        <v>0</v>
      </c>
      <c r="AC104" s="163">
        <f ca="1"/>
        <v>2.6530012635700984E-2</v>
      </c>
      <c r="AD104" s="163">
        <f ca="1"/>
        <v>4.604447575811621E-2</v>
      </c>
      <c r="AE104" s="139">
        <f ca="1"/>
        <v>8.2271074953601642E-2</v>
      </c>
      <c r="AH104" s="136"/>
      <c r="AI104" s="136"/>
      <c r="AJ104" s="136"/>
      <c r="AK104" s="136"/>
      <c r="AM104" s="136"/>
      <c r="AN104" s="136"/>
      <c r="AO104" s="136"/>
      <c r="AQ104" s="136"/>
      <c r="AR104" s="136"/>
      <c r="AS104" s="136"/>
      <c r="AT104" s="136"/>
      <c r="AV104" s="136"/>
      <c r="AW104" s="136"/>
      <c r="AX104" s="136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7" t="s">
        <v>87</v>
      </c>
      <c r="F105" s="156">
        <v>2.9999999999999997E-4</v>
      </c>
      <c r="G105" s="156">
        <v>5.0000000000000001E-4</v>
      </c>
      <c r="H105" s="156">
        <v>8.9999999999999998E-4</v>
      </c>
      <c r="I105" s="156">
        <v>1.2999999999999999E-3</v>
      </c>
      <c r="J105" s="156" t="s">
        <v>87</v>
      </c>
      <c r="K105" s="156">
        <v>2.0999999999999999E-3</v>
      </c>
      <c r="L105" s="156">
        <v>2.7000000000000001E-3</v>
      </c>
      <c r="M105" s="156">
        <v>3.3999999999999998E-3</v>
      </c>
      <c r="N105" s="138" cm="1">
        <f t="array" aca="1" ref="N105:AE105" ca="1">IF(OR(B105="",NOT($J$2)),"",GetStripDefaultProbability(A105,B105,Parameter_Date,CDSRollDate,E105:M105,SpreadCurveMaturities,D105,C105,$J$4,$J$6))</f>
        <v>0</v>
      </c>
      <c r="O105" s="163">
        <f ca="1"/>
        <v>2.9926566746929506E-4</v>
      </c>
      <c r="P105" s="163">
        <f ca="1"/>
        <v>9.2173632679792838E-4</v>
      </c>
      <c r="Q105" s="163">
        <f ca="1"/>
        <v>3.1968799979277263E-3</v>
      </c>
      <c r="R105" s="163">
        <f ca="1"/>
        <v>6.868543143585204E-3</v>
      </c>
      <c r="S105" s="163">
        <f ca="1"/>
        <v>0</v>
      </c>
      <c r="T105" s="163">
        <f ca="1"/>
        <v>1.8465679281941871E-2</v>
      </c>
      <c r="U105" s="163">
        <f ca="1"/>
        <v>3.326331310043773E-2</v>
      </c>
      <c r="V105" s="139">
        <f ca="1"/>
        <v>5.9990034900452294E-2</v>
      </c>
      <c r="W105" s="138">
        <f ca="1"/>
        <v>0</v>
      </c>
      <c r="X105" s="163">
        <f ca="1"/>
        <v>3.9900078367871572E-4</v>
      </c>
      <c r="Y105" s="163">
        <f ca="1"/>
        <v>1.088235495418588E-3</v>
      </c>
      <c r="Z105" s="163">
        <f ca="1"/>
        <v>3.5476393525042393E-3</v>
      </c>
      <c r="AA105" s="163">
        <f ca="1"/>
        <v>7.3849989566759922E-3</v>
      </c>
      <c r="AB105" s="163">
        <f ca="1"/>
        <v>0</v>
      </c>
      <c r="AC105" s="163">
        <f ca="1"/>
        <v>1.93521900145458E-2</v>
      </c>
      <c r="AD105" s="163">
        <f ca="1"/>
        <v>3.4874426681013815E-2</v>
      </c>
      <c r="AE105" s="139">
        <f ca="1"/>
        <v>6.288165744785057E-2</v>
      </c>
      <c r="AH105" s="136"/>
      <c r="AI105" s="136"/>
      <c r="AJ105" s="136"/>
      <c r="AK105" s="136"/>
      <c r="AM105" s="136"/>
      <c r="AN105" s="136"/>
      <c r="AO105" s="136"/>
      <c r="AQ105" s="136"/>
      <c r="AR105" s="136"/>
      <c r="AS105" s="136"/>
      <c r="AT105" s="136"/>
      <c r="AV105" s="136"/>
      <c r="AW105" s="136"/>
      <c r="AX105" s="136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7" t="s">
        <v>87</v>
      </c>
      <c r="F106" s="156">
        <v>8.9999999999999998E-4</v>
      </c>
      <c r="G106" s="156">
        <v>8.9999999999999998E-4</v>
      </c>
      <c r="H106" s="156">
        <v>1.8E-3</v>
      </c>
      <c r="I106" s="156">
        <v>2.5999999999999999E-3</v>
      </c>
      <c r="J106" s="156" t="s">
        <v>87</v>
      </c>
      <c r="K106" s="156">
        <v>4.3E-3</v>
      </c>
      <c r="L106" s="156">
        <v>5.4000000000000003E-3</v>
      </c>
      <c r="M106" s="156">
        <v>6.4000000000000003E-3</v>
      </c>
      <c r="N106" s="138" cm="1">
        <f t="array" aca="1" ref="N106:AE106" ca="1">IF(OR(B106="",NOT($J$2)),"",GetStripDefaultProbability(A106,B106,Parameter_Date,CDSRollDate,E106:M106,SpreadCurveMaturities,D106,C106,$J$4,$J$6))</f>
        <v>0</v>
      </c>
      <c r="O106" s="163">
        <f ca="1"/>
        <v>8.9752920618468846E-4</v>
      </c>
      <c r="P106" s="163">
        <f ca="1"/>
        <v>1.649405484672184E-3</v>
      </c>
      <c r="Q106" s="163">
        <f ca="1"/>
        <v>6.3849750667389626E-3</v>
      </c>
      <c r="R106" s="163">
        <f ca="1"/>
        <v>1.3702960195484004E-2</v>
      </c>
      <c r="S106" s="163">
        <f ca="1"/>
        <v>0</v>
      </c>
      <c r="T106" s="163">
        <f ca="1"/>
        <v>3.7597842774002355E-2</v>
      </c>
      <c r="U106" s="163">
        <f ca="1"/>
        <v>6.5662021253510283E-2</v>
      </c>
      <c r="V106" s="139">
        <f ca="1"/>
        <v>0.10974232160793163</v>
      </c>
      <c r="W106" s="138">
        <f ca="1"/>
        <v>0</v>
      </c>
      <c r="X106" s="163">
        <f ca="1"/>
        <v>9.9720307914286099E-4</v>
      </c>
      <c r="Y106" s="163">
        <f ca="1"/>
        <v>1.8157833852218142E-3</v>
      </c>
      <c r="Z106" s="163">
        <f ca="1"/>
        <v>6.734715956392634E-3</v>
      </c>
      <c r="AA106" s="163">
        <f ca="1"/>
        <v>1.4378126837107263E-2</v>
      </c>
      <c r="AB106" s="163">
        <f ca="1"/>
        <v>0</v>
      </c>
      <c r="AC106" s="163">
        <f ca="1"/>
        <v>3.9440726099748247E-2</v>
      </c>
      <c r="AD106" s="163">
        <f ca="1"/>
        <v>6.8850483068597645E-2</v>
      </c>
      <c r="AE106" s="139">
        <f ca="1"/>
        <v>0.11498244338866992</v>
      </c>
      <c r="AH106" s="136"/>
      <c r="AI106" s="136"/>
      <c r="AJ106" s="136"/>
      <c r="AK106" s="136"/>
      <c r="AM106" s="136"/>
      <c r="AN106" s="136"/>
      <c r="AO106" s="136"/>
      <c r="AQ106" s="136"/>
      <c r="AR106" s="136"/>
      <c r="AS106" s="136"/>
      <c r="AT106" s="136"/>
      <c r="AV106" s="136"/>
      <c r="AW106" s="136"/>
      <c r="AX106" s="136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7" t="s">
        <v>87</v>
      </c>
      <c r="F107" s="156">
        <v>2.9999999999999997E-4</v>
      </c>
      <c r="G107" s="156">
        <v>5.0000000000000001E-4</v>
      </c>
      <c r="H107" s="156">
        <v>1.1999999999999999E-3</v>
      </c>
      <c r="I107" s="156">
        <v>1.6000000000000001E-3</v>
      </c>
      <c r="J107" s="156" t="s">
        <v>87</v>
      </c>
      <c r="K107" s="156">
        <v>2.5999999999999999E-3</v>
      </c>
      <c r="L107" s="156">
        <v>3.3999999999999998E-3</v>
      </c>
      <c r="M107" s="156">
        <v>4.4000000000000003E-3</v>
      </c>
      <c r="N107" s="138" cm="1">
        <f t="array" aca="1" ref="N107:AE107" ca="1">IF(OR(B107="",NOT($J$2)),"",GetStripDefaultProbability(A107,B107,Parameter_Date,CDSRollDate,E107:M107,SpreadCurveMaturities,D107,C107,$J$4,$J$6))</f>
        <v>0</v>
      </c>
      <c r="O107" s="163">
        <f ca="1"/>
        <v>2.9926566746929506E-4</v>
      </c>
      <c r="P107" s="163">
        <f ca="1"/>
        <v>9.2173632679792838E-4</v>
      </c>
      <c r="Q107" s="163">
        <f ca="1"/>
        <v>4.274139312114289E-3</v>
      </c>
      <c r="R107" s="163">
        <f ca="1"/>
        <v>8.4428506610152443E-3</v>
      </c>
      <c r="S107" s="163">
        <f ca="1"/>
        <v>0</v>
      </c>
      <c r="T107" s="163">
        <f ca="1"/>
        <v>2.2827140871886309E-2</v>
      </c>
      <c r="U107" s="163">
        <f ca="1"/>
        <v>4.1817813437193929E-2</v>
      </c>
      <c r="V107" s="139">
        <f ca="1"/>
        <v>7.7473043814319742E-2</v>
      </c>
      <c r="W107" s="138">
        <f ca="1"/>
        <v>0</v>
      </c>
      <c r="X107" s="163">
        <f ca="1"/>
        <v>3.9900078367871572E-4</v>
      </c>
      <c r="Y107" s="163">
        <f ca="1"/>
        <v>1.088235495418588E-3</v>
      </c>
      <c r="Z107" s="163">
        <f ca="1"/>
        <v>4.6246050442794173E-3</v>
      </c>
      <c r="AA107" s="163">
        <f ca="1"/>
        <v>8.9585815414866543E-3</v>
      </c>
      <c r="AB107" s="163">
        <f ca="1"/>
        <v>0</v>
      </c>
      <c r="AC107" s="163">
        <f ca="1"/>
        <v>2.3935866468854372E-2</v>
      </c>
      <c r="AD107" s="163">
        <f ca="1"/>
        <v>4.3851938544799518E-2</v>
      </c>
      <c r="AE107" s="139">
        <f ca="1"/>
        <v>8.1195196467186204E-2</v>
      </c>
      <c r="AH107" s="136"/>
      <c r="AI107" s="136"/>
      <c r="AJ107" s="136"/>
      <c r="AK107" s="136"/>
      <c r="AM107" s="136"/>
      <c r="AN107" s="136"/>
      <c r="AO107" s="136"/>
      <c r="AQ107" s="136"/>
      <c r="AR107" s="136"/>
      <c r="AS107" s="136"/>
      <c r="AT107" s="136"/>
      <c r="AV107" s="136"/>
      <c r="AW107" s="136"/>
      <c r="AX107" s="136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7" t="s">
        <v>87</v>
      </c>
      <c r="F108" s="156">
        <v>6.9999999999999999E-4</v>
      </c>
      <c r="G108" s="156">
        <v>1.1000000000000001E-3</v>
      </c>
      <c r="H108" s="156">
        <v>2E-3</v>
      </c>
      <c r="I108" s="156">
        <v>2.8999999999999998E-3</v>
      </c>
      <c r="J108" s="156" t="s">
        <v>87</v>
      </c>
      <c r="K108" s="156">
        <v>4.8999999999999998E-3</v>
      </c>
      <c r="L108" s="156">
        <v>6.0000000000000001E-3</v>
      </c>
      <c r="M108" s="156">
        <v>7.1999999999999998E-3</v>
      </c>
      <c r="N108" s="138" cm="1">
        <f t="array" aca="1" ref="N108:AE108" ca="1">IF(OR(B108="",NOT($J$2)),"",GetStripDefaultProbability(A108,B108,Parameter_Date,CDSRollDate,E108:M108,SpreadCurveMaturities,D108,C108,$J$4,$J$6))</f>
        <v>0</v>
      </c>
      <c r="O108" s="163">
        <f ca="1"/>
        <v>6.98147686336692E-4</v>
      </c>
      <c r="P108" s="163">
        <f ca="1"/>
        <v>2.0259132685517267E-3</v>
      </c>
      <c r="Q108" s="163">
        <f ca="1"/>
        <v>7.0939795454862953E-3</v>
      </c>
      <c r="R108" s="163">
        <f ca="1"/>
        <v>1.5278796060471E-2</v>
      </c>
      <c r="S108" s="163">
        <f ca="1"/>
        <v>0</v>
      </c>
      <c r="T108" s="163">
        <f ca="1"/>
        <v>4.2808547051744084E-2</v>
      </c>
      <c r="U108" s="163">
        <f ca="1"/>
        <v>7.2642192137468808E-2</v>
      </c>
      <c r="V108" s="139">
        <f ca="1"/>
        <v>0.12291324653229241</v>
      </c>
      <c r="W108" s="138">
        <f ca="1"/>
        <v>0</v>
      </c>
      <c r="X108" s="163">
        <f ca="1"/>
        <v>7.9784215457201491E-4</v>
      </c>
      <c r="Y108" s="163">
        <f ca="1"/>
        <v>2.1922284230295741E-3</v>
      </c>
      <c r="Z108" s="163">
        <f ca="1"/>
        <v>7.4435008925437529E-3</v>
      </c>
      <c r="AA108" s="163">
        <f ca="1"/>
        <v>1.603396376795807E-2</v>
      </c>
      <c r="AB108" s="163">
        <f ca="1"/>
        <v>0</v>
      </c>
      <c r="AC108" s="163">
        <f ca="1"/>
        <v>4.4905112947298598E-2</v>
      </c>
      <c r="AD108" s="163">
        <f ca="1"/>
        <v>7.6161257659842718E-2</v>
      </c>
      <c r="AE108" s="139">
        <f ca="1"/>
        <v>0.12875305294326356</v>
      </c>
      <c r="AH108" s="136"/>
      <c r="AI108" s="136"/>
      <c r="AJ108" s="136"/>
      <c r="AK108" s="136"/>
      <c r="AM108" s="136"/>
      <c r="AN108" s="136"/>
      <c r="AO108" s="136"/>
      <c r="AQ108" s="136"/>
      <c r="AR108" s="136"/>
      <c r="AS108" s="136"/>
      <c r="AT108" s="136"/>
      <c r="AV108" s="136"/>
      <c r="AW108" s="136"/>
      <c r="AX108" s="136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7" t="s">
        <v>87</v>
      </c>
      <c r="F109" s="156">
        <v>4.0000000000000002E-4</v>
      </c>
      <c r="G109" s="156">
        <v>8.9999999999999998E-4</v>
      </c>
      <c r="H109" s="156">
        <v>1.4E-3</v>
      </c>
      <c r="I109" s="156">
        <v>1.6999999999999999E-3</v>
      </c>
      <c r="J109" s="156" t="s">
        <v>87</v>
      </c>
      <c r="K109" s="156">
        <v>2.5000000000000001E-3</v>
      </c>
      <c r="L109" s="156">
        <v>2.8999999999999998E-3</v>
      </c>
      <c r="M109" s="156">
        <v>3.3999999999999998E-3</v>
      </c>
      <c r="N109" s="138" cm="1">
        <f t="array" aca="1" ref="N109:AE109" ca="1">IF(OR(B109="",NOT($J$2)),"",GetStripDefaultProbability(A109,B109,Parameter_Date,CDSRollDate,E109:M109,SpreadCurveMaturities,D109,C109,$J$4,$J$6))</f>
        <v>0</v>
      </c>
      <c r="O109" s="163">
        <f ca="1"/>
        <v>3.9900104827061966E-4</v>
      </c>
      <c r="P109" s="163">
        <f ca="1"/>
        <v>1.6622452761001494E-3</v>
      </c>
      <c r="Q109" s="163">
        <f ca="1"/>
        <v>4.9635767122303553E-3</v>
      </c>
      <c r="R109" s="163">
        <f ca="1"/>
        <v>8.9218134945693306E-3</v>
      </c>
      <c r="S109" s="163">
        <f ca="1"/>
        <v>0</v>
      </c>
      <c r="T109" s="163">
        <f ca="1"/>
        <v>2.1819167223315561E-2</v>
      </c>
      <c r="U109" s="163">
        <f ca="1"/>
        <v>3.5249282679540306E-2</v>
      </c>
      <c r="V109" s="139">
        <f ca="1"/>
        <v>5.8987670992882268E-2</v>
      </c>
      <c r="W109" s="138">
        <f ca="1"/>
        <v>0</v>
      </c>
      <c r="X109" s="163">
        <f ca="1"/>
        <v>4.9872606913303752E-4</v>
      </c>
      <c r="Y109" s="163">
        <f ca="1"/>
        <v>1.828621036846334E-3</v>
      </c>
      <c r="Z109" s="163">
        <f ca="1"/>
        <v>5.3137665251158372E-3</v>
      </c>
      <c r="AA109" s="163">
        <f ca="1"/>
        <v>9.4371669478802156E-3</v>
      </c>
      <c r="AB109" s="163">
        <f ca="1"/>
        <v>0</v>
      </c>
      <c r="AC109" s="163">
        <f ca="1"/>
        <v>2.2883235806730795E-2</v>
      </c>
      <c r="AD109" s="163">
        <f ca="1"/>
        <v>3.6968634785527921E-2</v>
      </c>
      <c r="AE109" s="139">
        <f ca="1"/>
        <v>6.184089020757555E-2</v>
      </c>
      <c r="AH109" s="136"/>
      <c r="AI109" s="136"/>
      <c r="AJ109" s="136"/>
      <c r="AK109" s="136"/>
      <c r="AM109" s="136"/>
      <c r="AN109" s="136"/>
      <c r="AO109" s="136"/>
      <c r="AQ109" s="136"/>
      <c r="AR109" s="136"/>
      <c r="AS109" s="136"/>
      <c r="AT109" s="136"/>
      <c r="AV109" s="136"/>
      <c r="AW109" s="136"/>
      <c r="AX109" s="136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7" t="s">
        <v>87</v>
      </c>
      <c r="F110" s="156">
        <v>8.0000000000000004E-4</v>
      </c>
      <c r="G110" s="156">
        <v>8.0000000000000004E-4</v>
      </c>
      <c r="H110" s="156">
        <v>1.6999999999999999E-3</v>
      </c>
      <c r="I110" s="156">
        <v>2.3E-3</v>
      </c>
      <c r="J110" s="156" t="s">
        <v>87</v>
      </c>
      <c r="K110" s="156">
        <v>4.1999999999999997E-3</v>
      </c>
      <c r="L110" s="156">
        <v>5.3E-3</v>
      </c>
      <c r="M110" s="156">
        <v>6.4999999999999997E-3</v>
      </c>
      <c r="N110" s="138" cm="1">
        <f t="array" aca="1" ref="N110:AE110" ca="1">IF(OR(B110="",NOT($J$2)),"",GetStripDefaultProbability(A110,B110,Parameter_Date,CDSRollDate,E110:M110,SpreadCurveMaturities,D110,C110,$J$4,$J$6))</f>
        <v>0</v>
      </c>
      <c r="O110" s="163">
        <f ca="1"/>
        <v>7.978434025011083E-4</v>
      </c>
      <c r="P110" s="163">
        <f ca="1"/>
        <v>1.4662726570359164E-3</v>
      </c>
      <c r="Q110" s="163">
        <f ca="1"/>
        <v>6.0356129129115477E-3</v>
      </c>
      <c r="R110" s="163">
        <f ca="1"/>
        <v>1.2109773616963415E-2</v>
      </c>
      <c r="S110" s="163">
        <f ca="1"/>
        <v>0</v>
      </c>
      <c r="T110" s="163">
        <f ca="1"/>
        <v>3.6852061533978464E-2</v>
      </c>
      <c r="U110" s="163">
        <f ca="1"/>
        <v>6.4620894131183992E-2</v>
      </c>
      <c r="V110" s="139">
        <f ca="1"/>
        <v>0.11208188468942548</v>
      </c>
      <c r="W110" s="138">
        <f ca="1"/>
        <v>0</v>
      </c>
      <c r="X110" s="163">
        <f ca="1"/>
        <v>8.9752759609718069E-4</v>
      </c>
      <c r="Y110" s="163">
        <f ca="1"/>
        <v>1.6326810771705169E-3</v>
      </c>
      <c r="Z110" s="163">
        <f ca="1"/>
        <v>6.3854807391146018E-3</v>
      </c>
      <c r="AA110" s="163">
        <f ca="1"/>
        <v>1.270476337604487E-2</v>
      </c>
      <c r="AB110" s="163">
        <f ca="1"/>
        <v>0</v>
      </c>
      <c r="AC110" s="163">
        <f ca="1"/>
        <v>3.8657820102159679E-2</v>
      </c>
      <c r="AD110" s="163">
        <f ca="1"/>
        <v>6.7760077206375224E-2</v>
      </c>
      <c r="AE110" s="139">
        <f ca="1"/>
        <v>0.11743511694411424</v>
      </c>
      <c r="AH110" s="136"/>
      <c r="AI110" s="136"/>
      <c r="AJ110" s="136"/>
      <c r="AK110" s="136"/>
      <c r="AM110" s="136"/>
      <c r="AN110" s="136"/>
      <c r="AO110" s="136"/>
      <c r="AQ110" s="136"/>
      <c r="AR110" s="136"/>
      <c r="AS110" s="136"/>
      <c r="AT110" s="136"/>
      <c r="AV110" s="136"/>
      <c r="AW110" s="136"/>
      <c r="AX110" s="136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7" t="s">
        <v>87</v>
      </c>
      <c r="F111" s="156">
        <v>1.6000000000000001E-3</v>
      </c>
      <c r="G111" s="156">
        <v>1.9E-3</v>
      </c>
      <c r="H111" s="156">
        <v>2.3999999999999998E-3</v>
      </c>
      <c r="I111" s="156">
        <v>2.7000000000000001E-3</v>
      </c>
      <c r="J111" s="156" t="s">
        <v>87</v>
      </c>
      <c r="K111" s="156">
        <v>3.3E-3</v>
      </c>
      <c r="L111" s="156">
        <v>3.65E-3</v>
      </c>
      <c r="M111" s="156">
        <v>4.1000000000000003E-3</v>
      </c>
      <c r="N111" s="138" cm="1">
        <f t="array" aca="1" ref="N111:AE111" ca="1">IF(OR(B111="",NOT($J$2)),"",GetStripDefaultProbability(A111,B111,Parameter_Date,CDSRollDate,E111:M111,SpreadCurveMaturities,D111,C111,$J$4,$J$6))</f>
        <v>0</v>
      </c>
      <c r="O111" s="163">
        <f ca="1"/>
        <v>1.5950524072884109E-3</v>
      </c>
      <c r="P111" s="163">
        <f ca="1"/>
        <v>3.4868583568682388E-3</v>
      </c>
      <c r="Q111" s="163">
        <f ca="1"/>
        <v>8.4491677079822081E-3</v>
      </c>
      <c r="R111" s="163">
        <f ca="1"/>
        <v>1.4052641314305725E-2</v>
      </c>
      <c r="S111" s="163">
        <f ca="1"/>
        <v>0</v>
      </c>
      <c r="T111" s="163">
        <f ca="1"/>
        <v>2.8369555971785698E-2</v>
      </c>
      <c r="U111" s="163">
        <f ca="1"/>
        <v>4.364505125716589E-2</v>
      </c>
      <c r="V111" s="139">
        <f ca="1"/>
        <v>6.9778050586403295E-2</v>
      </c>
      <c r="W111" s="138">
        <f ca="1"/>
        <v>0</v>
      </c>
      <c r="X111" s="163">
        <f ca="1"/>
        <v>1.6946527080009544E-3</v>
      </c>
      <c r="Y111" s="163">
        <f ca="1"/>
        <v>3.6529300407820431E-3</v>
      </c>
      <c r="Z111" s="163">
        <f ca="1"/>
        <v>8.8696246397431677E-3</v>
      </c>
      <c r="AA111" s="163">
        <f ca="1"/>
        <v>1.4750367466717318E-2</v>
      </c>
      <c r="AB111" s="163">
        <f ca="1"/>
        <v>0</v>
      </c>
      <c r="AC111" s="163">
        <f ca="1"/>
        <v>2.9768149519743825E-2</v>
      </c>
      <c r="AD111" s="163">
        <f ca="1"/>
        <v>4.5782322309931178E-2</v>
      </c>
      <c r="AE111" s="139">
        <f ca="1"/>
        <v>7.3148035852921844E-2</v>
      </c>
      <c r="AH111" s="136"/>
      <c r="AI111" s="136"/>
      <c r="AJ111" s="136"/>
      <c r="AK111" s="136"/>
      <c r="AM111" s="136"/>
      <c r="AN111" s="136"/>
      <c r="AO111" s="136"/>
      <c r="AQ111" s="136"/>
      <c r="AR111" s="136"/>
      <c r="AS111" s="136"/>
      <c r="AT111" s="136"/>
      <c r="AV111" s="136"/>
      <c r="AW111" s="136"/>
      <c r="AX111" s="136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7" t="s">
        <v>87</v>
      </c>
      <c r="F112" s="156">
        <v>6.9999999999999999E-4</v>
      </c>
      <c r="G112" s="156">
        <v>1.4E-3</v>
      </c>
      <c r="H112" s="156">
        <v>2.5000000000000001E-3</v>
      </c>
      <c r="I112" s="156">
        <v>3.5999999999999999E-3</v>
      </c>
      <c r="J112" s="156" t="s">
        <v>87</v>
      </c>
      <c r="K112" s="156">
        <v>5.5999999999999999E-3</v>
      </c>
      <c r="L112" s="156">
        <v>7.0000000000000001E-3</v>
      </c>
      <c r="M112" s="156">
        <v>8.6E-3</v>
      </c>
      <c r="N112" s="138" cm="1">
        <f t="array" aca="1" ref="N112:AE112" ca="1">IF(OR(B112="",NOT($J$2)),"",GetStripDefaultProbability(A112,B112,Parameter_Date,CDSRollDate,E112:M112,SpreadCurveMaturities,D112,C112,$J$4,$J$6))</f>
        <v>0</v>
      </c>
      <c r="O112" s="163">
        <f ca="1"/>
        <v>6.98147686336692E-4</v>
      </c>
      <c r="P112" s="163">
        <f ca="1"/>
        <v>2.5828557111488015E-3</v>
      </c>
      <c r="Q112" s="163">
        <f ca="1"/>
        <v>8.8648331518841328E-3</v>
      </c>
      <c r="R112" s="163">
        <f ca="1"/>
        <v>1.8941776763836682E-2</v>
      </c>
      <c r="S112" s="163">
        <f ca="1"/>
        <v>0</v>
      </c>
      <c r="T112" s="163">
        <f ca="1"/>
        <v>4.8653083475991732E-2</v>
      </c>
      <c r="U112" s="163">
        <f ca="1"/>
        <v>8.4368754918549782E-2</v>
      </c>
      <c r="V112" s="139">
        <f ca="1"/>
        <v>0.14598513419569548</v>
      </c>
      <c r="W112" s="138">
        <f ca="1"/>
        <v>0</v>
      </c>
      <c r="X112" s="163">
        <f ca="1"/>
        <v>7.9784215457201491E-4</v>
      </c>
      <c r="Y112" s="163">
        <f ca="1"/>
        <v>2.7490780496143286E-3</v>
      </c>
      <c r="Z112" s="163">
        <f ca="1"/>
        <v>9.3032484729109743E-3</v>
      </c>
      <c r="AA112" s="163">
        <f ca="1"/>
        <v>1.9878584176902137E-2</v>
      </c>
      <c r="AB112" s="163">
        <f ca="1"/>
        <v>0</v>
      </c>
      <c r="AC112" s="163">
        <f ca="1"/>
        <v>5.1030326516313118E-2</v>
      </c>
      <c r="AD112" s="163">
        <f ca="1"/>
        <v>8.8435378026885614E-2</v>
      </c>
      <c r="AE112" s="139">
        <f ca="1"/>
        <v>0.15286030986107457</v>
      </c>
      <c r="AH112" s="136"/>
      <c r="AI112" s="136"/>
      <c r="AJ112" s="136"/>
      <c r="AK112" s="136"/>
      <c r="AM112" s="136"/>
      <c r="AN112" s="136"/>
      <c r="AO112" s="136"/>
      <c r="AQ112" s="136"/>
      <c r="AR112" s="136"/>
      <c r="AS112" s="136"/>
      <c r="AT112" s="136"/>
      <c r="AV112" s="136"/>
      <c r="AW112" s="136"/>
      <c r="AX112" s="136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7" t="s">
        <v>87</v>
      </c>
      <c r="F113" s="156">
        <v>1.1999999999999999E-3</v>
      </c>
      <c r="G113" s="156">
        <v>1.6999999999999999E-3</v>
      </c>
      <c r="H113" s="156">
        <v>3.0999999999999999E-3</v>
      </c>
      <c r="I113" s="156">
        <v>4.1000000000000003E-3</v>
      </c>
      <c r="J113" s="156" t="s">
        <v>87</v>
      </c>
      <c r="K113" s="156">
        <v>5.1000000000000004E-3</v>
      </c>
      <c r="L113" s="156">
        <v>6.1000000000000004E-3</v>
      </c>
      <c r="M113" s="156">
        <v>7.7000000000000002E-3</v>
      </c>
      <c r="N113" s="138" cm="1">
        <f t="array" aca="1" ref="N113:AE113" ca="1">IF(OR(B113="",NOT($J$2)),"",GetStripDefaultProbability(A113,B113,Parameter_Date,CDSRollDate,E113:M113,SpreadCurveMaturities,D113,C113,$J$4,$J$6))</f>
        <v>0</v>
      </c>
      <c r="O113" s="163">
        <f ca="1"/>
        <v>1.1965271572978997E-3</v>
      </c>
      <c r="P113" s="163">
        <f ca="1"/>
        <v>3.1264563217608954E-3</v>
      </c>
      <c r="Q113" s="163">
        <f ca="1"/>
        <v>1.0977297814335762E-2</v>
      </c>
      <c r="R113" s="163">
        <f ca="1"/>
        <v>2.1488221604089475E-2</v>
      </c>
      <c r="S113" s="163">
        <f ca="1"/>
        <v>0</v>
      </c>
      <c r="T113" s="163">
        <f ca="1"/>
        <v>4.3827605966736405E-2</v>
      </c>
      <c r="U113" s="163">
        <f ca="1"/>
        <v>7.2950285483911137E-2</v>
      </c>
      <c r="V113" s="139">
        <f ca="1"/>
        <v>0.13111150007686323</v>
      </c>
      <c r="W113" s="138">
        <f ca="1"/>
        <v>0</v>
      </c>
      <c r="X113" s="163">
        <f ca="1"/>
        <v>1.2961697875810696E-3</v>
      </c>
      <c r="Y113" s="163">
        <f ca="1"/>
        <v>3.2925880676745178E-3</v>
      </c>
      <c r="Z113" s="163">
        <f ca="1"/>
        <v>1.1522064172241997E-2</v>
      </c>
      <c r="AA113" s="163">
        <f ca="1"/>
        <v>2.2551660058692691E-2</v>
      </c>
      <c r="AB113" s="163">
        <f ca="1"/>
        <v>0</v>
      </c>
      <c r="AC113" s="163">
        <f ca="1"/>
        <v>4.5972462322889096E-2</v>
      </c>
      <c r="AD113" s="163">
        <f ca="1"/>
        <v>7.6477669069068943E-2</v>
      </c>
      <c r="AE113" s="139">
        <f ca="1"/>
        <v>0.13732239714147676</v>
      </c>
      <c r="AH113" s="136"/>
      <c r="AI113" s="136"/>
      <c r="AJ113" s="136"/>
      <c r="AK113" s="136"/>
      <c r="AM113" s="136"/>
      <c r="AN113" s="136"/>
      <c r="AO113" s="136"/>
      <c r="AQ113" s="136"/>
      <c r="AR113" s="136"/>
      <c r="AS113" s="136"/>
      <c r="AT113" s="136"/>
      <c r="AV113" s="136"/>
      <c r="AW113" s="136"/>
      <c r="AX113" s="136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7" t="s">
        <v>87</v>
      </c>
      <c r="F114" s="156">
        <v>1.8E-3</v>
      </c>
      <c r="G114" s="156">
        <v>2.0999999999999999E-3</v>
      </c>
      <c r="H114" s="156">
        <v>2.3E-3</v>
      </c>
      <c r="I114" s="156">
        <v>2.7000000000000001E-3</v>
      </c>
      <c r="J114" s="156" t="s">
        <v>87</v>
      </c>
      <c r="K114" s="156">
        <v>3.8E-3</v>
      </c>
      <c r="L114" s="156">
        <v>4.5999999999999999E-3</v>
      </c>
      <c r="M114" s="156">
        <v>5.7000000000000002E-3</v>
      </c>
      <c r="N114" s="138" cm="1">
        <f t="array" aca="1" ref="N114:AE114" ca="1">IF(OR(B114="",NOT($J$2)),"",GetStripDefaultProbability(A114,B114,Parameter_Date,CDSRollDate,E114:M114,SpreadCurveMaturities,D114,C114,$J$4,$J$6))</f>
        <v>0</v>
      </c>
      <c r="O114" s="163">
        <f ca="1"/>
        <v>1.794255622488361E-3</v>
      </c>
      <c r="P114" s="163">
        <f ca="1"/>
        <v>3.8524056808505458E-3</v>
      </c>
      <c r="Q114" s="163">
        <f ca="1"/>
        <v>8.0726228485795692E-3</v>
      </c>
      <c r="R114" s="163">
        <f ca="1"/>
        <v>1.4051080608818767E-2</v>
      </c>
      <c r="S114" s="163">
        <f ca="1"/>
        <v>0</v>
      </c>
      <c r="T114" s="163">
        <f ca="1"/>
        <v>3.2865832063285971E-2</v>
      </c>
      <c r="U114" s="163">
        <f ca="1"/>
        <v>5.5533374705607819E-2</v>
      </c>
      <c r="V114" s="139">
        <f ca="1"/>
        <v>9.8203857332577527E-2</v>
      </c>
      <c r="W114" s="138">
        <f ca="1"/>
        <v>0</v>
      </c>
      <c r="X114" s="163">
        <f ca="1"/>
        <v>1.8938344616186154E-3</v>
      </c>
      <c r="Y114" s="163">
        <f ca="1"/>
        <v>4.0443901075771782E-3</v>
      </c>
      <c r="Z114" s="163">
        <f ca="1"/>
        <v>8.4743141420680068E-3</v>
      </c>
      <c r="AA114" s="163">
        <f ca="1"/>
        <v>1.4748707812374029E-2</v>
      </c>
      <c r="AB114" s="163">
        <f ca="1"/>
        <v>0</v>
      </c>
      <c r="AC114" s="163">
        <f ca="1"/>
        <v>3.448360143926632E-2</v>
      </c>
      <c r="AD114" s="163">
        <f ca="1"/>
        <v>5.8242650240918126E-2</v>
      </c>
      <c r="AE114" s="139">
        <f ca="1"/>
        <v>0.10292190700792037</v>
      </c>
      <c r="AH114" s="136"/>
      <c r="AI114" s="136"/>
      <c r="AJ114" s="136"/>
      <c r="AK114" s="136"/>
      <c r="AM114" s="136"/>
      <c r="AN114" s="136"/>
      <c r="AO114" s="136"/>
      <c r="AQ114" s="136"/>
      <c r="AR114" s="136"/>
      <c r="AS114" s="136"/>
      <c r="AT114" s="136"/>
      <c r="AV114" s="136"/>
      <c r="AW114" s="136"/>
      <c r="AX114" s="136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7" t="s">
        <v>87</v>
      </c>
      <c r="F115" s="156">
        <v>5.9999999999999995E-4</v>
      </c>
      <c r="G115" s="156">
        <v>8.0000000000000004E-4</v>
      </c>
      <c r="H115" s="156">
        <v>1.4E-3</v>
      </c>
      <c r="I115" s="156">
        <v>1.9E-3</v>
      </c>
      <c r="J115" s="156" t="s">
        <v>87</v>
      </c>
      <c r="K115" s="156">
        <v>3.0000000000000001E-3</v>
      </c>
      <c r="L115" s="156">
        <v>3.7000000000000002E-3</v>
      </c>
      <c r="M115" s="156">
        <v>4.8999999999999998E-3</v>
      </c>
      <c r="N115" s="138" cm="1">
        <f t="array" aca="1" ref="N115:AE115" ca="1">IF(OR(B115="",NOT($J$2)),"",GetStripDefaultProbability(A115,B115,Parameter_Date,CDSRollDate,E115:M115,SpreadCurveMaturities,D115,C115,$J$4,$J$6))</f>
        <v>0</v>
      </c>
      <c r="O115" s="163">
        <f ca="1"/>
        <v>5.9844205622783253E-4</v>
      </c>
      <c r="P115" s="163">
        <f ca="1"/>
        <v>1.4713900701842642E-3</v>
      </c>
      <c r="Q115" s="163">
        <f ca="1"/>
        <v>4.9648127830491662E-3</v>
      </c>
      <c r="R115" s="163">
        <f ca="1"/>
        <v>1.0004528707577176E-2</v>
      </c>
      <c r="S115" s="163">
        <f ca="1"/>
        <v>0</v>
      </c>
      <c r="T115" s="163">
        <f ca="1"/>
        <v>2.6261396503247436E-2</v>
      </c>
      <c r="U115" s="163">
        <f ca="1"/>
        <v>4.5182077933393905E-2</v>
      </c>
      <c r="V115" s="139">
        <f ca="1"/>
        <v>8.5963553532785286E-2</v>
      </c>
      <c r="W115" s="138">
        <f ca="1"/>
        <v>0</v>
      </c>
      <c r="X115" s="163">
        <f ca="1"/>
        <v>6.9814675354706868E-4</v>
      </c>
      <c r="Y115" s="163">
        <f ca="1"/>
        <v>1.6377976374900571E-3</v>
      </c>
      <c r="Z115" s="163">
        <f ca="1"/>
        <v>5.3150020644165963E-3</v>
      </c>
      <c r="AA115" s="163">
        <f ca="1"/>
        <v>1.0519487692372875E-2</v>
      </c>
      <c r="AB115" s="163">
        <f ca="1"/>
        <v>0</v>
      </c>
      <c r="AC115" s="163">
        <f ca="1"/>
        <v>2.7546916763424911E-2</v>
      </c>
      <c r="AD115" s="163">
        <f ca="1"/>
        <v>4.7386375675615988E-2</v>
      </c>
      <c r="AE115" s="139">
        <f ca="1"/>
        <v>9.0112275820203092E-2</v>
      </c>
      <c r="AH115" s="136"/>
      <c r="AI115" s="136"/>
      <c r="AJ115" s="136"/>
      <c r="AK115" s="136"/>
      <c r="AM115" s="136"/>
      <c r="AN115" s="136"/>
      <c r="AO115" s="136"/>
      <c r="AQ115" s="136"/>
      <c r="AR115" s="136"/>
      <c r="AS115" s="136"/>
      <c r="AT115" s="136"/>
      <c r="AV115" s="136"/>
      <c r="AW115" s="136"/>
      <c r="AX115" s="136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7" t="s">
        <v>87</v>
      </c>
      <c r="F116" s="156">
        <v>8.9999999999999998E-4</v>
      </c>
      <c r="G116" s="156">
        <v>1E-3</v>
      </c>
      <c r="H116" s="156">
        <v>1.8E-3</v>
      </c>
      <c r="I116" s="156">
        <v>2.0999999999999999E-3</v>
      </c>
      <c r="J116" s="156" t="s">
        <v>87</v>
      </c>
      <c r="K116" s="156">
        <v>3.3E-3</v>
      </c>
      <c r="L116" s="156">
        <v>4.1000000000000003E-3</v>
      </c>
      <c r="M116" s="156">
        <v>5.1999999999999998E-3</v>
      </c>
      <c r="N116" s="138" cm="1">
        <f t="array" aca="1" ref="N116:AE116" ca="1">IF(OR(B116="",NOT($J$2)),"",GetStripDefaultProbability(A116,B116,Parameter_Date,CDSRollDate,E116:M116,SpreadCurveMaturities,D116,C116,$J$4,$J$6))</f>
        <v>0</v>
      </c>
      <c r="O116" s="163">
        <f ca="1"/>
        <v>8.9752920618468846E-4</v>
      </c>
      <c r="P116" s="163">
        <f ca="1"/>
        <v>1.8350811962297708E-3</v>
      </c>
      <c r="Q116" s="163">
        <f ca="1"/>
        <v>6.378429296703958E-3</v>
      </c>
      <c r="R116" s="163">
        <f ca="1"/>
        <v>1.0996615786765918E-2</v>
      </c>
      <c r="S116" s="163">
        <f ca="1"/>
        <v>0</v>
      </c>
      <c r="T116" s="163">
        <f ca="1"/>
        <v>2.8796818659289736E-2</v>
      </c>
      <c r="U116" s="163">
        <f ca="1"/>
        <v>4.9944993613017186E-2</v>
      </c>
      <c r="V116" s="139">
        <f ca="1"/>
        <v>9.0513205770614502E-2</v>
      </c>
      <c r="W116" s="138">
        <f ca="1"/>
        <v>0</v>
      </c>
      <c r="X116" s="163">
        <f ca="1"/>
        <v>9.9720307914286099E-4</v>
      </c>
      <c r="Y116" s="163">
        <f ca="1"/>
        <v>2.0014281533969891E-3</v>
      </c>
      <c r="Z116" s="163">
        <f ca="1"/>
        <v>6.7281551174490639E-3</v>
      </c>
      <c r="AA116" s="163">
        <f ca="1"/>
        <v>1.1537938338972542E-2</v>
      </c>
      <c r="AB116" s="163">
        <f ca="1"/>
        <v>0</v>
      </c>
      <c r="AC116" s="163">
        <f ca="1"/>
        <v>3.0212174402523106E-2</v>
      </c>
      <c r="AD116" s="163">
        <f ca="1"/>
        <v>5.2384239773746066E-2</v>
      </c>
      <c r="AE116" s="139">
        <f ca="1"/>
        <v>9.4876090928321832E-2</v>
      </c>
      <c r="AH116" s="136"/>
      <c r="AI116" s="136"/>
      <c r="AJ116" s="136"/>
      <c r="AK116" s="136"/>
      <c r="AM116" s="136"/>
      <c r="AN116" s="136"/>
      <c r="AO116" s="136"/>
      <c r="AQ116" s="136"/>
      <c r="AR116" s="136"/>
      <c r="AS116" s="136"/>
      <c r="AT116" s="136"/>
      <c r="AV116" s="136"/>
      <c r="AW116" s="136"/>
      <c r="AX116" s="136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7" t="s">
        <v>87</v>
      </c>
      <c r="F117" s="156">
        <v>5.0000000000000001E-4</v>
      </c>
      <c r="G117" s="156">
        <v>6.9999999999999999E-4</v>
      </c>
      <c r="H117" s="156">
        <v>1.1999999999999999E-3</v>
      </c>
      <c r="I117" s="156">
        <v>1.8E-3</v>
      </c>
      <c r="J117" s="156" t="s">
        <v>87</v>
      </c>
      <c r="K117" s="156">
        <v>2.8999999999999998E-3</v>
      </c>
      <c r="L117" s="156">
        <v>3.5000000000000001E-3</v>
      </c>
      <c r="M117" s="156">
        <v>4.7000000000000002E-3</v>
      </c>
      <c r="N117" s="138" cm="1">
        <f t="array" aca="1" ref="N117:AE117" ca="1">IF(OR(B117="",NOT($J$2)),"",GetStripDefaultProbability(A117,B117,Parameter_Date,CDSRollDate,E117:M117,SpreadCurveMaturities,D117,C117,$J$4,$J$6))</f>
        <v>0</v>
      </c>
      <c r="O117" s="163">
        <f ca="1"/>
        <v>4.9872651070981266E-4</v>
      </c>
      <c r="P117" s="163">
        <f ca="1"/>
        <v>1.2882057658748503E-3</v>
      </c>
      <c r="Q117" s="163">
        <f ca="1"/>
        <v>4.2561330240462603E-3</v>
      </c>
      <c r="R117" s="163">
        <f ca="1"/>
        <v>9.5065868062521597E-3</v>
      </c>
      <c r="S117" s="163">
        <f ca="1"/>
        <v>0</v>
      </c>
      <c r="T117" s="163">
        <f ca="1"/>
        <v>2.5442031454927072E-2</v>
      </c>
      <c r="U117" s="163">
        <f ca="1"/>
        <v>4.2745393805141085E-2</v>
      </c>
      <c r="V117" s="139">
        <f ca="1"/>
        <v>8.2690114212774501E-2</v>
      </c>
      <c r="W117" s="138">
        <f ca="1"/>
        <v>0</v>
      </c>
      <c r="X117" s="163">
        <f ca="1"/>
        <v>5.9844139207421154E-4</v>
      </c>
      <c r="Y117" s="163">
        <f ca="1"/>
        <v>1.454643861349969E-3</v>
      </c>
      <c r="Z117" s="163">
        <f ca="1"/>
        <v>4.6065463982000177E-3</v>
      </c>
      <c r="AA117" s="163">
        <f ca="1"/>
        <v>1.0021858725201227E-2</v>
      </c>
      <c r="AB117" s="163">
        <f ca="1"/>
        <v>0</v>
      </c>
      <c r="AC117" s="163">
        <f ca="1"/>
        <v>2.6683557896655996E-2</v>
      </c>
      <c r="AD117" s="163">
        <f ca="1"/>
        <v>4.4828119890204743E-2</v>
      </c>
      <c r="AE117" s="139">
        <f ca="1"/>
        <v>8.665799064211932E-2</v>
      </c>
      <c r="AH117" s="136"/>
      <c r="AI117" s="136"/>
      <c r="AJ117" s="136"/>
      <c r="AK117" s="136"/>
      <c r="AM117" s="136"/>
      <c r="AN117" s="136"/>
      <c r="AO117" s="136"/>
      <c r="AQ117" s="136"/>
      <c r="AR117" s="136"/>
      <c r="AS117" s="136"/>
      <c r="AT117" s="136"/>
      <c r="AV117" s="136"/>
      <c r="AW117" s="136"/>
      <c r="AX117" s="136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7" t="s">
        <v>87</v>
      </c>
      <c r="F118" s="156">
        <v>2.0000000000000001E-4</v>
      </c>
      <c r="G118" s="156">
        <v>5.0000000000000001E-4</v>
      </c>
      <c r="H118" s="156">
        <v>1E-3</v>
      </c>
      <c r="I118" s="156">
        <v>1.5E-3</v>
      </c>
      <c r="J118" s="156" t="s">
        <v>87</v>
      </c>
      <c r="K118" s="156">
        <v>2.3E-3</v>
      </c>
      <c r="L118" s="156">
        <v>2.8E-3</v>
      </c>
      <c r="M118" s="156">
        <v>3.5000000000000001E-3</v>
      </c>
      <c r="N118" s="138" cm="1">
        <f t="array" aca="1" ref="N118:AE118" ca="1">IF(OR(B118="",NOT($J$2)),"",GetStripDefaultProbability(A118,B118,Parameter_Date,CDSRollDate,E118:M118,SpreadCurveMaturities,D118,C118,$J$4,$J$6))</f>
        <v>0</v>
      </c>
      <c r="O118" s="163">
        <f ca="1"/>
        <v>1.9952036681669671E-4</v>
      </c>
      <c r="P118" s="163">
        <f ca="1"/>
        <v>9.2426851716076452E-4</v>
      </c>
      <c r="Q118" s="163">
        <f ca="1"/>
        <v>3.5586016135200627E-3</v>
      </c>
      <c r="R118" s="163">
        <f ca="1"/>
        <v>7.9375249990072394E-3</v>
      </c>
      <c r="S118" s="163">
        <f ca="1"/>
        <v>0</v>
      </c>
      <c r="T118" s="163">
        <f ca="1"/>
        <v>2.0186614712244033E-2</v>
      </c>
      <c r="U118" s="163">
        <f ca="1"/>
        <v>3.4300502069881E-2</v>
      </c>
      <c r="V118" s="139">
        <f ca="1"/>
        <v>6.1477106599801878E-2</v>
      </c>
      <c r="W118" s="138">
        <f ca="1"/>
        <v>0</v>
      </c>
      <c r="X118" s="163">
        <f ca="1"/>
        <v>2.9926553473869077E-4</v>
      </c>
      <c r="Y118" s="163">
        <f ca="1"/>
        <v>1.0907672637936461E-3</v>
      </c>
      <c r="Z118" s="163">
        <f ca="1"/>
        <v>3.9092728740328653E-3</v>
      </c>
      <c r="AA118" s="163">
        <f ca="1"/>
        <v>8.4535498418172317E-3</v>
      </c>
      <c r="AB118" s="163">
        <f ca="1"/>
        <v>0</v>
      </c>
      <c r="AC118" s="163">
        <f ca="1"/>
        <v>2.1162160396224872E-2</v>
      </c>
      <c r="AD118" s="163">
        <f ca="1"/>
        <v>3.5965995004985984E-2</v>
      </c>
      <c r="AE118" s="139">
        <f ca="1"/>
        <v>6.4442301620043385E-2</v>
      </c>
      <c r="AH118" s="136"/>
      <c r="AI118" s="136"/>
      <c r="AJ118" s="136"/>
      <c r="AK118" s="136"/>
      <c r="AM118" s="136"/>
      <c r="AN118" s="136"/>
      <c r="AO118" s="136"/>
      <c r="AQ118" s="136"/>
      <c r="AR118" s="136"/>
      <c r="AS118" s="136"/>
      <c r="AT118" s="136"/>
      <c r="AV118" s="136"/>
      <c r="AW118" s="136"/>
      <c r="AX118" s="136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7" t="s">
        <v>87</v>
      </c>
      <c r="F119" s="156">
        <v>5.9999999999999995E-4</v>
      </c>
      <c r="G119" s="156">
        <v>8.9999999999999998E-4</v>
      </c>
      <c r="H119" s="156">
        <v>1.6999999999999999E-3</v>
      </c>
      <c r="I119" s="156">
        <v>2.3999999999999998E-3</v>
      </c>
      <c r="J119" s="156" t="s">
        <v>87</v>
      </c>
      <c r="K119" s="156">
        <v>3.8E-3</v>
      </c>
      <c r="L119" s="156">
        <v>4.8999999999999998E-3</v>
      </c>
      <c r="M119" s="156">
        <v>6.4000000000000003E-3</v>
      </c>
      <c r="N119" s="138" cm="1">
        <f t="array" aca="1" ref="N119:AE119" ca="1">IF(OR(B119="",NOT($J$2)),"",GetStripDefaultProbability(A119,B119,Parameter_Date,CDSRollDate,E119:M119,SpreadCurveMaturities,D119,C119,$J$4,$J$6))</f>
        <v>0</v>
      </c>
      <c r="O119" s="163">
        <f ca="1"/>
        <v>5.9844205622783253E-4</v>
      </c>
      <c r="P119" s="163">
        <f ca="1"/>
        <v>1.6571087313170807E-3</v>
      </c>
      <c r="Q119" s="163">
        <f ca="1"/>
        <v>6.0343616143641032E-3</v>
      </c>
      <c r="R119" s="163">
        <f ca="1"/>
        <v>1.2648539688500993E-2</v>
      </c>
      <c r="S119" s="163">
        <f ca="1"/>
        <v>0</v>
      </c>
      <c r="T119" s="163">
        <f ca="1"/>
        <v>3.3211747844532735E-2</v>
      </c>
      <c r="U119" s="163">
        <f ca="1"/>
        <v>5.9782188979131567E-2</v>
      </c>
      <c r="V119" s="139">
        <f ca="1"/>
        <v>0.11130315550008352</v>
      </c>
      <c r="W119" s="138">
        <f ca="1"/>
        <v>0</v>
      </c>
      <c r="X119" s="163">
        <f ca="1"/>
        <v>6.9814675354706868E-4</v>
      </c>
      <c r="Y119" s="163">
        <f ca="1"/>
        <v>1.8234853480852964E-3</v>
      </c>
      <c r="Z119" s="163">
        <f ca="1"/>
        <v>6.3842316029241175E-3</v>
      </c>
      <c r="AA119" s="163">
        <f ca="1"/>
        <v>1.3270291358247976E-2</v>
      </c>
      <c r="AB119" s="163">
        <f ca="1"/>
        <v>0</v>
      </c>
      <c r="AC119" s="163">
        <f ca="1"/>
        <v>3.484063900757195E-2</v>
      </c>
      <c r="AD119" s="163">
        <f ca="1"/>
        <v>6.2690738446918748E-2</v>
      </c>
      <c r="AE119" s="139">
        <f ca="1"/>
        <v>0.11663074805022655</v>
      </c>
      <c r="AH119" s="136"/>
      <c r="AI119" s="136"/>
      <c r="AJ119" s="136"/>
      <c r="AK119" s="136"/>
      <c r="AM119" s="136"/>
      <c r="AN119" s="136"/>
      <c r="AO119" s="136"/>
      <c r="AQ119" s="136"/>
      <c r="AR119" s="136"/>
      <c r="AS119" s="136"/>
      <c r="AT119" s="136"/>
      <c r="AV119" s="136"/>
      <c r="AW119" s="136"/>
      <c r="AX119" s="136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7" t="s">
        <v>87</v>
      </c>
      <c r="F120" s="156">
        <v>1.14E-3</v>
      </c>
      <c r="G120" s="156">
        <v>1.64E-3</v>
      </c>
      <c r="H120" s="156">
        <v>2.3600000000000001E-3</v>
      </c>
      <c r="I120" s="156">
        <v>2.9199999999999999E-3</v>
      </c>
      <c r="J120" s="156" t="s">
        <v>87</v>
      </c>
      <c r="K120" s="156">
        <v>4.0000000000000001E-3</v>
      </c>
      <c r="L120" s="156">
        <v>4.4000000000000003E-3</v>
      </c>
      <c r="M120" s="156">
        <v>4.7000000000000002E-3</v>
      </c>
      <c r="N120" s="138" cm="1">
        <f t="array" aca="1" ref="N120:AE120" ca="1">IF(OR(B120="",NOT($J$2)),"",GetStripDefaultProbability(A120,B120,Parameter_Date,CDSRollDate,E120:M120,SpreadCurveMaturities,D120,C120,$J$4,$J$6))</f>
        <v>0</v>
      </c>
      <c r="O120" s="163">
        <f ca="1"/>
        <v>1.1367347010834417E-3</v>
      </c>
      <c r="P120" s="163">
        <f ca="1"/>
        <v>3.0167150157023315E-3</v>
      </c>
      <c r="Q120" s="163">
        <f ca="1"/>
        <v>8.3357458205973733E-3</v>
      </c>
      <c r="R120" s="163">
        <f ca="1"/>
        <v>1.5275308452908365E-2</v>
      </c>
      <c r="S120" s="163">
        <f ca="1"/>
        <v>0</v>
      </c>
      <c r="T120" s="163">
        <f ca="1"/>
        <v>3.4611935088614709E-2</v>
      </c>
      <c r="U120" s="163">
        <f ca="1"/>
        <v>5.2690447926393769E-2</v>
      </c>
      <c r="V120" s="139">
        <f ca="1"/>
        <v>7.9236514310441208E-2</v>
      </c>
      <c r="W120" s="138">
        <f ca="1"/>
        <v>0</v>
      </c>
      <c r="X120" s="163">
        <f ca="1"/>
        <v>1.2363836139693829E-3</v>
      </c>
      <c r="Y120" s="163">
        <f ca="1"/>
        <v>3.1828650503140654E-3</v>
      </c>
      <c r="Z120" s="163">
        <f ca="1"/>
        <v>8.7491891942165223E-3</v>
      </c>
      <c r="AA120" s="163">
        <f ca="1"/>
        <v>1.6032232160833493E-2</v>
      </c>
      <c r="AB120" s="163">
        <f ca="1"/>
        <v>0</v>
      </c>
      <c r="AC120" s="163">
        <f ca="1"/>
        <v>3.6313110461688947E-2</v>
      </c>
      <c r="AD120" s="163">
        <f ca="1"/>
        <v>5.52602009243639E-2</v>
      </c>
      <c r="AE120" s="139">
        <f ca="1"/>
        <v>8.3041940205734077E-2</v>
      </c>
      <c r="AH120" s="136"/>
      <c r="AI120" s="136"/>
      <c r="AJ120" s="136"/>
      <c r="AK120" s="136"/>
      <c r="AM120" s="136"/>
      <c r="AN120" s="136"/>
      <c r="AO120" s="136"/>
      <c r="AQ120" s="136"/>
      <c r="AR120" s="136"/>
      <c r="AS120" s="136"/>
      <c r="AT120" s="136"/>
      <c r="AV120" s="136"/>
      <c r="AW120" s="136"/>
      <c r="AX120" s="136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7" t="s">
        <v>87</v>
      </c>
      <c r="F121" s="156">
        <v>1.15E-3</v>
      </c>
      <c r="G121" s="156">
        <v>1.81E-3</v>
      </c>
      <c r="H121" s="156">
        <v>2.8E-3</v>
      </c>
      <c r="I121" s="156">
        <v>3.5000000000000001E-3</v>
      </c>
      <c r="J121" s="156" t="s">
        <v>87</v>
      </c>
      <c r="K121" s="156">
        <v>4.5999999999999999E-3</v>
      </c>
      <c r="L121" s="156">
        <v>5.1999999999999998E-3</v>
      </c>
      <c r="M121" s="156">
        <v>5.7000000000000002E-3</v>
      </c>
      <c r="N121" s="138" cm="1">
        <f t="array" aca="1" ref="N121:AE121" ca="1">IF(OR(B121="",NOT($J$2)),"",GetStripDefaultProbability(A121,B121,Parameter_Date,CDSRollDate,E121:M121,SpreadCurveMaturities,D121,C121,$J$4,$J$6))</f>
        <v>0</v>
      </c>
      <c r="O121" s="163">
        <f ca="1"/>
        <v>1.1467003581168145E-3</v>
      </c>
      <c r="P121" s="163">
        <f ca="1"/>
        <v>3.3318572044148675E-3</v>
      </c>
      <c r="Q121" s="163">
        <f ca="1"/>
        <v>9.8984298376574298E-3</v>
      </c>
      <c r="R121" s="163">
        <f ca="1"/>
        <v>1.8309326501480538E-2</v>
      </c>
      <c r="S121" s="163">
        <f ca="1"/>
        <v>0</v>
      </c>
      <c r="T121" s="163">
        <f ca="1"/>
        <v>3.9659348673085626E-2</v>
      </c>
      <c r="U121" s="163">
        <f ca="1"/>
        <v>6.2142756136775668E-2</v>
      </c>
      <c r="V121" s="139">
        <f ca="1"/>
        <v>9.5936337618325762E-2</v>
      </c>
      <c r="W121" s="138">
        <f ca="1"/>
        <v>0</v>
      </c>
      <c r="X121" s="163">
        <f ca="1"/>
        <v>1.2463482251061642E-3</v>
      </c>
      <c r="Y121" s="163">
        <f ca="1"/>
        <v>3.4979547197019345E-3</v>
      </c>
      <c r="Z121" s="163">
        <f ca="1"/>
        <v>1.0389982203571457E-2</v>
      </c>
      <c r="AA121" s="163">
        <f ca="1"/>
        <v>1.9216435378708985E-2</v>
      </c>
      <c r="AB121" s="163">
        <f ca="1"/>
        <v>0</v>
      </c>
      <c r="AC121" s="163">
        <f ca="1"/>
        <v>4.1604470504921109E-2</v>
      </c>
      <c r="AD121" s="163">
        <f ca="1"/>
        <v>6.5161315998461755E-2</v>
      </c>
      <c r="AE121" s="139">
        <f ca="1"/>
        <v>0.10050760207043041</v>
      </c>
      <c r="AH121" s="136"/>
      <c r="AI121" s="136"/>
      <c r="AJ121" s="136"/>
      <c r="AK121" s="136"/>
      <c r="AM121" s="136"/>
      <c r="AN121" s="136"/>
      <c r="AO121" s="136"/>
      <c r="AQ121" s="136"/>
      <c r="AR121" s="136"/>
      <c r="AS121" s="136"/>
      <c r="AT121" s="136"/>
      <c r="AV121" s="136"/>
      <c r="AW121" s="136"/>
      <c r="AX121" s="136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7" t="s">
        <v>87</v>
      </c>
      <c r="F122" s="156">
        <v>2.9999999999999997E-4</v>
      </c>
      <c r="G122" s="156">
        <v>2.9999999999999997E-4</v>
      </c>
      <c r="H122" s="156">
        <v>6.9999999999999999E-4</v>
      </c>
      <c r="I122" s="156">
        <v>1E-3</v>
      </c>
      <c r="J122" s="156" t="s">
        <v>87</v>
      </c>
      <c r="K122" s="156">
        <v>1.6999999999999999E-3</v>
      </c>
      <c r="L122" s="156">
        <v>2.2000000000000001E-3</v>
      </c>
      <c r="M122" s="156">
        <v>2.8E-3</v>
      </c>
      <c r="N122" s="138" cm="1">
        <f t="array" aca="1" ref="N122:AE122" ca="1">IF(OR(B122="",NOT($J$2)),"",GetStripDefaultProbability(A122,B122,Parameter_Date,CDSRollDate,E122:M122,SpreadCurveMaturities,D122,C122,$J$4,$J$6))</f>
        <v>0</v>
      </c>
      <c r="O122" s="163">
        <f ca="1"/>
        <v>2.9926566746929506E-4</v>
      </c>
      <c r="P122" s="163">
        <f ca="1"/>
        <v>5.5010443373293416E-4</v>
      </c>
      <c r="Q122" s="163">
        <f ca="1"/>
        <v>2.4909994946761271E-3</v>
      </c>
      <c r="R122" s="163">
        <f ca="1"/>
        <v>5.2887442566346143E-3</v>
      </c>
      <c r="S122" s="163">
        <f ca="1"/>
        <v>0</v>
      </c>
      <c r="T122" s="163">
        <f ca="1"/>
        <v>1.4996410078114919E-2</v>
      </c>
      <c r="U122" s="163">
        <f ca="1"/>
        <v>2.7205784203157779E-2</v>
      </c>
      <c r="V122" s="139">
        <f ca="1"/>
        <v>4.9699114308035308E-2</v>
      </c>
      <c r="W122" s="138">
        <f ca="1"/>
        <v>0</v>
      </c>
      <c r="X122" s="163">
        <f ca="1"/>
        <v>3.9900078367871572E-4</v>
      </c>
      <c r="Y122" s="163">
        <f ca="1"/>
        <v>7.1666553585658654E-4</v>
      </c>
      <c r="Z122" s="163">
        <f ca="1"/>
        <v>2.8419887185339165E-3</v>
      </c>
      <c r="AA122" s="163">
        <f ca="1"/>
        <v>5.8059180169094393E-3</v>
      </c>
      <c r="AB122" s="163">
        <f ca="1"/>
        <v>0</v>
      </c>
      <c r="AC122" s="163">
        <f ca="1"/>
        <v>1.5840525659871596E-2</v>
      </c>
      <c r="AD122" s="163">
        <f ca="1"/>
        <v>2.8500185240176723E-2</v>
      </c>
      <c r="AE122" s="139">
        <f ca="1"/>
        <v>5.2079667909995297E-2</v>
      </c>
      <c r="AH122" s="136"/>
      <c r="AI122" s="136"/>
      <c r="AJ122" s="136"/>
      <c r="AK122" s="136"/>
      <c r="AM122" s="136"/>
      <c r="AN122" s="136"/>
      <c r="AO122" s="136"/>
      <c r="AQ122" s="136"/>
      <c r="AR122" s="136"/>
      <c r="AS122" s="136"/>
      <c r="AT122" s="136"/>
      <c r="AV122" s="136"/>
      <c r="AW122" s="136"/>
      <c r="AX122" s="136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7" t="s">
        <v>87</v>
      </c>
      <c r="F123" s="156">
        <v>6.9999999999999999E-4</v>
      </c>
      <c r="G123" s="156">
        <v>1.1999999999999999E-3</v>
      </c>
      <c r="H123" s="156">
        <v>1.9E-3</v>
      </c>
      <c r="I123" s="156">
        <v>2.5999999999999999E-3</v>
      </c>
      <c r="J123" s="156" t="s">
        <v>87</v>
      </c>
      <c r="K123" s="156">
        <v>3.8E-3</v>
      </c>
      <c r="L123" s="156">
        <v>4.5999999999999999E-3</v>
      </c>
      <c r="M123" s="156">
        <v>5.4999999999999997E-3</v>
      </c>
      <c r="N123" s="138" cm="1">
        <f t="array" aca="1" ref="N123:AE123" ca="1">IF(OR(B123="",NOT($J$2)),"",GetStripDefaultProbability(A123,B123,Parameter_Date,CDSRollDate,E123:M123,SpreadCurveMaturities,D123,C123,$J$4,$J$6))</f>
        <v>0</v>
      </c>
      <c r="O123" s="163">
        <f ca="1"/>
        <v>6.98147686336692E-4</v>
      </c>
      <c r="P123" s="163">
        <f ca="1"/>
        <v>2.2115762542517237E-3</v>
      </c>
      <c r="Q123" s="163">
        <f ca="1"/>
        <v>6.7290368381808241E-3</v>
      </c>
      <c r="R123" s="163">
        <f ca="1"/>
        <v>1.3671012845896779E-2</v>
      </c>
      <c r="S123" s="163">
        <f ca="1"/>
        <v>0</v>
      </c>
      <c r="T123" s="163">
        <f ca="1"/>
        <v>3.3070622243052572E-2</v>
      </c>
      <c r="U123" s="163">
        <f ca="1"/>
        <v>5.5740616955878397E-2</v>
      </c>
      <c r="V123" s="139">
        <f ca="1"/>
        <v>9.4622414925461973E-2</v>
      </c>
      <c r="W123" s="138">
        <f ca="1"/>
        <v>0</v>
      </c>
      <c r="X123" s="163">
        <f ca="1"/>
        <v>7.9784215457201491E-4</v>
      </c>
      <c r="Y123" s="163">
        <f ca="1"/>
        <v>2.3778604674680182E-3</v>
      </c>
      <c r="Z123" s="163">
        <f ca="1"/>
        <v>7.0786469571798571E-3</v>
      </c>
      <c r="AA123" s="163">
        <f ca="1"/>
        <v>1.4346066709864824E-2</v>
      </c>
      <c r="AB123" s="163">
        <f ca="1"/>
        <v>0</v>
      </c>
      <c r="AC123" s="163">
        <f ca="1"/>
        <v>3.4695022859932423E-2</v>
      </c>
      <c r="AD123" s="163">
        <f ca="1"/>
        <v>5.8456912555394869E-2</v>
      </c>
      <c r="AE123" s="139">
        <f ca="1"/>
        <v>9.9144220580491438E-2</v>
      </c>
      <c r="AH123" s="136"/>
      <c r="AI123" s="136"/>
      <c r="AJ123" s="136"/>
      <c r="AK123" s="136"/>
      <c r="AM123" s="136"/>
      <c r="AN123" s="136"/>
      <c r="AO123" s="136"/>
      <c r="AQ123" s="136"/>
      <c r="AR123" s="136"/>
      <c r="AS123" s="136"/>
      <c r="AT123" s="136"/>
      <c r="AV123" s="136"/>
      <c r="AW123" s="136"/>
      <c r="AX123" s="136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7" t="s">
        <v>87</v>
      </c>
      <c r="F124" s="156">
        <v>5.9999999999999995E-4</v>
      </c>
      <c r="G124" s="156">
        <v>8.0000000000000004E-4</v>
      </c>
      <c r="H124" s="156">
        <v>1.4E-3</v>
      </c>
      <c r="I124" s="156">
        <v>2E-3</v>
      </c>
      <c r="J124" s="156" t="s">
        <v>87</v>
      </c>
      <c r="K124" s="156">
        <v>3.0999999999999999E-3</v>
      </c>
      <c r="L124" s="156">
        <v>3.8999999999999998E-3</v>
      </c>
      <c r="M124" s="156">
        <v>4.7000000000000002E-3</v>
      </c>
      <c r="N124" s="138" cm="1">
        <f t="array" aca="1" ref="N124:AE124" ca="1">IF(OR(B124="",NOT($J$2)),"",GetStripDefaultProbability(A124,B124,Parameter_Date,CDSRollDate,E124:M124,SpreadCurveMaturities,D124,C124,$J$4,$J$6))</f>
        <v>0</v>
      </c>
      <c r="O124" s="163">
        <f ca="1"/>
        <v>5.9844205622783253E-4</v>
      </c>
      <c r="P124" s="163">
        <f ca="1"/>
        <v>1.4713900701842642E-3</v>
      </c>
      <c r="Q124" s="163">
        <f ca="1"/>
        <v>4.9648127830491662E-3</v>
      </c>
      <c r="R124" s="163">
        <f ca="1"/>
        <v>1.0545129428882083E-2</v>
      </c>
      <c r="S124" s="163">
        <f ca="1"/>
        <v>0</v>
      </c>
      <c r="T124" s="163">
        <f ca="1"/>
        <v>2.7124298652842049E-2</v>
      </c>
      <c r="U124" s="163">
        <f ca="1"/>
        <v>4.765993804316393E-2</v>
      </c>
      <c r="V124" s="139">
        <f ca="1"/>
        <v>8.1631941498346516E-2</v>
      </c>
      <c r="W124" s="138">
        <f ca="1"/>
        <v>0</v>
      </c>
      <c r="X124" s="163">
        <f ca="1"/>
        <v>6.9814675354706868E-4</v>
      </c>
      <c r="Y124" s="163">
        <f ca="1"/>
        <v>1.6377976374900571E-3</v>
      </c>
      <c r="Z124" s="163">
        <f ca="1"/>
        <v>5.3150020644165963E-3</v>
      </c>
      <c r="AA124" s="163">
        <f ca="1"/>
        <v>1.1059885503685307E-2</v>
      </c>
      <c r="AB124" s="163">
        <f ca="1"/>
        <v>0</v>
      </c>
      <c r="AC124" s="163">
        <f ca="1"/>
        <v>2.8453957889656656E-2</v>
      </c>
      <c r="AD124" s="163">
        <f ca="1"/>
        <v>4.9985643012915748E-2</v>
      </c>
      <c r="AE124" s="139">
        <f ca="1"/>
        <v>8.5554293537967618E-2</v>
      </c>
      <c r="AH124" s="136"/>
      <c r="AI124" s="136"/>
      <c r="AJ124" s="136"/>
      <c r="AK124" s="136"/>
      <c r="AM124" s="136"/>
      <c r="AN124" s="136"/>
      <c r="AO124" s="136"/>
      <c r="AQ124" s="136"/>
      <c r="AR124" s="136"/>
      <c r="AS124" s="136"/>
      <c r="AT124" s="136"/>
      <c r="AV124" s="136"/>
      <c r="AW124" s="136"/>
      <c r="AX124" s="136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7" t="s">
        <v>87</v>
      </c>
      <c r="F125" s="156">
        <v>2.0999999999999999E-3</v>
      </c>
      <c r="G125" s="156">
        <v>2.0999999999999999E-3</v>
      </c>
      <c r="H125" s="156">
        <v>3.8E-3</v>
      </c>
      <c r="I125" s="156">
        <v>7.1000000000000004E-3</v>
      </c>
      <c r="J125" s="156" t="s">
        <v>87</v>
      </c>
      <c r="K125" s="156">
        <v>9.5999999999999992E-3</v>
      </c>
      <c r="L125" s="156">
        <v>1.15E-2</v>
      </c>
      <c r="M125" s="156">
        <v>1.32E-2</v>
      </c>
      <c r="N125" s="138" cm="1">
        <f t="array" aca="1" ref="N125:AE125" ca="1">IF(OR(B125="",NOT($J$2)),"",GetStripDefaultProbability(A125,B125,Parameter_Date,CDSRollDate,E125:M125,SpreadCurveMaturities,D125,C125,$J$4,$J$6))</f>
        <v>0</v>
      </c>
      <c r="O125" s="163">
        <f ca="1"/>
        <v>2.0929862162898383E-3</v>
      </c>
      <c r="P125" s="163">
        <f ca="1"/>
        <v>3.8443811881150314E-3</v>
      </c>
      <c r="Q125" s="163">
        <f ca="1"/>
        <v>1.3425011327180214E-2</v>
      </c>
      <c r="R125" s="163">
        <f ca="1"/>
        <v>3.7372144616135028E-2</v>
      </c>
      <c r="S125" s="163">
        <f ca="1"/>
        <v>0</v>
      </c>
      <c r="T125" s="163">
        <f ca="1"/>
        <v>8.2033013392786014E-2</v>
      </c>
      <c r="U125" s="163">
        <f ca="1"/>
        <v>0.13490027212890188</v>
      </c>
      <c r="V125" s="139">
        <f ca="1"/>
        <v>0.21402665422858758</v>
      </c>
      <c r="W125" s="138">
        <f ca="1"/>
        <v>0</v>
      </c>
      <c r="X125" s="163">
        <f ca="1"/>
        <v>2.1975100232369815E-3</v>
      </c>
      <c r="Y125" s="163">
        <f ca="1"/>
        <v>4.036205793413572E-3</v>
      </c>
      <c r="Z125" s="163">
        <f ca="1"/>
        <v>1.4092266803199971E-2</v>
      </c>
      <c r="AA125" s="163">
        <f ca="1"/>
        <v>3.9215287227256201E-2</v>
      </c>
      <c r="AB125" s="163">
        <f ca="1"/>
        <v>0</v>
      </c>
      <c r="AC125" s="163">
        <f ca="1"/>
        <v>8.6004265330817953E-2</v>
      </c>
      <c r="AD125" s="163">
        <f ca="1"/>
        <v>0.1412753667268245</v>
      </c>
      <c r="AE125" s="139">
        <f ca="1"/>
        <v>0.22372780085431043</v>
      </c>
      <c r="AH125" s="136"/>
      <c r="AI125" s="136"/>
      <c r="AJ125" s="136"/>
      <c r="AK125" s="136"/>
      <c r="AM125" s="136"/>
      <c r="AN125" s="136"/>
      <c r="AO125" s="136"/>
      <c r="AQ125" s="136"/>
      <c r="AR125" s="136"/>
      <c r="AS125" s="136"/>
      <c r="AT125" s="136"/>
      <c r="AV125" s="136"/>
      <c r="AW125" s="136"/>
      <c r="AX125" s="136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7" t="s">
        <v>87</v>
      </c>
      <c r="F126" s="156">
        <v>1.4E-3</v>
      </c>
      <c r="G126" s="156">
        <v>1.6999999999999999E-3</v>
      </c>
      <c r="H126" s="156">
        <v>3.2000000000000002E-3</v>
      </c>
      <c r="I126" s="156">
        <v>4.4000000000000003E-3</v>
      </c>
      <c r="J126" s="156" t="s">
        <v>87</v>
      </c>
      <c r="K126" s="156">
        <v>6.4000000000000003E-3</v>
      </c>
      <c r="L126" s="156">
        <v>8.0000000000000002E-3</v>
      </c>
      <c r="M126" s="156">
        <v>9.2999999999999992E-3</v>
      </c>
      <c r="N126" s="138" cm="1">
        <f t="array" aca="1" ref="N126:AE126" ca="1">IF(OR(B126="",NOT($J$2)),"",GetStripDefaultProbability(A126,B126,Parameter_Date,CDSRollDate,E126:M126,SpreadCurveMaturities,D126,C126,$J$4,$J$6))</f>
        <v>0</v>
      </c>
      <c r="O126" s="163">
        <f ca="1"/>
        <v>1.3958095894961442E-3</v>
      </c>
      <c r="P126" s="163">
        <f ca="1"/>
        <v>3.1211769014234392E-3</v>
      </c>
      <c r="Q126" s="163">
        <f ca="1"/>
        <v>1.1329240461688039E-2</v>
      </c>
      <c r="R126" s="163">
        <f ca="1"/>
        <v>2.3075996535224852E-2</v>
      </c>
      <c r="S126" s="163">
        <f ca="1"/>
        <v>0</v>
      </c>
      <c r="T126" s="163">
        <f ca="1"/>
        <v>5.5251889635772544E-2</v>
      </c>
      <c r="U126" s="163">
        <f ca="1"/>
        <v>9.5779877418017634E-2</v>
      </c>
      <c r="V126" s="139">
        <f ca="1"/>
        <v>0.15557128644305251</v>
      </c>
      <c r="W126" s="138">
        <f ca="1"/>
        <v>0</v>
      </c>
      <c r="X126" s="163">
        <f ca="1"/>
        <v>1.4954311526670372E-3</v>
      </c>
      <c r="Y126" s="163">
        <f ca="1"/>
        <v>3.2873095271738206E-3</v>
      </c>
      <c r="Z126" s="163">
        <f ca="1"/>
        <v>1.1891696438945942E-2</v>
      </c>
      <c r="AA126" s="163">
        <f ca="1"/>
        <v>2.4217826162638234E-2</v>
      </c>
      <c r="AB126" s="163">
        <f ca="1"/>
        <v>0</v>
      </c>
      <c r="AC126" s="163">
        <f ca="1"/>
        <v>5.7944331310995412E-2</v>
      </c>
      <c r="AD126" s="163">
        <f ca="1"/>
        <v>0.10037216411304162</v>
      </c>
      <c r="AE126" s="139">
        <f ca="1"/>
        <v>0.16284559244214536</v>
      </c>
      <c r="AH126" s="136"/>
      <c r="AI126" s="136"/>
      <c r="AJ126" s="136"/>
      <c r="AK126" s="136"/>
      <c r="AM126" s="136"/>
      <c r="AN126" s="136"/>
      <c r="AO126" s="136"/>
      <c r="AQ126" s="136"/>
      <c r="AR126" s="136"/>
      <c r="AS126" s="136"/>
      <c r="AT126" s="136"/>
      <c r="AV126" s="136"/>
      <c r="AW126" s="136"/>
      <c r="AX126" s="136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7" t="s">
        <v>87</v>
      </c>
      <c r="F127" s="156">
        <v>2.9999999999999997E-4</v>
      </c>
      <c r="G127" s="156">
        <v>5.9999999999999995E-4</v>
      </c>
      <c r="H127" s="156">
        <v>1.1000000000000001E-3</v>
      </c>
      <c r="I127" s="156">
        <v>1.4E-3</v>
      </c>
      <c r="J127" s="156" t="s">
        <v>87</v>
      </c>
      <c r="K127" s="156">
        <v>2.2000000000000001E-3</v>
      </c>
      <c r="L127" s="156">
        <v>2.5999999999999999E-3</v>
      </c>
      <c r="M127" s="156">
        <v>3.0999999999999999E-3</v>
      </c>
      <c r="N127" s="138" cm="1">
        <f t="array" aca="1" ref="N127:AE127" ca="1">IF(OR(B127="",NOT($J$2)),"",GetStripDefaultProbability(A127,B127,Parameter_Date,CDSRollDate,E127:M127,SpreadCurveMaturities,D127,C127,$J$4,$J$6))</f>
        <v>0</v>
      </c>
      <c r="O127" s="163">
        <f ca="1"/>
        <v>2.9926566746929506E-4</v>
      </c>
      <c r="P127" s="163">
        <f ca="1"/>
        <v>1.1075289891454565E-3</v>
      </c>
      <c r="Q127" s="163">
        <f ca="1"/>
        <v>3.9087248521947338E-3</v>
      </c>
      <c r="R127" s="163">
        <f ca="1"/>
        <v>7.370520624523258E-3</v>
      </c>
      <c r="S127" s="163">
        <f ca="1"/>
        <v>0</v>
      </c>
      <c r="T127" s="163">
        <f ca="1"/>
        <v>1.92931104465901E-2</v>
      </c>
      <c r="U127" s="163">
        <f ca="1"/>
        <v>3.17757068228669E-2</v>
      </c>
      <c r="V127" s="139">
        <f ca="1"/>
        <v>5.4149539225119447E-2</v>
      </c>
      <c r="W127" s="138">
        <f ca="1"/>
        <v>0</v>
      </c>
      <c r="X127" s="163">
        <f ca="1"/>
        <v>3.9900078367871572E-4</v>
      </c>
      <c r="Y127" s="163">
        <f ca="1"/>
        <v>1.2739971949056184E-3</v>
      </c>
      <c r="Z127" s="163">
        <f ca="1"/>
        <v>4.2592716513922824E-3</v>
      </c>
      <c r="AA127" s="163">
        <f ca="1"/>
        <v>7.8866685134076908E-3</v>
      </c>
      <c r="AB127" s="163">
        <f ca="1"/>
        <v>0</v>
      </c>
      <c r="AC127" s="163">
        <f ca="1"/>
        <v>2.0224054310295836E-2</v>
      </c>
      <c r="AD127" s="163">
        <f ca="1"/>
        <v>3.3317553760871976E-2</v>
      </c>
      <c r="AE127" s="139">
        <f ca="1"/>
        <v>5.6765268740170738E-2</v>
      </c>
      <c r="AH127" s="136"/>
      <c r="AI127" s="136"/>
      <c r="AJ127" s="136"/>
      <c r="AK127" s="136"/>
      <c r="AM127" s="136"/>
      <c r="AN127" s="136"/>
      <c r="AO127" s="136"/>
      <c r="AQ127" s="136"/>
      <c r="AR127" s="136"/>
      <c r="AS127" s="136"/>
      <c r="AT127" s="136"/>
      <c r="AV127" s="136"/>
      <c r="AW127" s="136"/>
      <c r="AX127" s="136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7" t="s">
        <v>87</v>
      </c>
      <c r="F128" s="156">
        <v>5.0000000000000001E-4</v>
      </c>
      <c r="G128" s="156">
        <v>1.1000000000000001E-3</v>
      </c>
      <c r="H128" s="156">
        <v>1.9E-3</v>
      </c>
      <c r="I128" s="156">
        <v>2.5000000000000001E-3</v>
      </c>
      <c r="J128" s="156" t="s">
        <v>87</v>
      </c>
      <c r="K128" s="156">
        <v>3.8E-3</v>
      </c>
      <c r="L128" s="156">
        <v>4.5999999999999999E-3</v>
      </c>
      <c r="M128" s="156">
        <v>5.5999999999999999E-3</v>
      </c>
      <c r="N128" s="138" cm="1">
        <f t="array" aca="1" ref="N128:AE128" ca="1">IF(OR(B128="",NOT($J$2)),"",GetStripDefaultProbability(A128,B128,Parameter_Date,CDSRollDate,E128:M128,SpreadCurveMaturities,D128,C128,$J$4,$J$6))</f>
        <v>0</v>
      </c>
      <c r="O128" s="163">
        <f ca="1"/>
        <v>4.9872651070981266E-4</v>
      </c>
      <c r="P128" s="163">
        <f ca="1"/>
        <v>2.031085980992442E-3</v>
      </c>
      <c r="Q128" s="163">
        <f ca="1"/>
        <v>6.7409126160101751E-3</v>
      </c>
      <c r="R128" s="163">
        <f ca="1"/>
        <v>1.3143430507000731E-2</v>
      </c>
      <c r="S128" s="163">
        <f ca="1"/>
        <v>0</v>
      </c>
      <c r="T128" s="163">
        <f ca="1"/>
        <v>3.3124108583041156E-2</v>
      </c>
      <c r="U128" s="163">
        <f ca="1"/>
        <v>5.579458676885285E-2</v>
      </c>
      <c r="V128" s="139">
        <f ca="1"/>
        <v>9.6561445438107518E-2</v>
      </c>
      <c r="W128" s="138">
        <f ca="1"/>
        <v>0</v>
      </c>
      <c r="X128" s="163">
        <f ca="1"/>
        <v>5.9844139207421154E-4</v>
      </c>
      <c r="Y128" s="163">
        <f ca="1"/>
        <v>2.1974002734161946E-3</v>
      </c>
      <c r="Z128" s="163">
        <f ca="1"/>
        <v>7.0905553041267222E-3</v>
      </c>
      <c r="AA128" s="163">
        <f ca="1"/>
        <v>1.3791795043229138E-2</v>
      </c>
      <c r="AB128" s="163">
        <f ca="1"/>
        <v>0</v>
      </c>
      <c r="AC128" s="163">
        <f ca="1"/>
        <v>3.4750660456767335E-2</v>
      </c>
      <c r="AD128" s="163">
        <f ca="1"/>
        <v>5.8513300772592203E-2</v>
      </c>
      <c r="AE128" s="139">
        <f ca="1"/>
        <v>0.10119874104391513</v>
      </c>
      <c r="AH128" s="136"/>
      <c r="AI128" s="136"/>
      <c r="AJ128" s="136"/>
      <c r="AK128" s="136"/>
      <c r="AM128" s="136"/>
      <c r="AN128" s="136"/>
      <c r="AO128" s="136"/>
      <c r="AQ128" s="136"/>
      <c r="AR128" s="136"/>
      <c r="AS128" s="136"/>
      <c r="AT128" s="136"/>
      <c r="AV128" s="136"/>
      <c r="AW128" s="136"/>
      <c r="AX128" s="136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7" t="s">
        <v>87</v>
      </c>
      <c r="F129" s="156">
        <v>1E-3</v>
      </c>
      <c r="G129" s="156">
        <v>1.6000000000000001E-3</v>
      </c>
      <c r="H129" s="156">
        <v>2.3999999999999998E-3</v>
      </c>
      <c r="I129" s="156">
        <v>3.0999999999999999E-3</v>
      </c>
      <c r="J129" s="156" t="s">
        <v>87</v>
      </c>
      <c r="K129" s="156">
        <v>5.1999999999999998E-3</v>
      </c>
      <c r="L129" s="156">
        <v>6.3E-3</v>
      </c>
      <c r="M129" s="156">
        <v>7.1999999999999998E-3</v>
      </c>
      <c r="N129" s="138" cm="1">
        <f t="array" aca="1" ref="N129:AE129" ca="1">IF(OR(B129="",NOT($J$2)),"",GetStripDefaultProbability(A129,B129,Parameter_Date,CDSRollDate,E129:M129,SpreadCurveMaturities,D129,C129,$J$4,$J$6))</f>
        <v>0</v>
      </c>
      <c r="O129" s="163">
        <f ca="1"/>
        <v>9.9720509892320397E-4</v>
      </c>
      <c r="P129" s="163">
        <f ca="1"/>
        <v>2.9461785444060418E-3</v>
      </c>
      <c r="Q129" s="163">
        <f ca="1"/>
        <v>8.4853731346655747E-3</v>
      </c>
      <c r="R129" s="163">
        <f ca="1"/>
        <v>1.6244762687902758E-2</v>
      </c>
      <c r="S129" s="163">
        <f ca="1"/>
        <v>0</v>
      </c>
      <c r="T129" s="163">
        <f ca="1"/>
        <v>4.5290086842711186E-2</v>
      </c>
      <c r="U129" s="163">
        <f ca="1"/>
        <v>7.5997666948731557E-2</v>
      </c>
      <c r="V129" s="139">
        <f ca="1"/>
        <v>0.12182472927298338</v>
      </c>
      <c r="W129" s="138">
        <f ca="1"/>
        <v>0</v>
      </c>
      <c r="X129" s="163">
        <f ca="1"/>
        <v>1.0968686047534426E-3</v>
      </c>
      <c r="Y129" s="163">
        <f ca="1"/>
        <v>3.1123403341233313E-3</v>
      </c>
      <c r="Z129" s="163">
        <f ca="1"/>
        <v>8.9059484125890709E-3</v>
      </c>
      <c r="AA129" s="163">
        <f ca="1"/>
        <v>1.704932613092125E-2</v>
      </c>
      <c r="AB129" s="163">
        <f ca="1"/>
        <v>0</v>
      </c>
      <c r="AC129" s="163">
        <f ca="1"/>
        <v>4.750725392606503E-2</v>
      </c>
      <c r="AD129" s="163">
        <f ca="1"/>
        <v>7.9674677025391882E-2</v>
      </c>
      <c r="AE129" s="139">
        <f ca="1"/>
        <v>0.12760428614109021</v>
      </c>
      <c r="AH129" s="136"/>
      <c r="AI129" s="136"/>
      <c r="AJ129" s="136"/>
      <c r="AK129" s="136"/>
      <c r="AM129" s="136"/>
      <c r="AN129" s="136"/>
      <c r="AO129" s="136"/>
      <c r="AQ129" s="136"/>
      <c r="AR129" s="136"/>
      <c r="AS129" s="136"/>
      <c r="AT129" s="136"/>
      <c r="AV129" s="136"/>
      <c r="AW129" s="136"/>
      <c r="AX129" s="136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7" t="s">
        <v>87</v>
      </c>
      <c r="F130" s="156">
        <v>6.9999999999999999E-4</v>
      </c>
      <c r="G130" s="156">
        <v>1E-3</v>
      </c>
      <c r="H130" s="156">
        <v>1.6999999999999999E-3</v>
      </c>
      <c r="I130" s="156">
        <v>2.3999999999999998E-3</v>
      </c>
      <c r="J130" s="156" t="s">
        <v>87</v>
      </c>
      <c r="K130" s="156">
        <v>3.8E-3</v>
      </c>
      <c r="L130" s="156">
        <v>4.7999999999999996E-3</v>
      </c>
      <c r="M130" s="156">
        <v>6.0000000000000001E-3</v>
      </c>
      <c r="N130" s="138" cm="1">
        <f t="array" aca="1" ref="N130:AE130" ca="1">IF(OR(B130="",NOT($J$2)),"",GetStripDefaultProbability(A130,B130,Parameter_Date,CDSRollDate,E130:M130,SpreadCurveMaturities,D130,C130,$J$4,$J$6))</f>
        <v>0</v>
      </c>
      <c r="O130" s="163">
        <f ca="1"/>
        <v>6.98147686336692E-4</v>
      </c>
      <c r="P130" s="163">
        <f ca="1"/>
        <v>1.8402347754473691E-3</v>
      </c>
      <c r="Q130" s="163">
        <f ca="1"/>
        <v>6.0252019880088215E-3</v>
      </c>
      <c r="R130" s="163">
        <f ca="1"/>
        <v>1.2639187508017513E-2</v>
      </c>
      <c r="S130" s="163">
        <f ca="1"/>
        <v>0</v>
      </c>
      <c r="T130" s="163">
        <f ca="1"/>
        <v>3.3202036496963516E-2</v>
      </c>
      <c r="U130" s="163">
        <f ca="1"/>
        <v>5.8473047304337555E-2</v>
      </c>
      <c r="V130" s="139">
        <f ca="1"/>
        <v>0.10388364314029597</v>
      </c>
      <c r="W130" s="138">
        <f ca="1"/>
        <v>0</v>
      </c>
      <c r="X130" s="163">
        <f ca="1"/>
        <v>7.9784215457201491E-4</v>
      </c>
      <c r="Y130" s="163">
        <f ca="1"/>
        <v>2.0065808737579349E-3</v>
      </c>
      <c r="Z130" s="163">
        <f ca="1"/>
        <v>6.3750475929040817E-3</v>
      </c>
      <c r="AA130" s="163">
        <f ca="1"/>
        <v>1.3260903706537652E-2</v>
      </c>
      <c r="AB130" s="163">
        <f ca="1"/>
        <v>0</v>
      </c>
      <c r="AC130" s="163">
        <f ca="1"/>
        <v>3.4830875316545606E-2</v>
      </c>
      <c r="AD130" s="163">
        <f ca="1"/>
        <v>6.1319217410938043E-2</v>
      </c>
      <c r="AE130" s="139">
        <f ca="1"/>
        <v>0.10886314814452969</v>
      </c>
      <c r="AH130" s="136"/>
      <c r="AI130" s="136"/>
      <c r="AJ130" s="136"/>
      <c r="AK130" s="136"/>
      <c r="AM130" s="136"/>
      <c r="AN130" s="136"/>
      <c r="AO130" s="136"/>
      <c r="AQ130" s="136"/>
      <c r="AR130" s="136"/>
      <c r="AS130" s="136"/>
      <c r="AT130" s="136"/>
      <c r="AV130" s="136"/>
      <c r="AW130" s="136"/>
      <c r="AX130" s="136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7" t="s">
        <v>87</v>
      </c>
      <c r="F131" s="156">
        <v>1.1000000000000001E-3</v>
      </c>
      <c r="G131" s="156">
        <v>1.5E-3</v>
      </c>
      <c r="H131" s="156">
        <v>1.9E-3</v>
      </c>
      <c r="I131" s="156">
        <v>2.5999999999999999E-3</v>
      </c>
      <c r="J131" s="156" t="s">
        <v>87</v>
      </c>
      <c r="K131" s="156">
        <v>3.8E-3</v>
      </c>
      <c r="L131" s="156">
        <v>4.7000000000000002E-3</v>
      </c>
      <c r="M131" s="156">
        <v>5.7000000000000002E-3</v>
      </c>
      <c r="N131" s="138" cm="1">
        <f t="array" aca="1" ref="N131:AE131" ca="1">IF(OR(B131="",NOT($J$2)),"",GetStripDefaultProbability(A131,B131,Parameter_Date,CDSRollDate,E131:M131,SpreadCurveMaturities,D131,C131,$J$4,$J$6))</f>
        <v>0</v>
      </c>
      <c r="O131" s="163">
        <f ca="1"/>
        <v>1.0968710821319672E-3</v>
      </c>
      <c r="P131" s="163">
        <f ca="1"/>
        <v>2.757983019723742E-3</v>
      </c>
      <c r="Q131" s="163">
        <f ca="1"/>
        <v>6.6987273707558304E-3</v>
      </c>
      <c r="R131" s="163">
        <f ca="1"/>
        <v>1.364008161291308E-2</v>
      </c>
      <c r="S131" s="163">
        <f ca="1"/>
        <v>0</v>
      </c>
      <c r="T131" s="163">
        <f ca="1"/>
        <v>3.3038739946464224E-2</v>
      </c>
      <c r="U131" s="163">
        <f ca="1"/>
        <v>5.7007885844327588E-2</v>
      </c>
      <c r="V131" s="139">
        <f ca="1"/>
        <v>9.8193416234752307E-2</v>
      </c>
      <c r="W131" s="138">
        <f ca="1"/>
        <v>0</v>
      </c>
      <c r="X131" s="163">
        <f ca="1"/>
        <v>1.1965241739009258E-3</v>
      </c>
      <c r="Y131" s="163">
        <f ca="1"/>
        <v>2.9241761727488713E-3</v>
      </c>
      <c r="Z131" s="163">
        <f ca="1"/>
        <v>7.0482556332173152E-3</v>
      </c>
      <c r="AA131" s="163">
        <f ca="1"/>
        <v>1.431500878586478E-2</v>
      </c>
      <c r="AB131" s="163">
        <f ca="1"/>
        <v>0</v>
      </c>
      <c r="AC131" s="163">
        <f ca="1"/>
        <v>3.4662969748143646E-2</v>
      </c>
      <c r="AD131" s="163">
        <f ca="1"/>
        <v>5.9786438403082176E-2</v>
      </c>
      <c r="AE131" s="139">
        <f ca="1"/>
        <v>0.10290793114959829</v>
      </c>
      <c r="AH131" s="136"/>
      <c r="AI131" s="136"/>
      <c r="AJ131" s="136"/>
      <c r="AK131" s="136"/>
      <c r="AM131" s="136"/>
      <c r="AN131" s="136"/>
      <c r="AO131" s="136"/>
      <c r="AQ131" s="136"/>
      <c r="AR131" s="136"/>
      <c r="AS131" s="136"/>
      <c r="AT131" s="136"/>
      <c r="AV131" s="136"/>
      <c r="AW131" s="136"/>
      <c r="AX131" s="136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7" t="s">
        <v>87</v>
      </c>
      <c r="F132" s="156">
        <v>8.0000000000000004E-4</v>
      </c>
      <c r="G132" s="156">
        <v>1E-3</v>
      </c>
      <c r="H132" s="156">
        <v>1.9E-3</v>
      </c>
      <c r="I132" s="156">
        <v>2.3999999999999998E-3</v>
      </c>
      <c r="J132" s="156" t="s">
        <v>87</v>
      </c>
      <c r="K132" s="156">
        <v>3.8E-3</v>
      </c>
      <c r="L132" s="156">
        <v>4.4999999999999997E-3</v>
      </c>
      <c r="M132" s="156">
        <v>5.4000000000000003E-3</v>
      </c>
      <c r="N132" s="138" cm="1">
        <f t="array" aca="1" ref="N132:AE132" ca="1">IF(OR(B132="",NOT($J$2)),"",GetStripDefaultProbability(A132,B132,Parameter_Date,CDSRollDate,E132:M132,SpreadCurveMaturities,D132,C132,$J$4,$J$6))</f>
        <v>0</v>
      </c>
      <c r="O132" s="163">
        <f ca="1"/>
        <v>7.978434025011083E-4</v>
      </c>
      <c r="P132" s="163">
        <f ca="1"/>
        <v>1.8376578808882993E-3</v>
      </c>
      <c r="Q132" s="163">
        <f ca="1"/>
        <v>6.7395213602603476E-3</v>
      </c>
      <c r="R132" s="163">
        <f ca="1"/>
        <v>1.2602225890495644E-2</v>
      </c>
      <c r="S132" s="163">
        <f ca="1"/>
        <v>0</v>
      </c>
      <c r="T132" s="163">
        <f ca="1"/>
        <v>3.3163656242900297E-2</v>
      </c>
      <c r="U132" s="163">
        <f ca="1"/>
        <v>5.4534072825437874E-2</v>
      </c>
      <c r="V132" s="139">
        <f ca="1"/>
        <v>9.2993490061680339E-2</v>
      </c>
      <c r="W132" s="138">
        <f ca="1"/>
        <v>0</v>
      </c>
      <c r="X132" s="163">
        <f ca="1"/>
        <v>8.9752759609718069E-4</v>
      </c>
      <c r="Y132" s="163">
        <f ca="1"/>
        <v>2.0040044086446773E-3</v>
      </c>
      <c r="Z132" s="163">
        <f ca="1"/>
        <v>7.0891525928048482E-3</v>
      </c>
      <c r="AA132" s="163">
        <f ca="1"/>
        <v>1.3223834931790024E-2</v>
      </c>
      <c r="AB132" s="163">
        <f ca="1"/>
        <v>0</v>
      </c>
      <c r="AC132" s="163">
        <f ca="1"/>
        <v>3.4792280489115868E-2</v>
      </c>
      <c r="AD132" s="163">
        <f ca="1"/>
        <v>5.7192568592737913E-2</v>
      </c>
      <c r="AE132" s="139">
        <f ca="1"/>
        <v>9.7440443468932991E-2</v>
      </c>
      <c r="AH132" s="136"/>
      <c r="AI132" s="136"/>
      <c r="AJ132" s="136"/>
      <c r="AK132" s="136"/>
      <c r="AM132" s="136"/>
      <c r="AN132" s="136"/>
      <c r="AO132" s="136"/>
      <c r="AQ132" s="136"/>
      <c r="AR132" s="136"/>
      <c r="AS132" s="136"/>
      <c r="AT132" s="136"/>
      <c r="AV132" s="136"/>
      <c r="AW132" s="136"/>
      <c r="AX132" s="136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7" t="s">
        <v>87</v>
      </c>
      <c r="F133" s="156">
        <v>6.9999999999999999E-4</v>
      </c>
      <c r="G133" s="156">
        <v>8.0000000000000004E-4</v>
      </c>
      <c r="H133" s="156">
        <v>1.2999999999999999E-3</v>
      </c>
      <c r="I133" s="156">
        <v>1.6999999999999999E-3</v>
      </c>
      <c r="J133" s="156" t="s">
        <v>87</v>
      </c>
      <c r="K133" s="156">
        <v>2.7000000000000001E-3</v>
      </c>
      <c r="L133" s="156">
        <v>3.0999999999999999E-3</v>
      </c>
      <c r="M133" s="156">
        <v>3.8999999999999998E-3</v>
      </c>
      <c r="N133" s="138" cm="1">
        <f t="array" aca="1" ref="N133:AE133" ca="1">IF(OR(B133="",NOT($J$2)),"",GetStripDefaultProbability(A133,B133,Parameter_Date,CDSRollDate,E133:M133,SpreadCurveMaturities,D133,C133,$J$4,$J$6))</f>
        <v>0</v>
      </c>
      <c r="O133" s="163">
        <f ca="1"/>
        <v>6.98147686336692E-4</v>
      </c>
      <c r="P133" s="163">
        <f ca="1"/>
        <v>1.4688312592168185E-3</v>
      </c>
      <c r="Q133" s="163">
        <f ca="1"/>
        <v>4.6034016974833003E-3</v>
      </c>
      <c r="R133" s="163">
        <f ca="1"/>
        <v>8.9371533265978353E-3</v>
      </c>
      <c r="S133" s="163">
        <f ca="1"/>
        <v>0</v>
      </c>
      <c r="T133" s="163">
        <f ca="1"/>
        <v>2.3644225880325997E-2</v>
      </c>
      <c r="U133" s="163">
        <f ca="1"/>
        <v>3.7703109320587624E-2</v>
      </c>
      <c r="V133" s="139">
        <f ca="1"/>
        <v>6.8161934019231096E-2</v>
      </c>
      <c r="W133" s="138">
        <f ca="1"/>
        <v>0</v>
      </c>
      <c r="X133" s="163">
        <f ca="1"/>
        <v>7.9784215457201491E-4</v>
      </c>
      <c r="Y133" s="163">
        <f ca="1"/>
        <v>1.6352392529477289E-3</v>
      </c>
      <c r="Z133" s="163">
        <f ca="1"/>
        <v>4.9536814715206434E-3</v>
      </c>
      <c r="AA133" s="163">
        <f ca="1"/>
        <v>9.4525465241837026E-3</v>
      </c>
      <c r="AB133" s="163">
        <f ca="1"/>
        <v>0</v>
      </c>
      <c r="AC133" s="163">
        <f ca="1"/>
        <v>2.4797093000340942E-2</v>
      </c>
      <c r="AD133" s="163">
        <f ca="1"/>
        <v>3.9540818646312426E-2</v>
      </c>
      <c r="AE133" s="139">
        <f ca="1"/>
        <v>7.144849960962929E-2</v>
      </c>
      <c r="AH133" s="136"/>
      <c r="AI133" s="136"/>
      <c r="AJ133" s="136"/>
      <c r="AK133" s="136"/>
      <c r="AM133" s="136"/>
      <c r="AN133" s="136"/>
      <c r="AO133" s="136"/>
      <c r="AQ133" s="136"/>
      <c r="AR133" s="136"/>
      <c r="AS133" s="136"/>
      <c r="AT133" s="136"/>
      <c r="AV133" s="136"/>
      <c r="AW133" s="136"/>
      <c r="AX133" s="136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7" t="s">
        <v>87</v>
      </c>
      <c r="F134" s="156">
        <v>2.9999999999999997E-4</v>
      </c>
      <c r="G134" s="156">
        <v>5.9999999999999995E-4</v>
      </c>
      <c r="H134" s="156">
        <v>1.2999999999999999E-3</v>
      </c>
      <c r="I134" s="156">
        <v>1.8E-3</v>
      </c>
      <c r="J134" s="156" t="s">
        <v>87</v>
      </c>
      <c r="K134" s="156">
        <v>2.8999999999999998E-3</v>
      </c>
      <c r="L134" s="156">
        <v>3.5000000000000001E-3</v>
      </c>
      <c r="M134" s="156">
        <v>4.4999999999999997E-3</v>
      </c>
      <c r="N134" s="138" cm="1">
        <f t="array" aca="1" ref="N134:AE134" ca="1">IF(OR(B134="",NOT($J$2)),"",GetStripDefaultProbability(A134,B134,Parameter_Date,CDSRollDate,E134:M134,SpreadCurveMaturities,D134,C134,$J$4,$J$6))</f>
        <v>0</v>
      </c>
      <c r="O134" s="163">
        <f ca="1"/>
        <v>2.9926566746929506E-4</v>
      </c>
      <c r="P134" s="163">
        <f ca="1"/>
        <v>1.1075289891454565E-3</v>
      </c>
      <c r="Q134" s="163">
        <f ca="1"/>
        <v>4.6266719578877957E-3</v>
      </c>
      <c r="R134" s="163">
        <f ca="1"/>
        <v>9.5016083998972212E-3</v>
      </c>
      <c r="S134" s="163">
        <f ca="1"/>
        <v>0</v>
      </c>
      <c r="T134" s="163">
        <f ca="1"/>
        <v>2.5436892158934521E-2</v>
      </c>
      <c r="U134" s="163">
        <f ca="1"/>
        <v>4.2740191216268708E-2</v>
      </c>
      <c r="V134" s="139">
        <f ca="1"/>
        <v>7.8828081150318696E-2</v>
      </c>
      <c r="W134" s="138">
        <f ca="1"/>
        <v>0</v>
      </c>
      <c r="X134" s="163">
        <f ca="1"/>
        <v>3.9900078367871572E-4</v>
      </c>
      <c r="Y134" s="163">
        <f ca="1"/>
        <v>1.2739971949056184E-3</v>
      </c>
      <c r="Z134" s="163">
        <f ca="1"/>
        <v>4.9770210846985519E-3</v>
      </c>
      <c r="AA134" s="163">
        <f ca="1"/>
        <v>1.0016876675032038E-2</v>
      </c>
      <c r="AB134" s="163">
        <f ca="1"/>
        <v>0</v>
      </c>
      <c r="AC134" s="163">
        <f ca="1"/>
        <v>2.6678393220868846E-2</v>
      </c>
      <c r="AD134" s="163">
        <f ca="1"/>
        <v>4.4822889204991001E-2</v>
      </c>
      <c r="AE134" s="139">
        <f ca="1"/>
        <v>8.2615735993512796E-2</v>
      </c>
      <c r="AH134" s="136"/>
      <c r="AI134" s="136"/>
      <c r="AJ134" s="136"/>
      <c r="AK134" s="136"/>
      <c r="AM134" s="136"/>
      <c r="AN134" s="136"/>
      <c r="AO134" s="136"/>
      <c r="AQ134" s="136"/>
      <c r="AR134" s="136"/>
      <c r="AS134" s="136"/>
      <c r="AT134" s="136"/>
      <c r="AV134" s="136"/>
      <c r="AW134" s="136"/>
      <c r="AX134" s="136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7" t="s">
        <v>87</v>
      </c>
      <c r="F135" s="156">
        <v>5.9999999999999995E-4</v>
      </c>
      <c r="G135" s="156">
        <v>8.9999999999999998E-4</v>
      </c>
      <c r="H135" s="156">
        <v>1.8E-3</v>
      </c>
      <c r="I135" s="156">
        <v>2.5000000000000001E-3</v>
      </c>
      <c r="J135" s="156" t="s">
        <v>87</v>
      </c>
      <c r="K135" s="156">
        <v>3.8999999999999998E-3</v>
      </c>
      <c r="L135" s="156">
        <v>4.7999999999999996E-3</v>
      </c>
      <c r="M135" s="156">
        <v>6.3E-3</v>
      </c>
      <c r="N135" s="138" cm="1">
        <f t="array" aca="1" ref="N135:AE135" ca="1">IF(OR(B135="",NOT($J$2)),"",GetStripDefaultProbability(A135,B135,Parameter_Date,CDSRollDate,E135:M135,SpreadCurveMaturities,D135,C135,$J$4,$J$6))</f>
        <v>0</v>
      </c>
      <c r="O135" s="163">
        <f ca="1"/>
        <v>5.9844205622783253E-4</v>
      </c>
      <c r="P135" s="163">
        <f ca="1"/>
        <v>1.6571087313170807E-3</v>
      </c>
      <c r="Q135" s="163">
        <f ca="1"/>
        <v>6.3929100644375403E-3</v>
      </c>
      <c r="R135" s="163">
        <f ca="1"/>
        <v>1.3171289044288881E-2</v>
      </c>
      <c r="S135" s="163">
        <f ca="1"/>
        <v>0</v>
      </c>
      <c r="T135" s="163">
        <f ca="1"/>
        <v>3.4052545523805544E-2</v>
      </c>
      <c r="U135" s="163">
        <f ca="1"/>
        <v>5.8325306879322469E-2</v>
      </c>
      <c r="V135" s="139">
        <f ca="1"/>
        <v>0.10943479939003231</v>
      </c>
      <c r="W135" s="138">
        <f ca="1"/>
        <v>0</v>
      </c>
      <c r="X135" s="163">
        <f ca="1"/>
        <v>6.9814675354706868E-4</v>
      </c>
      <c r="Y135" s="163">
        <f ca="1"/>
        <v>1.8234853480852964E-3</v>
      </c>
      <c r="Z135" s="163">
        <f ca="1"/>
        <v>6.7426772065970475E-3</v>
      </c>
      <c r="AA135" s="163">
        <f ca="1"/>
        <v>1.3819746556004597E-2</v>
      </c>
      <c r="AB135" s="163">
        <f ca="1"/>
        <v>0</v>
      </c>
      <c r="AC135" s="163">
        <f ca="1"/>
        <v>3.5723017038707949E-2</v>
      </c>
      <c r="AD135" s="163">
        <f ca="1"/>
        <v>6.1164017810441673E-2</v>
      </c>
      <c r="AE135" s="139">
        <f ca="1"/>
        <v>0.1146753281670817</v>
      </c>
      <c r="AH135" s="136"/>
      <c r="AI135" s="136"/>
      <c r="AJ135" s="136"/>
      <c r="AK135" s="136"/>
      <c r="AM135" s="136"/>
      <c r="AN135" s="136"/>
      <c r="AO135" s="136"/>
      <c r="AQ135" s="136"/>
      <c r="AR135" s="136"/>
      <c r="AS135" s="136"/>
      <c r="AT135" s="136"/>
      <c r="AV135" s="136"/>
      <c r="AW135" s="136"/>
      <c r="AX135" s="136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7" t="s">
        <v>87</v>
      </c>
      <c r="F136" s="156">
        <v>1.1800000000000001E-3</v>
      </c>
      <c r="G136" s="156">
        <v>1.5299999999999999E-3</v>
      </c>
      <c r="H136" s="156">
        <v>2.0699999999999998E-3</v>
      </c>
      <c r="I136" s="156">
        <v>2.49E-3</v>
      </c>
      <c r="J136" s="156" t="s">
        <v>87</v>
      </c>
      <c r="K136" s="156">
        <v>3.2000000000000002E-3</v>
      </c>
      <c r="L136" s="156">
        <v>3.62E-3</v>
      </c>
      <c r="M136" s="156">
        <v>4.0000000000000001E-3</v>
      </c>
      <c r="N136" s="138" cm="1">
        <f t="array" aca="1" ref="N136:AE136" ca="1">IF(OR(B136="",NOT($J$2)),"",GetStripDefaultProbability(A136,B136,Parameter_Date,CDSRollDate,E136:M136,SpreadCurveMaturities,D136,C136,$J$4,$J$6))</f>
        <v>0</v>
      </c>
      <c r="O136" s="163">
        <f ca="1"/>
        <v>1.1765967348282835E-3</v>
      </c>
      <c r="P136" s="163">
        <f ca="1"/>
        <v>2.8115543550077948E-3</v>
      </c>
      <c r="Q136" s="163">
        <f ca="1"/>
        <v>7.3035948587600874E-3</v>
      </c>
      <c r="R136" s="163">
        <f ca="1"/>
        <v>1.3013208196306913E-2</v>
      </c>
      <c r="S136" s="163">
        <f ca="1"/>
        <v>0</v>
      </c>
      <c r="T136" s="163">
        <f ca="1"/>
        <v>2.7647434614780697E-2</v>
      </c>
      <c r="U136" s="163">
        <f ca="1"/>
        <v>4.3526577496138641E-2</v>
      </c>
      <c r="V136" s="139">
        <f ca="1"/>
        <v>6.8173939018584373E-2</v>
      </c>
      <c r="W136" s="138">
        <f ca="1"/>
        <v>0</v>
      </c>
      <c r="X136" s="163">
        <f ca="1"/>
        <v>1.2762414612336181E-3</v>
      </c>
      <c r="Y136" s="163">
        <f ca="1"/>
        <v>2.9777385802168821E-3</v>
      </c>
      <c r="Z136" s="163">
        <f ca="1"/>
        <v>7.6654702369950423E-3</v>
      </c>
      <c r="AA136" s="163">
        <f ca="1"/>
        <v>1.365802275576411E-2</v>
      </c>
      <c r="AB136" s="163">
        <f ca="1"/>
        <v>0</v>
      </c>
      <c r="AC136" s="163">
        <f ca="1"/>
        <v>2.9009698103667714E-2</v>
      </c>
      <c r="AD136" s="163">
        <f ca="1"/>
        <v>4.5657784205722307E-2</v>
      </c>
      <c r="AE136" s="139">
        <f ca="1"/>
        <v>7.1468436043979344E-2</v>
      </c>
      <c r="AH136" s="136"/>
      <c r="AI136" s="136"/>
      <c r="AJ136" s="136"/>
      <c r="AK136" s="136"/>
      <c r="AM136" s="136"/>
      <c r="AN136" s="136"/>
      <c r="AO136" s="136"/>
      <c r="AQ136" s="136"/>
      <c r="AR136" s="136"/>
      <c r="AS136" s="136"/>
      <c r="AT136" s="136"/>
      <c r="AV136" s="136"/>
      <c r="AW136" s="136"/>
      <c r="AX136" s="136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7" t="s">
        <v>87</v>
      </c>
      <c r="F137" s="156" t="s">
        <v>87</v>
      </c>
      <c r="G137" s="156">
        <v>7.1500000000000003E-4</v>
      </c>
      <c r="H137" s="156" t="s">
        <v>87</v>
      </c>
      <c r="I137" s="156">
        <v>1.815E-3</v>
      </c>
      <c r="J137" s="156" t="s">
        <v>87</v>
      </c>
      <c r="K137" s="156">
        <v>2.7499999999999998E-3</v>
      </c>
      <c r="L137" s="156">
        <v>3.0799999999999998E-3</v>
      </c>
      <c r="M137" s="156">
        <v>3.63E-3</v>
      </c>
      <c r="N137" s="138" cm="1">
        <f t="array" aca="1" ref="N137:AE137" ca="1">IF(OR(B137="",NOT($J$2)),"",GetStripDefaultProbability(A137,B137,Parameter_Date,CDSRollDate,E137:M137,SpreadCurveMaturities,D137,C137,$J$4,$J$6))</f>
        <v>0</v>
      </c>
      <c r="O137" s="163">
        <f ca="1"/>
        <v>0</v>
      </c>
      <c r="P137" s="163">
        <f ca="1"/>
        <v>1.3106077170644825E-3</v>
      </c>
      <c r="Q137" s="163">
        <f ca="1"/>
        <v>0</v>
      </c>
      <c r="R137" s="163">
        <f ca="1"/>
        <v>9.5265310793375413E-3</v>
      </c>
      <c r="S137" s="163">
        <f ca="1"/>
        <v>0</v>
      </c>
      <c r="T137" s="163">
        <f ca="1"/>
        <v>2.4055194150494508E-2</v>
      </c>
      <c r="U137" s="163">
        <f ca="1"/>
        <v>3.7405712422987736E-2</v>
      </c>
      <c r="V137" s="139">
        <f ca="1"/>
        <v>6.3171464773917885E-2</v>
      </c>
      <c r="W137" s="138">
        <f ca="1"/>
        <v>0</v>
      </c>
      <c r="X137" s="163">
        <f ca="1"/>
        <v>0</v>
      </c>
      <c r="Y137" s="163">
        <f ca="1"/>
        <v>1.4770420791802019E-3</v>
      </c>
      <c r="Z137" s="163">
        <f ca="1"/>
        <v>0</v>
      </c>
      <c r="AA137" s="163">
        <f ca="1"/>
        <v>1.0041718808282973E-2</v>
      </c>
      <c r="AB137" s="163">
        <f ca="1"/>
        <v>0</v>
      </c>
      <c r="AC137" s="163">
        <f ca="1"/>
        <v>2.5231900664734019E-2</v>
      </c>
      <c r="AD137" s="163">
        <f ca="1"/>
        <v>3.9232398337622709E-2</v>
      </c>
      <c r="AE137" s="139">
        <f ca="1"/>
        <v>6.6224065437549773E-2</v>
      </c>
      <c r="AI137" s="136"/>
      <c r="AK137" s="136"/>
      <c r="AM137" s="136"/>
      <c r="AN137" s="136"/>
      <c r="AO137" s="136"/>
      <c r="AR137" s="136"/>
      <c r="AT137" s="136"/>
      <c r="AV137" s="136"/>
      <c r="AW137" s="136"/>
      <c r="AX137" s="136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7" t="s">
        <v>87</v>
      </c>
      <c r="F138" s="156" t="s">
        <v>87</v>
      </c>
      <c r="G138" s="156">
        <v>1.4220000000000001E-3</v>
      </c>
      <c r="H138" s="156" t="s">
        <v>87</v>
      </c>
      <c r="I138" s="156">
        <v>2.6410000000000001E-3</v>
      </c>
      <c r="J138" s="156" t="s">
        <v>87</v>
      </c>
      <c r="K138" s="156">
        <v>3.8600000000000001E-3</v>
      </c>
      <c r="L138" s="156">
        <v>4.7739999999999996E-3</v>
      </c>
      <c r="M138" s="156">
        <v>5.6880000000000003E-3</v>
      </c>
      <c r="N138" s="138" cm="1">
        <f t="array" aca="1" ref="N138:AE138" ca="1">IF(OR(B138="",NOT($J$2)),"",GetStripDefaultProbability(A138,B138,Parameter_Date,CDSRollDate,E138:M138,SpreadCurveMaturities,D138,C138,$J$4,$J$6))</f>
        <v>0</v>
      </c>
      <c r="O138" s="163">
        <f ca="1"/>
        <v>0</v>
      </c>
      <c r="P138" s="163">
        <f ca="1"/>
        <v>2.6048757300257686E-3</v>
      </c>
      <c r="Q138" s="163">
        <f ca="1"/>
        <v>0</v>
      </c>
      <c r="R138" s="163">
        <f ca="1"/>
        <v>1.378518311852972E-2</v>
      </c>
      <c r="S138" s="163">
        <f ca="1"/>
        <v>0</v>
      </c>
      <c r="T138" s="163">
        <f ca="1"/>
        <v>3.3531282380681482E-2</v>
      </c>
      <c r="U138" s="163">
        <f ca="1"/>
        <v>5.8017597423939526E-2</v>
      </c>
      <c r="V138" s="139">
        <f ca="1"/>
        <v>9.8271212743689551E-2</v>
      </c>
      <c r="W138" s="138">
        <f ca="1"/>
        <v>0</v>
      </c>
      <c r="X138" s="163">
        <f ca="1"/>
        <v>0</v>
      </c>
      <c r="Y138" s="163">
        <f ca="1"/>
        <v>2.7710943987939718E-3</v>
      </c>
      <c r="Z138" s="163">
        <f ca="1"/>
        <v>0</v>
      </c>
      <c r="AA138" s="163">
        <f ca="1"/>
        <v>1.4466435541723999E-2</v>
      </c>
      <c r="AB138" s="163">
        <f ca="1"/>
        <v>0</v>
      </c>
      <c r="AC138" s="163">
        <f ca="1"/>
        <v>3.5178952316895384E-2</v>
      </c>
      <c r="AD138" s="163">
        <f ca="1"/>
        <v>6.0843561615839037E-2</v>
      </c>
      <c r="AE138" s="139">
        <f ca="1"/>
        <v>0.10298808333669407</v>
      </c>
      <c r="AI138" s="136"/>
      <c r="AK138" s="136"/>
      <c r="AM138" s="136"/>
      <c r="AN138" s="136"/>
      <c r="AO138" s="136"/>
      <c r="AR138" s="136"/>
      <c r="AT138" s="136"/>
      <c r="AV138" s="136"/>
      <c r="AW138" s="136"/>
      <c r="AX138" s="136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7" t="s">
        <v>87</v>
      </c>
      <c r="F139" s="156">
        <v>1.34E-3</v>
      </c>
      <c r="G139" s="156">
        <v>2.0799999999999998E-3</v>
      </c>
      <c r="H139" s="156">
        <v>3.0500000000000002E-3</v>
      </c>
      <c r="I139" s="156">
        <v>3.5400000000000002E-3</v>
      </c>
      <c r="J139" s="156" t="s">
        <v>87</v>
      </c>
      <c r="K139" s="156">
        <v>4.2700000000000004E-3</v>
      </c>
      <c r="L139" s="156">
        <v>4.64E-3</v>
      </c>
      <c r="M139" s="156">
        <v>5.0099999999999997E-3</v>
      </c>
      <c r="N139" s="138" cm="1">
        <f t="array" aca="1" ref="N139:AE139" ca="1">IF(OR(B139="",NOT($J$2)),"",GetStripDefaultProbability(A139,B139,Parameter_Date,CDSRollDate,E139:M139,SpreadCurveMaturities,D139,C139,$J$4,$J$6))</f>
        <v>0</v>
      </c>
      <c r="O139" s="163">
        <f ca="1"/>
        <v>1.3360488935706405E-3</v>
      </c>
      <c r="P139" s="163">
        <f ca="1"/>
        <v>3.8276266912234957E-3</v>
      </c>
      <c r="Q139" s="163">
        <f ca="1"/>
        <v>1.0768373733895165E-2</v>
      </c>
      <c r="R139" s="163">
        <f ca="1"/>
        <v>1.8455983852007862E-2</v>
      </c>
      <c r="S139" s="163">
        <f ca="1"/>
        <v>0</v>
      </c>
      <c r="T139" s="163">
        <f ca="1"/>
        <v>3.6641715886405746E-2</v>
      </c>
      <c r="U139" s="163">
        <f ca="1"/>
        <v>5.5209081666842019E-2</v>
      </c>
      <c r="V139" s="139">
        <f ca="1"/>
        <v>8.4295933326773209E-2</v>
      </c>
      <c r="W139" s="138">
        <f ca="1"/>
        <v>0</v>
      </c>
      <c r="X139" s="163">
        <f ca="1"/>
        <v>1.4356782860220907E-3</v>
      </c>
      <c r="Y139" s="163">
        <f ca="1"/>
        <v>4.0178029468835863E-3</v>
      </c>
      <c r="Z139" s="163">
        <f ca="1"/>
        <v>1.1303265955191044E-2</v>
      </c>
      <c r="AA139" s="163">
        <f ca="1"/>
        <v>1.9370252467699078E-2</v>
      </c>
      <c r="AB139" s="163">
        <f ca="1"/>
        <v>0</v>
      </c>
      <c r="AC139" s="163">
        <f ca="1"/>
        <v>3.8440035559710539E-2</v>
      </c>
      <c r="AD139" s="163">
        <f ca="1"/>
        <v>5.7896118462504198E-2</v>
      </c>
      <c r="AE139" s="139">
        <f ca="1"/>
        <v>8.8330842477083893E-2</v>
      </c>
      <c r="AH139" s="136"/>
      <c r="AI139" s="136"/>
      <c r="AJ139" s="136"/>
      <c r="AK139" s="136"/>
      <c r="AM139" s="136"/>
      <c r="AN139" s="136"/>
      <c r="AO139" s="136"/>
      <c r="AQ139" s="136"/>
      <c r="AR139" s="136"/>
      <c r="AS139" s="136"/>
      <c r="AT139" s="136"/>
      <c r="AV139" s="136"/>
      <c r="AW139" s="136"/>
      <c r="AX139" s="136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7" t="s">
        <v>87</v>
      </c>
      <c r="F140" s="156" t="s">
        <v>87</v>
      </c>
      <c r="G140" s="156">
        <v>7.7700000000000002E-4</v>
      </c>
      <c r="H140" s="156" t="s">
        <v>87</v>
      </c>
      <c r="I140" s="156">
        <v>1.4959999999999999E-3</v>
      </c>
      <c r="J140" s="156" t="s">
        <v>87</v>
      </c>
      <c r="K140" s="156">
        <v>2.1710000000000002E-3</v>
      </c>
      <c r="L140" s="156">
        <v>2.5089999999999999E-3</v>
      </c>
      <c r="M140" s="156">
        <v>3.4740000000000001E-3</v>
      </c>
      <c r="N140" s="138" cm="1">
        <f t="array" aca="1" ref="N140:AE140" ca="1">IF(OR(B140="",NOT($J$2)),"",GetStripDefaultProbability(A140,B140,Parameter_Date,CDSRollDate,E140:M140,SpreadCurveMaturities,D140,C140,$J$4,$J$6))</f>
        <v>0</v>
      </c>
      <c r="O140" s="163">
        <f ca="1"/>
        <v>0</v>
      </c>
      <c r="P140" s="163">
        <f ca="1"/>
        <v>1.424174484044527E-3</v>
      </c>
      <c r="Q140" s="163">
        <f ca="1"/>
        <v>0</v>
      </c>
      <c r="R140" s="163">
        <f ca="1"/>
        <v>7.8317192268845259E-3</v>
      </c>
      <c r="S140" s="163">
        <f ca="1"/>
        <v>0</v>
      </c>
      <c r="T140" s="163">
        <f ca="1"/>
        <v>1.8960198799860328E-2</v>
      </c>
      <c r="U140" s="163">
        <f ca="1"/>
        <v>3.059057354009509E-2</v>
      </c>
      <c r="V140" s="139">
        <f ca="1"/>
        <v>6.2048835134654978E-2</v>
      </c>
      <c r="W140" s="138">
        <f ca="1"/>
        <v>0</v>
      </c>
      <c r="X140" s="163">
        <f ca="1"/>
        <v>0</v>
      </c>
      <c r="Y140" s="163">
        <f ca="1"/>
        <v>1.5905899199584184E-3</v>
      </c>
      <c r="Z140" s="163">
        <f ca="1"/>
        <v>0</v>
      </c>
      <c r="AA140" s="163">
        <f ca="1"/>
        <v>8.3477931989638376E-3</v>
      </c>
      <c r="AB140" s="163">
        <f ca="1"/>
        <v>0</v>
      </c>
      <c r="AC140" s="163">
        <f ca="1"/>
        <v>1.9878592235150205E-2</v>
      </c>
      <c r="AD140" s="163">
        <f ca="1"/>
        <v>3.207824705646567E-2</v>
      </c>
      <c r="AE140" s="139">
        <f ca="1"/>
        <v>6.5043537813380348E-2</v>
      </c>
      <c r="AI140" s="136"/>
      <c r="AK140" s="136"/>
      <c r="AM140" s="136"/>
      <c r="AN140" s="136"/>
      <c r="AO140" s="136"/>
      <c r="AR140" s="136"/>
      <c r="AT140" s="136"/>
      <c r="AV140" s="136"/>
      <c r="AW140" s="136"/>
      <c r="AX140" s="136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7" t="s">
        <v>87</v>
      </c>
      <c r="F141" s="156" t="s">
        <v>87</v>
      </c>
      <c r="G141" s="156">
        <v>9.4300000000000004E-4</v>
      </c>
      <c r="H141" s="156" t="s">
        <v>87</v>
      </c>
      <c r="I141" s="156">
        <v>2.702E-3</v>
      </c>
      <c r="J141" s="156" t="s">
        <v>87</v>
      </c>
      <c r="K141" s="156">
        <v>3.908E-3</v>
      </c>
      <c r="L141" s="156">
        <v>4.6319999999999998E-3</v>
      </c>
      <c r="M141" s="156">
        <v>5.6940000000000003E-3</v>
      </c>
      <c r="N141" s="138" cm="1">
        <f t="array" aca="1" ref="N141:AE141" ca="1">IF(OR(B141="",NOT($J$2)),"",GetStripDefaultProbability(A141,B141,Parameter_Date,CDSRollDate,E141:M141,SpreadCurveMaturities,D141,C141,$J$4,$J$6))</f>
        <v>0</v>
      </c>
      <c r="O141" s="163">
        <f ca="1"/>
        <v>0</v>
      </c>
      <c r="P141" s="163">
        <f ca="1"/>
        <v>1.7281772822107522E-3</v>
      </c>
      <c r="Q141" s="163">
        <f ca="1"/>
        <v>0</v>
      </c>
      <c r="R141" s="163">
        <f ca="1"/>
        <v>1.4174091112915899E-2</v>
      </c>
      <c r="S141" s="163">
        <f ca="1"/>
        <v>0</v>
      </c>
      <c r="T141" s="163">
        <f ca="1"/>
        <v>3.3998473427463649E-2</v>
      </c>
      <c r="U141" s="163">
        <f ca="1"/>
        <v>5.6128064975579206E-2</v>
      </c>
      <c r="V141" s="139">
        <f ca="1"/>
        <v>9.8675245140550594E-2</v>
      </c>
      <c r="W141" s="138">
        <f ca="1"/>
        <v>0</v>
      </c>
      <c r="X141" s="163">
        <f ca="1"/>
        <v>0</v>
      </c>
      <c r="Y141" s="163">
        <f ca="1"/>
        <v>1.8945420552196612E-3</v>
      </c>
      <c r="Z141" s="163">
        <f ca="1"/>
        <v>0</v>
      </c>
      <c r="AA141" s="163">
        <f ca="1"/>
        <v>1.4871257916156955E-2</v>
      </c>
      <c r="AB141" s="163">
        <f ca="1"/>
        <v>0</v>
      </c>
      <c r="AC141" s="163">
        <f ca="1"/>
        <v>3.5665760123579249E-2</v>
      </c>
      <c r="AD141" s="163">
        <f ca="1"/>
        <v>5.8860022220785679E-2</v>
      </c>
      <c r="AE141" s="139">
        <f ca="1"/>
        <v>0.10340985705079986</v>
      </c>
      <c r="AI141" s="136"/>
      <c r="AK141" s="136"/>
      <c r="AM141" s="136"/>
      <c r="AN141" s="136"/>
      <c r="AO141" s="136"/>
      <c r="AR141" s="136"/>
      <c r="AT141" s="136"/>
      <c r="AV141" s="136"/>
      <c r="AW141" s="136"/>
      <c r="AX141" s="136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7" t="s">
        <v>87</v>
      </c>
      <c r="F142" s="156" t="s">
        <v>87</v>
      </c>
      <c r="G142" s="156">
        <v>1.206E-3</v>
      </c>
      <c r="H142" s="156" t="s">
        <v>87</v>
      </c>
      <c r="I142" s="156">
        <v>1.9189999999999999E-3</v>
      </c>
      <c r="J142" s="156" t="s">
        <v>87</v>
      </c>
      <c r="K142" s="156">
        <v>2.4130000000000002E-3</v>
      </c>
      <c r="L142" s="156">
        <v>2.6809999999999998E-3</v>
      </c>
      <c r="M142" s="156">
        <v>3.2169999999999998E-3</v>
      </c>
      <c r="N142" s="138" cm="1">
        <f t="array" aca="1" ref="N142:AE142" ca="1">IF(OR(B142="",NOT($J$2)),"",GetStripDefaultProbability(A142,B142,Parameter_Date,CDSRollDate,E142:M142,SpreadCurveMaturities,D142,C142,$J$4,$J$6))</f>
        <v>0</v>
      </c>
      <c r="O142" s="163">
        <f ca="1"/>
        <v>0</v>
      </c>
      <c r="P142" s="163">
        <f ca="1"/>
        <v>2.2096323627830428E-3</v>
      </c>
      <c r="Q142" s="163">
        <f ca="1"/>
        <v>0</v>
      </c>
      <c r="R142" s="163">
        <f ca="1"/>
        <v>1.0008300437686191E-2</v>
      </c>
      <c r="S142" s="163">
        <f ca="1"/>
        <v>0</v>
      </c>
      <c r="T142" s="163">
        <f ca="1"/>
        <v>2.0864338509344438E-2</v>
      </c>
      <c r="U142" s="163">
        <f ca="1"/>
        <v>3.2328649141213139E-2</v>
      </c>
      <c r="V142" s="139">
        <f ca="1"/>
        <v>5.6011545999652412E-2</v>
      </c>
      <c r="W142" s="138">
        <f ca="1"/>
        <v>0</v>
      </c>
      <c r="X142" s="163">
        <f ca="1"/>
        <v>0</v>
      </c>
      <c r="Y142" s="163">
        <f ca="1"/>
        <v>2.3759168999586411E-3</v>
      </c>
      <c r="Z142" s="163">
        <f ca="1"/>
        <v>0</v>
      </c>
      <c r="AA142" s="163">
        <f ca="1"/>
        <v>1.0523097217403854E-2</v>
      </c>
      <c r="AB142" s="163">
        <f ca="1"/>
        <v>0</v>
      </c>
      <c r="AC142" s="163">
        <f ca="1"/>
        <v>2.1890496714306096E-2</v>
      </c>
      <c r="AD142" s="163">
        <f ca="1"/>
        <v>3.3914331327667746E-2</v>
      </c>
      <c r="AE142" s="139">
        <f ca="1"/>
        <v>5.873131311632418E-2</v>
      </c>
      <c r="AI142" s="136"/>
      <c r="AK142" s="136"/>
      <c r="AM142" s="136"/>
      <c r="AN142" s="136"/>
      <c r="AO142" s="136"/>
      <c r="AR142" s="136"/>
      <c r="AT142" s="136"/>
      <c r="AV142" s="136"/>
      <c r="AW142" s="136"/>
      <c r="AX142" s="136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7" t="s">
        <v>87</v>
      </c>
      <c r="F143" s="156" t="s">
        <v>87</v>
      </c>
      <c r="G143" s="156">
        <v>1.178E-3</v>
      </c>
      <c r="H143" s="156" t="s">
        <v>87</v>
      </c>
      <c r="I143" s="156">
        <v>2.3010000000000001E-3</v>
      </c>
      <c r="J143" s="156" t="s">
        <v>87</v>
      </c>
      <c r="K143" s="156">
        <v>3.3779999999999999E-3</v>
      </c>
      <c r="L143" s="156">
        <v>4.3559999999999996E-3</v>
      </c>
      <c r="M143" s="156">
        <v>5.3350000000000003E-3</v>
      </c>
      <c r="N143" s="138" cm="1">
        <f t="array" aca="1" ref="N143:AE143" ca="1">IF(OR(B143="",NOT($J$2)),"",GetStripDefaultProbability(A143,B143,Parameter_Date,CDSRollDate,E143:M143,SpreadCurveMaturities,D143,C143,$J$4,$J$6))</f>
        <v>0</v>
      </c>
      <c r="O143" s="163">
        <f ca="1"/>
        <v>0</v>
      </c>
      <c r="P143" s="163">
        <f ca="1"/>
        <v>2.1583857422923236E-3</v>
      </c>
      <c r="Q143" s="163">
        <f ca="1"/>
        <v>0</v>
      </c>
      <c r="R143" s="163">
        <f ca="1"/>
        <v>1.2027748428299567E-2</v>
      </c>
      <c r="S143" s="163">
        <f ca="1"/>
        <v>0</v>
      </c>
      <c r="T143" s="163">
        <f ca="1"/>
        <v>2.9405663588142894E-2</v>
      </c>
      <c r="U143" s="163">
        <f ca="1"/>
        <v>5.3279010842091745E-2</v>
      </c>
      <c r="V143" s="139">
        <f ca="1"/>
        <v>9.3046022079968149E-2</v>
      </c>
      <c r="W143" s="138">
        <f ca="1"/>
        <v>0</v>
      </c>
      <c r="X143" s="163">
        <f ca="1"/>
        <v>0</v>
      </c>
      <c r="Y143" s="163">
        <f ca="1"/>
        <v>2.3246788198469925E-3</v>
      </c>
      <c r="Z143" s="163">
        <f ca="1"/>
        <v>0</v>
      </c>
      <c r="AA143" s="163">
        <f ca="1"/>
        <v>1.2620731195277735E-2</v>
      </c>
      <c r="AB143" s="163">
        <f ca="1"/>
        <v>0</v>
      </c>
      <c r="AC143" s="163">
        <f ca="1"/>
        <v>3.085148942464111E-2</v>
      </c>
      <c r="AD143" s="163">
        <f ca="1"/>
        <v>5.5878775460468044E-2</v>
      </c>
      <c r="AE143" s="139">
        <f ca="1"/>
        <v>9.7526068839601465E-2</v>
      </c>
      <c r="AI143" s="136"/>
      <c r="AK143" s="136"/>
      <c r="AM143" s="136"/>
      <c r="AN143" s="136"/>
      <c r="AO143" s="136"/>
      <c r="AR143" s="136"/>
      <c r="AT143" s="136"/>
      <c r="AV143" s="136"/>
      <c r="AW143" s="136"/>
      <c r="AX143" s="136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7" t="s">
        <v>87</v>
      </c>
      <c r="F144" s="156" t="s">
        <v>87</v>
      </c>
      <c r="G144" s="156">
        <v>1.1900000000000001E-3</v>
      </c>
      <c r="H144" s="156" t="s">
        <v>87</v>
      </c>
      <c r="I144" s="156">
        <v>2.4269999999999999E-3</v>
      </c>
      <c r="J144" s="156" t="s">
        <v>87</v>
      </c>
      <c r="K144" s="156">
        <v>3.522E-3</v>
      </c>
      <c r="L144" s="156">
        <v>3.6649999999999999E-3</v>
      </c>
      <c r="M144" s="156">
        <v>3.8549999999999999E-3</v>
      </c>
      <c r="N144" s="138" cm="1">
        <f t="array" aca="1" ref="N144:AE144" ca="1">IF(OR(B144="",NOT($J$2)),"",GetStripDefaultProbability(A144,B144,Parameter_Date,CDSRollDate,E144:M144,SpreadCurveMaturities,D144,C144,$J$4,$J$6))</f>
        <v>0</v>
      </c>
      <c r="O144" s="163">
        <f ca="1"/>
        <v>0</v>
      </c>
      <c r="P144" s="163">
        <f ca="1"/>
        <v>2.1803488992062636E-3</v>
      </c>
      <c r="Q144" s="163">
        <f ca="1"/>
        <v>0</v>
      </c>
      <c r="R144" s="163">
        <f ca="1"/>
        <v>1.2690340134871025E-2</v>
      </c>
      <c r="S144" s="163">
        <f ca="1"/>
        <v>0</v>
      </c>
      <c r="T144" s="163">
        <f ca="1"/>
        <v>3.0634087930478171E-2</v>
      </c>
      <c r="U144" s="163">
        <f ca="1"/>
        <v>4.3911700018574473E-2</v>
      </c>
      <c r="V144" s="139">
        <f ca="1"/>
        <v>6.5169761305131191E-2</v>
      </c>
      <c r="W144" s="138">
        <f ca="1"/>
        <v>0</v>
      </c>
      <c r="X144" s="163">
        <f ca="1"/>
        <v>0</v>
      </c>
      <c r="Y144" s="163">
        <f ca="1"/>
        <v>2.3466383165640092E-3</v>
      </c>
      <c r="Z144" s="163">
        <f ca="1"/>
        <v>0</v>
      </c>
      <c r="AA144" s="163">
        <f ca="1"/>
        <v>1.331608267770612E-2</v>
      </c>
      <c r="AB144" s="163">
        <f ca="1"/>
        <v>0</v>
      </c>
      <c r="AC144" s="163">
        <f ca="1"/>
        <v>3.213968170579562E-2</v>
      </c>
      <c r="AD144" s="163">
        <f ca="1"/>
        <v>4.6058385478437436E-2</v>
      </c>
      <c r="AE144" s="139">
        <f ca="1"/>
        <v>6.8317167814968105E-2</v>
      </c>
      <c r="AI144" s="136"/>
      <c r="AK144" s="136"/>
      <c r="AM144" s="136"/>
      <c r="AN144" s="136"/>
      <c r="AO144" s="136"/>
      <c r="AR144" s="136"/>
      <c r="AT144" s="136"/>
      <c r="AV144" s="136"/>
      <c r="AW144" s="136"/>
      <c r="AX144" s="136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7" t="s">
        <v>87</v>
      </c>
      <c r="F145" s="156" t="s">
        <v>87</v>
      </c>
      <c r="G145" s="156">
        <v>1.103E-3</v>
      </c>
      <c r="H145" s="156" t="s">
        <v>87</v>
      </c>
      <c r="I145" s="156">
        <v>1.805E-3</v>
      </c>
      <c r="J145" s="156" t="s">
        <v>87</v>
      </c>
      <c r="K145" s="156">
        <v>2.5569999999999998E-3</v>
      </c>
      <c r="L145" s="156">
        <v>3.46E-3</v>
      </c>
      <c r="M145" s="156">
        <v>4.2620000000000002E-3</v>
      </c>
      <c r="N145" s="138" cm="1">
        <f t="array" aca="1" ref="N145:AE145" ca="1">IF(OR(B145="",NOT($J$2)),"",GetStripDefaultProbability(A145,B145,Parameter_Date,CDSRollDate,E145:M145,SpreadCurveMaturities,D145,C145,$J$4,$J$6))</f>
        <v>0</v>
      </c>
      <c r="O145" s="163">
        <f ca="1"/>
        <v>0</v>
      </c>
      <c r="P145" s="163">
        <f ca="1"/>
        <v>2.0211051498184585E-3</v>
      </c>
      <c r="Q145" s="163">
        <f ca="1"/>
        <v>0</v>
      </c>
      <c r="R145" s="163">
        <f ca="1"/>
        <v>9.4204423907533474E-3</v>
      </c>
      <c r="S145" s="163">
        <f ca="1"/>
        <v>0</v>
      </c>
      <c r="T145" s="163">
        <f ca="1"/>
        <v>2.2252503818895875E-2</v>
      </c>
      <c r="U145" s="163">
        <f ca="1"/>
        <v>4.2612867854111003E-2</v>
      </c>
      <c r="V145" s="139">
        <f ca="1"/>
        <v>7.5060268313349887E-2</v>
      </c>
      <c r="W145" s="138">
        <f ca="1"/>
        <v>0</v>
      </c>
      <c r="X145" s="163">
        <f ca="1"/>
        <v>0</v>
      </c>
      <c r="Y145" s="163">
        <f ca="1"/>
        <v>2.187421105600329E-3</v>
      </c>
      <c r="Z145" s="163">
        <f ca="1"/>
        <v>0</v>
      </c>
      <c r="AA145" s="163">
        <f ca="1"/>
        <v>9.9355840065625811E-3</v>
      </c>
      <c r="AB145" s="163">
        <f ca="1"/>
        <v>0</v>
      </c>
      <c r="AC145" s="163">
        <f ca="1"/>
        <v>2.3343034999650292E-2</v>
      </c>
      <c r="AD145" s="163">
        <f ca="1"/>
        <v>4.4695065604995698E-2</v>
      </c>
      <c r="AE145" s="139">
        <f ca="1"/>
        <v>7.86777187864659E-2</v>
      </c>
      <c r="AI145" s="136"/>
      <c r="AK145" s="136"/>
      <c r="AM145" s="136"/>
      <c r="AN145" s="136"/>
      <c r="AO145" s="136"/>
      <c r="AR145" s="136"/>
      <c r="AT145" s="136"/>
      <c r="AV145" s="136"/>
      <c r="AW145" s="136"/>
      <c r="AX145" s="136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7" t="s">
        <v>87</v>
      </c>
      <c r="F146" s="156" t="s">
        <v>87</v>
      </c>
      <c r="G146" s="156">
        <v>1.1720000000000001E-3</v>
      </c>
      <c r="H146" s="156" t="s">
        <v>87</v>
      </c>
      <c r="I146" s="156">
        <v>3.0980000000000001E-3</v>
      </c>
      <c r="J146" s="156" t="s">
        <v>87</v>
      </c>
      <c r="K146" s="156">
        <v>3.908E-3</v>
      </c>
      <c r="L146" s="156">
        <v>4.8139999999999997E-3</v>
      </c>
      <c r="M146" s="156">
        <v>6.1479999999999998E-3</v>
      </c>
      <c r="N146" s="138" cm="1">
        <f t="array" aca="1" ref="N146:AE146" ca="1">IF(OR(B146="",NOT($J$2)),"",GetStripDefaultProbability(A146,B146,Parameter_Date,CDSRollDate,E146:M146,SpreadCurveMaturities,D146,C146,$J$4,$J$6))</f>
        <v>0</v>
      </c>
      <c r="O146" s="163">
        <f ca="1"/>
        <v>0</v>
      </c>
      <c r="P146" s="163">
        <f ca="1"/>
        <v>2.147403984063434E-3</v>
      </c>
      <c r="Q146" s="163">
        <f ca="1"/>
        <v>0</v>
      </c>
      <c r="R146" s="163">
        <f ca="1"/>
        <v>1.6225758309367899E-2</v>
      </c>
      <c r="S146" s="163">
        <f ca="1"/>
        <v>0</v>
      </c>
      <c r="T146" s="163">
        <f ca="1"/>
        <v>3.373116841012147E-2</v>
      </c>
      <c r="U146" s="163">
        <f ca="1"/>
        <v>5.8254669172952411E-2</v>
      </c>
      <c r="V146" s="139">
        <f ca="1"/>
        <v>0.10684906458989185</v>
      </c>
      <c r="W146" s="138">
        <f ca="1"/>
        <v>0</v>
      </c>
      <c r="X146" s="163">
        <f ca="1"/>
        <v>0</v>
      </c>
      <c r="Y146" s="163">
        <f ca="1"/>
        <v>2.3136988917683565E-3</v>
      </c>
      <c r="Z146" s="163">
        <f ca="1"/>
        <v>0</v>
      </c>
      <c r="AA146" s="163">
        <f ca="1"/>
        <v>1.702534973356995E-2</v>
      </c>
      <c r="AB146" s="163">
        <f ca="1"/>
        <v>0</v>
      </c>
      <c r="AC146" s="163">
        <f ca="1"/>
        <v>3.5386219463815261E-2</v>
      </c>
      <c r="AD146" s="163">
        <f ca="1"/>
        <v>6.1088088793005979E-2</v>
      </c>
      <c r="AE146" s="139">
        <f ca="1"/>
        <v>0.1119663711655372</v>
      </c>
      <c r="AI146" s="136"/>
      <c r="AK146" s="136"/>
      <c r="AM146" s="136"/>
      <c r="AN146" s="136"/>
      <c r="AO146" s="136"/>
      <c r="AR146" s="136"/>
      <c r="AT146" s="136"/>
      <c r="AV146" s="136"/>
      <c r="AW146" s="136"/>
      <c r="AX146" s="136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7" t="s">
        <v>87</v>
      </c>
      <c r="F147" s="156" t="s">
        <v>87</v>
      </c>
      <c r="G147" s="156">
        <v>1.0380000000000001E-3</v>
      </c>
      <c r="H147" s="156" t="s">
        <v>87</v>
      </c>
      <c r="I147" s="156">
        <v>2.8470000000000001E-3</v>
      </c>
      <c r="J147" s="156" t="s">
        <v>87</v>
      </c>
      <c r="K147" s="156">
        <v>4.3429999999999996E-3</v>
      </c>
      <c r="L147" s="156">
        <v>5.4520000000000002E-3</v>
      </c>
      <c r="M147" s="156">
        <v>7.1890000000000001E-3</v>
      </c>
      <c r="N147" s="138" cm="1">
        <f t="array" aca="1" ref="N147:AE147" ca="1">IF(OR(B147="",NOT($J$2)),"",GetStripDefaultProbability(A147,B147,Parameter_Date,CDSRollDate,E147:M147,SpreadCurveMaturities,D147,C147,$J$4,$J$6))</f>
        <v>0</v>
      </c>
      <c r="O147" s="163">
        <f ca="1"/>
        <v>0</v>
      </c>
      <c r="P147" s="163">
        <f ca="1"/>
        <v>1.9021134862052813E-3</v>
      </c>
      <c r="Q147" s="163">
        <f ca="1"/>
        <v>0</v>
      </c>
      <c r="R147" s="163">
        <f ca="1"/>
        <v>1.4924160578970169E-2</v>
      </c>
      <c r="S147" s="163">
        <f ca="1"/>
        <v>0</v>
      </c>
      <c r="T147" s="163">
        <f ca="1"/>
        <v>3.7825069439595072E-2</v>
      </c>
      <c r="U147" s="163">
        <f ca="1"/>
        <v>6.6318850904121263E-2</v>
      </c>
      <c r="V147" s="139">
        <f ca="1"/>
        <v>0.1252886640655303</v>
      </c>
      <c r="W147" s="138">
        <f ca="1"/>
        <v>0</v>
      </c>
      <c r="X147" s="163">
        <f ca="1"/>
        <v>0</v>
      </c>
      <c r="Y147" s="163">
        <f ca="1"/>
        <v>2.0684492722677916E-3</v>
      </c>
      <c r="Z147" s="163">
        <f ca="1"/>
        <v>0</v>
      </c>
      <c r="AA147" s="163">
        <f ca="1"/>
        <v>1.5658873005418794E-2</v>
      </c>
      <c r="AB147" s="163">
        <f ca="1"/>
        <v>0</v>
      </c>
      <c r="AC147" s="163">
        <f ca="1"/>
        <v>3.9678260105843521E-2</v>
      </c>
      <c r="AD147" s="163">
        <f ca="1"/>
        <v>6.9536613071950248E-2</v>
      </c>
      <c r="AE147" s="139">
        <f ca="1"/>
        <v>0.13125651708726682</v>
      </c>
      <c r="AI147" s="136"/>
      <c r="AK147" s="136"/>
      <c r="AM147" s="136"/>
      <c r="AN147" s="136"/>
      <c r="AO147" s="136"/>
      <c r="AR147" s="136"/>
      <c r="AT147" s="136"/>
      <c r="AV147" s="136"/>
      <c r="AW147" s="136"/>
      <c r="AX147" s="136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7" t="s">
        <v>87</v>
      </c>
      <c r="F148" s="156" t="s">
        <v>87</v>
      </c>
      <c r="G148" s="156">
        <v>9.5500000000000001E-4</v>
      </c>
      <c r="H148" s="156" t="s">
        <v>87</v>
      </c>
      <c r="I148" s="156">
        <v>1.8079999999999999E-3</v>
      </c>
      <c r="J148" s="156" t="s">
        <v>87</v>
      </c>
      <c r="K148" s="156">
        <v>3.4740000000000001E-3</v>
      </c>
      <c r="L148" s="156">
        <v>4.7109999999999999E-3</v>
      </c>
      <c r="M148" s="156">
        <v>6.3769999999999999E-3</v>
      </c>
      <c r="N148" s="138" cm="1">
        <f t="array" aca="1" ref="N148:AE148" ca="1">IF(OR(B148="",NOT($J$2)),"",GetStripDefaultProbability(A148,B148,Parameter_Date,CDSRollDate,E148:M148,SpreadCurveMaturities,D148,C148,$J$4,$J$6))</f>
        <v>0</v>
      </c>
      <c r="O148" s="163">
        <f ca="1"/>
        <v>0</v>
      </c>
      <c r="P148" s="163">
        <f ca="1"/>
        <v>1.7501498299049567E-3</v>
      </c>
      <c r="Q148" s="163">
        <f ca="1"/>
        <v>0</v>
      </c>
      <c r="R148" s="163">
        <f ca="1"/>
        <v>9.4565988537972379E-3</v>
      </c>
      <c r="S148" s="163">
        <f ca="1"/>
        <v>0</v>
      </c>
      <c r="T148" s="163">
        <f ca="1"/>
        <v>3.0595260952323011E-2</v>
      </c>
      <c r="U148" s="163">
        <f ca="1"/>
        <v>5.8184954832764313E-2</v>
      </c>
      <c r="V148" s="139">
        <f ca="1"/>
        <v>0.11283438086521103</v>
      </c>
      <c r="W148" s="138">
        <f ca="1"/>
        <v>0</v>
      </c>
      <c r="X148" s="163">
        <f ca="1"/>
        <v>0</v>
      </c>
      <c r="Y148" s="163">
        <f ca="1"/>
        <v>1.9165109411078962E-3</v>
      </c>
      <c r="Z148" s="163">
        <f ca="1"/>
        <v>0</v>
      </c>
      <c r="AA148" s="163">
        <f ca="1"/>
        <v>9.9717616383697694E-3</v>
      </c>
      <c r="AB148" s="163">
        <f ca="1"/>
        <v>0</v>
      </c>
      <c r="AC148" s="163">
        <f ca="1"/>
        <v>3.2092672388860155E-2</v>
      </c>
      <c r="AD148" s="163">
        <f ca="1"/>
        <v>6.1015347375121709E-2</v>
      </c>
      <c r="AE148" s="139">
        <f ca="1"/>
        <v>0.11824086856718707</v>
      </c>
      <c r="AI148" s="136"/>
      <c r="AK148" s="136"/>
      <c r="AM148" s="136"/>
      <c r="AN148" s="136"/>
      <c r="AO148" s="136"/>
      <c r="AR148" s="136"/>
      <c r="AT148" s="136"/>
      <c r="AV148" s="136"/>
      <c r="AW148" s="136"/>
      <c r="AX148" s="136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7" t="s">
        <v>87</v>
      </c>
      <c r="F149" s="156" t="s">
        <v>87</v>
      </c>
      <c r="G149" s="156">
        <v>6.3100000000000005E-4</v>
      </c>
      <c r="H149" s="156" t="s">
        <v>87</v>
      </c>
      <c r="I149" s="156">
        <v>1.8730000000000001E-3</v>
      </c>
      <c r="J149" s="156" t="s">
        <v>87</v>
      </c>
      <c r="K149" s="156">
        <v>3.4259999999999998E-3</v>
      </c>
      <c r="L149" s="156">
        <v>4.339E-3</v>
      </c>
      <c r="M149" s="156">
        <v>5.8009999999999997E-3</v>
      </c>
      <c r="N149" s="138" cm="1">
        <f t="array" aca="1" ref="N149:AE149" ca="1">IF(OR(B149="",NOT($J$2)),"",GetStripDefaultProbability(A149,B149,Parameter_Date,CDSRollDate,E149:M149,SpreadCurveMaturities,D149,C149,$J$4,$J$6))</f>
        <v>0</v>
      </c>
      <c r="O149" s="163">
        <f ca="1"/>
        <v>0</v>
      </c>
      <c r="P149" s="163">
        <f ca="1"/>
        <v>1.1567226251030238E-3</v>
      </c>
      <c r="Q149" s="163">
        <f ca="1"/>
        <v>0</v>
      </c>
      <c r="R149" s="163">
        <f ca="1"/>
        <v>9.8445163732537866E-3</v>
      </c>
      <c r="S149" s="163">
        <f ca="1"/>
        <v>0</v>
      </c>
      <c r="T149" s="163">
        <f ca="1"/>
        <v>3.0168766132727565E-2</v>
      </c>
      <c r="U149" s="163">
        <f ca="1"/>
        <v>5.3334349363229339E-2</v>
      </c>
      <c r="V149" s="139">
        <f ca="1"/>
        <v>0.10247943585984709</v>
      </c>
      <c r="W149" s="138">
        <f ca="1"/>
        <v>0</v>
      </c>
      <c r="X149" s="163">
        <f ca="1"/>
        <v>0</v>
      </c>
      <c r="Y149" s="163">
        <f ca="1"/>
        <v>1.3231826326030038E-3</v>
      </c>
      <c r="Z149" s="163">
        <f ca="1"/>
        <v>0</v>
      </c>
      <c r="AA149" s="163">
        <f ca="1"/>
        <v>1.0359549083528874E-2</v>
      </c>
      <c r="AB149" s="163">
        <f ca="1"/>
        <v>0</v>
      </c>
      <c r="AC149" s="163">
        <f ca="1"/>
        <v>3.1645200146568908E-2</v>
      </c>
      <c r="AD149" s="163">
        <f ca="1"/>
        <v>5.5931436811695212E-2</v>
      </c>
      <c r="AE149" s="139">
        <f ca="1"/>
        <v>0.10740240530727541</v>
      </c>
      <c r="AI149" s="136"/>
      <c r="AK149" s="136"/>
      <c r="AM149" s="136"/>
      <c r="AN149" s="136"/>
      <c r="AO149" s="136"/>
      <c r="AR149" s="136"/>
      <c r="AT149" s="136"/>
      <c r="AV149" s="136"/>
      <c r="AW149" s="136"/>
      <c r="AX149" s="136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7" t="s">
        <v>87</v>
      </c>
      <c r="F150" s="156" t="s">
        <v>87</v>
      </c>
      <c r="G150" s="156">
        <v>3.28E-4</v>
      </c>
      <c r="H150" s="156" t="s">
        <v>87</v>
      </c>
      <c r="I150" s="156">
        <v>9.8400000000000007E-4</v>
      </c>
      <c r="J150" s="156" t="s">
        <v>87</v>
      </c>
      <c r="K150" s="156">
        <v>1.6410000000000001E-3</v>
      </c>
      <c r="L150" s="156">
        <v>2.2030000000000001E-3</v>
      </c>
      <c r="M150" s="156">
        <v>2.9529999999999999E-3</v>
      </c>
      <c r="N150" s="138" cm="1">
        <f t="array" aca="1" ref="N150:AE150" ca="1">IF(OR(B150="",NOT($J$2)),"",GetStripDefaultProbability(A150,B150,Parameter_Date,CDSRollDate,E150:M150,SpreadCurveMaturities,D150,C150,$J$4,$J$6))</f>
        <v>0</v>
      </c>
      <c r="O150" s="163">
        <f ca="1"/>
        <v>0</v>
      </c>
      <c r="P150" s="163">
        <f ca="1"/>
        <v>6.0144160092268084E-4</v>
      </c>
      <c r="Q150" s="163">
        <f ca="1"/>
        <v>0</v>
      </c>
      <c r="R150" s="163">
        <f ca="1"/>
        <v>5.1814087962951394E-3</v>
      </c>
      <c r="S150" s="163">
        <f ca="1"/>
        <v>0</v>
      </c>
      <c r="T150" s="163">
        <f ca="1"/>
        <v>1.4472889288814406E-2</v>
      </c>
      <c r="U150" s="163">
        <f ca="1"/>
        <v>2.7410177357859555E-2</v>
      </c>
      <c r="V150" s="139">
        <f ca="1"/>
        <v>5.3193339249285376E-2</v>
      </c>
      <c r="W150" s="138">
        <f ca="1"/>
        <v>0</v>
      </c>
      <c r="X150" s="163">
        <f ca="1"/>
        <v>0</v>
      </c>
      <c r="Y150" s="163">
        <f ca="1"/>
        <v>7.6799414756312245E-4</v>
      </c>
      <c r="Z150" s="163">
        <f ca="1"/>
        <v>0</v>
      </c>
      <c r="AA150" s="163">
        <f ca="1"/>
        <v>5.6989650640246747E-3</v>
      </c>
      <c r="AB150" s="163">
        <f ca="1"/>
        <v>0</v>
      </c>
      <c r="AC150" s="163">
        <f ca="1"/>
        <v>1.5317538229629113E-2</v>
      </c>
      <c r="AD150" s="163">
        <f ca="1"/>
        <v>2.8708147639254666E-2</v>
      </c>
      <c r="AE150" s="139">
        <f ca="1"/>
        <v>5.5734481484083775E-2</v>
      </c>
      <c r="AI150" s="136"/>
      <c r="AK150" s="136"/>
      <c r="AM150" s="136"/>
      <c r="AN150" s="136"/>
      <c r="AO150" s="136"/>
      <c r="AR150" s="136"/>
      <c r="AT150" s="136"/>
      <c r="AV150" s="136"/>
      <c r="AW150" s="136"/>
      <c r="AX150" s="136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7" t="s">
        <v>87</v>
      </c>
      <c r="F151" s="156" t="s">
        <v>87</v>
      </c>
      <c r="G151" s="156">
        <v>3.0200000000000001E-3</v>
      </c>
      <c r="H151" s="156" t="s">
        <v>87</v>
      </c>
      <c r="I151" s="156">
        <v>9.3609999999999995E-3</v>
      </c>
      <c r="J151" s="156" t="s">
        <v>87</v>
      </c>
      <c r="K151" s="156">
        <v>1.5102000000000001E-2</v>
      </c>
      <c r="L151" s="156">
        <v>1.737E-2</v>
      </c>
      <c r="M151" s="156">
        <v>1.9540999999999999E-2</v>
      </c>
      <c r="N151" s="138" cm="1">
        <f t="array" aca="1" ref="N151:AE151" ca="1">IF(OR(B151="",NOT($J$2)),"",GetStripDefaultProbability(A151,B151,Parameter_Date,CDSRollDate,E151:M151,SpreadCurveMaturities,D151,C151,$J$4,$J$6))</f>
        <v>0</v>
      </c>
      <c r="O151" s="163">
        <f ca="1"/>
        <v>0</v>
      </c>
      <c r="P151" s="163">
        <f ca="1"/>
        <v>5.524128908216186E-3</v>
      </c>
      <c r="Q151" s="163">
        <f ca="1"/>
        <v>0</v>
      </c>
      <c r="R151" s="163">
        <f ca="1"/>
        <v>4.8492975503105051E-2</v>
      </c>
      <c r="S151" s="163">
        <f ca="1"/>
        <v>0</v>
      </c>
      <c r="T151" s="163">
        <f ca="1"/>
        <v>0.12765920066560521</v>
      </c>
      <c r="U151" s="163">
        <f ca="1"/>
        <v>0.19850530442840308</v>
      </c>
      <c r="V151" s="139">
        <f ca="1"/>
        <v>0.30324674630833215</v>
      </c>
      <c r="W151" s="138">
        <f ca="1"/>
        <v>0</v>
      </c>
      <c r="X151" s="163">
        <f ca="1"/>
        <v>0</v>
      </c>
      <c r="Y151" s="163">
        <f ca="1"/>
        <v>5.7993900282928834E-3</v>
      </c>
      <c r="Z151" s="163">
        <f ca="1"/>
        <v>0</v>
      </c>
      <c r="AA151" s="163">
        <f ca="1"/>
        <v>5.0870545732539685E-2</v>
      </c>
      <c r="AB151" s="163">
        <f ca="1"/>
        <v>0</v>
      </c>
      <c r="AC151" s="163">
        <f ca="1"/>
        <v>0.13373443332454715</v>
      </c>
      <c r="AD151" s="163">
        <f ca="1"/>
        <v>0.20760380419202662</v>
      </c>
      <c r="AE151" s="139">
        <f ca="1"/>
        <v>0.31630117219697529</v>
      </c>
      <c r="AI151" s="136"/>
      <c r="AK151" s="136"/>
      <c r="AM151" s="136"/>
      <c r="AN151" s="136"/>
      <c r="AO151" s="136"/>
      <c r="AR151" s="136"/>
      <c r="AT151" s="136"/>
      <c r="AV151" s="136"/>
      <c r="AW151" s="136"/>
      <c r="AX151" s="136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7" t="s">
        <v>87</v>
      </c>
      <c r="F152" s="156" t="s">
        <v>87</v>
      </c>
      <c r="G152" s="156">
        <v>5.31E-4</v>
      </c>
      <c r="H152" s="156" t="s">
        <v>87</v>
      </c>
      <c r="I152" s="156">
        <v>6.7599999999999995E-4</v>
      </c>
      <c r="J152" s="156" t="s">
        <v>87</v>
      </c>
      <c r="K152" s="156">
        <v>1.158E-3</v>
      </c>
      <c r="L152" s="156">
        <v>1.4959999999999999E-3</v>
      </c>
      <c r="M152" s="156">
        <v>1.9780000000000002E-3</v>
      </c>
      <c r="N152" s="138" cm="1">
        <f t="array" aca="1" ref="N152:AE152" ca="1">IF(OR(B152="",NOT($J$2)),"",GetStripDefaultProbability(A152,B152,Parameter_Date,CDSRollDate,E152:M152,SpreadCurveMaturities,D152,C152,$J$4,$J$6))</f>
        <v>0</v>
      </c>
      <c r="O152" s="163">
        <f ca="1"/>
        <v>0</v>
      </c>
      <c r="P152" s="163">
        <f ca="1"/>
        <v>9.7349541371094528E-4</v>
      </c>
      <c r="Q152" s="163">
        <f ca="1"/>
        <v>0</v>
      </c>
      <c r="R152" s="163">
        <f ca="1"/>
        <v>3.5213605761110767E-3</v>
      </c>
      <c r="S152" s="163">
        <f ca="1"/>
        <v>0</v>
      </c>
      <c r="T152" s="163">
        <f ca="1"/>
        <v>1.0197705672951973E-2</v>
      </c>
      <c r="U152" s="163">
        <f ca="1"/>
        <v>1.8577640967548326E-2</v>
      </c>
      <c r="V152" s="139">
        <f ca="1"/>
        <v>3.568521233614308E-2</v>
      </c>
      <c r="W152" s="138">
        <f ca="1"/>
        <v>0</v>
      </c>
      <c r="X152" s="163">
        <f ca="1"/>
        <v>0</v>
      </c>
      <c r="Y152" s="163">
        <f ca="1"/>
        <v>1.1399859565527359E-3</v>
      </c>
      <c r="Z152" s="163">
        <f ca="1"/>
        <v>0</v>
      </c>
      <c r="AA152" s="163">
        <f ca="1"/>
        <v>4.0396174783560168E-3</v>
      </c>
      <c r="AB152" s="163">
        <f ca="1"/>
        <v>0</v>
      </c>
      <c r="AC152" s="163">
        <f ca="1"/>
        <v>1.1045653832377877E-2</v>
      </c>
      <c r="AD152" s="163">
        <f ca="1"/>
        <v>1.9749228296323862E-2</v>
      </c>
      <c r="AE152" s="139">
        <f ca="1"/>
        <v>3.732459304935154E-2</v>
      </c>
      <c r="AI152" s="136"/>
      <c r="AK152" s="136"/>
      <c r="AM152" s="136"/>
      <c r="AN152" s="136"/>
      <c r="AO152" s="136"/>
      <c r="AR152" s="136"/>
      <c r="AT152" s="136"/>
      <c r="AV152" s="136"/>
      <c r="AW152" s="136"/>
      <c r="AX152" s="136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7" t="s">
        <v>87</v>
      </c>
      <c r="F153" s="156" t="s">
        <v>87</v>
      </c>
      <c r="G153" s="156">
        <v>4.7899999999999999E-4</v>
      </c>
      <c r="H153" s="156" t="s">
        <v>87</v>
      </c>
      <c r="I153" s="156">
        <v>1.245E-3</v>
      </c>
      <c r="J153" s="156" t="s">
        <v>87</v>
      </c>
      <c r="K153" s="156">
        <v>2.075E-3</v>
      </c>
      <c r="L153" s="156">
        <v>2.581E-3</v>
      </c>
      <c r="M153" s="156">
        <v>3.0869999999999999E-3</v>
      </c>
      <c r="N153" s="138" cm="1">
        <f t="array" aca="1" ref="N153:AE153" ca="1">IF(OR(B153="",NOT($J$2)),"",GetStripDefaultProbability(A153,B153,Parameter_Date,CDSRollDate,E153:M153,SpreadCurveMaturities,D153,C153,$J$4,$J$6))</f>
        <v>0</v>
      </c>
      <c r="O153" s="163">
        <f ca="1"/>
        <v>0</v>
      </c>
      <c r="P153" s="163">
        <f ca="1"/>
        <v>8.7820408470851152E-4</v>
      </c>
      <c r="Q153" s="163">
        <f ca="1"/>
        <v>0</v>
      </c>
      <c r="R153" s="163">
        <f ca="1"/>
        <v>6.5437735034821198E-3</v>
      </c>
      <c r="S153" s="163">
        <f ca="1"/>
        <v>0</v>
      </c>
      <c r="T153" s="163">
        <f ca="1"/>
        <v>1.8267558351966473E-2</v>
      </c>
      <c r="U153" s="163">
        <f ca="1"/>
        <v>3.1835900816896467E-2</v>
      </c>
      <c r="V153" s="139">
        <f ca="1"/>
        <v>5.4466022888387755E-2</v>
      </c>
      <c r="W153" s="138">
        <f ca="1"/>
        <v>0</v>
      </c>
      <c r="X153" s="163">
        <f ca="1"/>
        <v>0</v>
      </c>
      <c r="Y153" s="163">
        <f ca="1"/>
        <v>1.0447105080978458E-3</v>
      </c>
      <c r="Z153" s="163">
        <f ca="1"/>
        <v>0</v>
      </c>
      <c r="AA153" s="163">
        <f ca="1"/>
        <v>7.0606017188927783E-3</v>
      </c>
      <c r="AB153" s="163">
        <f ca="1"/>
        <v>0</v>
      </c>
      <c r="AC153" s="163">
        <f ca="1"/>
        <v>1.9143174985082445E-2</v>
      </c>
      <c r="AD153" s="163">
        <f ca="1"/>
        <v>3.337625731938787E-2</v>
      </c>
      <c r="AE153" s="139">
        <f ca="1"/>
        <v>5.7092550979801704E-2</v>
      </c>
      <c r="AI153" s="136"/>
      <c r="AK153" s="136"/>
      <c r="AM153" s="136"/>
      <c r="AN153" s="136"/>
      <c r="AO153" s="136"/>
      <c r="AR153" s="136"/>
      <c r="AT153" s="136"/>
      <c r="AV153" s="136"/>
      <c r="AW153" s="136"/>
      <c r="AX153" s="136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7" t="s">
        <v>87</v>
      </c>
      <c r="F154" s="156" t="s">
        <v>87</v>
      </c>
      <c r="G154" s="156">
        <v>9.1699999999999995E-4</v>
      </c>
      <c r="H154" s="156" t="s">
        <v>87</v>
      </c>
      <c r="I154" s="156">
        <v>1.689E-3</v>
      </c>
      <c r="J154" s="156" t="s">
        <v>87</v>
      </c>
      <c r="K154" s="156">
        <v>2.4610000000000001E-3</v>
      </c>
      <c r="L154" s="156">
        <v>3.4450000000000001E-3</v>
      </c>
      <c r="M154" s="156">
        <v>4.6750000000000003E-3</v>
      </c>
      <c r="N154" s="138" cm="1">
        <f t="array" aca="1" ref="N154:AE154" ca="1">IF(OR(B154="",NOT($J$2)),"",GetStripDefaultProbability(A154,B154,Parameter_Date,CDSRollDate,E154:M154,SpreadCurveMaturities,D154,C154,$J$4,$J$6))</f>
        <v>0</v>
      </c>
      <c r="O154" s="163">
        <f ca="1"/>
        <v>0</v>
      </c>
      <c r="P154" s="163">
        <f ca="1"/>
        <v>1.6805684499081597E-3</v>
      </c>
      <c r="Q154" s="163">
        <f ca="1"/>
        <v>0</v>
      </c>
      <c r="R154" s="163">
        <f ca="1"/>
        <v>8.8330272922849673E-3</v>
      </c>
      <c r="S154" s="163">
        <f ca="1"/>
        <v>0</v>
      </c>
      <c r="T154" s="163">
        <f ca="1"/>
        <v>2.147141500207983E-2</v>
      </c>
      <c r="U154" s="163">
        <f ca="1"/>
        <v>4.2611286314394703E-2</v>
      </c>
      <c r="V154" s="139">
        <f ca="1"/>
        <v>8.3428994754445984E-2</v>
      </c>
      <c r="W154" s="138">
        <f ca="1"/>
        <v>0</v>
      </c>
      <c r="X154" s="163">
        <f ca="1"/>
        <v>0</v>
      </c>
      <c r="Y154" s="163">
        <f ca="1"/>
        <v>1.8469411570747329E-3</v>
      </c>
      <c r="Z154" s="163">
        <f ca="1"/>
        <v>0</v>
      </c>
      <c r="AA154" s="163">
        <f ca="1"/>
        <v>9.3485346123894919E-3</v>
      </c>
      <c r="AB154" s="163">
        <f ca="1"/>
        <v>0</v>
      </c>
      <c r="AC154" s="163">
        <f ca="1"/>
        <v>2.251928275224413E-2</v>
      </c>
      <c r="AD154" s="163">
        <f ca="1"/>
        <v>4.4689447104293789E-2</v>
      </c>
      <c r="AE154" s="139">
        <f ca="1"/>
        <v>8.7462573601948312E-2</v>
      </c>
      <c r="AI154" s="136"/>
      <c r="AK154" s="136"/>
      <c r="AM154" s="136"/>
      <c r="AN154" s="136"/>
      <c r="AO154" s="136"/>
      <c r="AR154" s="136"/>
      <c r="AT154" s="136"/>
      <c r="AV154" s="136"/>
      <c r="AW154" s="136"/>
      <c r="AX154" s="136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7" t="s">
        <v>87</v>
      </c>
      <c r="F155" s="156" t="s">
        <v>87</v>
      </c>
      <c r="G155" s="156">
        <v>4.0900000000000002E-4</v>
      </c>
      <c r="H155" s="156" t="s">
        <v>87</v>
      </c>
      <c r="I155" s="156">
        <v>1.271E-3</v>
      </c>
      <c r="J155" s="156" t="s">
        <v>87</v>
      </c>
      <c r="K155" s="156">
        <v>1.882E-3</v>
      </c>
      <c r="L155" s="156">
        <v>2.6949999999999999E-3</v>
      </c>
      <c r="M155" s="156">
        <v>3.3059999999999999E-3</v>
      </c>
      <c r="N155" s="138" cm="1">
        <f t="array" aca="1" ref="N155:AE155" ca="1">IF(OR(B155="",NOT($J$2)),"",GetStripDefaultProbability(A155,B155,Parameter_Date,CDSRollDate,E155:M155,SpreadCurveMaturities,D155,C155,$J$4,$J$6))</f>
        <v>0</v>
      </c>
      <c r="O155" s="163">
        <f ca="1"/>
        <v>0</v>
      </c>
      <c r="P155" s="163">
        <f ca="1"/>
        <v>7.4991305328142577E-4</v>
      </c>
      <c r="Q155" s="163">
        <f ca="1"/>
        <v>0</v>
      </c>
      <c r="R155" s="163">
        <f ca="1"/>
        <v>6.6908708881325829E-3</v>
      </c>
      <c r="S155" s="163">
        <f ca="1"/>
        <v>0</v>
      </c>
      <c r="T155" s="163">
        <f ca="1"/>
        <v>1.6502404578213059E-2</v>
      </c>
      <c r="U155" s="163">
        <f ca="1"/>
        <v>3.3557140099600868E-2</v>
      </c>
      <c r="V155" s="139">
        <f ca="1"/>
        <v>5.8801589335806703E-2</v>
      </c>
      <c r="W155" s="138">
        <f ca="1"/>
        <v>0</v>
      </c>
      <c r="X155" s="163">
        <f ca="1"/>
        <v>0</v>
      </c>
      <c r="Y155" s="163">
        <f ca="1"/>
        <v>9.1644085674036369E-4</v>
      </c>
      <c r="Z155" s="163">
        <f ca="1"/>
        <v>0</v>
      </c>
      <c r="AA155" s="163">
        <f ca="1"/>
        <v>7.2076475536392293E-3</v>
      </c>
      <c r="AB155" s="163">
        <f ca="1"/>
        <v>0</v>
      </c>
      <c r="AC155" s="163">
        <f ca="1"/>
        <v>1.734523198550264E-2</v>
      </c>
      <c r="AD155" s="163">
        <f ca="1"/>
        <v>3.5175729046146298E-2</v>
      </c>
      <c r="AE155" s="139">
        <f ca="1"/>
        <v>6.1630206999176873E-2</v>
      </c>
      <c r="AI155" s="136"/>
      <c r="AK155" s="136"/>
      <c r="AM155" s="136"/>
      <c r="AN155" s="136"/>
      <c r="AO155" s="136"/>
      <c r="AR155" s="136"/>
      <c r="AT155" s="136"/>
      <c r="AV155" s="136"/>
      <c r="AW155" s="136"/>
      <c r="AX155" s="136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7" t="s">
        <v>87</v>
      </c>
      <c r="F156" s="156" t="s">
        <v>87</v>
      </c>
      <c r="G156" s="156">
        <v>4.516E-3</v>
      </c>
      <c r="H156" s="156" t="s">
        <v>87</v>
      </c>
      <c r="I156" s="156">
        <v>5.5579999999999996E-3</v>
      </c>
      <c r="J156" s="156" t="s">
        <v>87</v>
      </c>
      <c r="K156" s="156">
        <v>6.9480000000000002E-3</v>
      </c>
      <c r="L156" s="156">
        <v>6.9480000000000002E-3</v>
      </c>
      <c r="M156" s="156">
        <v>6.9480000000000002E-3</v>
      </c>
      <c r="N156" s="138" cm="1">
        <f t="array" aca="1" ref="N156:AE156" ca="1">IF(OR(B156="",NOT($J$2)),"",GetStripDefaultProbability(A156,B156,Parameter_Date,CDSRollDate,E156:M156,SpreadCurveMaturities,D156,C156,$J$4,$J$6))</f>
        <v>0</v>
      </c>
      <c r="O156" s="163">
        <f ca="1"/>
        <v>0</v>
      </c>
      <c r="P156" s="163">
        <f ca="1"/>
        <v>8.2493801980226822E-3</v>
      </c>
      <c r="Q156" s="163">
        <f ca="1"/>
        <v>0</v>
      </c>
      <c r="R156" s="163">
        <f ca="1"/>
        <v>2.8596027734377194E-2</v>
      </c>
      <c r="S156" s="163">
        <f ca="1"/>
        <v>0</v>
      </c>
      <c r="T156" s="163">
        <f ca="1"/>
        <v>5.8934500898560782E-2</v>
      </c>
      <c r="U156" s="163">
        <f ca="1"/>
        <v>8.061303084777649E-2</v>
      </c>
      <c r="V156" s="139">
        <f ca="1"/>
        <v>0.11226014096929071</v>
      </c>
      <c r="W156" s="138">
        <f ca="1"/>
        <v>0</v>
      </c>
      <c r="X156" s="163">
        <f ca="1"/>
        <v>0</v>
      </c>
      <c r="Y156" s="163">
        <f ca="1"/>
        <v>8.6597215361626789E-3</v>
      </c>
      <c r="Z156" s="163">
        <f ca="1"/>
        <v>0</v>
      </c>
      <c r="AA156" s="163">
        <f ca="1"/>
        <v>3.0001811609595364E-2</v>
      </c>
      <c r="AB156" s="163">
        <f ca="1"/>
        <v>0</v>
      </c>
      <c r="AC156" s="163">
        <f ca="1"/>
        <v>6.1793231077551081E-2</v>
      </c>
      <c r="AD156" s="163">
        <f ca="1"/>
        <v>8.4479112156426783E-2</v>
      </c>
      <c r="AE156" s="139">
        <f ca="1"/>
        <v>0.11752792169734572</v>
      </c>
      <c r="AI156" s="136"/>
      <c r="AK156" s="136"/>
      <c r="AM156" s="136"/>
      <c r="AN156" s="136"/>
      <c r="AO156" s="136"/>
      <c r="AR156" s="136"/>
      <c r="AT156" s="136"/>
      <c r="AV156" s="136"/>
      <c r="AW156" s="136"/>
      <c r="AX156" s="136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7" t="s">
        <v>87</v>
      </c>
      <c r="F157" s="156" t="s">
        <v>87</v>
      </c>
      <c r="G157" s="156">
        <v>6.8499999999999995E-4</v>
      </c>
      <c r="H157" s="156" t="s">
        <v>87</v>
      </c>
      <c r="I157" s="156">
        <v>1.8890000000000001E-3</v>
      </c>
      <c r="J157" s="156" t="s">
        <v>87</v>
      </c>
      <c r="K157" s="156">
        <v>2.6540000000000001E-3</v>
      </c>
      <c r="L157" s="156">
        <v>3.5980000000000001E-3</v>
      </c>
      <c r="M157" s="156">
        <v>4.5880000000000001E-3</v>
      </c>
      <c r="N157" s="138" cm="1">
        <f t="array" aca="1" ref="N157:AE157" ca="1">IF(OR(B157="",NOT($J$2)),"",GetStripDefaultProbability(A157,B157,Parameter_Date,CDSRollDate,E157:M157,SpreadCurveMaturities,D157,C157,$J$4,$J$6))</f>
        <v>0</v>
      </c>
      <c r="O157" s="163">
        <f ca="1"/>
        <v>0</v>
      </c>
      <c r="P157" s="163">
        <f ca="1"/>
        <v>1.2556514558499376E-3</v>
      </c>
      <c r="Q157" s="163">
        <f ca="1"/>
        <v>0</v>
      </c>
      <c r="R157" s="163">
        <f ca="1"/>
        <v>9.9216082935525973E-3</v>
      </c>
      <c r="S157" s="163">
        <f ca="1"/>
        <v>0</v>
      </c>
      <c r="T157" s="163">
        <f ca="1"/>
        <v>2.3144757819313355E-2</v>
      </c>
      <c r="U157" s="163">
        <f ca="1"/>
        <v>4.4350735247243089E-2</v>
      </c>
      <c r="V157" s="139">
        <f ca="1"/>
        <v>8.1116122212519071E-2</v>
      </c>
      <c r="W157" s="138">
        <f ca="1"/>
        <v>0</v>
      </c>
      <c r="X157" s="163">
        <f ca="1"/>
        <v>0</v>
      </c>
      <c r="Y157" s="163">
        <f ca="1"/>
        <v>1.4220949765846314E-3</v>
      </c>
      <c r="Z157" s="163">
        <f ca="1"/>
        <v>0</v>
      </c>
      <c r="AA157" s="163">
        <f ca="1"/>
        <v>1.0436585024190648E-2</v>
      </c>
      <c r="AB157" s="163">
        <f ca="1"/>
        <v>0</v>
      </c>
      <c r="AC157" s="163">
        <f ca="1"/>
        <v>2.427869879655975E-2</v>
      </c>
      <c r="AD157" s="163">
        <f ca="1"/>
        <v>4.6516482912875579E-2</v>
      </c>
      <c r="AE157" s="139">
        <f ca="1"/>
        <v>8.5015970778853478E-2</v>
      </c>
      <c r="AI157" s="136"/>
      <c r="AK157" s="136"/>
      <c r="AM157" s="136"/>
      <c r="AN157" s="136"/>
      <c r="AO157" s="136"/>
      <c r="AR157" s="136"/>
      <c r="AT157" s="136"/>
      <c r="AV157" s="136"/>
      <c r="AW157" s="136"/>
      <c r="AX157" s="136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7" t="s">
        <v>87</v>
      </c>
      <c r="F158" s="156" t="s">
        <v>87</v>
      </c>
      <c r="G158" s="156">
        <v>9.0200000000000002E-4</v>
      </c>
      <c r="H158" s="156" t="s">
        <v>87</v>
      </c>
      <c r="I158" s="156">
        <v>2.1849999999999999E-3</v>
      </c>
      <c r="J158" s="156" t="s">
        <v>87</v>
      </c>
      <c r="K158" s="156">
        <v>3.4259999999999998E-3</v>
      </c>
      <c r="L158" s="156">
        <v>4.3189999999999999E-3</v>
      </c>
      <c r="M158" s="156">
        <v>5.1630000000000001E-3</v>
      </c>
      <c r="N158" s="138" cm="1">
        <f t="array" aca="1" ref="N158:AE158" ca="1">IF(OR(B158="",NOT($J$2)),"",GetStripDefaultProbability(A158,B158,Parameter_Date,CDSRollDate,E158:M158,SpreadCurveMaturities,D158,C158,$J$4,$J$6))</f>
        <v>0</v>
      </c>
      <c r="O158" s="163">
        <f ca="1"/>
        <v>0</v>
      </c>
      <c r="P158" s="163">
        <f ca="1"/>
        <v>1.653100791487061E-3</v>
      </c>
      <c r="Q158" s="163">
        <f ca="1"/>
        <v>0</v>
      </c>
      <c r="R158" s="163">
        <f ca="1"/>
        <v>1.1454311987458721E-2</v>
      </c>
      <c r="S158" s="163">
        <f ca="1"/>
        <v>0</v>
      </c>
      <c r="T158" s="163">
        <f ca="1"/>
        <v>2.9947624406421181E-2</v>
      </c>
      <c r="U158" s="163">
        <f ca="1"/>
        <v>5.2846048518422672E-2</v>
      </c>
      <c r="V158" s="139">
        <f ca="1"/>
        <v>8.9835484268993793E-2</v>
      </c>
      <c r="W158" s="138">
        <f ca="1"/>
        <v>0</v>
      </c>
      <c r="X158" s="163">
        <f ca="1"/>
        <v>0</v>
      </c>
      <c r="Y158" s="163">
        <f ca="1"/>
        <v>1.8194780761956464E-3</v>
      </c>
      <c r="Z158" s="163">
        <f ca="1"/>
        <v>0</v>
      </c>
      <c r="AA158" s="163">
        <f ca="1"/>
        <v>1.2017148419341983E-2</v>
      </c>
      <c r="AB158" s="163">
        <f ca="1"/>
        <v>0</v>
      </c>
      <c r="AC158" s="163">
        <f ca="1"/>
        <v>3.1418303647820833E-2</v>
      </c>
      <c r="AD158" s="163">
        <f ca="1"/>
        <v>5.5423679761886335E-2</v>
      </c>
      <c r="AE158" s="139">
        <f ca="1"/>
        <v>9.4137997913433358E-2</v>
      </c>
      <c r="AI158" s="136"/>
      <c r="AK158" s="136"/>
      <c r="AM158" s="136"/>
      <c r="AN158" s="136"/>
      <c r="AO158" s="136"/>
      <c r="AR158" s="136"/>
      <c r="AT158" s="136"/>
      <c r="AV158" s="136"/>
      <c r="AW158" s="136"/>
      <c r="AX158" s="136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7" t="s">
        <v>87</v>
      </c>
      <c r="F159" s="156" t="s">
        <v>87</v>
      </c>
      <c r="G159" s="156">
        <v>6.29E-4</v>
      </c>
      <c r="H159" s="156" t="s">
        <v>87</v>
      </c>
      <c r="I159" s="156">
        <v>1.8E-3</v>
      </c>
      <c r="J159" s="156" t="s">
        <v>87</v>
      </c>
      <c r="K159" s="156">
        <v>2.6059999999999998E-3</v>
      </c>
      <c r="L159" s="156">
        <v>3.2690000000000002E-3</v>
      </c>
      <c r="M159" s="156">
        <v>3.885E-3</v>
      </c>
      <c r="N159" s="138" cm="1">
        <f t="array" aca="1" ref="N159:AE159" ca="1">IF(OR(B159="",NOT($J$2)),"",GetStripDefaultProbability(A159,B159,Parameter_Date,CDSRollDate,E159:M159,SpreadCurveMaturities,D159,C159,$J$4,$J$6))</f>
        <v>0</v>
      </c>
      <c r="O159" s="163">
        <f ca="1"/>
        <v>0</v>
      </c>
      <c r="P159" s="163">
        <f ca="1"/>
        <v>1.1530584076632211E-3</v>
      </c>
      <c r="Q159" s="163">
        <f ca="1"/>
        <v>0</v>
      </c>
      <c r="R159" s="163">
        <f ca="1"/>
        <v>9.459078930265985E-3</v>
      </c>
      <c r="S159" s="163">
        <f ca="1"/>
        <v>0</v>
      </c>
      <c r="T159" s="163">
        <f ca="1"/>
        <v>2.2767071795107952E-2</v>
      </c>
      <c r="U159" s="163">
        <f ca="1"/>
        <v>4.0093033839392667E-2</v>
      </c>
      <c r="V159" s="139">
        <f ca="1"/>
        <v>6.8012747809871099E-2</v>
      </c>
      <c r="W159" s="138">
        <f ca="1"/>
        <v>0</v>
      </c>
      <c r="X159" s="163">
        <f ca="1"/>
        <v>0</v>
      </c>
      <c r="Y159" s="163">
        <f ca="1"/>
        <v>1.3195190258332712E-3</v>
      </c>
      <c r="Z159" s="163">
        <f ca="1"/>
        <v>0</v>
      </c>
      <c r="AA159" s="163">
        <f ca="1"/>
        <v>9.9743255964180877E-3</v>
      </c>
      <c r="AB159" s="163">
        <f ca="1"/>
        <v>0</v>
      </c>
      <c r="AC159" s="163">
        <f ca="1"/>
        <v>2.387970561713737E-2</v>
      </c>
      <c r="AD159" s="163">
        <f ca="1"/>
        <v>4.2049784819488956E-2</v>
      </c>
      <c r="AE159" s="139">
        <f ca="1"/>
        <v>7.1294702964599055E-2</v>
      </c>
      <c r="AI159" s="136"/>
      <c r="AK159" s="136"/>
      <c r="AM159" s="136"/>
      <c r="AN159" s="136"/>
      <c r="AO159" s="136"/>
      <c r="AR159" s="136"/>
      <c r="AT159" s="136"/>
      <c r="AV159" s="136"/>
      <c r="AW159" s="136"/>
      <c r="AX159" s="136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7" t="s">
        <v>87</v>
      </c>
      <c r="F160" s="156" t="s">
        <v>87</v>
      </c>
      <c r="G160" s="156">
        <v>1.238E-3</v>
      </c>
      <c r="H160" s="156" t="s">
        <v>87</v>
      </c>
      <c r="I160" s="156">
        <v>4.0530000000000002E-3</v>
      </c>
      <c r="J160" s="156" t="s">
        <v>87</v>
      </c>
      <c r="K160" s="156">
        <v>5.6940000000000003E-3</v>
      </c>
      <c r="L160" s="156">
        <v>7.4310000000000001E-3</v>
      </c>
      <c r="M160" s="156">
        <v>9.3609999999999995E-3</v>
      </c>
      <c r="N160" s="138" cm="1">
        <f t="array" aca="1" ref="N160:AE160" ca="1">IF(OR(B160="",NOT($J$2)),"",GetStripDefaultProbability(A160,B160,Parameter_Date,CDSRollDate,E160:M160,SpreadCurveMaturities,D160,C160,$J$4,$J$6))</f>
        <v>0</v>
      </c>
      <c r="O160" s="163">
        <f ca="1"/>
        <v>0</v>
      </c>
      <c r="P160" s="163">
        <f ca="1"/>
        <v>2.2681967334421405E-3</v>
      </c>
      <c r="Q160" s="163">
        <f ca="1"/>
        <v>0</v>
      </c>
      <c r="R160" s="163">
        <f ca="1"/>
        <v>2.1230780302285979E-2</v>
      </c>
      <c r="S160" s="163">
        <f ca="1"/>
        <v>0</v>
      </c>
      <c r="T160" s="163">
        <f ca="1"/>
        <v>4.9203086810287178E-2</v>
      </c>
      <c r="U160" s="163">
        <f ca="1"/>
        <v>8.9793466989458781E-2</v>
      </c>
      <c r="V160" s="139">
        <f ca="1"/>
        <v>0.1599472243815514</v>
      </c>
      <c r="W160" s="138">
        <f ca="1"/>
        <v>0</v>
      </c>
      <c r="X160" s="163">
        <f ca="1"/>
        <v>0</v>
      </c>
      <c r="Y160" s="163">
        <f ca="1"/>
        <v>2.4344715107235126E-3</v>
      </c>
      <c r="Z160" s="163">
        <f ca="1"/>
        <v>0</v>
      </c>
      <c r="AA160" s="163">
        <f ca="1"/>
        <v>2.2275946977876493E-2</v>
      </c>
      <c r="AB160" s="163">
        <f ca="1"/>
        <v>0</v>
      </c>
      <c r="AC160" s="163">
        <f ca="1"/>
        <v>5.1603113273045342E-2</v>
      </c>
      <c r="AD160" s="163">
        <f ca="1"/>
        <v>9.4107308407200163E-2</v>
      </c>
      <c r="AE160" s="139">
        <f ca="1"/>
        <v>0.16744828608631412</v>
      </c>
      <c r="AI160" s="136"/>
      <c r="AK160" s="136"/>
      <c r="AM160" s="136"/>
      <c r="AN160" s="136"/>
      <c r="AO160" s="136"/>
      <c r="AR160" s="136"/>
      <c r="AT160" s="136"/>
      <c r="AV160" s="136"/>
      <c r="AW160" s="136"/>
      <c r="AX160" s="136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7" t="s">
        <v>87</v>
      </c>
      <c r="F161" s="156" t="s">
        <v>87</v>
      </c>
      <c r="G161" s="156">
        <v>3.4431999999999997E-2</v>
      </c>
      <c r="H161" s="156" t="s">
        <v>87</v>
      </c>
      <c r="I161" s="156">
        <v>3.3938000000000003E-2</v>
      </c>
      <c r="J161" s="156" t="s">
        <v>87</v>
      </c>
      <c r="K161" s="156">
        <v>3.006E-2</v>
      </c>
      <c r="L161" s="156">
        <v>2.8119999999999999E-2</v>
      </c>
      <c r="M161" s="156">
        <v>2.7151000000000002E-2</v>
      </c>
      <c r="N161" s="138" cm="1">
        <f t="array" aca="1" ref="N161:AE161" ca="1">IF(OR(B161="",NOT($J$2)),"",GetStripDefaultProbability(A161,B161,Parameter_Date,CDSRollDate,E161:M161,SpreadCurveMaturities,D161,C161,$J$4,$J$6))</f>
        <v>0</v>
      </c>
      <c r="O161" s="163">
        <f ca="1"/>
        <v>0</v>
      </c>
      <c r="P161" s="163">
        <f ca="1"/>
        <v>6.1201185043458617E-2</v>
      </c>
      <c r="Q161" s="163">
        <f ca="1"/>
        <v>0</v>
      </c>
      <c r="R161" s="163">
        <f ca="1"/>
        <v>0.16136448044581964</v>
      </c>
      <c r="S161" s="163">
        <f ca="1"/>
        <v>0</v>
      </c>
      <c r="T161" s="163">
        <f ca="1"/>
        <v>0.22213878348468752</v>
      </c>
      <c r="U161" s="163">
        <f ca="1"/>
        <v>0.27562552029540921</v>
      </c>
      <c r="V161" s="139">
        <f ca="1"/>
        <v>0.35645189259276133</v>
      </c>
      <c r="W161" s="138">
        <f ca="1"/>
        <v>0</v>
      </c>
      <c r="X161" s="163">
        <f ca="1"/>
        <v>0</v>
      </c>
      <c r="Y161" s="163">
        <f ca="1"/>
        <v>6.4160891142586607E-2</v>
      </c>
      <c r="Z161" s="163">
        <f ca="1"/>
        <v>0</v>
      </c>
      <c r="AA161" s="163">
        <f ca="1"/>
        <v>0.16870717104676036</v>
      </c>
      <c r="AB161" s="163">
        <f ca="1"/>
        <v>0</v>
      </c>
      <c r="AC161" s="163">
        <f ca="1"/>
        <v>0.2317122292630589</v>
      </c>
      <c r="AD161" s="163">
        <f ca="1"/>
        <v>0.28695142140091856</v>
      </c>
      <c r="AE161" s="139">
        <f ca="1"/>
        <v>0.37012308407321937</v>
      </c>
      <c r="AI161" s="136"/>
      <c r="AK161" s="136"/>
      <c r="AM161" s="136"/>
      <c r="AN161" s="136"/>
      <c r="AO161" s="136"/>
      <c r="AR161" s="136"/>
      <c r="AT161" s="136"/>
      <c r="AV161" s="136"/>
      <c r="AW161" s="136"/>
      <c r="AX161" s="136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7" t="s">
        <v>87</v>
      </c>
      <c r="F162" s="156" t="s">
        <v>87</v>
      </c>
      <c r="G162" s="156">
        <v>1.083E-3</v>
      </c>
      <c r="H162" s="156" t="s">
        <v>87</v>
      </c>
      <c r="I162" s="156">
        <v>3.0460000000000001E-3</v>
      </c>
      <c r="J162" s="156" t="s">
        <v>87</v>
      </c>
      <c r="K162" s="156">
        <v>4.8729999999999997E-3</v>
      </c>
      <c r="L162" s="156">
        <v>6.4980000000000003E-3</v>
      </c>
      <c r="M162" s="156">
        <v>8.6300000000000005E-3</v>
      </c>
      <c r="N162" s="138" cm="1">
        <f t="array" aca="1" ref="N162:AE162" ca="1">IF(OR(B162="",NOT($J$2)),"",GetStripDefaultProbability(A162,B162,Parameter_Date,CDSRollDate,E162:M162,SpreadCurveMaturities,D162,C162,$J$4,$J$6))</f>
        <v>0</v>
      </c>
      <c r="O162" s="163">
        <f ca="1"/>
        <v>0</v>
      </c>
      <c r="P162" s="163">
        <f ca="1"/>
        <v>1.9844938287315594E-3</v>
      </c>
      <c r="Q162" s="163">
        <f ca="1"/>
        <v>0</v>
      </c>
      <c r="R162" s="163">
        <f ca="1"/>
        <v>1.5964974846010449E-2</v>
      </c>
      <c r="S162" s="163">
        <f ca="1"/>
        <v>0</v>
      </c>
      <c r="T162" s="163">
        <f ca="1"/>
        <v>4.2473378208837786E-2</v>
      </c>
      <c r="U162" s="163">
        <f ca="1"/>
        <v>7.9271938278519083E-2</v>
      </c>
      <c r="V162" s="139">
        <f ca="1"/>
        <v>0.14983431826800697</v>
      </c>
      <c r="W162" s="138">
        <f ca="1"/>
        <v>0</v>
      </c>
      <c r="X162" s="163">
        <f ca="1"/>
        <v>0</v>
      </c>
      <c r="Y162" s="163">
        <f ca="1"/>
        <v>2.1508158858510873E-3</v>
      </c>
      <c r="Z162" s="163">
        <f ca="1"/>
        <v>0</v>
      </c>
      <c r="AA162" s="163">
        <f ca="1"/>
        <v>1.675115056956622E-2</v>
      </c>
      <c r="AB162" s="163">
        <f ca="1"/>
        <v>0</v>
      </c>
      <c r="AC162" s="163">
        <f ca="1"/>
        <v>4.4551041888706955E-2</v>
      </c>
      <c r="AD162" s="163">
        <f ca="1"/>
        <v>8.3100959870706537E-2</v>
      </c>
      <c r="AE162" s="139">
        <f ca="1"/>
        <v>0.15691249991687561</v>
      </c>
      <c r="AI162" s="136"/>
      <c r="AK162" s="136"/>
      <c r="AM162" s="136"/>
      <c r="AN162" s="136"/>
      <c r="AO162" s="136"/>
      <c r="AR162" s="136"/>
      <c r="AT162" s="136"/>
      <c r="AV162" s="136"/>
      <c r="AW162" s="136"/>
      <c r="AX162" s="136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7" t="s">
        <v>87</v>
      </c>
      <c r="F163" s="156" t="s">
        <v>87</v>
      </c>
      <c r="G163" s="156">
        <v>1.0970000000000001E-3</v>
      </c>
      <c r="H163" s="156" t="s">
        <v>87</v>
      </c>
      <c r="I163" s="156">
        <v>1.645E-3</v>
      </c>
      <c r="J163" s="156" t="s">
        <v>87</v>
      </c>
      <c r="K163" s="156">
        <v>2.4130000000000002E-3</v>
      </c>
      <c r="L163" s="156">
        <v>2.6689999999999999E-3</v>
      </c>
      <c r="M163" s="156">
        <v>3.2850000000000002E-3</v>
      </c>
      <c r="N163" s="138" cm="1">
        <f t="array" aca="1" ref="N163:AE163" ca="1">IF(OR(B163="",NOT($J$2)),"",GetStripDefaultProbability(A163,B163,Parameter_Date,CDSRollDate,E163:M163,SpreadCurveMaturities,D163,C163,$J$4,$J$6))</f>
        <v>0</v>
      </c>
      <c r="O163" s="163">
        <f ca="1"/>
        <v>0</v>
      </c>
      <c r="P163" s="163">
        <f ca="1"/>
        <v>2.0101218933307186E-3</v>
      </c>
      <c r="Q163" s="163">
        <f ca="1"/>
        <v>0</v>
      </c>
      <c r="R163" s="163">
        <f ca="1"/>
        <v>8.5759062544661369E-3</v>
      </c>
      <c r="S163" s="163">
        <f ca="1"/>
        <v>0</v>
      </c>
      <c r="T163" s="163">
        <f ca="1"/>
        <v>2.1034658901172731E-2</v>
      </c>
      <c r="U163" s="163">
        <f ca="1"/>
        <v>3.2338881482947834E-2</v>
      </c>
      <c r="V163" s="139">
        <f ca="1"/>
        <v>5.7562388754736848E-2</v>
      </c>
      <c r="W163" s="138">
        <f ca="1"/>
        <v>0</v>
      </c>
      <c r="X163" s="163">
        <f ca="1"/>
        <v>0</v>
      </c>
      <c r="Y163" s="163">
        <f ca="1"/>
        <v>2.176439679468456E-3</v>
      </c>
      <c r="Z163" s="163">
        <f ca="1"/>
        <v>0</v>
      </c>
      <c r="AA163" s="163">
        <f ca="1"/>
        <v>9.0914955509138196E-3</v>
      </c>
      <c r="AB163" s="163">
        <f ca="1"/>
        <v>0</v>
      </c>
      <c r="AC163" s="163">
        <f ca="1"/>
        <v>2.206103007257898E-2</v>
      </c>
      <c r="AD163" s="163">
        <f ca="1"/>
        <v>3.3917340458504142E-2</v>
      </c>
      <c r="AE163" s="139">
        <f ca="1"/>
        <v>6.034849250732166E-2</v>
      </c>
      <c r="AI163" s="136"/>
      <c r="AK163" s="136"/>
      <c r="AM163" s="136"/>
      <c r="AN163" s="136"/>
      <c r="AO163" s="136"/>
      <c r="AR163" s="136"/>
      <c r="AT163" s="136"/>
      <c r="AV163" s="136"/>
      <c r="AW163" s="136"/>
      <c r="AX163" s="136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7" t="s">
        <v>87</v>
      </c>
      <c r="F164" s="156" t="s">
        <v>87</v>
      </c>
      <c r="G164" s="156">
        <v>1.505E-3</v>
      </c>
      <c r="H164" s="156" t="s">
        <v>87</v>
      </c>
      <c r="I164" s="156">
        <v>2.6090000000000002E-3</v>
      </c>
      <c r="J164" s="156" t="s">
        <v>87</v>
      </c>
      <c r="K164" s="156">
        <v>3.764E-3</v>
      </c>
      <c r="L164" s="156">
        <v>4.8170000000000001E-3</v>
      </c>
      <c r="M164" s="156">
        <v>5.8209999999999998E-3</v>
      </c>
      <c r="N164" s="138" cm="1">
        <f t="array" aca="1" ref="N164:AE164" ca="1">IF(OR(B164="",NOT($J$2)),"",GetStripDefaultProbability(A164,B164,Parameter_Date,CDSRollDate,E164:M164,SpreadCurveMaturities,D164,C164,$J$4,$J$6))</f>
        <v>0</v>
      </c>
      <c r="O164" s="163">
        <f ca="1"/>
        <v>0</v>
      </c>
      <c r="P164" s="163">
        <f ca="1"/>
        <v>2.7567103676580107E-3</v>
      </c>
      <c r="Q164" s="163">
        <f ca="1"/>
        <v>0</v>
      </c>
      <c r="R164" s="163">
        <f ca="1"/>
        <v>1.3604968578091792E-2</v>
      </c>
      <c r="S164" s="163">
        <f ca="1"/>
        <v>0</v>
      </c>
      <c r="T164" s="163">
        <f ca="1"/>
        <v>3.2670589745089074E-2</v>
      </c>
      <c r="U164" s="163">
        <f ca="1"/>
        <v>5.869798860171771E-2</v>
      </c>
      <c r="V164" s="139">
        <f ca="1"/>
        <v>0.10088457527018324</v>
      </c>
      <c r="W164" s="138">
        <f ca="1"/>
        <v>0</v>
      </c>
      <c r="X164" s="163">
        <f ca="1"/>
        <v>0</v>
      </c>
      <c r="Y164" s="163">
        <f ca="1"/>
        <v>2.9229037327430651E-3</v>
      </c>
      <c r="Z164" s="163">
        <f ca="1"/>
        <v>0</v>
      </c>
      <c r="AA164" s="163">
        <f ca="1"/>
        <v>1.427790214482505E-2</v>
      </c>
      <c r="AB164" s="163">
        <f ca="1"/>
        <v>0</v>
      </c>
      <c r="AC164" s="163">
        <f ca="1"/>
        <v>3.4276991045445016E-2</v>
      </c>
      <c r="AD164" s="163">
        <f ca="1"/>
        <v>6.1557471973770483E-2</v>
      </c>
      <c r="AE164" s="139">
        <f ca="1"/>
        <v>0.10572606083079794</v>
      </c>
      <c r="AI164" s="136"/>
      <c r="AK164" s="136"/>
      <c r="AM164" s="136"/>
      <c r="AN164" s="136"/>
      <c r="AO164" s="136"/>
      <c r="AR164" s="136"/>
      <c r="AT164" s="136"/>
      <c r="AV164" s="136"/>
      <c r="AW164" s="136"/>
      <c r="AX164" s="136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7" t="s">
        <v>87</v>
      </c>
      <c r="F165" s="156" t="s">
        <v>87</v>
      </c>
      <c r="G165" s="156">
        <v>5.31E-4</v>
      </c>
      <c r="H165" s="156" t="s">
        <v>87</v>
      </c>
      <c r="I165" s="156">
        <v>1.4480000000000001E-3</v>
      </c>
      <c r="J165" s="156" t="s">
        <v>87</v>
      </c>
      <c r="K165" s="156">
        <v>2.1229999999999999E-3</v>
      </c>
      <c r="L165" s="156">
        <v>2.7989999999999998E-3</v>
      </c>
      <c r="M165" s="156">
        <v>3.9569999999999996E-3</v>
      </c>
      <c r="N165" s="138" cm="1">
        <f t="array" aca="1" ref="N165:AE165" ca="1">IF(OR(B165="",NOT($J$2)),"",GetStripDefaultProbability(A165,B165,Parameter_Date,CDSRollDate,E165:M165,SpreadCurveMaturities,D165,C165,$J$4,$J$6))</f>
        <v>0</v>
      </c>
      <c r="O165" s="163">
        <f ca="1"/>
        <v>0</v>
      </c>
      <c r="P165" s="163">
        <f ca="1"/>
        <v>9.7349541371094528E-4</v>
      </c>
      <c r="Q165" s="163">
        <f ca="1"/>
        <v>0</v>
      </c>
      <c r="R165" s="163">
        <f ca="1"/>
        <v>7.6111940694557623E-3</v>
      </c>
      <c r="S165" s="163">
        <f ca="1"/>
        <v>0</v>
      </c>
      <c r="T165" s="163">
        <f ca="1"/>
        <v>1.8583852823187974E-2</v>
      </c>
      <c r="U165" s="163">
        <f ca="1"/>
        <v>3.4570158516196492E-2</v>
      </c>
      <c r="V165" s="139">
        <f ca="1"/>
        <v>7.1168095696018341E-2</v>
      </c>
      <c r="W165" s="138">
        <f ca="1"/>
        <v>0</v>
      </c>
      <c r="X165" s="163">
        <f ca="1"/>
        <v>0</v>
      </c>
      <c r="Y165" s="163">
        <f ca="1"/>
        <v>1.1399859565527359E-3</v>
      </c>
      <c r="Z165" s="163">
        <f ca="1"/>
        <v>0</v>
      </c>
      <c r="AA165" s="163">
        <f ca="1"/>
        <v>8.12745810962201E-3</v>
      </c>
      <c r="AB165" s="163">
        <f ca="1"/>
        <v>0</v>
      </c>
      <c r="AC165" s="163">
        <f ca="1"/>
        <v>1.9480878757724529E-2</v>
      </c>
      <c r="AD165" s="163">
        <f ca="1"/>
        <v>3.6249399450434705E-2</v>
      </c>
      <c r="AE165" s="139">
        <f ca="1"/>
        <v>7.4591876780379374E-2</v>
      </c>
      <c r="AI165" s="136"/>
      <c r="AK165" s="136"/>
      <c r="AM165" s="136"/>
      <c r="AN165" s="136"/>
      <c r="AO165" s="136"/>
      <c r="AR165" s="136"/>
      <c r="AT165" s="136"/>
      <c r="AV165" s="136"/>
      <c r="AW165" s="136"/>
      <c r="AX165" s="136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7" t="s">
        <v>87</v>
      </c>
      <c r="F166" s="156" t="s">
        <v>87</v>
      </c>
      <c r="G166" s="156">
        <v>3.0165999999999998E-2</v>
      </c>
      <c r="H166" s="156" t="s">
        <v>87</v>
      </c>
      <c r="I166" s="156">
        <v>2.1916999999999999E-2</v>
      </c>
      <c r="J166" s="156" t="s">
        <v>87</v>
      </c>
      <c r="K166" s="156">
        <v>1.8335000000000001E-2</v>
      </c>
      <c r="L166" s="156">
        <v>1.6732E-2</v>
      </c>
      <c r="M166" s="156">
        <v>1.5789999999999998E-2</v>
      </c>
      <c r="N166" s="138" cm="1">
        <f t="array" aca="1" ref="N166:AE166" ca="1">IF(OR(B166="",NOT($J$2)),"",GetStripDefaultProbability(A166,B166,Parameter_Date,CDSRollDate,E166:M166,SpreadCurveMaturities,D166,C166,$J$4,$J$6))</f>
        <v>0</v>
      </c>
      <c r="O166" s="163">
        <f ca="1"/>
        <v>0</v>
      </c>
      <c r="P166" s="163">
        <f ca="1"/>
        <v>5.3826825870287975E-2</v>
      </c>
      <c r="Q166" s="163">
        <f ca="1"/>
        <v>0</v>
      </c>
      <c r="R166" s="163">
        <f ca="1"/>
        <v>0.10573535060928119</v>
      </c>
      <c r="S166" s="163">
        <f ca="1"/>
        <v>0</v>
      </c>
      <c r="T166" s="163">
        <f ca="1"/>
        <v>0.1400945058723293</v>
      </c>
      <c r="U166" s="163">
        <f ca="1"/>
        <v>0.17247198358108062</v>
      </c>
      <c r="V166" s="139">
        <f ca="1"/>
        <v>0.22317988694893154</v>
      </c>
      <c r="W166" s="138">
        <f ca="1"/>
        <v>0</v>
      </c>
      <c r="X166" s="163">
        <f ca="1"/>
        <v>0</v>
      </c>
      <c r="Y166" s="163">
        <f ca="1"/>
        <v>5.6440727703090277E-2</v>
      </c>
      <c r="Z166" s="163">
        <f ca="1"/>
        <v>0</v>
      </c>
      <c r="AA166" s="163">
        <f ca="1"/>
        <v>0.11067407293146669</v>
      </c>
      <c r="AB166" s="163">
        <f ca="1"/>
        <v>0</v>
      </c>
      <c r="AC166" s="163">
        <f ca="1"/>
        <v>0.14643073037640486</v>
      </c>
      <c r="AD166" s="163">
        <f ca="1"/>
        <v>0.18008596157877876</v>
      </c>
      <c r="AE166" s="139">
        <f ca="1"/>
        <v>0.23270332692435225</v>
      </c>
      <c r="AI166" s="136"/>
      <c r="AK166" s="136"/>
      <c r="AM166" s="136"/>
      <c r="AN166" s="136"/>
      <c r="AO166" s="136"/>
      <c r="AR166" s="136"/>
      <c r="AT166" s="136"/>
      <c r="AV166" s="136"/>
      <c r="AW166" s="136"/>
      <c r="AX166" s="136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7" t="s">
        <v>87</v>
      </c>
      <c r="F167" s="156" t="s">
        <v>87</v>
      </c>
      <c r="G167" s="156">
        <v>8.2399999999999997E-4</v>
      </c>
      <c r="H167" s="156" t="s">
        <v>87</v>
      </c>
      <c r="I167" s="156">
        <v>2.5300000000000001E-3</v>
      </c>
      <c r="J167" s="156" t="s">
        <v>87</v>
      </c>
      <c r="K167" s="156">
        <v>3.522E-3</v>
      </c>
      <c r="L167" s="156">
        <v>4.5840000000000004E-3</v>
      </c>
      <c r="M167" s="156">
        <v>5.9350000000000002E-3</v>
      </c>
      <c r="N167" s="138" cm="1">
        <f t="array" aca="1" ref="N167:AE167" ca="1">IF(OR(B167="",NOT($J$2)),"",GetStripDefaultProbability(A167,B167,Parameter_Date,CDSRollDate,E167:M167,SpreadCurveMaturities,D167,C167,$J$4,$J$6))</f>
        <v>0</v>
      </c>
      <c r="O167" s="163">
        <f ca="1"/>
        <v>0</v>
      </c>
      <c r="P167" s="163">
        <f ca="1"/>
        <v>1.5102568835001495E-3</v>
      </c>
      <c r="Q167" s="163">
        <f ca="1"/>
        <v>0</v>
      </c>
      <c r="R167" s="163">
        <f ca="1"/>
        <v>1.3284604916279918E-2</v>
      </c>
      <c r="S167" s="163">
        <f ca="1"/>
        <v>0</v>
      </c>
      <c r="T167" s="163">
        <f ca="1"/>
        <v>3.0626429412448308E-2</v>
      </c>
      <c r="U167" s="163">
        <f ca="1"/>
        <v>5.6044597199382484E-2</v>
      </c>
      <c r="V167" s="139">
        <f ca="1"/>
        <v>0.10403040898422233</v>
      </c>
      <c r="W167" s="138">
        <f ca="1"/>
        <v>0</v>
      </c>
      <c r="X167" s="163">
        <f ca="1"/>
        <v>0</v>
      </c>
      <c r="Y167" s="163">
        <f ca="1"/>
        <v>1.6766579735391085E-3</v>
      </c>
      <c r="Z167" s="163">
        <f ca="1"/>
        <v>0</v>
      </c>
      <c r="AA167" s="163">
        <f ca="1"/>
        <v>1.393716996593064E-2</v>
      </c>
      <c r="AB167" s="163">
        <f ca="1"/>
        <v>0</v>
      </c>
      <c r="AC167" s="163">
        <f ca="1"/>
        <v>3.2129209268709435E-2</v>
      </c>
      <c r="AD167" s="163">
        <f ca="1"/>
        <v>5.8773657470617358E-2</v>
      </c>
      <c r="AE167" s="139">
        <f ca="1"/>
        <v>0.10902330815632277</v>
      </c>
      <c r="AI167" s="136"/>
      <c r="AK167" s="136"/>
      <c r="AM167" s="136"/>
      <c r="AN167" s="136"/>
      <c r="AO167" s="136"/>
      <c r="AR167" s="136"/>
      <c r="AT167" s="136"/>
      <c r="AV167" s="136"/>
      <c r="AW167" s="136"/>
      <c r="AX167" s="136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7" t="s">
        <v>87</v>
      </c>
      <c r="F168" s="156" t="s">
        <v>87</v>
      </c>
      <c r="G168" s="156">
        <v>6.8499999999999995E-4</v>
      </c>
      <c r="H168" s="156" t="s">
        <v>87</v>
      </c>
      <c r="I168" s="156">
        <v>2.2669999999999999E-3</v>
      </c>
      <c r="J168" s="156" t="s">
        <v>87</v>
      </c>
      <c r="K168" s="156">
        <v>3.4259999999999998E-3</v>
      </c>
      <c r="L168" s="156">
        <v>4.8869999999999999E-3</v>
      </c>
      <c r="M168" s="156">
        <v>6.398E-3</v>
      </c>
      <c r="N168" s="138" cm="1">
        <f t="array" aca="1" ref="N168:AE168" ca="1">IF(OR(B168="",NOT($J$2)),"",GetStripDefaultProbability(A168,B168,Parameter_Date,CDSRollDate,E168:M168,SpreadCurveMaturities,D168,C168,$J$4,$J$6))</f>
        <v>0</v>
      </c>
      <c r="O168" s="163">
        <f ca="1"/>
        <v>0</v>
      </c>
      <c r="P168" s="163">
        <f ca="1"/>
        <v>1.2556514558499376E-3</v>
      </c>
      <c r="Q168" s="163">
        <f ca="1"/>
        <v>0</v>
      </c>
      <c r="R168" s="163">
        <f ca="1"/>
        <v>1.1917172789131736E-2</v>
      </c>
      <c r="S168" s="163">
        <f ca="1"/>
        <v>0</v>
      </c>
      <c r="T168" s="163">
        <f ca="1"/>
        <v>2.9930886376780541E-2</v>
      </c>
      <c r="U168" s="163">
        <f ca="1"/>
        <v>6.0325608752388127E-2</v>
      </c>
      <c r="V168" s="139">
        <f ca="1"/>
        <v>0.1126720439412614</v>
      </c>
      <c r="W168" s="138">
        <f ca="1"/>
        <v>0</v>
      </c>
      <c r="X168" s="163">
        <f ca="1"/>
        <v>0</v>
      </c>
      <c r="Y168" s="163">
        <f ca="1"/>
        <v>1.4220949765846314E-3</v>
      </c>
      <c r="Z168" s="163">
        <f ca="1"/>
        <v>0</v>
      </c>
      <c r="AA168" s="163">
        <f ca="1"/>
        <v>1.2501393316142972E-2</v>
      </c>
      <c r="AB168" s="163">
        <f ca="1"/>
        <v>0</v>
      </c>
      <c r="AC168" s="163">
        <f ca="1"/>
        <v>3.1399280906990956E-2</v>
      </c>
      <c r="AD168" s="163">
        <f ca="1"/>
        <v>6.3260419296764292E-2</v>
      </c>
      <c r="AE168" s="139">
        <f ca="1"/>
        <v>0.11806975265500907</v>
      </c>
      <c r="AI168" s="136"/>
      <c r="AK168" s="136"/>
      <c r="AM168" s="136"/>
      <c r="AN168" s="136"/>
      <c r="AO168" s="136"/>
      <c r="AR168" s="136"/>
      <c r="AT168" s="136"/>
      <c r="AV168" s="136"/>
      <c r="AW168" s="136"/>
      <c r="AX168" s="136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7" t="s">
        <v>87</v>
      </c>
      <c r="F169" s="156" t="s">
        <v>87</v>
      </c>
      <c r="G169" s="156">
        <v>4.5399999999999998E-4</v>
      </c>
      <c r="H169" s="156" t="s">
        <v>87</v>
      </c>
      <c r="I169" s="156">
        <v>1.5560000000000001E-3</v>
      </c>
      <c r="J169" s="156" t="s">
        <v>87</v>
      </c>
      <c r="K169" s="156">
        <v>2.2680000000000001E-3</v>
      </c>
      <c r="L169" s="156">
        <v>2.9789999999999999E-3</v>
      </c>
      <c r="M169" s="156">
        <v>3.6459999999999999E-3</v>
      </c>
      <c r="N169" s="138" cm="1">
        <f t="array" aca="1" ref="N169:AE169" ca="1">IF(OR(B169="",NOT($J$2)),"",GetStripDefaultProbability(A169,B169,Parameter_Date,CDSRollDate,E169:M169,SpreadCurveMaturities,D169,C169,$J$4,$J$6))</f>
        <v>0</v>
      </c>
      <c r="O169" s="163">
        <f ca="1"/>
        <v>0</v>
      </c>
      <c r="P169" s="163">
        <f ca="1"/>
        <v>8.3238773554039636E-4</v>
      </c>
      <c r="Q169" s="163">
        <f ca="1"/>
        <v>0</v>
      </c>
      <c r="R169" s="163">
        <f ca="1"/>
        <v>8.1930020119637126E-3</v>
      </c>
      <c r="S169" s="163">
        <f ca="1"/>
        <v>0</v>
      </c>
      <c r="T169" s="163">
        <f ca="1"/>
        <v>1.9854508010922256E-2</v>
      </c>
      <c r="U169" s="163">
        <f ca="1"/>
        <v>3.6762841992625028E-2</v>
      </c>
      <c r="V169" s="139">
        <f ca="1"/>
        <v>6.4401100398463362E-2</v>
      </c>
      <c r="W169" s="138">
        <f ca="1"/>
        <v>0</v>
      </c>
      <c r="X169" s="163">
        <f ca="1"/>
        <v>0</v>
      </c>
      <c r="Y169" s="163">
        <f ca="1"/>
        <v>9.9890179437833737E-4</v>
      </c>
      <c r="Z169" s="163">
        <f ca="1"/>
        <v>0</v>
      </c>
      <c r="AA169" s="163">
        <f ca="1"/>
        <v>8.7089817493386512E-3</v>
      </c>
      <c r="AB169" s="163">
        <f ca="1"/>
        <v>0</v>
      </c>
      <c r="AC169" s="163">
        <f ca="1"/>
        <v>2.0816431338824049E-2</v>
      </c>
      <c r="AD169" s="163">
        <f ca="1"/>
        <v>3.855094369858425E-2</v>
      </c>
      <c r="AE169" s="139">
        <f ca="1"/>
        <v>6.750719064634092E-2</v>
      </c>
      <c r="AI169" s="136"/>
      <c r="AK169" s="136"/>
      <c r="AM169" s="136"/>
      <c r="AN169" s="136"/>
      <c r="AO169" s="136"/>
      <c r="AR169" s="136"/>
      <c r="AT169" s="136"/>
      <c r="AV169" s="136"/>
      <c r="AW169" s="136"/>
      <c r="AX169" s="136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7" t="s">
        <v>87</v>
      </c>
      <c r="F170" s="156" t="s">
        <v>87</v>
      </c>
      <c r="G170" s="156">
        <v>7.3800000000000005E-4</v>
      </c>
      <c r="H170" s="156" t="s">
        <v>87</v>
      </c>
      <c r="I170" s="156">
        <v>2.0179999999999998E-3</v>
      </c>
      <c r="J170" s="156" t="s">
        <v>87</v>
      </c>
      <c r="K170" s="156">
        <v>2.4610000000000001E-3</v>
      </c>
      <c r="L170" s="156">
        <v>2.8050000000000002E-3</v>
      </c>
      <c r="M170" s="156">
        <v>3.5929999999999998E-3</v>
      </c>
      <c r="N170" s="138" cm="1">
        <f t="array" aca="1" ref="N170:AE170" ca="1">IF(OR(B170="",NOT($J$2)),"",GetStripDefaultProbability(A170,B170,Parameter_Date,CDSRollDate,E170:M170,SpreadCurveMaturities,D170,C170,$J$4,$J$6))</f>
        <v>0</v>
      </c>
      <c r="O170" s="163">
        <f ca="1"/>
        <v>0</v>
      </c>
      <c r="P170" s="163">
        <f ca="1"/>
        <v>1.3527388190326395E-3</v>
      </c>
      <c r="Q170" s="163">
        <f ca="1"/>
        <v>0</v>
      </c>
      <c r="R170" s="163">
        <f ca="1"/>
        <v>1.0595584850539019E-2</v>
      </c>
      <c r="S170" s="163">
        <f ca="1"/>
        <v>0</v>
      </c>
      <c r="T170" s="163">
        <f ca="1"/>
        <v>2.1309704813766372E-2</v>
      </c>
      <c r="U170" s="163">
        <f ca="1"/>
        <v>3.3937598350883169E-2</v>
      </c>
      <c r="V170" s="139">
        <f ca="1"/>
        <v>6.3197930969952854E-2</v>
      </c>
      <c r="W170" s="138">
        <f ca="1"/>
        <v>0</v>
      </c>
      <c r="X170" s="163">
        <f ca="1"/>
        <v>0</v>
      </c>
      <c r="Y170" s="163">
        <f ca="1"/>
        <v>1.5191661599188722E-3</v>
      </c>
      <c r="Z170" s="163">
        <f ca="1"/>
        <v>0</v>
      </c>
      <c r="AA170" s="163">
        <f ca="1"/>
        <v>1.1114919750485508E-2</v>
      </c>
      <c r="AB170" s="163">
        <f ca="1"/>
        <v>0</v>
      </c>
      <c r="AC170" s="163">
        <f ca="1"/>
        <v>2.2356955802829481E-2</v>
      </c>
      <c r="AD170" s="163">
        <f ca="1"/>
        <v>3.5600791660423958E-2</v>
      </c>
      <c r="AE170" s="139">
        <f ca="1"/>
        <v>6.6258112196974861E-2</v>
      </c>
      <c r="AI170" s="136"/>
      <c r="AK170" s="136"/>
      <c r="AM170" s="136"/>
      <c r="AN170" s="136"/>
      <c r="AO170" s="136"/>
      <c r="AR170" s="136"/>
      <c r="AT170" s="136"/>
      <c r="AV170" s="136"/>
      <c r="AW170" s="136"/>
      <c r="AX170" s="136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7" t="s">
        <v>87</v>
      </c>
      <c r="F171" s="156" t="s">
        <v>87</v>
      </c>
      <c r="G171" s="156">
        <v>9.7499999999999996E-4</v>
      </c>
      <c r="H171" s="156" t="s">
        <v>87</v>
      </c>
      <c r="I171" s="156">
        <v>3.0920000000000001E-3</v>
      </c>
      <c r="J171" s="156" t="s">
        <v>87</v>
      </c>
      <c r="K171" s="156">
        <v>4.8729999999999997E-3</v>
      </c>
      <c r="L171" s="156">
        <v>6.0260000000000001E-3</v>
      </c>
      <c r="M171" s="156">
        <v>7.0740000000000004E-3</v>
      </c>
      <c r="N171" s="138" cm="1">
        <f t="array" aca="1" ref="N171:AE171" ca="1">IF(OR(B171="",NOT($J$2)),"",GetStripDefaultProbability(A171,B171,Parameter_Date,CDSRollDate,E171:M171,SpreadCurveMaturities,D171,C171,$J$4,$J$6))</f>
        <v>0</v>
      </c>
      <c r="O171" s="163">
        <f ca="1"/>
        <v>0</v>
      </c>
      <c r="P171" s="163">
        <f ca="1"/>
        <v>1.7867696767548402E-3</v>
      </c>
      <c r="Q171" s="163">
        <f ca="1"/>
        <v>0</v>
      </c>
      <c r="R171" s="163">
        <f ca="1"/>
        <v>1.6222411158699823E-2</v>
      </c>
      <c r="S171" s="163">
        <f ca="1"/>
        <v>0</v>
      </c>
      <c r="T171" s="163">
        <f ca="1"/>
        <v>4.2461567074148721E-2</v>
      </c>
      <c r="U171" s="163">
        <f ca="1"/>
        <v>7.3091997810540099E-2</v>
      </c>
      <c r="V171" s="139">
        <f ca="1"/>
        <v>0.12105425177446338</v>
      </c>
      <c r="W171" s="138">
        <f ca="1"/>
        <v>0</v>
      </c>
      <c r="X171" s="163">
        <f ca="1"/>
        <v>0</v>
      </c>
      <c r="Y171" s="163">
        <f ca="1"/>
        <v>1.9531246851551831E-3</v>
      </c>
      <c r="Z171" s="163">
        <f ca="1"/>
        <v>0</v>
      </c>
      <c r="AA171" s="163">
        <f ca="1"/>
        <v>1.702049408738926E-2</v>
      </c>
      <c r="AB171" s="163">
        <f ca="1"/>
        <v>0</v>
      </c>
      <c r="AC171" s="163">
        <f ca="1"/>
        <v>4.4537915845890397E-2</v>
      </c>
      <c r="AD171" s="163">
        <f ca="1"/>
        <v>7.6628052217515008E-2</v>
      </c>
      <c r="AE171" s="139">
        <f ca="1"/>
        <v>0.12680454128135554</v>
      </c>
      <c r="AI171" s="136"/>
      <c r="AK171" s="136"/>
      <c r="AM171" s="136"/>
      <c r="AN171" s="136"/>
      <c r="AO171" s="136"/>
      <c r="AR171" s="136"/>
      <c r="AT171" s="136"/>
      <c r="AV171" s="136"/>
      <c r="AW171" s="136"/>
      <c r="AX171" s="136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7" t="s">
        <v>87</v>
      </c>
      <c r="F172" s="156" t="s">
        <v>87</v>
      </c>
      <c r="G172" s="156">
        <v>8.5298437190000007E-2</v>
      </c>
      <c r="H172" s="156" t="s">
        <v>87</v>
      </c>
      <c r="I172" s="156">
        <v>5.2450613260000001E-2</v>
      </c>
      <c r="J172" s="156" t="s">
        <v>87</v>
      </c>
      <c r="K172" s="156">
        <v>3.9500213579999999E-2</v>
      </c>
      <c r="L172" s="156">
        <v>3.2934272280000003E-2</v>
      </c>
      <c r="M172" s="156">
        <v>2.9231474059999998E-2</v>
      </c>
      <c r="N172" s="138" cm="1">
        <f t="array" aca="1" ref="N172:AE172" ca="1">IF(OR(B172="",NOT($J$2)),"",GetStripDefaultProbability(A172,B172,Parameter_Date,CDSRollDate,E172:M172,SpreadCurveMaturities,D172,C172,$J$4,$J$6))</f>
        <v>0</v>
      </c>
      <c r="O172" s="163">
        <f ca="1"/>
        <v>0</v>
      </c>
      <c r="P172" s="163">
        <f ca="1"/>
        <v>0.14482341319914216</v>
      </c>
      <c r="Q172" s="163">
        <f ca="1"/>
        <v>0</v>
      </c>
      <c r="R172" s="163">
        <f ca="1"/>
        <v>0.22819227041731838</v>
      </c>
      <c r="S172" s="163">
        <f ca="1"/>
        <v>0</v>
      </c>
      <c r="T172" s="163">
        <f ca="1"/>
        <v>0.26353749330159848</v>
      </c>
      <c r="U172" s="163">
        <f ca="1"/>
        <v>0.28878131551280128</v>
      </c>
      <c r="V172" s="139">
        <f ca="1"/>
        <v>0.34394074184249945</v>
      </c>
      <c r="W172" s="138">
        <f ca="1"/>
        <v>0</v>
      </c>
      <c r="X172" s="163">
        <f ca="1"/>
        <v>0</v>
      </c>
      <c r="Y172" s="163">
        <f ca="1"/>
        <v>0.15148654994409771</v>
      </c>
      <c r="Z172" s="163">
        <f ca="1"/>
        <v>0</v>
      </c>
      <c r="AA172" s="163">
        <f ca="1"/>
        <v>0.23775250653845936</v>
      </c>
      <c r="AB172" s="163">
        <f ca="1"/>
        <v>0</v>
      </c>
      <c r="AC172" s="163">
        <f ca="1"/>
        <v>0.27398241207385954</v>
      </c>
      <c r="AD172" s="163">
        <f ca="1"/>
        <v>0.29977242745227317</v>
      </c>
      <c r="AE172" s="139">
        <f ca="1"/>
        <v>0.35640303719982125</v>
      </c>
      <c r="AI172" s="136"/>
      <c r="AK172" s="136"/>
      <c r="AM172" s="136"/>
      <c r="AN172" s="136"/>
      <c r="AO172" s="136"/>
      <c r="AR172" s="136"/>
      <c r="AT172" s="136"/>
      <c r="AV172" s="136"/>
      <c r="AW172" s="136"/>
      <c r="AX172" s="136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7" t="s">
        <v>87</v>
      </c>
      <c r="F173" s="156" t="s">
        <v>87</v>
      </c>
      <c r="G173" s="156">
        <v>9.8200000000000002E-4</v>
      </c>
      <c r="H173" s="156" t="s">
        <v>87</v>
      </c>
      <c r="I173" s="156">
        <v>3.1849999999999999E-3</v>
      </c>
      <c r="J173" s="156" t="s">
        <v>87</v>
      </c>
      <c r="K173" s="156">
        <v>4.5840000000000004E-3</v>
      </c>
      <c r="L173" s="156">
        <v>5.8869999999999999E-3</v>
      </c>
      <c r="M173" s="156">
        <v>7.3340000000000002E-3</v>
      </c>
      <c r="N173" s="138" cm="1">
        <f t="array" aca="1" ref="N173:AE173" ca="1">IF(OR(B173="",NOT($J$2)),"",GetStripDefaultProbability(A173,B173,Parameter_Date,CDSRollDate,E173:M173,SpreadCurveMaturities,D173,C173,$J$4,$J$6))</f>
        <v>0</v>
      </c>
      <c r="O173" s="163">
        <f ca="1"/>
        <v>0</v>
      </c>
      <c r="P173" s="163">
        <f ca="1"/>
        <v>1.7995863084349084E-3</v>
      </c>
      <c r="Q173" s="163">
        <f ca="1"/>
        <v>0</v>
      </c>
      <c r="R173" s="163">
        <f ca="1"/>
        <v>1.6710541388546551E-2</v>
      </c>
      <c r="S173" s="163">
        <f ca="1"/>
        <v>0</v>
      </c>
      <c r="T173" s="163">
        <f ca="1"/>
        <v>3.9802396444192256E-2</v>
      </c>
      <c r="U173" s="163">
        <f ca="1"/>
        <v>7.1547290251290141E-2</v>
      </c>
      <c r="V173" s="139">
        <f ca="1"/>
        <v>0.12664028501159708</v>
      </c>
      <c r="W173" s="138">
        <f ca="1"/>
        <v>0</v>
      </c>
      <c r="X173" s="163">
        <f ca="1"/>
        <v>0</v>
      </c>
      <c r="Y173" s="163">
        <f ca="1"/>
        <v>1.965939180911036E-3</v>
      </c>
      <c r="Z173" s="163">
        <f ca="1"/>
        <v>0</v>
      </c>
      <c r="AA173" s="163">
        <f ca="1"/>
        <v>1.7532635975952005E-2</v>
      </c>
      <c r="AB173" s="163">
        <f ca="1"/>
        <v>0</v>
      </c>
      <c r="AC173" s="163">
        <f ca="1"/>
        <v>4.1750284903871226E-2</v>
      </c>
      <c r="AD173" s="163">
        <f ca="1"/>
        <v>7.5010478168800576E-2</v>
      </c>
      <c r="AE173" s="139">
        <f ca="1"/>
        <v>0.13265705881538026</v>
      </c>
      <c r="AI173" s="136"/>
      <c r="AK173" s="136"/>
      <c r="AM173" s="136"/>
      <c r="AN173" s="136"/>
      <c r="AO173" s="136"/>
      <c r="AR173" s="136"/>
      <c r="AT173" s="136"/>
      <c r="AV173" s="136"/>
      <c r="AW173" s="136"/>
      <c r="AX173" s="136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7" t="s">
        <v>87</v>
      </c>
      <c r="F174" s="156" t="s">
        <v>87</v>
      </c>
      <c r="G174" s="156">
        <v>1.206E-3</v>
      </c>
      <c r="H174" s="156" t="s">
        <v>87</v>
      </c>
      <c r="I174" s="156">
        <v>2.8470000000000001E-3</v>
      </c>
      <c r="J174" s="156" t="s">
        <v>87</v>
      </c>
      <c r="K174" s="156">
        <v>4.6800000000000001E-3</v>
      </c>
      <c r="L174" s="156">
        <v>6.2880000000000002E-3</v>
      </c>
      <c r="M174" s="156">
        <v>7.5170000000000002E-3</v>
      </c>
      <c r="N174" s="138" cm="1">
        <f t="array" aca="1" ref="N174:AE174" ca="1">IF(OR(B174="",NOT($J$2)),"",GetStripDefaultProbability(A174,B174,Parameter_Date,CDSRollDate,E174:M174,SpreadCurveMaturities,D174,C174,$J$4,$J$6))</f>
        <v>0</v>
      </c>
      <c r="O174" s="163">
        <f ca="1"/>
        <v>0</v>
      </c>
      <c r="P174" s="163">
        <f ca="1"/>
        <v>2.2096323627830428E-3</v>
      </c>
      <c r="Q174" s="163">
        <f ca="1"/>
        <v>0</v>
      </c>
      <c r="R174" s="163">
        <f ca="1"/>
        <v>1.490029707589835E-2</v>
      </c>
      <c r="S174" s="163">
        <f ca="1"/>
        <v>0</v>
      </c>
      <c r="T174" s="163">
        <f ca="1"/>
        <v>4.0837858936423332E-2</v>
      </c>
      <c r="U174" s="163">
        <f ca="1"/>
        <v>7.6856996779538944E-2</v>
      </c>
      <c r="V174" s="139">
        <f ca="1"/>
        <v>0.12933141197890674</v>
      </c>
      <c r="W174" s="138">
        <f ca="1"/>
        <v>0</v>
      </c>
      <c r="X174" s="163">
        <f ca="1"/>
        <v>0</v>
      </c>
      <c r="Y174" s="163">
        <f ca="1"/>
        <v>2.3759168999586411E-3</v>
      </c>
      <c r="Z174" s="163">
        <f ca="1"/>
        <v>0</v>
      </c>
      <c r="AA174" s="163">
        <f ca="1"/>
        <v>1.5634975024764297E-2</v>
      </c>
      <c r="AB174" s="163">
        <f ca="1"/>
        <v>0</v>
      </c>
      <c r="AC174" s="163">
        <f ca="1"/>
        <v>4.2837724168593216E-2</v>
      </c>
      <c r="AD174" s="163">
        <f ca="1"/>
        <v>8.0574654777129662E-2</v>
      </c>
      <c r="AE174" s="139">
        <f ca="1"/>
        <v>0.13546787368258018</v>
      </c>
      <c r="AI174" s="136"/>
      <c r="AK174" s="136"/>
      <c r="AM174" s="136"/>
      <c r="AN174" s="136"/>
      <c r="AO174" s="136"/>
      <c r="AR174" s="136"/>
      <c r="AT174" s="136"/>
      <c r="AV174" s="136"/>
      <c r="AW174" s="136"/>
      <c r="AX174" s="136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7" t="s">
        <v>87</v>
      </c>
      <c r="F175" s="156" t="s">
        <v>87</v>
      </c>
      <c r="G175" s="156">
        <v>5.0299999999999997E-4</v>
      </c>
      <c r="H175" s="156" t="s">
        <v>87</v>
      </c>
      <c r="I175" s="156">
        <v>2.1450000000000002E-3</v>
      </c>
      <c r="J175" s="156" t="s">
        <v>87</v>
      </c>
      <c r="K175" s="156">
        <v>2.9429999999999999E-3</v>
      </c>
      <c r="L175" s="156">
        <v>3.8409999999999998E-3</v>
      </c>
      <c r="M175" s="156">
        <v>4.9890000000000004E-3</v>
      </c>
      <c r="N175" s="138" cm="1">
        <f t="array" aca="1" ref="N175:AE175" ca="1">IF(OR(B175="",NOT($J$2)),"",GetStripDefaultProbability(A175,B175,Parameter_Date,CDSRollDate,E175:M175,SpreadCurveMaturities,D175,C175,$J$4,$J$6))</f>
        <v>0</v>
      </c>
      <c r="O175" s="163">
        <f ca="1"/>
        <v>0</v>
      </c>
      <c r="P175" s="163">
        <f ca="1"/>
        <v>9.2218581872538508E-4</v>
      </c>
      <c r="Q175" s="163">
        <f ca="1"/>
        <v>0</v>
      </c>
      <c r="R175" s="163">
        <f ca="1"/>
        <v>1.1298652730092007E-2</v>
      </c>
      <c r="S175" s="163">
        <f ca="1"/>
        <v>0</v>
      </c>
      <c r="T175" s="163">
        <f ca="1"/>
        <v>2.5648243399278514E-2</v>
      </c>
      <c r="U175" s="163">
        <f ca="1"/>
        <v>4.713488724404058E-2</v>
      </c>
      <c r="V175" s="139">
        <f ca="1"/>
        <v>8.8031490688050495E-2</v>
      </c>
      <c r="W175" s="138">
        <f ca="1"/>
        <v>0</v>
      </c>
      <c r="X175" s="163">
        <f ca="1"/>
        <v>0</v>
      </c>
      <c r="Y175" s="163">
        <f ca="1"/>
        <v>1.0886849124411846E-3</v>
      </c>
      <c r="Z175" s="163">
        <f ca="1"/>
        <v>0</v>
      </c>
      <c r="AA175" s="163">
        <f ca="1"/>
        <v>1.185113032548657E-2</v>
      </c>
      <c r="AB175" s="163">
        <f ca="1"/>
        <v>0</v>
      </c>
      <c r="AC175" s="163">
        <f ca="1"/>
        <v>2.6906508839579235E-2</v>
      </c>
      <c r="AD175" s="163">
        <f ca="1"/>
        <v>4.9435875276649388E-2</v>
      </c>
      <c r="AE175" s="139">
        <f ca="1"/>
        <v>9.2280491065212633E-2</v>
      </c>
      <c r="AI175" s="136"/>
      <c r="AK175" s="136"/>
      <c r="AM175" s="136"/>
      <c r="AN175" s="136"/>
      <c r="AO175" s="136"/>
      <c r="AR175" s="136"/>
      <c r="AT175" s="136"/>
      <c r="AV175" s="136"/>
      <c r="AW175" s="136"/>
      <c r="AX175" s="136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7" t="s">
        <v>87</v>
      </c>
      <c r="F176" s="156" t="s">
        <v>87</v>
      </c>
      <c r="G176" s="156">
        <v>1.5280000000000001E-3</v>
      </c>
      <c r="H176" s="156" t="s">
        <v>87</v>
      </c>
      <c r="I176" s="156">
        <v>2.96E-3</v>
      </c>
      <c r="J176" s="156" t="s">
        <v>87</v>
      </c>
      <c r="K176" s="156">
        <v>4.5840000000000004E-3</v>
      </c>
      <c r="L176" s="156">
        <v>5.6340000000000001E-3</v>
      </c>
      <c r="M176" s="156">
        <v>7.4009999999999996E-3</v>
      </c>
      <c r="N176" s="138" cm="1">
        <f t="array" aca="1" ref="N176:AE176" ca="1">IF(OR(B176="",NOT($J$2)),"",GetStripDefaultProbability(A176,B176,Parameter_Date,CDSRollDate,E176:M176,SpreadCurveMaturities,D176,C176,$J$4,$J$6))</f>
        <v>0</v>
      </c>
      <c r="O176" s="163">
        <f ca="1"/>
        <v>0</v>
      </c>
      <c r="P176" s="163">
        <f ca="1"/>
        <v>2.7987809715404044E-3</v>
      </c>
      <c r="Q176" s="163">
        <f ca="1"/>
        <v>0</v>
      </c>
      <c r="R176" s="163">
        <f ca="1"/>
        <v>1.5449072373406536E-2</v>
      </c>
      <c r="S176" s="163">
        <f ca="1"/>
        <v>0</v>
      </c>
      <c r="T176" s="163">
        <f ca="1"/>
        <v>3.9857089191893791E-2</v>
      </c>
      <c r="U176" s="163">
        <f ca="1"/>
        <v>6.8288623446594476E-2</v>
      </c>
      <c r="V176" s="139">
        <f ca="1"/>
        <v>0.12854746476346079</v>
      </c>
      <c r="W176" s="138">
        <f ca="1"/>
        <v>0</v>
      </c>
      <c r="X176" s="163">
        <f ca="1"/>
        <v>0</v>
      </c>
      <c r="Y176" s="163">
        <f ca="1"/>
        <v>2.9649673254783515E-3</v>
      </c>
      <c r="Z176" s="163">
        <f ca="1"/>
        <v>0</v>
      </c>
      <c r="AA176" s="163">
        <f ca="1"/>
        <v>1.6212917082338629E-2</v>
      </c>
      <c r="AB176" s="163">
        <f ca="1"/>
        <v>0</v>
      </c>
      <c r="AC176" s="163">
        <f ca="1"/>
        <v>4.1811392899942623E-2</v>
      </c>
      <c r="AD176" s="163">
        <f ca="1"/>
        <v>7.1601745899556146E-2</v>
      </c>
      <c r="AE176" s="139">
        <f ca="1"/>
        <v>0.13466322669398711</v>
      </c>
      <c r="AI176" s="136"/>
      <c r="AK176" s="136"/>
      <c r="AM176" s="136"/>
      <c r="AN176" s="136"/>
      <c r="AO176" s="136"/>
      <c r="AR176" s="136"/>
      <c r="AT176" s="136"/>
      <c r="AV176" s="136"/>
      <c r="AW176" s="136"/>
      <c r="AX176" s="136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7" t="s">
        <v>87</v>
      </c>
      <c r="F177" s="156" t="s">
        <v>87</v>
      </c>
      <c r="G177" s="156">
        <v>5.3899999999999998E-4</v>
      </c>
      <c r="H177" s="156" t="s">
        <v>87</v>
      </c>
      <c r="I177" s="156">
        <v>1.8E-3</v>
      </c>
      <c r="J177" s="156" t="s">
        <v>87</v>
      </c>
      <c r="K177" s="156">
        <v>2.6059999999999998E-3</v>
      </c>
      <c r="L177" s="156">
        <v>3.2690000000000002E-3</v>
      </c>
      <c r="M177" s="156">
        <v>3.885E-3</v>
      </c>
      <c r="N177" s="138" cm="1">
        <f t="array" aca="1" ref="N177:AE177" ca="1">IF(OR(B177="",NOT($J$2)),"",GetStripDefaultProbability(A177,B177,Parameter_Date,CDSRollDate,E177:M177,SpreadCurveMaturities,D177,C177,$J$4,$J$6))</f>
        <v>0</v>
      </c>
      <c r="O177" s="163">
        <f ca="1"/>
        <v>0</v>
      </c>
      <c r="P177" s="163">
        <f ca="1"/>
        <v>9.881548177296251E-4</v>
      </c>
      <c r="Q177" s="163">
        <f ca="1"/>
        <v>0</v>
      </c>
      <c r="R177" s="163">
        <f ca="1"/>
        <v>9.4714351965353716E-3</v>
      </c>
      <c r="S177" s="163">
        <f ca="1"/>
        <v>0</v>
      </c>
      <c r="T177" s="163">
        <f ca="1"/>
        <v>2.2779670574595179E-2</v>
      </c>
      <c r="U177" s="163">
        <f ca="1"/>
        <v>4.0105807822360506E-2</v>
      </c>
      <c r="V177" s="139">
        <f ca="1"/>
        <v>6.8025578380477625E-2</v>
      </c>
      <c r="W177" s="138">
        <f ca="1"/>
        <v>0</v>
      </c>
      <c r="X177" s="163">
        <f ca="1"/>
        <v>0</v>
      </c>
      <c r="Y177" s="163">
        <f ca="1"/>
        <v>1.1546429175129935E-3</v>
      </c>
      <c r="Z177" s="163">
        <f ca="1"/>
        <v>0</v>
      </c>
      <c r="AA177" s="163">
        <f ca="1"/>
        <v>9.9866975810929404E-3</v>
      </c>
      <c r="AB177" s="163">
        <f ca="1"/>
        <v>0</v>
      </c>
      <c r="AC177" s="163">
        <f ca="1"/>
        <v>2.38923539254563E-2</v>
      </c>
      <c r="AD177" s="163">
        <f ca="1"/>
        <v>4.2062616004772124E-2</v>
      </c>
      <c r="AE177" s="139">
        <f ca="1"/>
        <v>7.130759150099053E-2</v>
      </c>
      <c r="AI177" s="136"/>
      <c r="AK177" s="136"/>
      <c r="AM177" s="136"/>
      <c r="AN177" s="136"/>
      <c r="AO177" s="136"/>
      <c r="AR177" s="136"/>
      <c r="AT177" s="136"/>
      <c r="AV177" s="136"/>
      <c r="AW177" s="136"/>
      <c r="AX177" s="136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7" t="s">
        <v>87</v>
      </c>
      <c r="F178" s="156" t="s">
        <v>87</v>
      </c>
      <c r="G178" s="156">
        <v>6.2E-4</v>
      </c>
      <c r="H178" s="156" t="s">
        <v>87</v>
      </c>
      <c r="I178" s="156">
        <v>1.565E-3</v>
      </c>
      <c r="J178" s="156" t="s">
        <v>87</v>
      </c>
      <c r="K178" s="156">
        <v>2.1710000000000002E-3</v>
      </c>
      <c r="L178" s="156">
        <v>2.8279999999999998E-3</v>
      </c>
      <c r="M178" s="156">
        <v>3.6359999999999999E-3</v>
      </c>
      <c r="N178" s="138" cm="1">
        <f t="array" aca="1" ref="N178:AE178" ca="1">IF(OR(B178="",NOT($J$2)),"",GetStripDefaultProbability(A178,B178,Parameter_Date,CDSRollDate,E178:M178,SpreadCurveMaturities,D178,C178,$J$4,$J$6))</f>
        <v>0</v>
      </c>
      <c r="O178" s="163">
        <f ca="1"/>
        <v>0</v>
      </c>
      <c r="P178" s="163">
        <f ca="1"/>
        <v>1.1365692640072922E-3</v>
      </c>
      <c r="Q178" s="163">
        <f ca="1"/>
        <v>0</v>
      </c>
      <c r="R178" s="163">
        <f ca="1"/>
        <v>8.217996140760242E-3</v>
      </c>
      <c r="S178" s="163">
        <f ca="1"/>
        <v>0</v>
      </c>
      <c r="T178" s="163">
        <f ca="1"/>
        <v>1.8943059641820859E-2</v>
      </c>
      <c r="U178" s="163">
        <f ca="1"/>
        <v>3.4826465755689373E-2</v>
      </c>
      <c r="V178" s="139">
        <f ca="1"/>
        <v>6.4592554885072762E-2</v>
      </c>
      <c r="W178" s="138">
        <f ca="1"/>
        <v>0</v>
      </c>
      <c r="X178" s="163">
        <f ca="1"/>
        <v>0</v>
      </c>
      <c r="Y178" s="163">
        <f ca="1"/>
        <v>1.3030326301095574E-3</v>
      </c>
      <c r="Z178" s="163">
        <f ca="1"/>
        <v>0</v>
      </c>
      <c r="AA178" s="163">
        <f ca="1"/>
        <v>8.7339150679704991E-3</v>
      </c>
      <c r="AB178" s="163">
        <f ca="1"/>
        <v>0</v>
      </c>
      <c r="AC178" s="163">
        <f ca="1"/>
        <v>1.9861490440558405E-2</v>
      </c>
      <c r="AD178" s="163">
        <f ca="1"/>
        <v>3.65216872034968E-2</v>
      </c>
      <c r="AE178" s="139">
        <f ca="1"/>
        <v>6.7709369436448119E-2</v>
      </c>
      <c r="AI178" s="136"/>
      <c r="AK178" s="136"/>
      <c r="AM178" s="136"/>
      <c r="AN178" s="136"/>
      <c r="AO178" s="136"/>
      <c r="AR178" s="136"/>
      <c r="AT178" s="136"/>
      <c r="AV178" s="136"/>
      <c r="AW178" s="136"/>
      <c r="AX178" s="136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7" t="s">
        <v>87</v>
      </c>
      <c r="F179" s="156" t="s">
        <v>87</v>
      </c>
      <c r="G179" s="156">
        <v>1.0510000000000001E-3</v>
      </c>
      <c r="H179" s="156" t="s">
        <v>87</v>
      </c>
      <c r="I179" s="156">
        <v>2.1979999999999999E-3</v>
      </c>
      <c r="J179" s="156" t="s">
        <v>87</v>
      </c>
      <c r="K179" s="156">
        <v>3.2330000000000002E-3</v>
      </c>
      <c r="L179" s="156">
        <v>4.267E-3</v>
      </c>
      <c r="M179" s="156">
        <v>5.1720000000000004E-3</v>
      </c>
      <c r="N179" s="138" cm="1">
        <f t="array" aca="1" ref="N179:AE179" ca="1">IF(OR(B179="",NOT($J$2)),"",GetStripDefaultProbability(A179,B179,Parameter_Date,CDSRollDate,E179:M179,SpreadCurveMaturities,D179,C179,$J$4,$J$6))</f>
        <v>0</v>
      </c>
      <c r="O179" s="163">
        <f ca="1"/>
        <v>0</v>
      </c>
      <c r="P179" s="163">
        <f ca="1"/>
        <v>1.9259129445186041E-3</v>
      </c>
      <c r="Q179" s="163">
        <f ca="1"/>
        <v>0</v>
      </c>
      <c r="R179" s="163">
        <f ca="1"/>
        <v>1.1502183780383257E-2</v>
      </c>
      <c r="S179" s="163">
        <f ca="1"/>
        <v>0</v>
      </c>
      <c r="T179" s="163">
        <f ca="1"/>
        <v>2.8169978512945337E-2</v>
      </c>
      <c r="U179" s="163">
        <f ca="1"/>
        <v>5.2342835267629284E-2</v>
      </c>
      <c r="V179" s="139">
        <f ca="1"/>
        <v>9.0307261910918757E-2</v>
      </c>
      <c r="W179" s="138">
        <f ca="1"/>
        <v>0</v>
      </c>
      <c r="X179" s="163">
        <f ca="1"/>
        <v>0</v>
      </c>
      <c r="Y179" s="163">
        <f ca="1"/>
        <v>2.0922447643286768E-3</v>
      </c>
      <c r="Z179" s="163">
        <f ca="1"/>
        <v>0</v>
      </c>
      <c r="AA179" s="163">
        <f ca="1"/>
        <v>1.2068380233257514E-2</v>
      </c>
      <c r="AB179" s="163">
        <f ca="1"/>
        <v>0</v>
      </c>
      <c r="AC179" s="163">
        <f ca="1"/>
        <v>2.9554858180978916E-2</v>
      </c>
      <c r="AD179" s="163">
        <f ca="1"/>
        <v>5.4897550516143201E-2</v>
      </c>
      <c r="AE179" s="139">
        <f ca="1"/>
        <v>9.4634256407599815E-2</v>
      </c>
      <c r="AI179" s="136"/>
      <c r="AK179" s="136"/>
      <c r="AM179" s="136"/>
      <c r="AN179" s="136"/>
      <c r="AO179" s="136"/>
      <c r="AR179" s="136"/>
      <c r="AT179" s="136"/>
      <c r="AV179" s="136"/>
      <c r="AW179" s="136"/>
      <c r="AX179" s="136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7" t="s">
        <v>87</v>
      </c>
      <c r="F180" s="156" t="s">
        <v>87</v>
      </c>
      <c r="G180" s="156">
        <v>3.6499999999999998E-4</v>
      </c>
      <c r="H180" s="156" t="s">
        <v>87</v>
      </c>
      <c r="I180" s="156">
        <v>2.3809999999999999E-3</v>
      </c>
      <c r="J180" s="156" t="s">
        <v>87</v>
      </c>
      <c r="K180" s="156">
        <v>3.0400000000000002E-3</v>
      </c>
      <c r="L180" s="156">
        <v>3.901E-3</v>
      </c>
      <c r="M180" s="156">
        <v>4.914E-3</v>
      </c>
      <c r="N180" s="138" cm="1">
        <f t="array" aca="1" ref="N180:AE180" ca="1">IF(OR(B180="",NOT($J$2)),"",GetStripDefaultProbability(A180,B180,Parameter_Date,CDSRollDate,E180:M180,SpreadCurveMaturities,D180,C180,$J$4,$J$6))</f>
        <v>0</v>
      </c>
      <c r="O180" s="163">
        <f ca="1"/>
        <v>0</v>
      </c>
      <c r="P180" s="163">
        <f ca="1"/>
        <v>6.6926460984739755E-4</v>
      </c>
      <c r="Q180" s="163">
        <f ca="1"/>
        <v>0</v>
      </c>
      <c r="R180" s="163">
        <f ca="1"/>
        <v>1.2563325962694272E-2</v>
      </c>
      <c r="S180" s="163">
        <f ca="1"/>
        <v>0</v>
      </c>
      <c r="T180" s="163">
        <f ca="1"/>
        <v>2.6411769359492188E-2</v>
      </c>
      <c r="U180" s="163">
        <f ca="1"/>
        <v>4.7705400517291441E-2</v>
      </c>
      <c r="V180" s="139">
        <f ca="1"/>
        <v>8.6228068865718099E-2</v>
      </c>
      <c r="W180" s="138">
        <f ca="1"/>
        <v>0</v>
      </c>
      <c r="X180" s="163">
        <f ca="1"/>
        <v>0</v>
      </c>
      <c r="Y180" s="163">
        <f ca="1"/>
        <v>8.3580585359255277E-4</v>
      </c>
      <c r="Z180" s="163">
        <f ca="1"/>
        <v>0</v>
      </c>
      <c r="AA180" s="163">
        <f ca="1"/>
        <v>1.3177249597581042E-2</v>
      </c>
      <c r="AB180" s="163">
        <f ca="1"/>
        <v>0</v>
      </c>
      <c r="AC180" s="163">
        <f ca="1"/>
        <v>2.7706190358341987E-2</v>
      </c>
      <c r="AD180" s="163">
        <f ca="1"/>
        <v>5.0031948410683924E-2</v>
      </c>
      <c r="AE180" s="139">
        <f ca="1"/>
        <v>9.0361874022336974E-2</v>
      </c>
      <c r="AI180" s="136"/>
      <c r="AK180" s="136"/>
      <c r="AM180" s="136"/>
      <c r="AN180" s="136"/>
      <c r="AO180" s="136"/>
      <c r="AR180" s="136"/>
      <c r="AT180" s="136"/>
      <c r="AV180" s="136"/>
      <c r="AW180" s="136"/>
      <c r="AX180" s="136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7" t="s">
        <v>87</v>
      </c>
      <c r="F181" s="156" t="s">
        <v>87</v>
      </c>
      <c r="G181" s="156">
        <v>1.371E-3</v>
      </c>
      <c r="H181" s="156" t="s">
        <v>87</v>
      </c>
      <c r="I181" s="156">
        <v>1.9380000000000001E-3</v>
      </c>
      <c r="J181" s="156" t="s">
        <v>87</v>
      </c>
      <c r="K181" s="156">
        <v>3.3289999999999999E-3</v>
      </c>
      <c r="L181" s="156">
        <v>4.4219999999999997E-3</v>
      </c>
      <c r="M181" s="156">
        <v>5.3169999999999997E-3</v>
      </c>
      <c r="N181" s="138" cm="1">
        <f t="array" aca="1" ref="N181:AE181" ca="1">IF(OR(B181="",NOT($J$2)),"",GetStripDefaultProbability(A181,B181,Parameter_Date,CDSRollDate,E181:M181,SpreadCurveMaturities,D181,C181,$J$4,$J$6))</f>
        <v>0</v>
      </c>
      <c r="O181" s="163">
        <f ca="1"/>
        <v>0</v>
      </c>
      <c r="P181" s="163">
        <f ca="1"/>
        <v>2.5115683804760591E-3</v>
      </c>
      <c r="Q181" s="163">
        <f ca="1"/>
        <v>0</v>
      </c>
      <c r="R181" s="163">
        <f ca="1"/>
        <v>1.0085876077197575E-2</v>
      </c>
      <c r="S181" s="163">
        <f ca="1"/>
        <v>0</v>
      </c>
      <c r="T181" s="163">
        <f ca="1"/>
        <v>2.9145467098384392E-2</v>
      </c>
      <c r="U181" s="163">
        <f ca="1"/>
        <v>5.4391719250524773E-2</v>
      </c>
      <c r="V181" s="139">
        <f ca="1"/>
        <v>9.2818549981544374E-2</v>
      </c>
      <c r="W181" s="138">
        <f ca="1"/>
        <v>0</v>
      </c>
      <c r="X181" s="163">
        <f ca="1"/>
        <v>0</v>
      </c>
      <c r="Y181" s="163">
        <f ca="1"/>
        <v>2.6778025991688326E-3</v>
      </c>
      <c r="Z181" s="163">
        <f ca="1"/>
        <v>0</v>
      </c>
      <c r="AA181" s="163">
        <f ca="1"/>
        <v>1.060058648155171E-2</v>
      </c>
      <c r="AB181" s="163">
        <f ca="1"/>
        <v>0</v>
      </c>
      <c r="AC181" s="163">
        <f ca="1"/>
        <v>3.0578478605943316E-2</v>
      </c>
      <c r="AD181" s="163">
        <f ca="1"/>
        <v>5.7046112193716136E-2</v>
      </c>
      <c r="AE181" s="139">
        <f ca="1"/>
        <v>9.726254694066927E-2</v>
      </c>
      <c r="AI181" s="136"/>
      <c r="AK181" s="136"/>
      <c r="AM181" s="136"/>
      <c r="AN181" s="136"/>
      <c r="AO181" s="136"/>
      <c r="AR181" s="136"/>
      <c r="AT181" s="136"/>
      <c r="AV181" s="136"/>
      <c r="AW181" s="136"/>
      <c r="AX181" s="136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7" t="s">
        <v>87</v>
      </c>
      <c r="F182" s="156" t="s">
        <v>87</v>
      </c>
      <c r="G182" s="156">
        <v>4.4099999999999999E-4</v>
      </c>
      <c r="H182" s="156" t="s">
        <v>87</v>
      </c>
      <c r="I182" s="156">
        <v>1.4480000000000001E-3</v>
      </c>
      <c r="J182" s="156" t="s">
        <v>87</v>
      </c>
      <c r="K182" s="156">
        <v>2.0270000000000002E-3</v>
      </c>
      <c r="L182" s="156">
        <v>2.7499999999999998E-3</v>
      </c>
      <c r="M182" s="156">
        <v>3.6189999999999998E-3</v>
      </c>
      <c r="N182" s="138" cm="1">
        <f t="array" aca="1" ref="N182:AE182" ca="1">IF(OR(B182="",NOT($J$2)),"",GetStripDefaultProbability(A182,B182,Parameter_Date,CDSRollDate,E182:M182,SpreadCurveMaturities,D182,C182,$J$4,$J$6))</f>
        <v>0</v>
      </c>
      <c r="O182" s="163">
        <f ca="1"/>
        <v>0</v>
      </c>
      <c r="P182" s="163">
        <f ca="1"/>
        <v>8.0856241005566876E-4</v>
      </c>
      <c r="Q182" s="163">
        <f ca="1"/>
        <v>0</v>
      </c>
      <c r="R182" s="163">
        <f ca="1"/>
        <v>7.6234044100175202E-3</v>
      </c>
      <c r="S182" s="163">
        <f ca="1"/>
        <v>0</v>
      </c>
      <c r="T182" s="163">
        <f ca="1"/>
        <v>1.7721321643061172E-2</v>
      </c>
      <c r="U182" s="163">
        <f ca="1"/>
        <v>3.4031630906177002E-2</v>
      </c>
      <c r="V182" s="139">
        <f ca="1"/>
        <v>6.4664220071611656E-2</v>
      </c>
      <c r="W182" s="138">
        <f ca="1"/>
        <v>0</v>
      </c>
      <c r="X182" s="163">
        <f ca="1"/>
        <v>0</v>
      </c>
      <c r="Y182" s="163">
        <f ca="1"/>
        <v>9.7508043941274547E-4</v>
      </c>
      <c r="Z182" s="163">
        <f ca="1"/>
        <v>0</v>
      </c>
      <c r="AA182" s="163">
        <f ca="1"/>
        <v>8.1396891926508452E-3</v>
      </c>
      <c r="AB182" s="163">
        <f ca="1"/>
        <v>0</v>
      </c>
      <c r="AC182" s="163">
        <f ca="1"/>
        <v>1.8575355145862837E-2</v>
      </c>
      <c r="AD182" s="163">
        <f ca="1"/>
        <v>3.5684191245819563E-2</v>
      </c>
      <c r="AE182" s="139">
        <f ca="1"/>
        <v>6.7781256184311856E-2</v>
      </c>
      <c r="AI182" s="136"/>
      <c r="AK182" s="136"/>
      <c r="AM182" s="136"/>
      <c r="AN182" s="136"/>
      <c r="AO182" s="136"/>
      <c r="AR182" s="136"/>
      <c r="AT182" s="136"/>
      <c r="AV182" s="136"/>
      <c r="AW182" s="136"/>
      <c r="AX182" s="136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7" t="s">
        <v>87</v>
      </c>
      <c r="F183" s="156" t="s">
        <v>87</v>
      </c>
      <c r="G183" s="156">
        <v>7.6599999999999997E-4</v>
      </c>
      <c r="H183" s="156" t="s">
        <v>87</v>
      </c>
      <c r="I183" s="156">
        <v>2.5040000000000001E-3</v>
      </c>
      <c r="J183" s="156" t="s">
        <v>87</v>
      </c>
      <c r="K183" s="156">
        <v>3.2330000000000002E-3</v>
      </c>
      <c r="L183" s="156">
        <v>4.2339999999999999E-3</v>
      </c>
      <c r="M183" s="156">
        <v>5.1450000000000003E-3</v>
      </c>
      <c r="N183" s="138" cm="1">
        <f t="array" aca="1" ref="N183:AE183" ca="1">IF(OR(B183="",NOT($J$2)),"",GetStripDefaultProbability(A183,B183,Parameter_Date,CDSRollDate,E183:M183,SpreadCurveMaturities,D183,C183,$J$4,$J$6))</f>
        <v>0</v>
      </c>
      <c r="O183" s="163">
        <f ca="1"/>
        <v>0</v>
      </c>
      <c r="P183" s="163">
        <f ca="1"/>
        <v>1.4040264763934829E-3</v>
      </c>
      <c r="Q183" s="163">
        <f ca="1"/>
        <v>0</v>
      </c>
      <c r="R183" s="163">
        <f ca="1"/>
        <v>1.3155709435942908E-2</v>
      </c>
      <c r="S183" s="163">
        <f ca="1"/>
        <v>0</v>
      </c>
      <c r="T183" s="163">
        <f ca="1"/>
        <v>2.8033064035710376E-2</v>
      </c>
      <c r="U183" s="163">
        <f ca="1"/>
        <v>5.1767688839026271E-2</v>
      </c>
      <c r="V183" s="139">
        <f ca="1"/>
        <v>8.9708704508447146E-2</v>
      </c>
      <c r="W183" s="138">
        <f ca="1"/>
        <v>0</v>
      </c>
      <c r="X183" s="163">
        <f ca="1"/>
        <v>0</v>
      </c>
      <c r="Y183" s="163">
        <f ca="1"/>
        <v>1.5704452700175953E-3</v>
      </c>
      <c r="Z183" s="163">
        <f ca="1"/>
        <v>0</v>
      </c>
      <c r="AA183" s="163">
        <f ca="1"/>
        <v>1.3801532998057864E-2</v>
      </c>
      <c r="AB183" s="163">
        <f ca="1"/>
        <v>0</v>
      </c>
      <c r="AC183" s="163">
        <f ca="1"/>
        <v>2.9409037756552681E-2</v>
      </c>
      <c r="AD183" s="163">
        <f ca="1"/>
        <v>5.4291618523845786E-2</v>
      </c>
      <c r="AE183" s="139">
        <f ca="1"/>
        <v>9.400453908230999E-2</v>
      </c>
      <c r="AI183" s="136"/>
      <c r="AK183" s="136"/>
      <c r="AM183" s="136"/>
      <c r="AN183" s="136"/>
      <c r="AO183" s="136"/>
      <c r="AR183" s="136"/>
      <c r="AT183" s="136"/>
      <c r="AV183" s="136"/>
      <c r="AW183" s="136"/>
      <c r="AX183" s="136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7" t="s">
        <v>87</v>
      </c>
      <c r="F184" s="156" t="s">
        <v>87</v>
      </c>
      <c r="G184" s="156">
        <v>1.694E-3</v>
      </c>
      <c r="H184" s="156" t="s">
        <v>87</v>
      </c>
      <c r="I184" s="156">
        <v>4.3359999999999996E-3</v>
      </c>
      <c r="J184" s="156" t="s">
        <v>87</v>
      </c>
      <c r="K184" s="156">
        <v>7.3819999999999997E-3</v>
      </c>
      <c r="L184" s="156">
        <v>9.6019999999999994E-3</v>
      </c>
      <c r="M184" s="156">
        <v>1.2803E-2</v>
      </c>
      <c r="N184" s="138">
        <f t="array" aca="1" ref="N184:AE184" ca="1">IF(OR(B184="",NOT($J$2)),"",GetStripDefaultProbability(A184,B184,Parameter_Date,CDSRollDate,E184:M184,SpreadCurveMaturities,D184,C184,$J$4,$J$6))</f>
        <v>0</v>
      </c>
      <c r="O184" s="163">
        <f ca="1"/>
        <v>0</v>
      </c>
      <c r="P184" s="163">
        <f ca="1"/>
        <v>3.1023688162329366E-3</v>
      </c>
      <c r="Q184" s="163">
        <f ca="1"/>
        <v>0</v>
      </c>
      <c r="R184" s="163">
        <f ca="1"/>
        <v>2.2645844191151343E-2</v>
      </c>
      <c r="S184" s="163">
        <f ca="1"/>
        <v>0</v>
      </c>
      <c r="T184" s="163">
        <f ca="1"/>
        <v>6.4024991575246992E-2</v>
      </c>
      <c r="U184" s="163">
        <f ca="1"/>
        <v>0.11545960599864169</v>
      </c>
      <c r="V184" s="139">
        <f ca="1"/>
        <v>0.21674924148006691</v>
      </c>
      <c r="W184" s="138">
        <f ca="1"/>
        <v>0</v>
      </c>
      <c r="X184" s="163">
        <f ca="1"/>
        <v>0</v>
      </c>
      <c r="Y184" s="163">
        <f ca="1"/>
        <v>3.2685045764200282E-3</v>
      </c>
      <c r="Z184" s="163">
        <f ca="1"/>
        <v>0</v>
      </c>
      <c r="AA184" s="163">
        <f ca="1"/>
        <v>2.3763250858420237E-2</v>
      </c>
      <c r="AB184" s="163">
        <f ca="1"/>
        <v>0</v>
      </c>
      <c r="AC184" s="163">
        <f ca="1"/>
        <v>6.7132064886755827E-2</v>
      </c>
      <c r="AD184" s="163">
        <f ca="1"/>
        <v>0.12098763237462185</v>
      </c>
      <c r="AE184" s="139">
        <f ca="1"/>
        <v>0.2267102455449902</v>
      </c>
      <c r="AI184" s="136"/>
      <c r="AK184" s="136"/>
      <c r="AM184" s="136"/>
      <c r="AN184" s="136"/>
      <c r="AO184" s="136"/>
      <c r="AR184" s="136"/>
      <c r="AT184" s="136"/>
      <c r="AV184" s="136"/>
      <c r="AW184" s="136"/>
      <c r="AX184" s="136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7" t="s">
        <v>87</v>
      </c>
      <c r="F185" s="156">
        <v>5.5999999999999995E-4</v>
      </c>
      <c r="G185" s="156">
        <v>6.9999999999999999E-4</v>
      </c>
      <c r="H185" s="156">
        <v>1.1199999999999999E-3</v>
      </c>
      <c r="I185" s="156">
        <v>1.5399999999999999E-3</v>
      </c>
      <c r="J185" s="156" t="s">
        <v>87</v>
      </c>
      <c r="K185" s="156">
        <v>2.3700000000000001E-3</v>
      </c>
      <c r="L185" s="156">
        <v>2.65E-3</v>
      </c>
      <c r="M185" s="156">
        <v>3.0699999999999998E-3</v>
      </c>
      <c r="N185" s="138" cm="1">
        <f t="array" aca="1" ref="N185:AE185" ca="1">IF(OR(B185="",NOT($J$2)),"",GetStripDefaultProbability(A185,B185,Parameter_Date,CDSRollDate,E185:M185,SpreadCurveMaturities,D185,C185,$J$4,$J$6))</f>
        <v>0</v>
      </c>
      <c r="O185" s="163">
        <f ca="1"/>
        <v>5.5856534252274326E-4</v>
      </c>
      <c r="P185" s="163">
        <f ca="1"/>
        <v>1.2866833047004977E-3</v>
      </c>
      <c r="Q185" s="163">
        <f ca="1"/>
        <v>3.9672898452806082E-3</v>
      </c>
      <c r="R185" s="163">
        <f ca="1"/>
        <v>8.1129448072202459E-3</v>
      </c>
      <c r="S185" s="163">
        <f ca="1"/>
        <v>0</v>
      </c>
      <c r="T185" s="163">
        <f ca="1"/>
        <v>2.079731737865087E-2</v>
      </c>
      <c r="U185" s="163">
        <f ca="1"/>
        <v>3.2285294150445565E-2</v>
      </c>
      <c r="V185" s="139">
        <f ca="1"/>
        <v>5.3514130244475711E-2</v>
      </c>
      <c r="W185" s="138">
        <f ca="1"/>
        <v>0</v>
      </c>
      <c r="X185" s="163">
        <f ca="1"/>
        <v>6.5827560380493644E-4</v>
      </c>
      <c r="Y185" s="163">
        <f ca="1"/>
        <v>1.4531216539086511E-3</v>
      </c>
      <c r="Z185" s="163">
        <f ca="1"/>
        <v>4.3177663315344672E-3</v>
      </c>
      <c r="AA185" s="163">
        <f ca="1"/>
        <v>8.6286678275359074E-3</v>
      </c>
      <c r="AB185" s="163">
        <f ca="1"/>
        <v>0</v>
      </c>
      <c r="AC185" s="163">
        <f ca="1"/>
        <v>2.1804154250698926E-2</v>
      </c>
      <c r="AD185" s="163">
        <f ca="1"/>
        <v>3.3853532267608344E-2</v>
      </c>
      <c r="AE185" s="139">
        <f ca="1"/>
        <v>5.6099792791472369E-2</v>
      </c>
      <c r="AH185" s="136"/>
      <c r="AI185" s="136"/>
      <c r="AJ185" s="136"/>
      <c r="AK185" s="136"/>
      <c r="AM185" s="136"/>
      <c r="AN185" s="136"/>
      <c r="AO185" s="136"/>
      <c r="AQ185" s="136"/>
      <c r="AR185" s="136"/>
      <c r="AS185" s="136"/>
      <c r="AT185" s="136"/>
      <c r="AV185" s="136"/>
      <c r="AW185" s="136"/>
      <c r="AX185" s="136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7" t="s">
        <v>87</v>
      </c>
      <c r="F186" s="156" t="s">
        <v>87</v>
      </c>
      <c r="G186" s="156">
        <v>3.5379999999999999E-3</v>
      </c>
      <c r="H186" s="156" t="s">
        <v>87</v>
      </c>
      <c r="I186" s="156">
        <v>6.4209999999999996E-3</v>
      </c>
      <c r="J186" s="156" t="s">
        <v>87</v>
      </c>
      <c r="K186" s="156">
        <v>1.0614999999999999E-2</v>
      </c>
      <c r="L186" s="156">
        <v>1.2324E-2</v>
      </c>
      <c r="M186" s="156">
        <v>1.4395E-2</v>
      </c>
      <c r="N186" s="138" cm="1">
        <f t="array" aca="1" ref="N186:AE186" ca="1">IF(OR(B186="",NOT($J$2)),"",GetStripDefaultProbability(A186,B186,Parameter_Date,CDSRollDate,E186:M186,SpreadCurveMaturities,D186,C186,$J$4,$J$6))</f>
        <v>0</v>
      </c>
      <c r="O186" s="163">
        <f ca="1"/>
        <v>0</v>
      </c>
      <c r="P186" s="163">
        <f ca="1"/>
        <v>6.4686028818313757E-3</v>
      </c>
      <c r="Q186" s="163">
        <f ca="1"/>
        <v>0</v>
      </c>
      <c r="R186" s="163">
        <f ca="1"/>
        <v>3.3233062582516015E-2</v>
      </c>
      <c r="S186" s="163">
        <f ca="1"/>
        <v>0</v>
      </c>
      <c r="T186" s="163">
        <f ca="1"/>
        <v>9.0830394140298476E-2</v>
      </c>
      <c r="U186" s="163">
        <f ca="1"/>
        <v>0.14417835717250271</v>
      </c>
      <c r="V186" s="139">
        <f ca="1"/>
        <v>0.23328744578448413</v>
      </c>
      <c r="W186" s="138">
        <f ca="1"/>
        <v>0</v>
      </c>
      <c r="X186" s="163">
        <f ca="1"/>
        <v>0</v>
      </c>
      <c r="Y186" s="163">
        <f ca="1"/>
        <v>6.7907325490942361E-3</v>
      </c>
      <c r="Z186" s="163">
        <f ca="1"/>
        <v>0</v>
      </c>
      <c r="AA186" s="163">
        <f ca="1"/>
        <v>3.4863366108278449E-2</v>
      </c>
      <c r="AB186" s="163">
        <f ca="1"/>
        <v>0</v>
      </c>
      <c r="AC186" s="163">
        <f ca="1"/>
        <v>9.5216601579933502E-2</v>
      </c>
      <c r="AD186" s="163">
        <f ca="1"/>
        <v>0.15096017746071377</v>
      </c>
      <c r="AE186" s="139">
        <f ca="1"/>
        <v>0.24377436992540136</v>
      </c>
      <c r="AI186" s="136"/>
      <c r="AK186" s="136"/>
      <c r="AM186" s="136"/>
      <c r="AN186" s="136"/>
      <c r="AO186" s="136"/>
      <c r="AR186" s="136"/>
      <c r="AT186" s="136"/>
      <c r="AV186" s="136"/>
      <c r="AW186" s="136"/>
      <c r="AX186" s="136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7" t="s">
        <v>87</v>
      </c>
      <c r="F187" s="156" t="s">
        <v>87</v>
      </c>
      <c r="G187" s="156">
        <v>1.0579999999999999E-3</v>
      </c>
      <c r="H187" s="156" t="s">
        <v>87</v>
      </c>
      <c r="I187" s="156">
        <v>1.954E-3</v>
      </c>
      <c r="J187" s="156" t="s">
        <v>87</v>
      </c>
      <c r="K187" s="156">
        <v>2.6059999999999998E-3</v>
      </c>
      <c r="L187" s="156">
        <v>2.7680000000000001E-3</v>
      </c>
      <c r="M187" s="156">
        <v>3.1749999999999999E-3</v>
      </c>
      <c r="N187" s="138" cm="1">
        <f t="array" aca="1" ref="N187:AE187" ca="1">IF(OR(B187="",NOT($J$2)),"",GetStripDefaultProbability(A187,B187,Parameter_Date,CDSRollDate,E187:M187,SpreadCurveMaturities,D187,C187,$J$4,$J$6))</f>
        <v>0</v>
      </c>
      <c r="O187" s="163">
        <f ca="1"/>
        <v>0</v>
      </c>
      <c r="P187" s="163">
        <f ca="1"/>
        <v>1.9387278043044853E-3</v>
      </c>
      <c r="Q187" s="163">
        <f ca="1"/>
        <v>0</v>
      </c>
      <c r="R187" s="163">
        <f ca="1"/>
        <v>1.0213483788974798E-2</v>
      </c>
      <c r="S187" s="163">
        <f ca="1"/>
        <v>0</v>
      </c>
      <c r="T187" s="163">
        <f ca="1"/>
        <v>2.261931012895535E-2</v>
      </c>
      <c r="U187" s="163">
        <f ca="1"/>
        <v>3.3282853570236637E-2</v>
      </c>
      <c r="V187" s="139">
        <f ca="1"/>
        <v>5.4792051866674907E-2</v>
      </c>
      <c r="W187" s="138">
        <f ca="1"/>
        <v>0</v>
      </c>
      <c r="X187" s="163">
        <f ca="1"/>
        <v>0</v>
      </c>
      <c r="Y187" s="163">
        <f ca="1"/>
        <v>2.1050574884856621E-3</v>
      </c>
      <c r="Z187" s="163">
        <f ca="1"/>
        <v>0</v>
      </c>
      <c r="AA187" s="163">
        <f ca="1"/>
        <v>1.0728206791567163E-2</v>
      </c>
      <c r="AB187" s="163">
        <f ca="1"/>
        <v>0</v>
      </c>
      <c r="AC187" s="163">
        <f ca="1"/>
        <v>2.373161760262843E-2</v>
      </c>
      <c r="AD187" s="163">
        <f ca="1"/>
        <v>3.4914639841531536E-2</v>
      </c>
      <c r="AE187" s="139">
        <f ca="1"/>
        <v>5.7452467765377269E-2</v>
      </c>
      <c r="AI187" s="136"/>
      <c r="AK187" s="136"/>
      <c r="AM187" s="136"/>
      <c r="AN187" s="136"/>
      <c r="AO187" s="136"/>
      <c r="AR187" s="136"/>
      <c r="AT187" s="136"/>
      <c r="AV187" s="136"/>
      <c r="AW187" s="136"/>
      <c r="AX187" s="136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7" t="s">
        <v>87</v>
      </c>
      <c r="F188" s="156" t="s">
        <v>87</v>
      </c>
      <c r="G188" s="156">
        <v>1.206E-3</v>
      </c>
      <c r="H188" s="156" t="s">
        <v>87</v>
      </c>
      <c r="I188" s="156">
        <v>3.0339999999999998E-3</v>
      </c>
      <c r="J188" s="156" t="s">
        <v>87</v>
      </c>
      <c r="K188" s="156">
        <v>4.8250000000000003E-3</v>
      </c>
      <c r="L188" s="156">
        <v>5.8199999999999997E-3</v>
      </c>
      <c r="M188" s="156">
        <v>6.8149999999999999E-3</v>
      </c>
      <c r="N188" s="138" cm="1">
        <f t="array" aca="1" ref="N188:AE188" ca="1">IF(OR(B188="",NOT($J$2)),"",GetStripDefaultProbability(A188,B188,Parameter_Date,CDSRollDate,E188:M188,SpreadCurveMaturities,D188,C188,$J$4,$J$6))</f>
        <v>0</v>
      </c>
      <c r="O188" s="163">
        <f ca="1"/>
        <v>0</v>
      </c>
      <c r="P188" s="163">
        <f ca="1"/>
        <v>2.2096323627830428E-3</v>
      </c>
      <c r="Q188" s="163">
        <f ca="1"/>
        <v>0</v>
      </c>
      <c r="R188" s="163">
        <f ca="1"/>
        <v>1.588426847223201E-2</v>
      </c>
      <c r="S188" s="163">
        <f ca="1"/>
        <v>0</v>
      </c>
      <c r="T188" s="163">
        <f ca="1"/>
        <v>4.2030276079184525E-2</v>
      </c>
      <c r="U188" s="163">
        <f ca="1"/>
        <v>7.0452489579254429E-2</v>
      </c>
      <c r="V188" s="139">
        <f ca="1"/>
        <v>0.11656927102943393</v>
      </c>
      <c r="W188" s="138">
        <f ca="1"/>
        <v>0</v>
      </c>
      <c r="X188" s="163">
        <f ca="1"/>
        <v>0</v>
      </c>
      <c r="Y188" s="163">
        <f ca="1"/>
        <v>2.3759168999586411E-3</v>
      </c>
      <c r="Z188" s="163">
        <f ca="1"/>
        <v>0</v>
      </c>
      <c r="AA188" s="163">
        <f ca="1"/>
        <v>1.6667316832602808E-2</v>
      </c>
      <c r="AB188" s="163">
        <f ca="1"/>
        <v>0</v>
      </c>
      <c r="AC188" s="163">
        <f ca="1"/>
        <v>4.4087357010009431E-2</v>
      </c>
      <c r="AD188" s="163">
        <f ca="1"/>
        <v>7.386526235557489E-2</v>
      </c>
      <c r="AE188" s="139">
        <f ca="1"/>
        <v>0.12211607193939267</v>
      </c>
      <c r="AI188" s="136"/>
      <c r="AK188" s="136"/>
      <c r="AM188" s="136"/>
      <c r="AN188" s="136"/>
      <c r="AO188" s="136"/>
      <c r="AR188" s="136"/>
      <c r="AT188" s="136"/>
      <c r="AV188" s="136"/>
      <c r="AW188" s="136"/>
      <c r="AX188" s="136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7" t="s">
        <v>87</v>
      </c>
      <c r="F189" s="156" t="s">
        <v>87</v>
      </c>
      <c r="G189" s="156">
        <v>2.6489999999999999E-3</v>
      </c>
      <c r="H189" s="156" t="s">
        <v>87</v>
      </c>
      <c r="I189" s="156">
        <v>4.8570000000000002E-3</v>
      </c>
      <c r="J189" s="156" t="s">
        <v>87</v>
      </c>
      <c r="K189" s="156">
        <v>7.2859999999999999E-3</v>
      </c>
      <c r="L189" s="156">
        <v>8.4169999999999991E-3</v>
      </c>
      <c r="M189" s="156">
        <v>9.5029999999999993E-3</v>
      </c>
      <c r="N189" s="138" cm="1">
        <f t="array" aca="1" ref="N189:AE189" ca="1">IF(OR(B189="",NOT($J$2)),"",GetStripDefaultProbability(A189,B189,Parameter_Date,CDSRollDate,E189:M189,SpreadCurveMaturities,D189,C189,$J$4,$J$6))</f>
        <v>0</v>
      </c>
      <c r="O189" s="163">
        <f ca="1"/>
        <v>0</v>
      </c>
      <c r="P189" s="163">
        <f ca="1"/>
        <v>4.8471351642963567E-3</v>
      </c>
      <c r="Q189" s="163">
        <f ca="1"/>
        <v>0</v>
      </c>
      <c r="R189" s="163">
        <f ca="1"/>
        <v>2.5226936819930934E-2</v>
      </c>
      <c r="S189" s="163">
        <f ca="1"/>
        <v>0</v>
      </c>
      <c r="T189" s="163">
        <f ca="1"/>
        <v>6.2681662522351189E-2</v>
      </c>
      <c r="U189" s="163">
        <f ca="1"/>
        <v>9.9887774436762111E-2</v>
      </c>
      <c r="V189" s="139">
        <f ca="1"/>
        <v>0.15773984308094402</v>
      </c>
      <c r="W189" s="138">
        <f ca="1"/>
        <v>0</v>
      </c>
      <c r="X189" s="163">
        <f ca="1"/>
        <v>0</v>
      </c>
      <c r="Y189" s="163">
        <f ca="1"/>
        <v>5.0887658861680229E-3</v>
      </c>
      <c r="Z189" s="163">
        <f ca="1"/>
        <v>0</v>
      </c>
      <c r="AA189" s="163">
        <f ca="1"/>
        <v>2.6470466780224911E-2</v>
      </c>
      <c r="AB189" s="163">
        <f ca="1"/>
        <v>0</v>
      </c>
      <c r="AC189" s="163">
        <f ca="1"/>
        <v>6.5723169352059463E-2</v>
      </c>
      <c r="AD189" s="163">
        <f ca="1"/>
        <v>0.10466000582974344</v>
      </c>
      <c r="AE189" s="139">
        <f ca="1"/>
        <v>0.16508614107725839</v>
      </c>
      <c r="AI189" s="136"/>
      <c r="AK189" s="136"/>
      <c r="AM189" s="136"/>
      <c r="AN189" s="136"/>
      <c r="AO189" s="136"/>
      <c r="AR189" s="136"/>
      <c r="AT189" s="136"/>
      <c r="AV189" s="136"/>
      <c r="AW189" s="136"/>
      <c r="AX189" s="136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7" t="s">
        <v>87</v>
      </c>
      <c r="F190" s="156" t="s">
        <v>87</v>
      </c>
      <c r="G190" s="156">
        <v>1.451E-3</v>
      </c>
      <c r="H190" s="156" t="s">
        <v>87</v>
      </c>
      <c r="I190" s="156">
        <v>4.3909999999999999E-3</v>
      </c>
      <c r="J190" s="156" t="s">
        <v>87</v>
      </c>
      <c r="K190" s="156">
        <v>6.803E-3</v>
      </c>
      <c r="L190" s="156">
        <v>8.1539999999999998E-3</v>
      </c>
      <c r="M190" s="156">
        <v>9.9399999999999992E-3</v>
      </c>
      <c r="N190" s="138" cm="1">
        <f t="array" aca="1" ref="N190:AE190" ca="1">IF(OR(B190="",NOT($J$2)),"",GetStripDefaultProbability(A190,B190,Parameter_Date,CDSRollDate,E190:M190,SpreadCurveMaturities,D190,C190,$J$4,$J$6))</f>
        <v>0</v>
      </c>
      <c r="O190" s="163">
        <f ca="1"/>
        <v>0</v>
      </c>
      <c r="P190" s="163">
        <f ca="1"/>
        <v>2.6579289911992099E-3</v>
      </c>
      <c r="Q190" s="163">
        <f ca="1"/>
        <v>0</v>
      </c>
      <c r="R190" s="163">
        <f ca="1"/>
        <v>2.2970001968006359E-2</v>
      </c>
      <c r="S190" s="163">
        <f ca="1"/>
        <v>0</v>
      </c>
      <c r="T190" s="163">
        <f ca="1"/>
        <v>5.8869352040091472E-2</v>
      </c>
      <c r="U190" s="163">
        <f ca="1"/>
        <v>9.7573183184009871E-2</v>
      </c>
      <c r="V190" s="139">
        <f ca="1"/>
        <v>0.16762419389660754</v>
      </c>
      <c r="W190" s="138">
        <f ca="1"/>
        <v>0</v>
      </c>
      <c r="X190" s="163">
        <f ca="1"/>
        <v>0</v>
      </c>
      <c r="Y190" s="163">
        <f ca="1"/>
        <v>2.8241388184757632E-3</v>
      </c>
      <c r="Z190" s="163">
        <f ca="1"/>
        <v>0</v>
      </c>
      <c r="AA190" s="163">
        <f ca="1"/>
        <v>2.4101514137066626E-2</v>
      </c>
      <c r="AB190" s="163">
        <f ca="1"/>
        <v>0</v>
      </c>
      <c r="AC190" s="163">
        <f ca="1"/>
        <v>6.1730834167843862E-2</v>
      </c>
      <c r="AD190" s="163">
        <f ca="1"/>
        <v>0.10224378056466465</v>
      </c>
      <c r="AE190" s="139">
        <f ca="1"/>
        <v>0.17543772546170255</v>
      </c>
      <c r="AI190" s="136"/>
      <c r="AK190" s="136"/>
      <c r="AM190" s="136"/>
      <c r="AN190" s="136"/>
      <c r="AO190" s="136"/>
      <c r="AR190" s="136"/>
      <c r="AT190" s="136"/>
      <c r="AV190" s="136"/>
      <c r="AW190" s="136"/>
      <c r="AX190" s="136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7" t="s">
        <v>87</v>
      </c>
      <c r="F191" s="156" t="s">
        <v>87</v>
      </c>
      <c r="G191" s="156">
        <v>1.689E-3</v>
      </c>
      <c r="H191" s="156" t="s">
        <v>87</v>
      </c>
      <c r="I191" s="156">
        <v>2.6540000000000001E-3</v>
      </c>
      <c r="J191" s="156" t="s">
        <v>87</v>
      </c>
      <c r="K191" s="156">
        <v>3.2810000000000001E-3</v>
      </c>
      <c r="L191" s="156">
        <v>3.3289999999999999E-3</v>
      </c>
      <c r="M191" s="156">
        <v>3.4740000000000001E-3</v>
      </c>
      <c r="N191" s="138" cm="1">
        <f t="array" aca="1" ref="N191:AE191" ca="1">IF(OR(B191="",NOT($J$2)),"",GetStripDefaultProbability(A191,B191,Parameter_Date,CDSRollDate,E191:M191,SpreadCurveMaturities,D191,C191,$J$4,$J$6))</f>
        <v>0</v>
      </c>
      <c r="O191" s="163">
        <f ca="1"/>
        <v>0</v>
      </c>
      <c r="P191" s="163">
        <f ca="1"/>
        <v>3.0932259423276376E-3</v>
      </c>
      <c r="Q191" s="163">
        <f ca="1"/>
        <v>0</v>
      </c>
      <c r="R191" s="163">
        <f ca="1"/>
        <v>1.3815979933588185E-2</v>
      </c>
      <c r="S191" s="163">
        <f ca="1"/>
        <v>0</v>
      </c>
      <c r="T191" s="163">
        <f ca="1"/>
        <v>2.8249315555982535E-2</v>
      </c>
      <c r="U191" s="163">
        <f ca="1"/>
        <v>3.9522449906273405E-2</v>
      </c>
      <c r="V191" s="139">
        <f ca="1"/>
        <v>5.8379707271212E-2</v>
      </c>
      <c r="W191" s="138">
        <f ca="1"/>
        <v>0</v>
      </c>
      <c r="X191" s="163">
        <f ca="1"/>
        <v>0</v>
      </c>
      <c r="Y191" s="163">
        <f ca="1"/>
        <v>3.259363226178924E-3</v>
      </c>
      <c r="Z191" s="163">
        <f ca="1"/>
        <v>0</v>
      </c>
      <c r="AA191" s="163">
        <f ca="1"/>
        <v>1.4500543557655954E-2</v>
      </c>
      <c r="AB191" s="163">
        <f ca="1"/>
        <v>0</v>
      </c>
      <c r="AC191" s="163">
        <f ca="1"/>
        <v>2.9641394331980875E-2</v>
      </c>
      <c r="AD191" s="163">
        <f ca="1"/>
        <v>4.1459312024912931E-2</v>
      </c>
      <c r="AE191" s="139">
        <f ca="1"/>
        <v>6.1209290313466558E-2</v>
      </c>
      <c r="AI191" s="136"/>
      <c r="AK191" s="136"/>
      <c r="AM191" s="136"/>
      <c r="AN191" s="136"/>
      <c r="AO191" s="136"/>
      <c r="AR191" s="136"/>
      <c r="AT191" s="136"/>
      <c r="AV191" s="136"/>
      <c r="AW191" s="136"/>
      <c r="AX191" s="136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7" t="s">
        <v>87</v>
      </c>
      <c r="F192" s="156" t="s">
        <v>87</v>
      </c>
      <c r="G192" s="156">
        <v>5.1599999999999997E-4</v>
      </c>
      <c r="H192" s="156" t="s">
        <v>87</v>
      </c>
      <c r="I192" s="156">
        <v>1.9E-3</v>
      </c>
      <c r="J192" s="156" t="s">
        <v>87</v>
      </c>
      <c r="K192" s="156">
        <v>2.7499999999999998E-3</v>
      </c>
      <c r="L192" s="156">
        <v>3.5500000000000002E-3</v>
      </c>
      <c r="M192" s="156">
        <v>4.5999999999999999E-3</v>
      </c>
      <c r="N192" s="138" cm="1">
        <f t="array" aca="1" ref="N192:AE192" ca="1">IF(OR(B192="",NOT($J$2)),"",GetStripDefaultProbability(A192,B192,Parameter_Date,CDSRollDate,E192:M192,SpreadCurveMaturities,D192,C192,$J$4,$J$6))</f>
        <v>0</v>
      </c>
      <c r="O192" s="163">
        <f ca="1"/>
        <v>0</v>
      </c>
      <c r="P192" s="163">
        <f ca="1"/>
        <v>9.4600845585657289E-4</v>
      </c>
      <c r="Q192" s="163">
        <f ca="1"/>
        <v>0</v>
      </c>
      <c r="R192" s="163">
        <f ca="1"/>
        <v>1.0002995922451019E-2</v>
      </c>
      <c r="S192" s="163">
        <f ca="1"/>
        <v>0</v>
      </c>
      <c r="T192" s="163">
        <f ca="1"/>
        <v>2.403451236598797E-2</v>
      </c>
      <c r="U192" s="163">
        <f ca="1"/>
        <v>4.3627290432933674E-2</v>
      </c>
      <c r="V192" s="139">
        <f ca="1"/>
        <v>8.136866321805003E-2</v>
      </c>
      <c r="W192" s="138">
        <f ca="1"/>
        <v>0</v>
      </c>
      <c r="X192" s="163">
        <f ca="1"/>
        <v>0</v>
      </c>
      <c r="Y192" s="163">
        <f ca="1"/>
        <v>1.1125035794568028E-3</v>
      </c>
      <c r="Z192" s="163">
        <f ca="1"/>
        <v>0</v>
      </c>
      <c r="AA192" s="163">
        <f ca="1"/>
        <v>1.0517966932754308E-2</v>
      </c>
      <c r="AB192" s="163">
        <f ca="1"/>
        <v>0</v>
      </c>
      <c r="AC192" s="163">
        <f ca="1"/>
        <v>2.5211288993200465E-2</v>
      </c>
      <c r="AD192" s="163">
        <f ca="1"/>
        <v>4.5757046810396829E-2</v>
      </c>
      <c r="AE192" s="139">
        <f ca="1"/>
        <v>8.5278497595269509E-2</v>
      </c>
      <c r="AI192" s="136"/>
      <c r="AK192" s="136"/>
      <c r="AM192" s="136"/>
      <c r="AN192" s="136"/>
      <c r="AO192" s="136"/>
      <c r="AR192" s="136"/>
      <c r="AT192" s="136"/>
      <c r="AV192" s="136"/>
      <c r="AW192" s="136"/>
      <c r="AX192" s="136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7" t="s">
        <v>87</v>
      </c>
      <c r="F193" s="156" t="s">
        <v>87</v>
      </c>
      <c r="G193" s="156">
        <v>4.7899999999999999E-4</v>
      </c>
      <c r="H193" s="156" t="s">
        <v>87</v>
      </c>
      <c r="I193" s="156">
        <v>1.351E-3</v>
      </c>
      <c r="J193" s="156" t="s">
        <v>87</v>
      </c>
      <c r="K193" s="156">
        <v>2.075E-3</v>
      </c>
      <c r="L193" s="156">
        <v>2.895E-3</v>
      </c>
      <c r="M193" s="156">
        <v>3.9569999999999996E-3</v>
      </c>
      <c r="N193" s="138" cm="1">
        <f t="array" aca="1" ref="N193:AE193" ca="1">IF(OR(B193="",NOT($J$2)),"",GetStripDefaultProbability(A193,B193,Parameter_Date,CDSRollDate,E193:M193,SpreadCurveMaturities,D193,C193,$J$4,$J$6))</f>
        <v>0</v>
      </c>
      <c r="O193" s="163">
        <f ca="1"/>
        <v>0</v>
      </c>
      <c r="P193" s="163">
        <f ca="1"/>
        <v>8.7820408470851152E-4</v>
      </c>
      <c r="Q193" s="163">
        <f ca="1"/>
        <v>0</v>
      </c>
      <c r="R193" s="163">
        <f ca="1"/>
        <v>7.1049193002542532E-3</v>
      </c>
      <c r="S193" s="163">
        <f ca="1"/>
        <v>0</v>
      </c>
      <c r="T193" s="163">
        <f ca="1"/>
        <v>1.8208043995716849E-2</v>
      </c>
      <c r="U193" s="163">
        <f ca="1"/>
        <v>3.596364636230398E-2</v>
      </c>
      <c r="V193" s="139">
        <f ca="1"/>
        <v>7.1081632378296011E-2</v>
      </c>
      <c r="W193" s="138">
        <f ca="1"/>
        <v>0</v>
      </c>
      <c r="X193" s="163">
        <f ca="1"/>
        <v>0</v>
      </c>
      <c r="Y193" s="163">
        <f ca="1"/>
        <v>1.0447105080978458E-3</v>
      </c>
      <c r="Z193" s="163">
        <f ca="1"/>
        <v>0</v>
      </c>
      <c r="AA193" s="163">
        <f ca="1"/>
        <v>7.6214616049944395E-3</v>
      </c>
      <c r="AB193" s="163">
        <f ca="1"/>
        <v>0</v>
      </c>
      <c r="AC193" s="163">
        <f ca="1"/>
        <v>1.9083622807400835E-2</v>
      </c>
      <c r="AD193" s="163">
        <f ca="1"/>
        <v>3.7708030205148568E-2</v>
      </c>
      <c r="AE193" s="139">
        <f ca="1"/>
        <v>7.4499418763111058E-2</v>
      </c>
      <c r="AI193" s="136"/>
      <c r="AK193" s="136"/>
      <c r="AM193" s="136"/>
      <c r="AN193" s="136"/>
      <c r="AO193" s="136"/>
      <c r="AR193" s="136"/>
      <c r="AT193" s="136"/>
      <c r="AV193" s="136"/>
      <c r="AW193" s="136"/>
      <c r="AX193" s="136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7" t="s">
        <v>87</v>
      </c>
      <c r="F194" s="156" t="s">
        <v>87</v>
      </c>
      <c r="G194" s="156">
        <v>4.7899999999999999E-4</v>
      </c>
      <c r="H194" s="156" t="s">
        <v>87</v>
      </c>
      <c r="I194" s="156">
        <v>1.433E-3</v>
      </c>
      <c r="J194" s="156" t="s">
        <v>87</v>
      </c>
      <c r="K194" s="156">
        <v>2.075E-3</v>
      </c>
      <c r="L194" s="156">
        <v>2.7659999999999998E-3</v>
      </c>
      <c r="M194" s="156">
        <v>3.5569999999999998E-3</v>
      </c>
      <c r="N194" s="138" cm="1">
        <f t="array" aca="1" ref="N194:AE194" ca="1">IF(OR(B194="",NOT($J$2)),"",GetStripDefaultProbability(A194,B194,Parameter_Date,CDSRollDate,E194:M194,SpreadCurveMaturities,D194,C194,$J$4,$J$6))</f>
        <v>0</v>
      </c>
      <c r="O194" s="163">
        <f ca="1"/>
        <v>0</v>
      </c>
      <c r="P194" s="163">
        <f ca="1"/>
        <v>8.7820408470851152E-4</v>
      </c>
      <c r="Q194" s="163">
        <f ca="1"/>
        <v>0</v>
      </c>
      <c r="R194" s="163">
        <f ca="1"/>
        <v>7.5388786156446175E-3</v>
      </c>
      <c r="S194" s="163">
        <f ca="1"/>
        <v>0</v>
      </c>
      <c r="T194" s="163">
        <f ca="1"/>
        <v>1.8162015046639501E-2</v>
      </c>
      <c r="U194" s="163">
        <f ca="1"/>
        <v>3.4197121392785745E-2</v>
      </c>
      <c r="V194" s="139">
        <f ca="1"/>
        <v>6.3348161892364252E-2</v>
      </c>
      <c r="W194" s="138">
        <f ca="1"/>
        <v>0</v>
      </c>
      <c r="X194" s="163">
        <f ca="1"/>
        <v>0</v>
      </c>
      <c r="Y194" s="163">
        <f ca="1"/>
        <v>1.0447105080978458E-3</v>
      </c>
      <c r="Z194" s="163">
        <f ca="1"/>
        <v>0</v>
      </c>
      <c r="AA194" s="163">
        <f ca="1"/>
        <v>8.0551961575184849E-3</v>
      </c>
      <c r="AB194" s="163">
        <f ca="1"/>
        <v>0</v>
      </c>
      <c r="AC194" s="163">
        <f ca="1"/>
        <v>1.9037560310824153E-2</v>
      </c>
      <c r="AD194" s="163">
        <f ca="1"/>
        <v>3.5857535851931854E-2</v>
      </c>
      <c r="AE194" s="139">
        <f ca="1"/>
        <v>6.6402418914428996E-2</v>
      </c>
      <c r="AI194" s="136"/>
      <c r="AK194" s="136"/>
      <c r="AM194" s="136"/>
      <c r="AN194" s="136"/>
      <c r="AO194" s="136"/>
      <c r="AR194" s="136"/>
      <c r="AT194" s="136"/>
      <c r="AV194" s="136"/>
      <c r="AW194" s="136"/>
      <c r="AX194" s="136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7" t="s">
        <v>87</v>
      </c>
      <c r="F195" s="156" t="s">
        <v>87</v>
      </c>
      <c r="G195" s="156">
        <v>8.5499999999999997E-4</v>
      </c>
      <c r="H195" s="156" t="s">
        <v>87</v>
      </c>
      <c r="I195" s="156">
        <v>1.8420000000000001E-3</v>
      </c>
      <c r="J195" s="156" t="s">
        <v>87</v>
      </c>
      <c r="K195" s="156">
        <v>2.895E-3</v>
      </c>
      <c r="L195" s="156">
        <v>3.1580000000000002E-3</v>
      </c>
      <c r="M195" s="156">
        <v>3.79E-3</v>
      </c>
      <c r="N195" s="138" cm="1">
        <f t="array" aca="1" ref="N195:AE195" ca="1">IF(OR(B195="",NOT($J$2)),"",GetStripDefaultProbability(A195,B195,Parameter_Date,CDSRollDate,E195:M195,SpreadCurveMaturities,D195,C195,$J$4,$J$6))</f>
        <v>0</v>
      </c>
      <c r="O195" s="163">
        <f ca="1"/>
        <v>0</v>
      </c>
      <c r="P195" s="163">
        <f ca="1"/>
        <v>1.5670306075583618E-3</v>
      </c>
      <c r="Q195" s="163">
        <f ca="1"/>
        <v>0</v>
      </c>
      <c r="R195" s="163">
        <f ca="1"/>
        <v>9.6499427483474065E-3</v>
      </c>
      <c r="S195" s="163">
        <f ca="1"/>
        <v>0</v>
      </c>
      <c r="T195" s="163">
        <f ca="1"/>
        <v>2.5337062553082212E-2</v>
      </c>
      <c r="U195" s="163">
        <f ca="1"/>
        <v>3.825147768156989E-2</v>
      </c>
      <c r="V195" s="139">
        <f ca="1"/>
        <v>6.599418365097709E-2</v>
      </c>
      <c r="W195" s="138">
        <f ca="1"/>
        <v>0</v>
      </c>
      <c r="X195" s="163">
        <f ca="1"/>
        <v>0</v>
      </c>
      <c r="Y195" s="163">
        <f ca="1"/>
        <v>1.7334222361062857E-3</v>
      </c>
      <c r="Z195" s="163">
        <f ca="1"/>
        <v>0</v>
      </c>
      <c r="AA195" s="163">
        <f ca="1"/>
        <v>1.0165026861755244E-2</v>
      </c>
      <c r="AB195" s="163">
        <f ca="1"/>
        <v>0</v>
      </c>
      <c r="AC195" s="163">
        <f ca="1"/>
        <v>2.6578140895131441E-2</v>
      </c>
      <c r="AD195" s="163">
        <f ca="1"/>
        <v>4.0120526971095916E-2</v>
      </c>
      <c r="AE195" s="139">
        <f ca="1"/>
        <v>6.9180962175744543E-2</v>
      </c>
      <c r="AI195" s="136"/>
      <c r="AK195" s="136"/>
      <c r="AM195" s="136"/>
      <c r="AN195" s="136"/>
      <c r="AO195" s="136"/>
      <c r="AR195" s="136"/>
      <c r="AT195" s="136"/>
      <c r="AV195" s="136"/>
      <c r="AW195" s="136"/>
      <c r="AX195" s="136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7" t="s">
        <v>87</v>
      </c>
      <c r="F196" s="156" t="s">
        <v>87</v>
      </c>
      <c r="G196" s="156">
        <v>4.15E-4</v>
      </c>
      <c r="H196" s="156" t="s">
        <v>87</v>
      </c>
      <c r="I196" s="156">
        <v>1.5920000000000001E-3</v>
      </c>
      <c r="J196" s="156" t="s">
        <v>87</v>
      </c>
      <c r="K196" s="156">
        <v>2.075E-3</v>
      </c>
      <c r="L196" s="156">
        <v>2.7499999999999998E-3</v>
      </c>
      <c r="M196" s="156">
        <v>3.522E-3</v>
      </c>
      <c r="N196" s="138" cm="1">
        <f t="array" aca="1" ref="N196:AE196" ca="1">IF(OR(B196="",NOT($J$2)),"",GetStripDefaultProbability(A196,B196,Parameter_Date,CDSRollDate,E196:M196,SpreadCurveMaturities,D196,C196,$J$4,$J$6))</f>
        <v>0</v>
      </c>
      <c r="O196" s="163">
        <f ca="1"/>
        <v>0</v>
      </c>
      <c r="P196" s="163">
        <f ca="1"/>
        <v>7.6091006788447935E-4</v>
      </c>
      <c r="Q196" s="163">
        <f ca="1"/>
        <v>0</v>
      </c>
      <c r="R196" s="163">
        <f ca="1"/>
        <v>8.3887284071818558E-3</v>
      </c>
      <c r="S196" s="163">
        <f ca="1"/>
        <v>0</v>
      </c>
      <c r="T196" s="163">
        <f ca="1"/>
        <v>1.8081601196516583E-2</v>
      </c>
      <c r="U196" s="163">
        <f ca="1"/>
        <v>3.3902373615057546E-2</v>
      </c>
      <c r="V196" s="139">
        <f ca="1"/>
        <v>6.2602246559473662E-2</v>
      </c>
      <c r="W196" s="138">
        <f ca="1"/>
        <v>0</v>
      </c>
      <c r="X196" s="163">
        <f ca="1"/>
        <v>0</v>
      </c>
      <c r="Y196" s="163">
        <f ca="1"/>
        <v>9.274360386504199E-4</v>
      </c>
      <c r="Z196" s="163">
        <f ca="1"/>
        <v>0</v>
      </c>
      <c r="AA196" s="163">
        <f ca="1"/>
        <v>8.9046141058231054E-3</v>
      </c>
      <c r="AB196" s="163">
        <f ca="1"/>
        <v>0</v>
      </c>
      <c r="AC196" s="163">
        <f ca="1"/>
        <v>1.8957098076461731E-2</v>
      </c>
      <c r="AD196" s="163">
        <f ca="1"/>
        <v>3.5552097812297956E-2</v>
      </c>
      <c r="AE196" s="139">
        <f ca="1"/>
        <v>6.5624684975378211E-2</v>
      </c>
      <c r="AI196" s="136"/>
      <c r="AK196" s="136"/>
      <c r="AM196" s="136"/>
      <c r="AN196" s="136"/>
      <c r="AO196" s="136"/>
      <c r="AR196" s="136"/>
      <c r="AT196" s="136"/>
      <c r="AV196" s="136"/>
      <c r="AW196" s="136"/>
      <c r="AX196" s="136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7" t="s">
        <v>87</v>
      </c>
      <c r="F197" s="156" t="s">
        <v>87</v>
      </c>
      <c r="G197" s="156">
        <v>2.2030000000000001E-3</v>
      </c>
      <c r="H197" s="156" t="s">
        <v>87</v>
      </c>
      <c r="I197" s="156">
        <v>3.8249999999999998E-3</v>
      </c>
      <c r="J197" s="156" t="s">
        <v>87</v>
      </c>
      <c r="K197" s="156">
        <v>5.2589999999999998E-3</v>
      </c>
      <c r="L197" s="156">
        <v>6.0720000000000001E-3</v>
      </c>
      <c r="M197" s="156">
        <v>7.2199999999999999E-3</v>
      </c>
      <c r="N197" s="138" cm="1">
        <f t="array" aca="1" ref="N197:AE197" ca="1">IF(OR(B197="",NOT($J$2)),"",GetStripDefaultProbability(A197,B197,Parameter_Date,CDSRollDate,E197:M197,SpreadCurveMaturities,D197,C197,$J$4,$J$6))</f>
        <v>0</v>
      </c>
      <c r="O197" s="163">
        <f ca="1"/>
        <v>0</v>
      </c>
      <c r="P197" s="163">
        <f ca="1"/>
        <v>4.0326787116018448E-3</v>
      </c>
      <c r="Q197" s="163">
        <f ca="1"/>
        <v>0</v>
      </c>
      <c r="R197" s="163">
        <f ca="1"/>
        <v>1.9893723608990665E-2</v>
      </c>
      <c r="S197" s="163">
        <f ca="1"/>
        <v>0</v>
      </c>
      <c r="T197" s="163">
        <f ca="1"/>
        <v>4.5298280370642208E-2</v>
      </c>
      <c r="U197" s="163">
        <f ca="1"/>
        <v>7.2612488818158627E-2</v>
      </c>
      <c r="V197" s="139">
        <f ca="1"/>
        <v>0.12268468447374814</v>
      </c>
      <c r="W197" s="138">
        <f ca="1"/>
        <v>0</v>
      </c>
      <c r="X197" s="163">
        <f ca="1"/>
        <v>0</v>
      </c>
      <c r="Y197" s="163">
        <f ca="1"/>
        <v>4.2338116678425353E-3</v>
      </c>
      <c r="Z197" s="163">
        <f ca="1"/>
        <v>0</v>
      </c>
      <c r="AA197" s="163">
        <f ca="1"/>
        <v>2.087737222187902E-2</v>
      </c>
      <c r="AB197" s="163">
        <f ca="1"/>
        <v>0</v>
      </c>
      <c r="AC197" s="163">
        <f ca="1"/>
        <v>4.7514394265002702E-2</v>
      </c>
      <c r="AD197" s="163">
        <f ca="1"/>
        <v>7.6124446857418149E-2</v>
      </c>
      <c r="AE197" s="139">
        <f ca="1"/>
        <v>0.12850544101089179</v>
      </c>
      <c r="AI197" s="136"/>
      <c r="AK197" s="136"/>
      <c r="AM197" s="136"/>
      <c r="AN197" s="136"/>
      <c r="AO197" s="136"/>
      <c r="AR197" s="136"/>
      <c r="AT197" s="136"/>
      <c r="AV197" s="136"/>
      <c r="AW197" s="136"/>
      <c r="AX197" s="136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7" t="s">
        <v>87</v>
      </c>
      <c r="F198" s="156" t="s">
        <v>87</v>
      </c>
      <c r="G198" s="156">
        <v>4.8999999999999998E-4</v>
      </c>
      <c r="H198" s="156" t="s">
        <v>87</v>
      </c>
      <c r="I198" s="156">
        <v>1.544E-3</v>
      </c>
      <c r="J198" s="156" t="s">
        <v>87</v>
      </c>
      <c r="K198" s="156">
        <v>2.1229999999999999E-3</v>
      </c>
      <c r="L198" s="156">
        <v>2.7989999999999998E-3</v>
      </c>
      <c r="M198" s="156">
        <v>3.6670000000000001E-3</v>
      </c>
      <c r="N198" s="138" cm="1">
        <f t="array" aca="1" ref="N198:AE198" ca="1">IF(OR(B198="",NOT($J$2)),"",GetStripDefaultProbability(A198,B198,Parameter_Date,CDSRollDate,E198:M198,SpreadCurveMaturities,D198,C198,$J$4,$J$6))</f>
        <v>0</v>
      </c>
      <c r="O198" s="163">
        <f ca="1"/>
        <v>0</v>
      </c>
      <c r="P198" s="163">
        <f ca="1"/>
        <v>8.9836261792797245E-4</v>
      </c>
      <c r="Q198" s="163">
        <f ca="1"/>
        <v>0</v>
      </c>
      <c r="R198" s="163">
        <f ca="1"/>
        <v>8.1246270795388709E-3</v>
      </c>
      <c r="S198" s="163">
        <f ca="1"/>
        <v>0</v>
      </c>
      <c r="T198" s="163">
        <f ca="1"/>
        <v>1.8535555698578565E-2</v>
      </c>
      <c r="U198" s="163">
        <f ca="1"/>
        <v>3.452128474859939E-2</v>
      </c>
      <c r="V198" s="139">
        <f ca="1"/>
        <v>6.5351980606389581E-2</v>
      </c>
      <c r="W198" s="138">
        <f ca="1"/>
        <v>0</v>
      </c>
      <c r="X198" s="163">
        <f ca="1"/>
        <v>0</v>
      </c>
      <c r="Y198" s="163">
        <f ca="1"/>
        <v>1.0648656818530444E-3</v>
      </c>
      <c r="Z198" s="163">
        <f ca="1"/>
        <v>0</v>
      </c>
      <c r="AA198" s="163">
        <f ca="1"/>
        <v>8.6406329866393072E-3</v>
      </c>
      <c r="AB198" s="163">
        <f ca="1"/>
        <v>0</v>
      </c>
      <c r="AC198" s="163">
        <f ca="1"/>
        <v>1.9432555414942598E-2</v>
      </c>
      <c r="AD198" s="163">
        <f ca="1"/>
        <v>3.6200349585280511E-2</v>
      </c>
      <c r="AE198" s="139">
        <f ca="1"/>
        <v>6.8503685706760908E-2</v>
      </c>
      <c r="AI198" s="136"/>
      <c r="AK198" s="136"/>
      <c r="AM198" s="136"/>
      <c r="AN198" s="136"/>
      <c r="AO198" s="136"/>
      <c r="AR198" s="136"/>
      <c r="AT198" s="136"/>
      <c r="AV198" s="136"/>
      <c r="AW198" s="136"/>
      <c r="AX198" s="136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7" t="s">
        <v>87</v>
      </c>
      <c r="F199" s="156" t="s">
        <v>87</v>
      </c>
      <c r="G199" s="156">
        <v>8.1499999999999997E-4</v>
      </c>
      <c r="H199" s="156" t="s">
        <v>87</v>
      </c>
      <c r="I199" s="156">
        <v>1.572E-3</v>
      </c>
      <c r="J199" s="156" t="s">
        <v>87</v>
      </c>
      <c r="K199" s="156">
        <v>1.9780000000000002E-3</v>
      </c>
      <c r="L199" s="156">
        <v>2.5869999999999999E-3</v>
      </c>
      <c r="M199" s="156">
        <v>3.297E-3</v>
      </c>
      <c r="N199" s="138" cm="1">
        <f t="array" aca="1" ref="N199:AE199" ca="1">IF(OR(B199="",NOT($J$2)),"",GetStripDefaultProbability(A199,B199,Parameter_Date,CDSRollDate,E199:M199,SpreadCurveMaturities,D199,C199,$J$4,$J$6))</f>
        <v>0</v>
      </c>
      <c r="O199" s="163">
        <f ca="1"/>
        <v>0</v>
      </c>
      <c r="P199" s="163">
        <f ca="1"/>
        <v>1.4937735896077831E-3</v>
      </c>
      <c r="Q199" s="163">
        <f ca="1"/>
        <v>0</v>
      </c>
      <c r="R199" s="163">
        <f ca="1"/>
        <v>8.2284564434360608E-3</v>
      </c>
      <c r="S199" s="163">
        <f ca="1"/>
        <v>0</v>
      </c>
      <c r="T199" s="163">
        <f ca="1"/>
        <v>1.7153932757138945E-2</v>
      </c>
      <c r="U199" s="163">
        <f ca="1"/>
        <v>3.1786948054937092E-2</v>
      </c>
      <c r="V199" s="139">
        <f ca="1"/>
        <v>5.8514704967822073E-2</v>
      </c>
      <c r="W199" s="138">
        <f ca="1"/>
        <v>0</v>
      </c>
      <c r="X199" s="163">
        <f ca="1"/>
        <v>0</v>
      </c>
      <c r="Y199" s="163">
        <f ca="1"/>
        <v>1.6601774266482572E-3</v>
      </c>
      <c r="Z199" s="163">
        <f ca="1"/>
        <v>0</v>
      </c>
      <c r="AA199" s="163">
        <f ca="1"/>
        <v>8.7443123179252735E-3</v>
      </c>
      <c r="AB199" s="163">
        <f ca="1"/>
        <v>0</v>
      </c>
      <c r="AC199" s="163">
        <f ca="1"/>
        <v>1.7995790506498022E-2</v>
      </c>
      <c r="AD199" s="163">
        <f ca="1"/>
        <v>3.3334430229271073E-2</v>
      </c>
      <c r="AE199" s="139">
        <f ca="1"/>
        <v>6.1344055382716811E-2</v>
      </c>
      <c r="AI199" s="136"/>
      <c r="AK199" s="136"/>
      <c r="AM199" s="136"/>
      <c r="AN199" s="136"/>
      <c r="AO199" s="136"/>
      <c r="AR199" s="136"/>
      <c r="AT199" s="136"/>
      <c r="AV199" s="136"/>
      <c r="AW199" s="136"/>
      <c r="AX199" s="136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7" t="s">
        <v>87</v>
      </c>
      <c r="F200" s="156" t="s">
        <v>87</v>
      </c>
      <c r="G200" s="156">
        <v>4.9200000000000003E-4</v>
      </c>
      <c r="H200" s="156" t="s">
        <v>87</v>
      </c>
      <c r="I200" s="156">
        <v>1.6999999999999999E-3</v>
      </c>
      <c r="J200" s="156" t="s">
        <v>87</v>
      </c>
      <c r="K200" s="156">
        <v>2.4610000000000001E-3</v>
      </c>
      <c r="L200" s="156">
        <v>3.042E-3</v>
      </c>
      <c r="M200" s="156">
        <v>3.7580000000000001E-3</v>
      </c>
      <c r="N200" s="138" cm="1">
        <f t="array" aca="1" ref="N200:AE200" ca="1">IF(OR(B200="",NOT($J$2)),"",GetStripDefaultProbability(A200,B200,Parameter_Date,CDSRollDate,E200:M200,SpreadCurveMaturities,D200,C200,$J$4,$J$6))</f>
        <v>0</v>
      </c>
      <c r="O200" s="163">
        <f ca="1"/>
        <v>0</v>
      </c>
      <c r="P200" s="163">
        <f ca="1"/>
        <v>9.0202776245118521E-4</v>
      </c>
      <c r="Q200" s="163">
        <f ca="1"/>
        <v>0</v>
      </c>
      <c r="R200" s="163">
        <f ca="1"/>
        <v>8.9493004670437859E-3</v>
      </c>
      <c r="S200" s="163">
        <f ca="1"/>
        <v>0</v>
      </c>
      <c r="T200" s="163">
        <f ca="1"/>
        <v>2.1524402317572466E-2</v>
      </c>
      <c r="U200" s="163">
        <f ca="1"/>
        <v>3.7307119193118021E-2</v>
      </c>
      <c r="V200" s="139">
        <f ca="1"/>
        <v>6.6200260405068656E-2</v>
      </c>
      <c r="W200" s="138">
        <f ca="1"/>
        <v>0</v>
      </c>
      <c r="X200" s="163">
        <f ca="1"/>
        <v>0</v>
      </c>
      <c r="Y200" s="163">
        <f ca="1"/>
        <v>1.0685302155517551E-3</v>
      </c>
      <c r="Z200" s="163">
        <f ca="1"/>
        <v>0</v>
      </c>
      <c r="AA200" s="163">
        <f ca="1"/>
        <v>9.4648617494335063E-3</v>
      </c>
      <c r="AB200" s="163">
        <f ca="1"/>
        <v>0</v>
      </c>
      <c r="AC200" s="163">
        <f ca="1"/>
        <v>2.2572483219003958E-2</v>
      </c>
      <c r="AD200" s="163">
        <f ca="1"/>
        <v>3.9125293861628663E-2</v>
      </c>
      <c r="AE200" s="139">
        <f ca="1"/>
        <v>6.9394029001445534E-2</v>
      </c>
      <c r="AI200" s="136"/>
      <c r="AK200" s="136"/>
      <c r="AM200" s="136"/>
      <c r="AN200" s="136"/>
      <c r="AO200" s="136"/>
      <c r="AR200" s="136"/>
      <c r="AT200" s="136"/>
      <c r="AV200" s="136"/>
      <c r="AW200" s="136"/>
      <c r="AX200" s="136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7" t="s">
        <v>87</v>
      </c>
      <c r="F201" s="156" t="s">
        <v>87</v>
      </c>
      <c r="G201" s="156">
        <v>2.6540000000000001E-3</v>
      </c>
      <c r="H201" s="156" t="s">
        <v>87</v>
      </c>
      <c r="I201" s="156">
        <v>6.8830000000000002E-3</v>
      </c>
      <c r="J201" s="156" t="s">
        <v>87</v>
      </c>
      <c r="K201" s="156">
        <v>1.0614999999999999E-2</v>
      </c>
      <c r="L201" s="156">
        <v>1.2263E-2</v>
      </c>
      <c r="M201" s="156">
        <v>1.5025999999999999E-2</v>
      </c>
      <c r="N201" s="138" cm="1">
        <f t="array" aca="1" ref="N201:AE201" ca="1">IF(OR(B201="",NOT($J$2)),"",GetStripDefaultProbability(A201,B201,Parameter_Date,CDSRollDate,E201:M201,SpreadCurveMaturities,D201,C201,$J$4,$J$6))</f>
        <v>0</v>
      </c>
      <c r="O201" s="163">
        <f ca="1"/>
        <v>0</v>
      </c>
      <c r="P201" s="163">
        <f ca="1"/>
        <v>4.8562621020157293E-3</v>
      </c>
      <c r="Q201" s="163">
        <f ca="1"/>
        <v>0</v>
      </c>
      <c r="R201" s="163">
        <f ca="1"/>
        <v>3.5771281463268467E-2</v>
      </c>
      <c r="S201" s="163">
        <f ca="1"/>
        <v>0</v>
      </c>
      <c r="T201" s="163">
        <f ca="1"/>
        <v>9.0663056395481889E-2</v>
      </c>
      <c r="U201" s="163">
        <f ca="1"/>
        <v>0.143244316307236</v>
      </c>
      <c r="V201" s="139">
        <f ca="1"/>
        <v>0.24462747761458725</v>
      </c>
      <c r="W201" s="138">
        <f ca="1"/>
        <v>0</v>
      </c>
      <c r="X201" s="163">
        <f ca="1"/>
        <v>0</v>
      </c>
      <c r="Y201" s="163">
        <f ca="1"/>
        <v>5.098346409421084E-3</v>
      </c>
      <c r="Z201" s="163">
        <f ca="1"/>
        <v>0</v>
      </c>
      <c r="AA201" s="163">
        <f ca="1"/>
        <v>3.7524177068472664E-2</v>
      </c>
      <c r="AB201" s="163">
        <f ca="1"/>
        <v>0</v>
      </c>
      <c r="AC201" s="163">
        <f ca="1"/>
        <v>9.5039335325988628E-2</v>
      </c>
      <c r="AD201" s="163">
        <f ca="1"/>
        <v>0.14998097931727439</v>
      </c>
      <c r="AE201" s="139">
        <f ca="1"/>
        <v>0.25560419873952811</v>
      </c>
      <c r="AI201" s="136"/>
      <c r="AK201" s="136"/>
      <c r="AM201" s="136"/>
      <c r="AN201" s="136"/>
      <c r="AO201" s="136"/>
      <c r="AR201" s="136"/>
      <c r="AT201" s="136"/>
      <c r="AV201" s="136"/>
      <c r="AW201" s="136"/>
      <c r="AX201" s="136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7" t="s">
        <v>87</v>
      </c>
      <c r="F202" s="156" t="s">
        <v>87</v>
      </c>
      <c r="G202" s="156">
        <v>1.689E-3</v>
      </c>
      <c r="H202" s="156" t="s">
        <v>87</v>
      </c>
      <c r="I202" s="156">
        <v>3.1359999999999999E-3</v>
      </c>
      <c r="J202" s="156" t="s">
        <v>87</v>
      </c>
      <c r="K202" s="156">
        <v>4.1009999999999996E-3</v>
      </c>
      <c r="L202" s="156">
        <v>4.4869999999999997E-3</v>
      </c>
      <c r="M202" s="156">
        <v>4.777E-3</v>
      </c>
      <c r="N202" s="138" cm="1">
        <f t="array" aca="1" ref="N202:AE202" ca="1">IF(OR(B202="",NOT($J$2)),"",GetStripDefaultProbability(A202,B202,Parameter_Date,CDSRollDate,E202:M202,SpreadCurveMaturities,D202,C202,$J$4,$J$6))</f>
        <v>0</v>
      </c>
      <c r="O202" s="163">
        <f ca="1"/>
        <v>0</v>
      </c>
      <c r="P202" s="163">
        <f ca="1"/>
        <v>3.0932259423276376E-3</v>
      </c>
      <c r="Q202" s="163">
        <f ca="1"/>
        <v>0</v>
      </c>
      <c r="R202" s="163">
        <f ca="1"/>
        <v>1.6351505413814693E-2</v>
      </c>
      <c r="S202" s="163">
        <f ca="1"/>
        <v>0</v>
      </c>
      <c r="T202" s="163">
        <f ca="1"/>
        <v>3.5374871464618818E-2</v>
      </c>
      <c r="U202" s="163">
        <f ca="1"/>
        <v>5.3638481124193893E-2</v>
      </c>
      <c r="V202" s="139">
        <f ca="1"/>
        <v>8.049251618508424E-2</v>
      </c>
      <c r="W202" s="138">
        <f ca="1"/>
        <v>0</v>
      </c>
      <c r="X202" s="163">
        <f ca="1"/>
        <v>0</v>
      </c>
      <c r="Y202" s="163">
        <f ca="1"/>
        <v>3.259363226178924E-3</v>
      </c>
      <c r="Z202" s="163">
        <f ca="1"/>
        <v>0</v>
      </c>
      <c r="AA202" s="163">
        <f ca="1"/>
        <v>1.7160789435628043E-2</v>
      </c>
      <c r="AB202" s="163">
        <f ca="1"/>
        <v>0</v>
      </c>
      <c r="AC202" s="163">
        <f ca="1"/>
        <v>3.7112863732812751E-2</v>
      </c>
      <c r="AD202" s="163">
        <f ca="1"/>
        <v>5.6252829495124002E-2</v>
      </c>
      <c r="AE202" s="139">
        <f ca="1"/>
        <v>8.4354257469005711E-2</v>
      </c>
      <c r="AI202" s="136"/>
      <c r="AK202" s="136"/>
      <c r="AM202" s="136"/>
      <c r="AN202" s="136"/>
      <c r="AO202" s="136"/>
      <c r="AR202" s="136"/>
      <c r="AT202" s="136"/>
      <c r="AV202" s="136"/>
      <c r="AW202" s="136"/>
      <c r="AX202" s="136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7" t="s">
        <v>87</v>
      </c>
      <c r="F203" s="156" t="s">
        <v>87</v>
      </c>
      <c r="G203" s="156">
        <v>1.4519999999999999E-3</v>
      </c>
      <c r="H203" s="156" t="s">
        <v>87</v>
      </c>
      <c r="I203" s="156">
        <v>1.9059999999999999E-3</v>
      </c>
      <c r="J203" s="156" t="s">
        <v>87</v>
      </c>
      <c r="K203" s="156">
        <v>3.8119999999999999E-3</v>
      </c>
      <c r="L203" s="156">
        <v>5.2639999999999996E-3</v>
      </c>
      <c r="M203" s="156">
        <v>6.489E-3</v>
      </c>
      <c r="N203" s="138" cm="1">
        <f t="array" aca="1" ref="N203:AE203" ca="1">IF(OR(B203="",NOT($J$2)),"",GetStripDefaultProbability(A203,B203,Parameter_Date,CDSRollDate,E203:M203,SpreadCurveMaturities,D203,C203,$J$4,$J$6))</f>
        <v>0</v>
      </c>
      <c r="O203" s="163">
        <f ca="1"/>
        <v>0</v>
      </c>
      <c r="P203" s="163">
        <f ca="1"/>
        <v>2.6597583640969313E-3</v>
      </c>
      <c r="Q203" s="163">
        <f ca="1"/>
        <v>0</v>
      </c>
      <c r="R203" s="163">
        <f ca="1"/>
        <v>9.905808824284712E-3</v>
      </c>
      <c r="S203" s="163">
        <f ca="1"/>
        <v>0</v>
      </c>
      <c r="T203" s="163">
        <f ca="1"/>
        <v>3.3526855873094674E-2</v>
      </c>
      <c r="U203" s="163">
        <f ca="1"/>
        <v>6.495923395602321E-2</v>
      </c>
      <c r="V203" s="139">
        <f ca="1"/>
        <v>0.11328025098290107</v>
      </c>
      <c r="W203" s="138">
        <f ca="1"/>
        <v>0</v>
      </c>
      <c r="X203" s="163">
        <f ca="1"/>
        <v>0</v>
      </c>
      <c r="Y203" s="163">
        <f ca="1"/>
        <v>2.8259678865164561E-3</v>
      </c>
      <c r="Z203" s="163">
        <f ca="1"/>
        <v>0</v>
      </c>
      <c r="AA203" s="163">
        <f ca="1"/>
        <v>1.0420593265313749E-2</v>
      </c>
      <c r="AB203" s="163">
        <f ca="1"/>
        <v>0</v>
      </c>
      <c r="AC203" s="163">
        <f ca="1"/>
        <v>3.5172728532496644E-2</v>
      </c>
      <c r="AD203" s="163">
        <f ca="1"/>
        <v>6.811844934847211E-2</v>
      </c>
      <c r="AE203" s="139">
        <f ca="1"/>
        <v>0.11869956056930164</v>
      </c>
      <c r="AI203" s="136"/>
      <c r="AK203" s="136"/>
      <c r="AM203" s="136"/>
      <c r="AN203" s="136"/>
      <c r="AO203" s="136"/>
      <c r="AR203" s="136"/>
      <c r="AT203" s="136"/>
      <c r="AV203" s="136"/>
      <c r="AW203" s="136"/>
      <c r="AX203" s="136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7" t="s">
        <v>87</v>
      </c>
      <c r="F204" s="156" t="s">
        <v>87</v>
      </c>
      <c r="G204" s="156">
        <v>4.7377000000000002E-2</v>
      </c>
      <c r="H204" s="156" t="s">
        <v>87</v>
      </c>
      <c r="I204" s="156">
        <v>4.0816999999999999E-2</v>
      </c>
      <c r="J204" s="156" t="s">
        <v>87</v>
      </c>
      <c r="K204" s="156">
        <v>3.4257999999999997E-2</v>
      </c>
      <c r="L204" s="156">
        <v>3.0977999999999999E-2</v>
      </c>
      <c r="M204" s="156">
        <v>2.7698E-2</v>
      </c>
      <c r="N204" s="138" cm="1">
        <f t="array" aca="1" ref="N204:AE204" ca="1">IF(OR(B204="",NOT($J$2)),"",GetStripDefaultProbability(A204,B204,Parameter_Date,CDSRollDate,E204:M204,SpreadCurveMaturities,D204,C204,$J$4,$J$6))</f>
        <v>0</v>
      </c>
      <c r="O204" s="163">
        <f ca="1"/>
        <v>0</v>
      </c>
      <c r="P204" s="163">
        <f ca="1"/>
        <v>8.3228201722016393E-2</v>
      </c>
      <c r="Q204" s="163">
        <f ca="1"/>
        <v>0</v>
      </c>
      <c r="R204" s="163">
        <f ca="1"/>
        <v>0.1890709791719174</v>
      </c>
      <c r="S204" s="163">
        <f ca="1"/>
        <v>0</v>
      </c>
      <c r="T204" s="163">
        <f ca="1"/>
        <v>0.24472812906498609</v>
      </c>
      <c r="U204" s="163">
        <f ca="1"/>
        <v>0.29212814993271496</v>
      </c>
      <c r="V204" s="139">
        <f ca="1"/>
        <v>0.34535167607305362</v>
      </c>
      <c r="W204" s="138">
        <f ca="1"/>
        <v>0</v>
      </c>
      <c r="X204" s="163">
        <f ca="1"/>
        <v>0</v>
      </c>
      <c r="Y204" s="163">
        <f ca="1"/>
        <v>8.7202668011427731E-2</v>
      </c>
      <c r="Z204" s="163">
        <f ca="1"/>
        <v>0</v>
      </c>
      <c r="AA204" s="163">
        <f ca="1"/>
        <v>0.19746199395062858</v>
      </c>
      <c r="AB204" s="163">
        <f ca="1"/>
        <v>0</v>
      </c>
      <c r="AC204" s="163">
        <f ca="1"/>
        <v>0.25496362365802938</v>
      </c>
      <c r="AD204" s="163">
        <f ca="1"/>
        <v>0.30376344723232673</v>
      </c>
      <c r="AE204" s="139">
        <f ca="1"/>
        <v>0.35824995554873473</v>
      </c>
      <c r="AI204" s="136"/>
      <c r="AK204" s="136"/>
      <c r="AM204" s="136"/>
      <c r="AN204" s="136"/>
      <c r="AO204" s="136"/>
      <c r="AR204" s="136"/>
      <c r="AT204" s="136"/>
      <c r="AV204" s="136"/>
      <c r="AW204" s="136"/>
      <c r="AX204" s="136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7" t="s">
        <v>87</v>
      </c>
      <c r="F205" s="156" t="s">
        <v>87</v>
      </c>
      <c r="G205" s="156">
        <v>2.8180000000000002E-3</v>
      </c>
      <c r="H205" s="156" t="s">
        <v>87</v>
      </c>
      <c r="I205" s="156">
        <v>5.391E-3</v>
      </c>
      <c r="J205" s="156" t="s">
        <v>87</v>
      </c>
      <c r="K205" s="156">
        <v>8.8500000000000002E-3</v>
      </c>
      <c r="L205" s="156">
        <v>1.0579E-2</v>
      </c>
      <c r="M205" s="156">
        <v>1.2817E-2</v>
      </c>
      <c r="N205" s="138" cm="1">
        <f t="array" aca="1" ref="N205:AE205" ca="1">IF(OR(B205="",NOT($J$2)),"",GetStripDefaultProbability(A205,B205,Parameter_Date,CDSRollDate,E205:M205,SpreadCurveMaturities,D205,C205,$J$4,$J$6))</f>
        <v>0</v>
      </c>
      <c r="O205" s="163">
        <f ca="1"/>
        <v>0</v>
      </c>
      <c r="P205" s="163">
        <f ca="1"/>
        <v>5.1555797183145957E-3</v>
      </c>
      <c r="Q205" s="163">
        <f ca="1"/>
        <v>0</v>
      </c>
      <c r="R205" s="163">
        <f ca="1"/>
        <v>2.7987226464371018E-2</v>
      </c>
      <c r="S205" s="163">
        <f ca="1"/>
        <v>0</v>
      </c>
      <c r="T205" s="163">
        <f ca="1"/>
        <v>7.613886966310246E-2</v>
      </c>
      <c r="U205" s="163">
        <f ca="1"/>
        <v>0.12520794660717871</v>
      </c>
      <c r="V205" s="139">
        <f ca="1"/>
        <v>0.21189942904325698</v>
      </c>
      <c r="W205" s="138">
        <f ca="1"/>
        <v>0</v>
      </c>
      <c r="X205" s="163">
        <f ca="1"/>
        <v>0</v>
      </c>
      <c r="Y205" s="163">
        <f ca="1"/>
        <v>5.4125363971567753E-3</v>
      </c>
      <c r="Z205" s="163">
        <f ca="1"/>
        <v>0</v>
      </c>
      <c r="AA205" s="163">
        <f ca="1"/>
        <v>2.9364634380436017E-2</v>
      </c>
      <c r="AB205" s="163">
        <f ca="1"/>
        <v>0</v>
      </c>
      <c r="AC205" s="163">
        <f ca="1"/>
        <v>7.9837101897663798E-2</v>
      </c>
      <c r="AD205" s="163">
        <f ca="1"/>
        <v>0.13115506603923288</v>
      </c>
      <c r="AE205" s="139">
        <f ca="1"/>
        <v>0.22156642845394614</v>
      </c>
      <c r="AI205" s="136"/>
      <c r="AK205" s="136"/>
      <c r="AM205" s="136"/>
      <c r="AN205" s="136"/>
      <c r="AO205" s="136"/>
      <c r="AR205" s="136"/>
      <c r="AT205" s="136"/>
      <c r="AV205" s="136"/>
      <c r="AW205" s="136"/>
      <c r="AX205" s="136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7" t="s">
        <v>87</v>
      </c>
      <c r="F206" s="156" t="s">
        <v>87</v>
      </c>
      <c r="G206" s="156">
        <v>6.6639999999999998E-3</v>
      </c>
      <c r="H206" s="156" t="s">
        <v>87</v>
      </c>
      <c r="I206" s="156">
        <v>1.1985000000000001E-2</v>
      </c>
      <c r="J206" s="156" t="s">
        <v>87</v>
      </c>
      <c r="K206" s="156">
        <v>1.7659999999999999E-2</v>
      </c>
      <c r="L206" s="156">
        <v>1.9762999999999999E-2</v>
      </c>
      <c r="M206" s="156">
        <v>2.2307E-2</v>
      </c>
      <c r="N206" s="138" cm="1">
        <f t="array" aca="1" ref="N206:AE206" ca="1">IF(OR(B206="",NOT($J$2)),"",GetStripDefaultProbability(A206,B206,Parameter_Date,CDSRollDate,E206:M206,SpreadCurveMaturities,D206,C206,$J$4,$J$6))</f>
        <v>0</v>
      </c>
      <c r="O206" s="163">
        <f ca="1"/>
        <v>0</v>
      </c>
      <c r="P206" s="163">
        <f ca="1"/>
        <v>1.2149471499395825E-2</v>
      </c>
      <c r="Q206" s="163">
        <f ca="1"/>
        <v>0</v>
      </c>
      <c r="R206" s="163">
        <f ca="1"/>
        <v>6.1260313475274164E-2</v>
      </c>
      <c r="S206" s="163">
        <f ca="1"/>
        <v>0</v>
      </c>
      <c r="T206" s="163">
        <f ca="1"/>
        <v>0.14668436635193949</v>
      </c>
      <c r="U206" s="163">
        <f ca="1"/>
        <v>0.22103226227476369</v>
      </c>
      <c r="V206" s="139">
        <f ca="1"/>
        <v>0.33777220162246857</v>
      </c>
      <c r="W206" s="138">
        <f ca="1"/>
        <v>0</v>
      </c>
      <c r="X206" s="163">
        <f ca="1"/>
        <v>0</v>
      </c>
      <c r="Y206" s="163">
        <f ca="1"/>
        <v>1.2752272260828312E-2</v>
      </c>
      <c r="Z206" s="163">
        <f ca="1"/>
        <v>0</v>
      </c>
      <c r="AA206" s="163">
        <f ca="1"/>
        <v>6.4239470763259643E-2</v>
      </c>
      <c r="AB206" s="163">
        <f ca="1"/>
        <v>0</v>
      </c>
      <c r="AC206" s="163">
        <f ca="1"/>
        <v>0.15357847897839216</v>
      </c>
      <c r="AD206" s="163">
        <f ca="1"/>
        <v>0.23099428321068771</v>
      </c>
      <c r="AE206" s="139">
        <f ca="1"/>
        <v>0.35195920784877777</v>
      </c>
      <c r="AI206" s="136"/>
      <c r="AK206" s="136"/>
      <c r="AM206" s="136"/>
      <c r="AN206" s="136"/>
      <c r="AO206" s="136"/>
      <c r="AR206" s="136"/>
      <c r="AT206" s="136"/>
      <c r="AV206" s="136"/>
      <c r="AW206" s="136"/>
      <c r="AX206" s="136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7" t="s">
        <v>87</v>
      </c>
      <c r="F207" s="156" t="s">
        <v>87</v>
      </c>
      <c r="G207" s="156">
        <v>4.7100000000000001E-4</v>
      </c>
      <c r="H207" s="156" t="s">
        <v>87</v>
      </c>
      <c r="I207" s="156">
        <v>1.882E-3</v>
      </c>
      <c r="J207" s="156" t="s">
        <v>87</v>
      </c>
      <c r="K207" s="156">
        <v>2.5569999999999998E-3</v>
      </c>
      <c r="L207" s="156">
        <v>3.4259999999999998E-3</v>
      </c>
      <c r="M207" s="156">
        <v>4.3909999999999999E-3</v>
      </c>
      <c r="N207" s="138" cm="1">
        <f t="array" aca="1" ref="N207:AE207" ca="1">IF(OR(B207="",NOT($J$2)),"",GetStripDefaultProbability(A207,B207,Parameter_Date,CDSRollDate,E207:M207,SpreadCurveMaturities,D207,C207,$J$4,$J$6))</f>
        <v>0</v>
      </c>
      <c r="O207" s="163">
        <f ca="1"/>
        <v>0</v>
      </c>
      <c r="P207" s="163">
        <f ca="1"/>
        <v>8.6354307978075973E-4</v>
      </c>
      <c r="Q207" s="163">
        <f ca="1"/>
        <v>0</v>
      </c>
      <c r="R207" s="163">
        <f ca="1"/>
        <v>9.914092522643525E-3</v>
      </c>
      <c r="S207" s="163">
        <f ca="1"/>
        <v>0</v>
      </c>
      <c r="T207" s="163">
        <f ca="1"/>
        <v>2.2296978890347652E-2</v>
      </c>
      <c r="U207" s="163">
        <f ca="1"/>
        <v>4.2206958852910703E-2</v>
      </c>
      <c r="V207" s="139">
        <f ca="1"/>
        <v>7.7730289287590404E-2</v>
      </c>
      <c r="W207" s="138">
        <f ca="1"/>
        <v>0</v>
      </c>
      <c r="X207" s="163">
        <f ca="1"/>
        <v>0</v>
      </c>
      <c r="Y207" s="163">
        <f ca="1"/>
        <v>1.0300519464954139E-3</v>
      </c>
      <c r="Z207" s="163">
        <f ca="1"/>
        <v>0</v>
      </c>
      <c r="AA207" s="163">
        <f ca="1"/>
        <v>1.0429123998120127E-2</v>
      </c>
      <c r="AB207" s="163">
        <f ca="1"/>
        <v>0</v>
      </c>
      <c r="AC207" s="163">
        <f ca="1"/>
        <v>2.3387806023025259E-2</v>
      </c>
      <c r="AD207" s="163">
        <f ca="1"/>
        <v>4.4267495220433051E-2</v>
      </c>
      <c r="AE207" s="139">
        <f ca="1"/>
        <v>8.1470846556011667E-2</v>
      </c>
      <c r="AI207" s="136"/>
      <c r="AK207" s="136"/>
      <c r="AM207" s="136"/>
      <c r="AN207" s="136"/>
      <c r="AO207" s="136"/>
      <c r="AR207" s="136"/>
      <c r="AT207" s="136"/>
      <c r="AV207" s="136"/>
      <c r="AW207" s="136"/>
      <c r="AX207" s="136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7" t="s">
        <v>87</v>
      </c>
      <c r="F208" s="156" t="s">
        <v>87</v>
      </c>
      <c r="G208" s="156">
        <v>1.122E-3</v>
      </c>
      <c r="H208" s="156" t="s">
        <v>87</v>
      </c>
      <c r="I208" s="156">
        <v>1.936E-3</v>
      </c>
      <c r="J208" s="156" t="s">
        <v>87</v>
      </c>
      <c r="K208" s="156">
        <v>2.9919999999999999E-3</v>
      </c>
      <c r="L208" s="156">
        <v>3.9589999999999998E-3</v>
      </c>
      <c r="M208" s="156">
        <v>5.1029999999999999E-3</v>
      </c>
      <c r="N208" s="138" cm="1">
        <f t="array" aca="1" ref="N208:AE208" ca="1">IF(OR(B208="",NOT($J$2)),"",GetStripDefaultProbability(A208,B208,Parameter_Date,CDSRollDate,E208:M208,SpreadCurveMaturities,D208,C208,$J$4,$J$6))</f>
        <v>0</v>
      </c>
      <c r="O208" s="163">
        <f ca="1"/>
        <v>0</v>
      </c>
      <c r="P208" s="163">
        <f ca="1"/>
        <v>2.0558846711564716E-3</v>
      </c>
      <c r="Q208" s="163">
        <f ca="1"/>
        <v>0</v>
      </c>
      <c r="R208" s="163">
        <f ca="1"/>
        <v>1.0109626384978032E-2</v>
      </c>
      <c r="S208" s="163">
        <f ca="1"/>
        <v>0</v>
      </c>
      <c r="T208" s="163">
        <f ca="1"/>
        <v>2.6125736063580374E-2</v>
      </c>
      <c r="U208" s="163">
        <f ca="1"/>
        <v>4.8677031023482753E-2</v>
      </c>
      <c r="V208" s="139">
        <f ca="1"/>
        <v>8.9998363236239887E-2</v>
      </c>
      <c r="W208" s="138">
        <f ca="1"/>
        <v>0</v>
      </c>
      <c r="X208" s="163">
        <f ca="1"/>
        <v>0</v>
      </c>
      <c r="Y208" s="163">
        <f ca="1"/>
        <v>2.2221948308179806E-3</v>
      </c>
      <c r="Z208" s="163">
        <f ca="1"/>
        <v>0</v>
      </c>
      <c r="AA208" s="163">
        <f ca="1"/>
        <v>1.0624390028488917E-2</v>
      </c>
      <c r="AB208" s="163">
        <f ca="1"/>
        <v>0</v>
      </c>
      <c r="AC208" s="163">
        <f ca="1"/>
        <v>2.7409665561398455E-2</v>
      </c>
      <c r="AD208" s="163">
        <f ca="1"/>
        <v>5.1055205204232013E-2</v>
      </c>
      <c r="AE208" s="139">
        <f ca="1"/>
        <v>9.4342022363971823E-2</v>
      </c>
      <c r="AI208" s="136"/>
      <c r="AK208" s="136"/>
      <c r="AM208" s="136"/>
      <c r="AN208" s="136"/>
      <c r="AO208" s="136"/>
      <c r="AR208" s="136"/>
      <c r="AT208" s="136"/>
      <c r="AV208" s="136"/>
      <c r="AW208" s="136"/>
      <c r="AX208" s="136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7" t="s">
        <v>87</v>
      </c>
      <c r="F209" s="156" t="s">
        <v>87</v>
      </c>
      <c r="G209" s="156">
        <v>3.9202000000000001E-2</v>
      </c>
      <c r="H209" s="156" t="s">
        <v>87</v>
      </c>
      <c r="I209" s="156">
        <v>3.9371999999999997E-2</v>
      </c>
      <c r="J209" s="156" t="s">
        <v>87</v>
      </c>
      <c r="K209" s="156">
        <v>3.4451000000000002E-2</v>
      </c>
      <c r="L209" s="156">
        <v>3.1989999999999998E-2</v>
      </c>
      <c r="M209" s="156">
        <v>3.0020999999999999E-2</v>
      </c>
      <c r="N209" s="138" cm="1">
        <f t="array" aca="1" ref="N209:AE209" ca="1">IF(OR(B209="",NOT($J$2)),"",GetStripDefaultProbability(A209,B209,Parameter_Date,CDSRollDate,E209:M209,SpreadCurveMaturities,D209,C209,$J$4,$J$6))</f>
        <v>0</v>
      </c>
      <c r="O209" s="163">
        <f ca="1"/>
        <v>0</v>
      </c>
      <c r="P209" s="163">
        <f ca="1"/>
        <v>6.9378693634223887E-2</v>
      </c>
      <c r="Q209" s="163">
        <f ca="1"/>
        <v>0</v>
      </c>
      <c r="R209" s="163">
        <f ca="1"/>
        <v>0.18485521298159135</v>
      </c>
      <c r="S209" s="163">
        <f ca="1"/>
        <v>0</v>
      </c>
      <c r="T209" s="163">
        <f ca="1"/>
        <v>0.2493476329178419</v>
      </c>
      <c r="U209" s="163">
        <f ca="1"/>
        <v>0.30528689426161959</v>
      </c>
      <c r="V209" s="139">
        <f ca="1"/>
        <v>0.37954014233141076</v>
      </c>
      <c r="W209" s="138">
        <f ca="1"/>
        <v>0</v>
      </c>
      <c r="X209" s="163">
        <f ca="1"/>
        <v>0</v>
      </c>
      <c r="Y209" s="163">
        <f ca="1"/>
        <v>7.2718318793143943E-2</v>
      </c>
      <c r="Z209" s="163">
        <f ca="1"/>
        <v>0</v>
      </c>
      <c r="AA209" s="163">
        <f ca="1"/>
        <v>0.19314466480266412</v>
      </c>
      <c r="AB209" s="163">
        <f ca="1"/>
        <v>0</v>
      </c>
      <c r="AC209" s="163">
        <f ca="1"/>
        <v>0.25984813888053615</v>
      </c>
      <c r="AD209" s="163">
        <f ca="1"/>
        <v>0.31746764254293913</v>
      </c>
      <c r="AE209" s="139">
        <f ca="1"/>
        <v>0.39358466589126839</v>
      </c>
      <c r="AI209" s="136"/>
      <c r="AK209" s="136"/>
      <c r="AM209" s="136"/>
      <c r="AN209" s="136"/>
      <c r="AO209" s="136"/>
      <c r="AR209" s="136"/>
      <c r="AT209" s="136"/>
      <c r="AV209" s="136"/>
      <c r="AW209" s="136"/>
      <c r="AX209" s="136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7" t="s">
        <v>87</v>
      </c>
      <c r="F210" s="156" t="s">
        <v>87</v>
      </c>
      <c r="G210" s="156">
        <v>4.2750000000000002E-3</v>
      </c>
      <c r="H210" s="156" t="s">
        <v>87</v>
      </c>
      <c r="I210" s="156">
        <v>7.5789999999999998E-3</v>
      </c>
      <c r="J210" s="156" t="s">
        <v>87</v>
      </c>
      <c r="K210" s="156">
        <v>1.1918E-2</v>
      </c>
      <c r="L210" s="156">
        <v>1.4062E-2</v>
      </c>
      <c r="M210" s="156">
        <v>1.6954E-2</v>
      </c>
      <c r="N210" s="138" cm="1">
        <f t="array" aca="1" ref="N210:AE210" ca="1">IF(OR(B210="",NOT($J$2)),"",GetStripDefaultProbability(A210,B210,Parameter_Date,CDSRollDate,E210:M210,SpreadCurveMaturities,D210,C210,$J$4,$J$6))</f>
        <v>0</v>
      </c>
      <c r="O210" s="163">
        <f ca="1"/>
        <v>0</v>
      </c>
      <c r="P210" s="163">
        <f ca="1"/>
        <v>7.8108520891130295E-3</v>
      </c>
      <c r="Q210" s="163">
        <f ca="1"/>
        <v>0</v>
      </c>
      <c r="R210" s="163">
        <f ca="1"/>
        <v>3.9113169957257665E-2</v>
      </c>
      <c r="S210" s="163">
        <f ca="1"/>
        <v>0</v>
      </c>
      <c r="T210" s="163">
        <f ca="1"/>
        <v>0.10125395546453408</v>
      </c>
      <c r="U210" s="163">
        <f ca="1"/>
        <v>0.16323801678281025</v>
      </c>
      <c r="V210" s="139">
        <f ca="1"/>
        <v>0.27197840447855159</v>
      </c>
      <c r="W210" s="138">
        <f ca="1"/>
        <v>0</v>
      </c>
      <c r="X210" s="163">
        <f ca="1"/>
        <v>0</v>
      </c>
      <c r="Y210" s="163">
        <f ca="1"/>
        <v>8.1994899643547114E-3</v>
      </c>
      <c r="Z210" s="163">
        <f ca="1"/>
        <v>0</v>
      </c>
      <c r="AA210" s="163">
        <f ca="1"/>
        <v>4.1024916002168177E-2</v>
      </c>
      <c r="AB210" s="163">
        <f ca="1"/>
        <v>0</v>
      </c>
      <c r="AC210" s="163">
        <f ca="1"/>
        <v>0.10611796977800159</v>
      </c>
      <c r="AD210" s="163">
        <f ca="1"/>
        <v>0.17084994561070965</v>
      </c>
      <c r="AE210" s="139">
        <f ca="1"/>
        <v>0.28399853140797182</v>
      </c>
      <c r="AI210" s="136"/>
      <c r="AK210" s="136"/>
      <c r="AM210" s="136"/>
      <c r="AN210" s="136"/>
      <c r="AO210" s="136"/>
      <c r="AR210" s="136"/>
      <c r="AT210" s="136"/>
      <c r="AV210" s="136"/>
      <c r="AW210" s="136"/>
      <c r="AX210" s="136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7" t="s">
        <v>87</v>
      </c>
      <c r="F211" s="156" t="s">
        <v>87</v>
      </c>
      <c r="G211" s="156">
        <v>3.6250000000000002E-3</v>
      </c>
      <c r="H211" s="156" t="s">
        <v>87</v>
      </c>
      <c r="I211" s="156">
        <v>7.8189999999999996E-3</v>
      </c>
      <c r="J211" s="156" t="s">
        <v>87</v>
      </c>
      <c r="K211" s="156">
        <v>1.2063000000000001E-2</v>
      </c>
      <c r="L211" s="156">
        <v>1.3636000000000001E-2</v>
      </c>
      <c r="M211" s="156">
        <v>1.5828999999999999E-2</v>
      </c>
      <c r="N211" s="138" cm="1">
        <f t="array" aca="1" ref="N211:AE211" ca="1">IF(OR(B211="",NOT($J$2)),"",GetStripDefaultProbability(A211,B211,Parameter_Date,CDSRollDate,E211:M211,SpreadCurveMaturities,D211,C211,$J$4,$J$6))</f>
        <v>0</v>
      </c>
      <c r="O211" s="163">
        <f ca="1"/>
        <v>0</v>
      </c>
      <c r="P211" s="163">
        <f ca="1"/>
        <v>6.6271436655800375E-3</v>
      </c>
      <c r="Q211" s="163">
        <f ca="1"/>
        <v>0</v>
      </c>
      <c r="R211" s="163">
        <f ca="1"/>
        <v>4.0459853259215639E-2</v>
      </c>
      <c r="S211" s="163">
        <f ca="1"/>
        <v>0</v>
      </c>
      <c r="T211" s="163">
        <f ca="1"/>
        <v>0.10245810311851566</v>
      </c>
      <c r="U211" s="163">
        <f ca="1"/>
        <v>0.15769227657458029</v>
      </c>
      <c r="V211" s="139">
        <f ca="1"/>
        <v>0.25287897705587015</v>
      </c>
      <c r="W211" s="138">
        <f ca="1"/>
        <v>0</v>
      </c>
      <c r="X211" s="163">
        <f ca="1"/>
        <v>0</v>
      </c>
      <c r="Y211" s="163">
        <f ca="1"/>
        <v>6.9571351053488995E-3</v>
      </c>
      <c r="Z211" s="163">
        <f ca="1"/>
        <v>0</v>
      </c>
      <c r="AA211" s="163">
        <f ca="1"/>
        <v>4.2436375110090796E-2</v>
      </c>
      <c r="AB211" s="163">
        <f ca="1"/>
        <v>0</v>
      </c>
      <c r="AC211" s="163">
        <f ca="1"/>
        <v>0.10737809711375934</v>
      </c>
      <c r="AD211" s="163">
        <f ca="1"/>
        <v>0.16504790212348497</v>
      </c>
      <c r="AE211" s="139">
        <f ca="1"/>
        <v>0.26410507772341241</v>
      </c>
      <c r="AI211" s="136"/>
      <c r="AK211" s="136"/>
      <c r="AM211" s="136"/>
      <c r="AN211" s="136"/>
      <c r="AO211" s="136"/>
      <c r="AR211" s="136"/>
      <c r="AT211" s="136"/>
      <c r="AV211" s="136"/>
      <c r="AW211" s="136"/>
      <c r="AX211" s="136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7" t="s">
        <v>87</v>
      </c>
      <c r="F212" s="156" t="s">
        <v>87</v>
      </c>
      <c r="G212" s="156">
        <v>6.7599999999999995E-4</v>
      </c>
      <c r="H212" s="156" t="s">
        <v>87</v>
      </c>
      <c r="I212" s="156">
        <v>1.158E-3</v>
      </c>
      <c r="J212" s="156" t="s">
        <v>87</v>
      </c>
      <c r="K212" s="156">
        <v>1.9300000000000001E-3</v>
      </c>
      <c r="L212" s="156">
        <v>2.4610000000000001E-3</v>
      </c>
      <c r="M212" s="156">
        <v>3.571E-3</v>
      </c>
      <c r="N212" s="138" cm="1">
        <f t="array" aca="1" ref="N212:AE212" ca="1">IF(OR(B212="",NOT($J$2)),"",GetStripDefaultProbability(A212,B212,Parameter_Date,CDSRollDate,E212:M212,SpreadCurveMaturities,D212,C212,$J$4,$J$6))</f>
        <v>0</v>
      </c>
      <c r="O212" s="163">
        <f ca="1"/>
        <v>0</v>
      </c>
      <c r="P212" s="163">
        <f ca="1"/>
        <v>1.239163992504122E-3</v>
      </c>
      <c r="Q212" s="163">
        <f ca="1"/>
        <v>0</v>
      </c>
      <c r="R212" s="163">
        <f ca="1"/>
        <v>6.0566074676248194E-3</v>
      </c>
      <c r="S212" s="163">
        <f ca="1"/>
        <v>0</v>
      </c>
      <c r="T212" s="163">
        <f ca="1"/>
        <v>1.6966799662120446E-2</v>
      </c>
      <c r="U212" s="163">
        <f ca="1"/>
        <v>3.0408901775784702E-2</v>
      </c>
      <c r="V212" s="139">
        <f ca="1"/>
        <v>6.4549245494605278E-2</v>
      </c>
      <c r="W212" s="138">
        <f ca="1"/>
        <v>0</v>
      </c>
      <c r="X212" s="163">
        <f ca="1"/>
        <v>0</v>
      </c>
      <c r="Y212" s="163">
        <f ca="1"/>
        <v>1.4056102609352195E-3</v>
      </c>
      <c r="Z212" s="163">
        <f ca="1"/>
        <v>0</v>
      </c>
      <c r="AA212" s="163">
        <f ca="1"/>
        <v>6.5736101798746782E-3</v>
      </c>
      <c r="AB212" s="163">
        <f ca="1"/>
        <v>0</v>
      </c>
      <c r="AC212" s="163">
        <f ca="1"/>
        <v>1.7809233066893637E-2</v>
      </c>
      <c r="AD212" s="163">
        <f ca="1"/>
        <v>3.1875062248163943E-2</v>
      </c>
      <c r="AE212" s="139">
        <f ca="1"/>
        <v>6.7650968965227376E-2</v>
      </c>
      <c r="AI212" s="136"/>
      <c r="AK212" s="136"/>
      <c r="AM212" s="136"/>
      <c r="AN212" s="136"/>
      <c r="AO212" s="136"/>
      <c r="AR212" s="136"/>
      <c r="AT212" s="136"/>
      <c r="AV212" s="136"/>
      <c r="AW212" s="136"/>
      <c r="AX212" s="136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7" t="s">
        <v>87</v>
      </c>
      <c r="F213" s="156" t="s">
        <v>87</v>
      </c>
      <c r="G213" s="156">
        <v>5.1699999999999999E-4</v>
      </c>
      <c r="H213" s="156" t="s">
        <v>87</v>
      </c>
      <c r="I213" s="156">
        <v>1.0820000000000001E-3</v>
      </c>
      <c r="J213" s="156" t="s">
        <v>87</v>
      </c>
      <c r="K213" s="156">
        <v>1.882E-3</v>
      </c>
      <c r="L213" s="156">
        <v>2.1879999999999998E-3</v>
      </c>
      <c r="M213" s="156">
        <v>2.7569999999999999E-3</v>
      </c>
      <c r="N213" s="138" cm="1">
        <f t="array" aca="1" ref="N213:AE213" ca="1">IF(OR(B213="",NOT($J$2)),"",GetStripDefaultProbability(A213,B213,Parameter_Date,CDSRollDate,E213:M213,SpreadCurveMaturities,D213,C213,$J$4,$J$6))</f>
        <v>0</v>
      </c>
      <c r="O213" s="163">
        <f ca="1"/>
        <v>0</v>
      </c>
      <c r="P213" s="163">
        <f ca="1"/>
        <v>9.4784094304101174E-4</v>
      </c>
      <c r="Q213" s="163">
        <f ca="1"/>
        <v>0</v>
      </c>
      <c r="R213" s="163">
        <f ca="1"/>
        <v>5.6754060361848824E-3</v>
      </c>
      <c r="S213" s="163">
        <f ca="1"/>
        <v>0</v>
      </c>
      <c r="T213" s="163">
        <f ca="1"/>
        <v>1.6593105569254307E-2</v>
      </c>
      <c r="U213" s="163">
        <f ca="1"/>
        <v>2.687587505051714E-2</v>
      </c>
      <c r="V213" s="139">
        <f ca="1"/>
        <v>4.8962503315091888E-2</v>
      </c>
      <c r="W213" s="138">
        <f ca="1"/>
        <v>0</v>
      </c>
      <c r="X213" s="163">
        <f ca="1"/>
        <v>0</v>
      </c>
      <c r="Y213" s="163">
        <f ca="1"/>
        <v>1.1143357612654059E-3</v>
      </c>
      <c r="Z213" s="163">
        <f ca="1"/>
        <v>0</v>
      </c>
      <c r="AA213" s="163">
        <f ca="1"/>
        <v>6.1926526501984158E-3</v>
      </c>
      <c r="AB213" s="163">
        <f ca="1"/>
        <v>0</v>
      </c>
      <c r="AC213" s="163">
        <f ca="1"/>
        <v>1.7435968867407281E-2</v>
      </c>
      <c r="AD213" s="163">
        <f ca="1"/>
        <v>2.8163717914869935E-2</v>
      </c>
      <c r="AE213" s="139">
        <f ca="1"/>
        <v>5.1316131182395419E-2</v>
      </c>
      <c r="AI213" s="136"/>
      <c r="AK213" s="136"/>
      <c r="AM213" s="136"/>
      <c r="AN213" s="136"/>
      <c r="AO213" s="136"/>
      <c r="AR213" s="136"/>
      <c r="AT213" s="136"/>
      <c r="AV213" s="136"/>
      <c r="AW213" s="136"/>
      <c r="AX213" s="136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7" t="s">
        <v>87</v>
      </c>
      <c r="F214" s="156" t="s">
        <v>87</v>
      </c>
      <c r="G214" s="156">
        <v>5.7200000000000003E-4</v>
      </c>
      <c r="H214" s="156" t="s">
        <v>87</v>
      </c>
      <c r="I214" s="156">
        <v>2.3140000000000001E-3</v>
      </c>
      <c r="J214" s="156" t="s">
        <v>87</v>
      </c>
      <c r="K214" s="156">
        <v>4.1009999999999996E-3</v>
      </c>
      <c r="L214" s="156">
        <v>5.7629999999999999E-3</v>
      </c>
      <c r="M214" s="156">
        <v>6.9569999999999996E-3</v>
      </c>
      <c r="N214" s="138" cm="1">
        <f t="array" aca="1" ref="N214:AE214" ca="1">IF(OR(B214="",NOT($J$2)),"",GetStripDefaultProbability(A214,B214,Parameter_Date,CDSRollDate,E214:M214,SpreadCurveMaturities,D214,C214,$J$4,$J$6))</f>
        <v>0</v>
      </c>
      <c r="O214" s="163">
        <f ca="1"/>
        <v>0</v>
      </c>
      <c r="P214" s="163">
        <f ca="1"/>
        <v>1.048622603466054E-3</v>
      </c>
      <c r="Q214" s="163">
        <f ca="1"/>
        <v>0</v>
      </c>
      <c r="R214" s="163">
        <f ca="1"/>
        <v>1.2180908373191857E-2</v>
      </c>
      <c r="S214" s="163">
        <f ca="1"/>
        <v>0</v>
      </c>
      <c r="T214" s="163">
        <f ca="1"/>
        <v>3.6026931054520483E-2</v>
      </c>
      <c r="U214" s="163">
        <f ca="1"/>
        <v>7.1072667402101386E-2</v>
      </c>
      <c r="V214" s="139">
        <f ca="1"/>
        <v>0.12079874866603757</v>
      </c>
      <c r="W214" s="138">
        <f ca="1"/>
        <v>0</v>
      </c>
      <c r="X214" s="163">
        <f ca="1"/>
        <v>0</v>
      </c>
      <c r="Y214" s="163">
        <f ca="1"/>
        <v>1.215100626158927E-3</v>
      </c>
      <c r="Z214" s="163">
        <f ca="1"/>
        <v>0</v>
      </c>
      <c r="AA214" s="163">
        <f ca="1"/>
        <v>1.2777376174239019E-2</v>
      </c>
      <c r="AB214" s="163">
        <f ca="1"/>
        <v>0</v>
      </c>
      <c r="AC214" s="163">
        <f ca="1"/>
        <v>3.7790919910395848E-2</v>
      </c>
      <c r="AD214" s="163">
        <f ca="1"/>
        <v>7.4517315204976287E-2</v>
      </c>
      <c r="AE214" s="139">
        <f ca="1"/>
        <v>0.12655371938166271</v>
      </c>
      <c r="AI214" s="136"/>
      <c r="AK214" s="136"/>
      <c r="AM214" s="136"/>
      <c r="AN214" s="136"/>
      <c r="AO214" s="136"/>
      <c r="AR214" s="136"/>
      <c r="AT214" s="136"/>
      <c r="AV214" s="136"/>
      <c r="AW214" s="136"/>
      <c r="AX214" s="136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7" t="s">
        <v>87</v>
      </c>
      <c r="F215" s="156" t="s">
        <v>87</v>
      </c>
      <c r="G215" s="156">
        <v>1.358E-3</v>
      </c>
      <c r="H215" s="156" t="s">
        <v>87</v>
      </c>
      <c r="I215" s="156">
        <v>2.5469999999999998E-3</v>
      </c>
      <c r="J215" s="156" t="s">
        <v>87</v>
      </c>
      <c r="K215" s="156">
        <v>4.5840000000000004E-3</v>
      </c>
      <c r="L215" s="156">
        <v>5.7549999999999997E-3</v>
      </c>
      <c r="M215" s="156">
        <v>8.0470000000000003E-3</v>
      </c>
      <c r="N215" s="138" cm="1">
        <f t="array" aca="1" ref="N215:AE215" ca="1">IF(OR(B215="",NOT($J$2)),"",GetStripDefaultProbability(A215,B215,Parameter_Date,CDSRollDate,E215:M215,SpreadCurveMaturities,D215,C215,$J$4,$J$6))</f>
        <v>0</v>
      </c>
      <c r="O215" s="163">
        <f ca="1"/>
        <v>0</v>
      </c>
      <c r="P215" s="163">
        <f ca="1"/>
        <v>2.4877827699836264E-3</v>
      </c>
      <c r="Q215" s="163">
        <f ca="1"/>
        <v>0</v>
      </c>
      <c r="R215" s="163">
        <f ca="1"/>
        <v>1.32990942205371E-2</v>
      </c>
      <c r="S215" s="163">
        <f ca="1"/>
        <v>0</v>
      </c>
      <c r="T215" s="163">
        <f ca="1"/>
        <v>4.0131264573845193E-2</v>
      </c>
      <c r="U215" s="163">
        <f ca="1"/>
        <v>7.0151798797064346E-2</v>
      </c>
      <c r="V215" s="139">
        <f ca="1"/>
        <v>0.14097601938869664</v>
      </c>
      <c r="W215" s="138">
        <f ca="1"/>
        <v>0</v>
      </c>
      <c r="X215" s="163">
        <f ca="1"/>
        <v>0</v>
      </c>
      <c r="Y215" s="163">
        <f ca="1"/>
        <v>2.6540209526210168E-3</v>
      </c>
      <c r="Z215" s="163">
        <f ca="1"/>
        <v>0</v>
      </c>
      <c r="AA215" s="163">
        <f ca="1"/>
        <v>1.3955969959072445E-2</v>
      </c>
      <c r="AB215" s="163">
        <f ca="1"/>
        <v>0</v>
      </c>
      <c r="AC215" s="163">
        <f ca="1"/>
        <v>4.2098416905390179E-2</v>
      </c>
      <c r="AD215" s="163">
        <f ca="1"/>
        <v>7.3554892899085789E-2</v>
      </c>
      <c r="AE215" s="139">
        <f ca="1"/>
        <v>0.14767015993991972</v>
      </c>
      <c r="AI215" s="136"/>
      <c r="AK215" s="136"/>
      <c r="AM215" s="136"/>
      <c r="AN215" s="136"/>
      <c r="AO215" s="136"/>
      <c r="AR215" s="136"/>
      <c r="AT215" s="136"/>
      <c r="AV215" s="136"/>
      <c r="AW215" s="136"/>
      <c r="AX215" s="136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7" t="s">
        <v>87</v>
      </c>
      <c r="F216" s="156" t="s">
        <v>87</v>
      </c>
      <c r="G216" s="156">
        <v>2.9978999999999999E-2</v>
      </c>
      <c r="H216" s="156" t="s">
        <v>87</v>
      </c>
      <c r="I216" s="156">
        <v>2.785E-2</v>
      </c>
      <c r="J216" s="156" t="s">
        <v>87</v>
      </c>
      <c r="K216" s="156">
        <v>2.5090000000000001E-2</v>
      </c>
      <c r="L216" s="156">
        <v>2.1465999999999999E-2</v>
      </c>
      <c r="M216" s="156">
        <v>1.8398999999999999E-2</v>
      </c>
      <c r="N216" s="138" cm="1">
        <f t="array" aca="1" ref="N216:AE216" ca="1">IF(OR(B216="",NOT($J$2)),"",GetStripDefaultProbability(A216,B216,Parameter_Date,CDSRollDate,E216:M216,SpreadCurveMaturities,D216,C216,$J$4,$J$6))</f>
        <v>0</v>
      </c>
      <c r="O216" s="163">
        <f ca="1"/>
        <v>0</v>
      </c>
      <c r="P216" s="163">
        <f ca="1"/>
        <v>5.3502248223297633E-2</v>
      </c>
      <c r="Q216" s="163">
        <f ca="1"/>
        <v>0</v>
      </c>
      <c r="R216" s="163">
        <f ca="1"/>
        <v>0.13407074851746958</v>
      </c>
      <c r="S216" s="163">
        <f ca="1"/>
        <v>0</v>
      </c>
      <c r="T216" s="163">
        <f ca="1"/>
        <v>0.18967410778488258</v>
      </c>
      <c r="U216" s="163">
        <f ca="1"/>
        <v>0.21403675829345992</v>
      </c>
      <c r="V216" s="139">
        <f ca="1"/>
        <v>0.24414847476513291</v>
      </c>
      <c r="W216" s="138">
        <f ca="1"/>
        <v>0</v>
      </c>
      <c r="X216" s="163">
        <f ca="1"/>
        <v>0</v>
      </c>
      <c r="Y216" s="163">
        <f ca="1"/>
        <v>5.6100860376101402E-2</v>
      </c>
      <c r="Z216" s="163">
        <f ca="1"/>
        <v>0</v>
      </c>
      <c r="AA216" s="163">
        <f ca="1"/>
        <v>0.14026654777088576</v>
      </c>
      <c r="AB216" s="163">
        <f ca="1"/>
        <v>0</v>
      </c>
      <c r="AC216" s="163">
        <f ca="1"/>
        <v>0.19805862432213894</v>
      </c>
      <c r="AD216" s="163">
        <f ca="1"/>
        <v>0.22315081702907347</v>
      </c>
      <c r="AE216" s="139">
        <f ca="1"/>
        <v>0.25411288685997691</v>
      </c>
      <c r="AI216" s="136"/>
      <c r="AK216" s="136"/>
      <c r="AM216" s="136"/>
      <c r="AN216" s="136"/>
      <c r="AO216" s="136"/>
      <c r="AR216" s="136"/>
      <c r="AT216" s="136"/>
      <c r="AV216" s="136"/>
      <c r="AW216" s="136"/>
      <c r="AX216" s="136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7" t="s">
        <v>87</v>
      </c>
      <c r="F217" s="156" t="s">
        <v>87</v>
      </c>
      <c r="G217" s="156">
        <v>1.1770000000000001E-3</v>
      </c>
      <c r="H217" s="156" t="s">
        <v>87</v>
      </c>
      <c r="I217" s="156">
        <v>1.9789999999999999E-3</v>
      </c>
      <c r="J217" s="156" t="s">
        <v>87</v>
      </c>
      <c r="K217" s="156">
        <v>2.4610000000000001E-3</v>
      </c>
      <c r="L217" s="156">
        <v>3.2100000000000002E-3</v>
      </c>
      <c r="M217" s="156">
        <v>4.0119999999999999E-3</v>
      </c>
      <c r="N217" s="138" cm="1">
        <f t="array" aca="1" ref="N217:AE217" ca="1">IF(OR(B217="",NOT($J$2)),"",GetStripDefaultProbability(A217,B217,Parameter_Date,CDSRollDate,E217:M217,SpreadCurveMaturities,D217,C217,$J$4,$J$6))</f>
        <v>0</v>
      </c>
      <c r="O217" s="163">
        <f ca="1"/>
        <v>0</v>
      </c>
      <c r="P217" s="163">
        <f ca="1"/>
        <v>2.1565554575819768E-3</v>
      </c>
      <c r="Q217" s="163">
        <f ca="1"/>
        <v>0</v>
      </c>
      <c r="R217" s="163">
        <f ca="1"/>
        <v>1.0329047521349999E-2</v>
      </c>
      <c r="S217" s="163">
        <f ca="1"/>
        <v>0</v>
      </c>
      <c r="T217" s="163">
        <f ca="1"/>
        <v>2.1270744110319595E-2</v>
      </c>
      <c r="U217" s="163">
        <f ca="1"/>
        <v>3.928442401750698E-2</v>
      </c>
      <c r="V217" s="139">
        <f ca="1"/>
        <v>7.0628919089496534E-2</v>
      </c>
      <c r="W217" s="138">
        <f ca="1"/>
        <v>0</v>
      </c>
      <c r="X217" s="163">
        <f ca="1"/>
        <v>0</v>
      </c>
      <c r="Y217" s="163">
        <f ca="1"/>
        <v>2.3228488401896286E-3</v>
      </c>
      <c r="Z217" s="163">
        <f ca="1"/>
        <v>0</v>
      </c>
      <c r="AA217" s="163">
        <f ca="1"/>
        <v>1.0843676824862314E-2</v>
      </c>
      <c r="AB217" s="163">
        <f ca="1"/>
        <v>0</v>
      </c>
      <c r="AC217" s="163">
        <f ca="1"/>
        <v>2.2318305303532071E-2</v>
      </c>
      <c r="AD217" s="163">
        <f ca="1"/>
        <v>4.1210170943033142E-2</v>
      </c>
      <c r="AE217" s="139">
        <f ca="1"/>
        <v>7.4043062897789391E-2</v>
      </c>
      <c r="AI217" s="136"/>
      <c r="AK217" s="136"/>
      <c r="AM217" s="136"/>
      <c r="AN217" s="136"/>
      <c r="AO217" s="136"/>
      <c r="AR217" s="136"/>
      <c r="AT217" s="136"/>
      <c r="AV217" s="136"/>
      <c r="AW217" s="136"/>
      <c r="AX217" s="136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7" t="s">
        <v>87</v>
      </c>
      <c r="F218" s="156" t="s">
        <v>87</v>
      </c>
      <c r="G218" s="156">
        <v>6.0800000000000003E-4</v>
      </c>
      <c r="H218" s="156" t="s">
        <v>87</v>
      </c>
      <c r="I218" s="156">
        <v>1.688E-3</v>
      </c>
      <c r="J218" s="156" t="s">
        <v>87</v>
      </c>
      <c r="K218" s="156">
        <v>2.5089999999999999E-3</v>
      </c>
      <c r="L218" s="156">
        <v>3.3609999999999998E-3</v>
      </c>
      <c r="M218" s="156">
        <v>4.2129999999999997E-3</v>
      </c>
      <c r="N218" s="138" cm="1">
        <f t="array" aca="1" ref="N218:AE218" ca="1">IF(OR(B218="",NOT($J$2)),"",GetStripDefaultProbability(A218,B218,Parameter_Date,CDSRollDate,E218:M218,SpreadCurveMaturities,D218,C218,$J$4,$J$6))</f>
        <v>0</v>
      </c>
      <c r="O218" s="163">
        <f ca="1"/>
        <v>0</v>
      </c>
      <c r="P218" s="163">
        <f ca="1"/>
        <v>1.1145833190778776E-3</v>
      </c>
      <c r="Q218" s="163">
        <f ca="1"/>
        <v>0</v>
      </c>
      <c r="R218" s="163">
        <f ca="1"/>
        <v>8.8699920627999251E-3</v>
      </c>
      <c r="S218" s="163">
        <f ca="1"/>
        <v>0</v>
      </c>
      <c r="T218" s="163">
        <f ca="1"/>
        <v>2.1951690167319016E-2</v>
      </c>
      <c r="U218" s="163">
        <f ca="1"/>
        <v>4.1487843849469797E-2</v>
      </c>
      <c r="V218" s="139">
        <f ca="1"/>
        <v>7.4491375218599609E-2</v>
      </c>
      <c r="W218" s="138">
        <f ca="1"/>
        <v>0</v>
      </c>
      <c r="X218" s="163">
        <f ca="1"/>
        <v>0</v>
      </c>
      <c r="Y218" s="163">
        <f ca="1"/>
        <v>1.2810503492188818E-3</v>
      </c>
      <c r="Z218" s="163">
        <f ca="1"/>
        <v>0</v>
      </c>
      <c r="AA218" s="163">
        <f ca="1"/>
        <v>9.3855656136173637E-3</v>
      </c>
      <c r="AB218" s="163">
        <f ca="1"/>
        <v>0</v>
      </c>
      <c r="AC218" s="163">
        <f ca="1"/>
        <v>2.3021138319986645E-2</v>
      </c>
      <c r="AD218" s="163">
        <f ca="1"/>
        <v>4.3509491775726272E-2</v>
      </c>
      <c r="AE218" s="139">
        <f ca="1"/>
        <v>7.8076423279897833E-2</v>
      </c>
      <c r="AI218" s="136"/>
      <c r="AK218" s="136"/>
      <c r="AM218" s="136"/>
      <c r="AN218" s="136"/>
      <c r="AO218" s="136"/>
      <c r="AR218" s="136"/>
      <c r="AT218" s="136"/>
      <c r="AV218" s="136"/>
      <c r="AW218" s="136"/>
      <c r="AX218" s="136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7" t="s">
        <v>87</v>
      </c>
      <c r="F219" s="156" t="s">
        <v>87</v>
      </c>
      <c r="G219" s="156">
        <v>2.8519999999999999E-3</v>
      </c>
      <c r="H219" s="156" t="s">
        <v>87</v>
      </c>
      <c r="I219" s="156">
        <v>4.0480000000000004E-3</v>
      </c>
      <c r="J219" s="156" t="s">
        <v>87</v>
      </c>
      <c r="K219" s="156">
        <v>6.8999999999999999E-3</v>
      </c>
      <c r="L219" s="156">
        <v>8.3260000000000001E-3</v>
      </c>
      <c r="M219" s="156">
        <v>1.0028E-2</v>
      </c>
      <c r="N219" s="138" cm="1">
        <f t="array" aca="1" ref="N219:AE219" ca="1">IF(OR(B219="",NOT($J$2)),"",GetStripDefaultProbability(A219,B219,Parameter_Date,CDSRollDate,E219:M219,SpreadCurveMaturities,D219,C219,$J$4,$J$6))</f>
        <v>0</v>
      </c>
      <c r="O219" s="163">
        <f ca="1"/>
        <v>0</v>
      </c>
      <c r="P219" s="163">
        <f ca="1"/>
        <v>5.2176222135793537E-3</v>
      </c>
      <c r="Q219" s="163">
        <f ca="1"/>
        <v>0</v>
      </c>
      <c r="R219" s="163">
        <f ca="1"/>
        <v>2.0966673196596619E-2</v>
      </c>
      <c r="S219" s="163">
        <f ca="1"/>
        <v>0</v>
      </c>
      <c r="T219" s="163">
        <f ca="1"/>
        <v>5.9733045005946894E-2</v>
      </c>
      <c r="U219" s="163">
        <f ca="1"/>
        <v>9.9671394203209696E-2</v>
      </c>
      <c r="V219" s="139">
        <f ca="1"/>
        <v>0.16875834057243599</v>
      </c>
      <c r="W219" s="138">
        <f ca="1"/>
        <v>0</v>
      </c>
      <c r="X219" s="163">
        <f ca="1"/>
        <v>0</v>
      </c>
      <c r="Y219" s="163">
        <f ca="1"/>
        <v>5.4776609174906898E-3</v>
      </c>
      <c r="Z219" s="163">
        <f ca="1"/>
        <v>0</v>
      </c>
      <c r="AA219" s="163">
        <f ca="1"/>
        <v>2.2002459744477565E-2</v>
      </c>
      <c r="AB219" s="163">
        <f ca="1"/>
        <v>0</v>
      </c>
      <c r="AC219" s="163">
        <f ca="1"/>
        <v>6.2636449338927092E-2</v>
      </c>
      <c r="AD219" s="163">
        <f ca="1"/>
        <v>0.10444174386932858</v>
      </c>
      <c r="AE219" s="139">
        <f ca="1"/>
        <v>0.17662004415045018</v>
      </c>
      <c r="AI219" s="136"/>
      <c r="AK219" s="136"/>
      <c r="AM219" s="136"/>
      <c r="AN219" s="136"/>
      <c r="AO219" s="136"/>
      <c r="AR219" s="136"/>
      <c r="AT219" s="136"/>
      <c r="AV219" s="136"/>
      <c r="AW219" s="136"/>
      <c r="AX219" s="136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7" t="s">
        <v>87</v>
      </c>
      <c r="F220" s="156" t="s">
        <v>87</v>
      </c>
      <c r="G220" s="156">
        <v>1.1709999999999999E-3</v>
      </c>
      <c r="H220" s="156" t="s">
        <v>87</v>
      </c>
      <c r="I220" s="156">
        <v>2.1580000000000002E-3</v>
      </c>
      <c r="J220" s="156" t="s">
        <v>87</v>
      </c>
      <c r="K220" s="156">
        <v>3.3289999999999999E-3</v>
      </c>
      <c r="L220" s="156">
        <v>3.5130000000000001E-3</v>
      </c>
      <c r="M220" s="156">
        <v>4.032E-3</v>
      </c>
      <c r="N220" s="138" cm="1">
        <f t="array" aca="1" ref="N220:AE220" ca="1">IF(OR(B220="",NOT($J$2)),"",GetStripDefaultProbability(A220,B220,Parameter_Date,CDSRollDate,E220:M220,SpreadCurveMaturities,D220,C220,$J$4,$J$6))</f>
        <v>0</v>
      </c>
      <c r="O220" s="163">
        <f ca="1"/>
        <v>0</v>
      </c>
      <c r="P220" s="163">
        <f ca="1"/>
        <v>2.1455736793487556E-3</v>
      </c>
      <c r="Q220" s="163">
        <f ca="1"/>
        <v>0</v>
      </c>
      <c r="R220" s="163">
        <f ca="1"/>
        <v>1.1274489410885047E-2</v>
      </c>
      <c r="S220" s="163">
        <f ca="1"/>
        <v>0</v>
      </c>
      <c r="T220" s="163">
        <f ca="1"/>
        <v>2.9046045438589685E-2</v>
      </c>
      <c r="U220" s="163">
        <f ca="1"/>
        <v>4.2266626852929368E-2</v>
      </c>
      <c r="V220" s="139">
        <f ca="1"/>
        <v>6.9351557424497834E-2</v>
      </c>
      <c r="W220" s="138">
        <f ca="1"/>
        <v>0</v>
      </c>
      <c r="X220" s="163">
        <f ca="1"/>
        <v>0</v>
      </c>
      <c r="Y220" s="163">
        <f ca="1"/>
        <v>2.3118688920659158E-3</v>
      </c>
      <c r="Z220" s="163">
        <f ca="1"/>
        <v>0</v>
      </c>
      <c r="AA220" s="163">
        <f ca="1"/>
        <v>1.1830246259515009E-2</v>
      </c>
      <c r="AB220" s="163">
        <f ca="1"/>
        <v>0</v>
      </c>
      <c r="AC220" s="163">
        <f ca="1"/>
        <v>3.0474482082892607E-2</v>
      </c>
      <c r="AD220" s="163">
        <f ca="1"/>
        <v>4.4335007571699392E-2</v>
      </c>
      <c r="AE220" s="139">
        <f ca="1"/>
        <v>7.2698987488760691E-2</v>
      </c>
      <c r="AI220" s="136"/>
      <c r="AK220" s="136"/>
      <c r="AM220" s="136"/>
      <c r="AN220" s="136"/>
      <c r="AO220" s="136"/>
      <c r="AR220" s="136"/>
      <c r="AT220" s="136"/>
      <c r="AV220" s="136"/>
      <c r="AW220" s="136"/>
      <c r="AX220" s="136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7" t="s">
        <v>87</v>
      </c>
      <c r="F221" s="156" t="s">
        <v>87</v>
      </c>
      <c r="G221" s="156">
        <v>8.4699999999999999E-4</v>
      </c>
      <c r="H221" s="156" t="s">
        <v>87</v>
      </c>
      <c r="I221" s="156">
        <v>2.3890000000000001E-3</v>
      </c>
      <c r="J221" s="156" t="s">
        <v>87</v>
      </c>
      <c r="K221" s="156">
        <v>3.8119999999999999E-3</v>
      </c>
      <c r="L221" s="156">
        <v>5.0819999999999997E-3</v>
      </c>
      <c r="M221" s="156">
        <v>7.1149999999999998E-3</v>
      </c>
      <c r="N221" s="138" cm="1">
        <f t="array" aca="1" ref="N221:AE221" ca="1">IF(OR(B221="",NOT($J$2)),"",GetStripDefaultProbability(A221,B221,Parameter_Date,CDSRollDate,E221:M221,SpreadCurveMaturities,D221,C221,$J$4,$J$6))</f>
        <v>0</v>
      </c>
      <c r="O221" s="163">
        <f ca="1"/>
        <v>0</v>
      </c>
      <c r="P221" s="163">
        <f ca="1"/>
        <v>1.5523796304932613E-3</v>
      </c>
      <c r="Q221" s="163">
        <f ca="1"/>
        <v>0</v>
      </c>
      <c r="R221" s="163">
        <f ca="1"/>
        <v>1.2538034273403054E-2</v>
      </c>
      <c r="S221" s="163">
        <f ca="1"/>
        <v>0</v>
      </c>
      <c r="T221" s="163">
        <f ca="1"/>
        <v>3.3329567719508679E-2</v>
      </c>
      <c r="U221" s="163">
        <f ca="1"/>
        <v>6.2362674446331479E-2</v>
      </c>
      <c r="V221" s="139">
        <f ca="1"/>
        <v>0.12560320201900821</v>
      </c>
      <c r="W221" s="138">
        <f ca="1"/>
        <v>0</v>
      </c>
      <c r="X221" s="163">
        <f ca="1"/>
        <v>0</v>
      </c>
      <c r="Y221" s="163">
        <f ca="1"/>
        <v>1.7187737006508774E-3</v>
      </c>
      <c r="Z221" s="163">
        <f ca="1"/>
        <v>0</v>
      </c>
      <c r="AA221" s="163">
        <f ca="1"/>
        <v>1.3153962548837939E-2</v>
      </c>
      <c r="AB221" s="163">
        <f ca="1"/>
        <v>0</v>
      </c>
      <c r="AC221" s="163">
        <f ca="1"/>
        <v>3.4964229093796262E-2</v>
      </c>
      <c r="AD221" s="163">
        <f ca="1"/>
        <v>6.5394434170703453E-2</v>
      </c>
      <c r="AE221" s="139">
        <f ca="1"/>
        <v>0.13160139803504256</v>
      </c>
      <c r="AI221" s="136"/>
      <c r="AK221" s="136"/>
      <c r="AM221" s="136"/>
      <c r="AN221" s="136"/>
      <c r="AO221" s="136"/>
      <c r="AR221" s="136"/>
      <c r="AT221" s="136"/>
      <c r="AV221" s="136"/>
      <c r="AW221" s="136"/>
      <c r="AX221" s="136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7" t="s">
        <v>87</v>
      </c>
      <c r="F222" s="156" t="s">
        <v>87</v>
      </c>
      <c r="G222" s="156">
        <v>9.6699999999999998E-4</v>
      </c>
      <c r="H222" s="156" t="s">
        <v>87</v>
      </c>
      <c r="I222" s="156">
        <v>2.1649999999999998E-3</v>
      </c>
      <c r="J222" s="156" t="s">
        <v>87</v>
      </c>
      <c r="K222" s="156">
        <v>2.7989999999999998E-3</v>
      </c>
      <c r="L222" s="156">
        <v>3.643E-3</v>
      </c>
      <c r="M222" s="156">
        <v>4.594E-3</v>
      </c>
      <c r="N222" s="138" cm="1">
        <f t="array" aca="1" ref="N222:AE222" ca="1">IF(OR(B222="",NOT($J$2)),"",GetStripDefaultProbability(A222,B222,Parameter_Date,CDSRollDate,E222:M222,SpreadCurveMaturities,D222,C222,$J$4,$J$6))</f>
        <v>0</v>
      </c>
      <c r="O222" s="163">
        <f ca="1"/>
        <v>0</v>
      </c>
      <c r="P222" s="163">
        <f ca="1"/>
        <v>1.7721218979241948E-3</v>
      </c>
      <c r="Q222" s="163">
        <f ca="1"/>
        <v>0</v>
      </c>
      <c r="R222" s="163">
        <f ca="1"/>
        <v>1.1339751010200128E-2</v>
      </c>
      <c r="S222" s="163">
        <f ca="1"/>
        <v>0</v>
      </c>
      <c r="T222" s="163">
        <f ca="1"/>
        <v>2.4264356681887422E-2</v>
      </c>
      <c r="U222" s="163">
        <f ca="1"/>
        <v>4.4589316855764061E-2</v>
      </c>
      <c r="V222" s="139">
        <f ca="1"/>
        <v>8.0777322465877655E-2</v>
      </c>
      <c r="W222" s="138">
        <f ca="1"/>
        <v>0</v>
      </c>
      <c r="X222" s="163">
        <f ca="1"/>
        <v>0</v>
      </c>
      <c r="Y222" s="163">
        <f ca="1"/>
        <v>1.9384793474453987E-3</v>
      </c>
      <c r="Z222" s="163">
        <f ca="1"/>
        <v>0</v>
      </c>
      <c r="AA222" s="163">
        <f ca="1"/>
        <v>1.1897367174459328E-2</v>
      </c>
      <c r="AB222" s="163">
        <f ca="1"/>
        <v>0</v>
      </c>
      <c r="AC222" s="163">
        <f ca="1"/>
        <v>2.5457767105122597E-2</v>
      </c>
      <c r="AD222" s="163">
        <f ca="1"/>
        <v>4.6770306619367985E-2</v>
      </c>
      <c r="AE222" s="139">
        <f ca="1"/>
        <v>8.4663773422780642E-2</v>
      </c>
      <c r="AI222" s="136"/>
      <c r="AK222" s="136"/>
      <c r="AM222" s="136"/>
      <c r="AN222" s="136"/>
      <c r="AO222" s="136"/>
      <c r="AR222" s="136"/>
      <c r="AT222" s="136"/>
      <c r="AV222" s="136"/>
      <c r="AW222" s="136"/>
      <c r="AX222" s="136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7" t="s">
        <v>87</v>
      </c>
      <c r="F223" s="156" t="s">
        <v>87</v>
      </c>
      <c r="G223" s="156">
        <v>5.0900000000000001E-4</v>
      </c>
      <c r="H223" s="156" t="s">
        <v>87</v>
      </c>
      <c r="I223" s="156">
        <v>1.818E-3</v>
      </c>
      <c r="J223" s="156" t="s">
        <v>87</v>
      </c>
      <c r="K223" s="156">
        <v>2.7499999999999998E-3</v>
      </c>
      <c r="L223" s="156">
        <v>3.4499999999999999E-3</v>
      </c>
      <c r="M223" s="156">
        <v>4.45E-3</v>
      </c>
      <c r="N223" s="138" cm="1">
        <f t="array" aca="1" ref="N223:AE223" ca="1">IF(OR(B223="",NOT($J$2)),"",GetStripDefaultProbability(A223,B223,Parameter_Date,CDSRollDate,E223:M223,SpreadCurveMaturities,D223,C223,$J$4,$J$6))</f>
        <v>0</v>
      </c>
      <c r="O223" s="163">
        <f ca="1"/>
        <v>0</v>
      </c>
      <c r="P223" s="163">
        <f ca="1"/>
        <v>9.3318095204109053E-4</v>
      </c>
      <c r="Q223" s="163">
        <f ca="1"/>
        <v>0</v>
      </c>
      <c r="R223" s="163">
        <f ca="1"/>
        <v>9.5706802839248262E-3</v>
      </c>
      <c r="S223" s="163">
        <f ca="1"/>
        <v>0</v>
      </c>
      <c r="T223" s="163">
        <f ca="1"/>
        <v>2.4082448214198471E-2</v>
      </c>
      <c r="U223" s="163">
        <f ca="1"/>
        <v>4.2348394323599825E-2</v>
      </c>
      <c r="V223" s="139">
        <f ca="1"/>
        <v>7.8667632429921475E-2</v>
      </c>
      <c r="W223" s="138">
        <f ca="1"/>
        <v>0</v>
      </c>
      <c r="X223" s="163">
        <f ca="1"/>
        <v>0</v>
      </c>
      <c r="Y223" s="163">
        <f ca="1"/>
        <v>1.0996782133773086E-3</v>
      </c>
      <c r="Z223" s="163">
        <f ca="1"/>
        <v>0</v>
      </c>
      <c r="AA223" s="163">
        <f ca="1"/>
        <v>1.0085894974869003E-2</v>
      </c>
      <c r="AB223" s="163">
        <f ca="1"/>
        <v>0</v>
      </c>
      <c r="AC223" s="163">
        <f ca="1"/>
        <v>2.5259273278895988E-2</v>
      </c>
      <c r="AD223" s="163">
        <f ca="1"/>
        <v>4.4414024482039571E-2</v>
      </c>
      <c r="AE223" s="139">
        <f ca="1"/>
        <v>8.2449042783154125E-2</v>
      </c>
      <c r="AI223" s="136"/>
      <c r="AK223" s="136"/>
      <c r="AM223" s="136"/>
      <c r="AN223" s="136"/>
      <c r="AO223" s="136"/>
      <c r="AR223" s="136"/>
      <c r="AT223" s="136"/>
      <c r="AV223" s="136"/>
      <c r="AW223" s="136"/>
      <c r="AX223" s="136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7" t="s">
        <v>87</v>
      </c>
      <c r="F224" s="156" t="s">
        <v>87</v>
      </c>
      <c r="G224" s="156">
        <v>3.7399999999999998E-4</v>
      </c>
      <c r="H224" s="156" t="s">
        <v>87</v>
      </c>
      <c r="I224" s="156">
        <v>1.689E-3</v>
      </c>
      <c r="J224" s="156" t="s">
        <v>87</v>
      </c>
      <c r="K224" s="156">
        <v>2.6540000000000001E-3</v>
      </c>
      <c r="L224" s="156">
        <v>3.8119999999999999E-3</v>
      </c>
      <c r="M224" s="156">
        <v>5.0660000000000002E-3</v>
      </c>
      <c r="N224" s="138" cm="1">
        <f t="array" aca="1" ref="N224:AE224" ca="1">IF(OR(B224="",NOT($J$2)),"",GetStripDefaultProbability(A224,B224,Parameter_Date,CDSRollDate,E224:M224,SpreadCurveMaturities,D224,C224,$J$4,$J$6))</f>
        <v>0</v>
      </c>
      <c r="O224" s="163">
        <f ca="1"/>
        <v>0</v>
      </c>
      <c r="P224" s="163">
        <f ca="1"/>
        <v>6.8576140783715989E-4</v>
      </c>
      <c r="Q224" s="163">
        <f ca="1"/>
        <v>0</v>
      </c>
      <c r="R224" s="163">
        <f ca="1"/>
        <v>8.9072883591244656E-3</v>
      </c>
      <c r="S224" s="163">
        <f ca="1"/>
        <v>0</v>
      </c>
      <c r="T224" s="163">
        <f ca="1"/>
        <v>2.3302562328771814E-2</v>
      </c>
      <c r="U224" s="163">
        <f ca="1"/>
        <v>4.7351659566268745E-2</v>
      </c>
      <c r="V224" s="139">
        <f ca="1"/>
        <v>9.0215664526456352E-2</v>
      </c>
      <c r="W224" s="138">
        <f ca="1"/>
        <v>0</v>
      </c>
      <c r="X224" s="163">
        <f ca="1"/>
        <v>0</v>
      </c>
      <c r="Y224" s="163">
        <f ca="1"/>
        <v>8.5229990233026687E-4</v>
      </c>
      <c r="Z224" s="163">
        <f ca="1"/>
        <v>0</v>
      </c>
      <c r="AA224" s="163">
        <f ca="1"/>
        <v>9.4229031815019626E-3</v>
      </c>
      <c r="AB224" s="163">
        <f ca="1"/>
        <v>0</v>
      </c>
      <c r="AC224" s="163">
        <f ca="1"/>
        <v>2.4436782278102198E-2</v>
      </c>
      <c r="AD224" s="163">
        <f ca="1"/>
        <v>4.9655512599101392E-2</v>
      </c>
      <c r="AE224" s="139">
        <f ca="1"/>
        <v>9.4563933950882584E-2</v>
      </c>
      <c r="AI224" s="136"/>
      <c r="AK224" s="136"/>
      <c r="AM224" s="136"/>
      <c r="AN224" s="136"/>
      <c r="AO224" s="136"/>
      <c r="AR224" s="136"/>
      <c r="AT224" s="136"/>
      <c r="AV224" s="136"/>
      <c r="AW224" s="136"/>
      <c r="AX224" s="136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7" t="s">
        <v>87</v>
      </c>
      <c r="F225" s="156" t="s">
        <v>87</v>
      </c>
      <c r="G225" s="156">
        <v>6.2200000000000005E-4</v>
      </c>
      <c r="H225" s="156" t="s">
        <v>87</v>
      </c>
      <c r="I225" s="156">
        <v>2.343E-3</v>
      </c>
      <c r="J225" s="156" t="s">
        <v>87</v>
      </c>
      <c r="K225" s="156">
        <v>3.2330000000000002E-3</v>
      </c>
      <c r="L225" s="156">
        <v>4.2170000000000003E-3</v>
      </c>
      <c r="M225" s="156">
        <v>5.1539999999999997E-3</v>
      </c>
      <c r="N225" s="138" cm="1">
        <f t="array" aca="1" ref="N225:AE225" ca="1">IF(OR(B225="",NOT($J$2)),"",GetStripDefaultProbability(A225,B225,Parameter_Date,CDSRollDate,E225:M225,SpreadCurveMaturities,D225,C225,$J$4,$J$6))</f>
        <v>0</v>
      </c>
      <c r="O225" s="163">
        <f ca="1"/>
        <v>0</v>
      </c>
      <c r="P225" s="163">
        <f ca="1"/>
        <v>1.1402335415195974E-3</v>
      </c>
      <c r="Q225" s="163">
        <f ca="1"/>
        <v>0</v>
      </c>
      <c r="R225" s="163">
        <f ca="1"/>
        <v>1.232690522352009E-2</v>
      </c>
      <c r="S225" s="163">
        <f ca="1"/>
        <v>0</v>
      </c>
      <c r="T225" s="163">
        <f ca="1"/>
        <v>2.8146982220427774E-2</v>
      </c>
      <c r="U225" s="163">
        <f ca="1"/>
        <v>5.1658896839228086E-2</v>
      </c>
      <c r="V225" s="139">
        <f ca="1"/>
        <v>9.0038669762353529E-2</v>
      </c>
      <c r="W225" s="138">
        <f ca="1"/>
        <v>0</v>
      </c>
      <c r="X225" s="163">
        <f ca="1"/>
        <v>0</v>
      </c>
      <c r="Y225" s="163">
        <f ca="1"/>
        <v>1.3066962969860985E-3</v>
      </c>
      <c r="Z225" s="163">
        <f ca="1"/>
        <v>0</v>
      </c>
      <c r="AA225" s="163">
        <f ca="1"/>
        <v>1.2930908913844741E-2</v>
      </c>
      <c r="AB225" s="163">
        <f ca="1"/>
        <v>0</v>
      </c>
      <c r="AC225" s="163">
        <f ca="1"/>
        <v>2.9527850175161463E-2</v>
      </c>
      <c r="AD225" s="163">
        <f ca="1"/>
        <v>5.4177396809594103E-2</v>
      </c>
      <c r="AE225" s="139">
        <f ca="1"/>
        <v>9.4349755206797559E-2</v>
      </c>
      <c r="AI225" s="136"/>
      <c r="AK225" s="136"/>
      <c r="AM225" s="136"/>
      <c r="AN225" s="136"/>
      <c r="AO225" s="136"/>
      <c r="AR225" s="136"/>
      <c r="AT225" s="136"/>
      <c r="AV225" s="136"/>
      <c r="AW225" s="136"/>
      <c r="AX225" s="136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7" t="s">
        <v>87</v>
      </c>
      <c r="F226" s="156" t="s">
        <v>87</v>
      </c>
      <c r="G226" s="156">
        <v>7.2400000000000003E-4</v>
      </c>
      <c r="H226" s="156" t="s">
        <v>87</v>
      </c>
      <c r="I226" s="156">
        <v>1.5920000000000001E-3</v>
      </c>
      <c r="J226" s="156" t="s">
        <v>87</v>
      </c>
      <c r="K226" s="156">
        <v>2.5569999999999998E-3</v>
      </c>
      <c r="L226" s="156">
        <v>2.97E-3</v>
      </c>
      <c r="M226" s="156">
        <v>4.0010000000000002E-3</v>
      </c>
      <c r="N226" s="138" cm="1">
        <f t="array" aca="1" ref="N226:AE226" ca="1">IF(OR(B226="",NOT($J$2)),"",GetStripDefaultProbability(A226,B226,Parameter_Date,CDSRollDate,E226:M226,SpreadCurveMaturities,D226,C226,$J$4,$J$6))</f>
        <v>0</v>
      </c>
      <c r="O226" s="163">
        <f ca="1"/>
        <v>0</v>
      </c>
      <c r="P226" s="163">
        <f ca="1"/>
        <v>1.3270940104377349E-3</v>
      </c>
      <c r="Q226" s="163">
        <f ca="1"/>
        <v>0</v>
      </c>
      <c r="R226" s="163">
        <f ca="1"/>
        <v>8.3466040928776852E-3</v>
      </c>
      <c r="S226" s="163">
        <f ca="1"/>
        <v>0</v>
      </c>
      <c r="T226" s="163">
        <f ca="1"/>
        <v>2.2426702605640836E-2</v>
      </c>
      <c r="U226" s="163">
        <f ca="1"/>
        <v>3.6275391519006051E-2</v>
      </c>
      <c r="V226" s="139">
        <f ca="1"/>
        <v>7.1101313913912056E-2</v>
      </c>
      <c r="W226" s="138">
        <f ca="1"/>
        <v>0</v>
      </c>
      <c r="X226" s="163">
        <f ca="1"/>
        <v>0</v>
      </c>
      <c r="Y226" s="163">
        <f ca="1"/>
        <v>1.4935256250961926E-3</v>
      </c>
      <c r="Z226" s="163">
        <f ca="1"/>
        <v>0</v>
      </c>
      <c r="AA226" s="163">
        <f ca="1"/>
        <v>8.862424780921585E-3</v>
      </c>
      <c r="AB226" s="163">
        <f ca="1"/>
        <v>0</v>
      </c>
      <c r="AC226" s="163">
        <f ca="1"/>
        <v>2.3517542593671781E-2</v>
      </c>
      <c r="AD226" s="163">
        <f ca="1"/>
        <v>3.8041830133899612E-2</v>
      </c>
      <c r="AE226" s="139">
        <f ca="1"/>
        <v>7.4523917418743202E-2</v>
      </c>
      <c r="AI226" s="136"/>
      <c r="AK226" s="136"/>
      <c r="AM226" s="136"/>
      <c r="AN226" s="136"/>
      <c r="AO226" s="136"/>
      <c r="AR226" s="136"/>
      <c r="AT226" s="136"/>
      <c r="AV226" s="136"/>
      <c r="AW226" s="136"/>
      <c r="AX226" s="136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7" t="s">
        <v>87</v>
      </c>
      <c r="F227" s="156" t="s">
        <v>87</v>
      </c>
      <c r="G227" s="156">
        <v>4.4999999999999999E-4</v>
      </c>
      <c r="H227" s="156" t="s">
        <v>87</v>
      </c>
      <c r="I227" s="156">
        <v>1.158E-3</v>
      </c>
      <c r="J227" s="156" t="s">
        <v>87</v>
      </c>
      <c r="K227" s="156">
        <v>2.0270000000000002E-3</v>
      </c>
      <c r="L227" s="156">
        <v>2.6540000000000001E-3</v>
      </c>
      <c r="M227" s="156">
        <v>3.571E-3</v>
      </c>
      <c r="N227" s="138" cm="1">
        <f t="array" aca="1" ref="N227:AE227" ca="1">IF(OR(B227="",NOT($J$2)),"",GetStripDefaultProbability(A227,B227,Parameter_Date,CDSRollDate,E227:M227,SpreadCurveMaturities,D227,C227,$J$4,$J$6))</f>
        <v>0</v>
      </c>
      <c r="O227" s="163">
        <f ca="1"/>
        <v>0</v>
      </c>
      <c r="P227" s="163">
        <f ca="1"/>
        <v>8.2505692620782334E-4</v>
      </c>
      <c r="Q227" s="163">
        <f ca="1"/>
        <v>0</v>
      </c>
      <c r="R227" s="163">
        <f ca="1"/>
        <v>6.0869590510884697E-3</v>
      </c>
      <c r="S227" s="163">
        <f ca="1"/>
        <v>0</v>
      </c>
      <c r="T227" s="163">
        <f ca="1"/>
        <v>1.7882663547418076E-2</v>
      </c>
      <c r="U227" s="163">
        <f ca="1"/>
        <v>3.2914321777638755E-2</v>
      </c>
      <c r="V227" s="139">
        <f ca="1"/>
        <v>6.4074412168139028E-2</v>
      </c>
      <c r="W227" s="138">
        <f ca="1"/>
        <v>0</v>
      </c>
      <c r="X227" s="163">
        <f ca="1"/>
        <v>0</v>
      </c>
      <c r="Y227" s="163">
        <f ca="1"/>
        <v>9.915722067374011E-4</v>
      </c>
      <c r="Z227" s="163">
        <f ca="1"/>
        <v>0</v>
      </c>
      <c r="AA227" s="163">
        <f ca="1"/>
        <v>6.6040261495735608E-3</v>
      </c>
      <c r="AB227" s="163">
        <f ca="1"/>
        <v>0</v>
      </c>
      <c r="AC227" s="163">
        <f ca="1"/>
        <v>1.8736799879080723E-2</v>
      </c>
      <c r="AD227" s="163">
        <f ca="1"/>
        <v>3.4504985773567975E-2</v>
      </c>
      <c r="AE227" s="139">
        <f ca="1"/>
        <v>6.715607533384893E-2</v>
      </c>
      <c r="AI227" s="136"/>
      <c r="AK227" s="136"/>
      <c r="AM227" s="136"/>
      <c r="AN227" s="136"/>
      <c r="AO227" s="136"/>
      <c r="AR227" s="136"/>
      <c r="AT227" s="136"/>
      <c r="AV227" s="136"/>
      <c r="AW227" s="136"/>
      <c r="AX227" s="136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7" t="s">
        <v>87</v>
      </c>
      <c r="F228" s="156" t="s">
        <v>87</v>
      </c>
      <c r="G228" s="156">
        <v>5.31E-4</v>
      </c>
      <c r="H228" s="156" t="s">
        <v>87</v>
      </c>
      <c r="I228" s="156">
        <v>1.6410000000000001E-3</v>
      </c>
      <c r="J228" s="156" t="s">
        <v>87</v>
      </c>
      <c r="K228" s="156">
        <v>2.6540000000000001E-3</v>
      </c>
      <c r="L228" s="156">
        <v>3.764E-3</v>
      </c>
      <c r="M228" s="156">
        <v>4.8250000000000003E-3</v>
      </c>
      <c r="N228" s="138" cm="1">
        <f t="array" aca="1" ref="N228:AE228" ca="1">IF(OR(B228="",NOT($J$2)),"",GetStripDefaultProbability(A228,B228,Parameter_Date,CDSRollDate,E228:M228,SpreadCurveMaturities,D228,C228,$J$4,$J$6))</f>
        <v>0</v>
      </c>
      <c r="O228" s="163">
        <f ca="1"/>
        <v>0</v>
      </c>
      <c r="P228" s="163">
        <f ca="1"/>
        <v>9.7349541371094528E-4</v>
      </c>
      <c r="Q228" s="163">
        <f ca="1"/>
        <v>0</v>
      </c>
      <c r="R228" s="163">
        <f ca="1"/>
        <v>8.632025633164897E-3</v>
      </c>
      <c r="S228" s="163">
        <f ca="1"/>
        <v>0</v>
      </c>
      <c r="T228" s="163">
        <f ca="1"/>
        <v>2.3307949034795161E-2</v>
      </c>
      <c r="U228" s="163">
        <f ca="1"/>
        <v>4.6720184874285642E-2</v>
      </c>
      <c r="V228" s="139">
        <f ca="1"/>
        <v>8.5605931336502294E-2</v>
      </c>
      <c r="W228" s="138">
        <f ca="1"/>
        <v>0</v>
      </c>
      <c r="X228" s="163">
        <f ca="1"/>
        <v>0</v>
      </c>
      <c r="Y228" s="163">
        <f ca="1"/>
        <v>1.1399859565527359E-3</v>
      </c>
      <c r="Z228" s="163">
        <f ca="1"/>
        <v>0</v>
      </c>
      <c r="AA228" s="163">
        <f ca="1"/>
        <v>9.1477485431276095E-3</v>
      </c>
      <c r="AB228" s="163">
        <f ca="1"/>
        <v>0</v>
      </c>
      <c r="AC228" s="163">
        <f ca="1"/>
        <v>2.4442102716419445E-2</v>
      </c>
      <c r="AD228" s="163">
        <f ca="1"/>
        <v>4.8993284914382929E-2</v>
      </c>
      <c r="AE228" s="139">
        <f ca="1"/>
        <v>8.9708377823802143E-2</v>
      </c>
      <c r="AI228" s="136"/>
      <c r="AK228" s="136"/>
      <c r="AM228" s="136"/>
      <c r="AN228" s="136"/>
      <c r="AO228" s="136"/>
      <c r="AR228" s="136"/>
      <c r="AT228" s="136"/>
      <c r="AV228" s="136"/>
      <c r="AW228" s="136"/>
      <c r="AX228" s="136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7" t="s">
        <v>87</v>
      </c>
      <c r="F229" s="156" t="s">
        <v>87</v>
      </c>
      <c r="G229" s="156">
        <v>1.544E-3</v>
      </c>
      <c r="H229" s="156" t="s">
        <v>87</v>
      </c>
      <c r="I229" s="156">
        <v>2.2200000000000002E-3</v>
      </c>
      <c r="J229" s="156" t="s">
        <v>87</v>
      </c>
      <c r="K229" s="156">
        <v>2.9919999999999999E-3</v>
      </c>
      <c r="L229" s="156">
        <v>3.9569999999999996E-3</v>
      </c>
      <c r="M229" s="156">
        <v>5.2110000000000004E-3</v>
      </c>
      <c r="N229" s="138" cm="1">
        <f t="array" aca="1" ref="N229:AE229" ca="1">IF(OR(B229="",NOT($J$2)),"",GetStripDefaultProbability(A229,B229,Parameter_Date,CDSRollDate,E229:M229,SpreadCurveMaturities,D229,C229,$J$4,$J$6))</f>
        <v>0</v>
      </c>
      <c r="O229" s="163">
        <f ca="1"/>
        <v>0</v>
      </c>
      <c r="P229" s="163">
        <f ca="1"/>
        <v>2.8280464409101702E-3</v>
      </c>
      <c r="Q229" s="163">
        <f ca="1"/>
        <v>0</v>
      </c>
      <c r="R229" s="163">
        <f ca="1"/>
        <v>1.154966817293468E-2</v>
      </c>
      <c r="S229" s="163">
        <f ca="1"/>
        <v>0</v>
      </c>
      <c r="T229" s="163">
        <f ca="1"/>
        <v>2.5902462333438736E-2</v>
      </c>
      <c r="U229" s="163">
        <f ca="1"/>
        <v>4.8423224858541114E-2</v>
      </c>
      <c r="V229" s="139">
        <f ca="1"/>
        <v>9.1891152464741777E-2</v>
      </c>
      <c r="W229" s="138">
        <f ca="1"/>
        <v>0</v>
      </c>
      <c r="X229" s="163">
        <f ca="1"/>
        <v>0</v>
      </c>
      <c r="Y229" s="163">
        <f ca="1"/>
        <v>2.9942279176647935E-3</v>
      </c>
      <c r="Z229" s="163">
        <f ca="1"/>
        <v>0</v>
      </c>
      <c r="AA229" s="163">
        <f ca="1"/>
        <v>1.2121498170196143E-2</v>
      </c>
      <c r="AB229" s="163">
        <f ca="1"/>
        <v>0</v>
      </c>
      <c r="AC229" s="163">
        <f ca="1"/>
        <v>2.7179605402975149E-2</v>
      </c>
      <c r="AD229" s="163">
        <f ca="1"/>
        <v>5.0792485735864812E-2</v>
      </c>
      <c r="AE229" s="139">
        <f ca="1"/>
        <v>9.6328261069862697E-2</v>
      </c>
      <c r="AI229" s="136"/>
      <c r="AK229" s="136"/>
      <c r="AM229" s="136"/>
      <c r="AN229" s="136"/>
      <c r="AO229" s="136"/>
      <c r="AR229" s="136"/>
      <c r="AT229" s="136"/>
      <c r="AV229" s="136"/>
      <c r="AW229" s="136"/>
      <c r="AX229" s="136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7" t="s">
        <v>87</v>
      </c>
      <c r="F230" s="156" t="s">
        <v>87</v>
      </c>
      <c r="G230" s="156">
        <v>9.8799999999999995E-4</v>
      </c>
      <c r="H230" s="156" t="s">
        <v>87</v>
      </c>
      <c r="I230" s="156">
        <v>2.0430000000000001E-3</v>
      </c>
      <c r="J230" s="156" t="s">
        <v>87</v>
      </c>
      <c r="K230" s="156">
        <v>3.0400000000000002E-3</v>
      </c>
      <c r="L230" s="156">
        <v>3.9370000000000004E-3</v>
      </c>
      <c r="M230" s="156">
        <v>4.9329999999999999E-3</v>
      </c>
      <c r="N230" s="138" cm="1">
        <f t="array" aca="1" ref="N230:AE230" ca="1">IF(OR(B230="",NOT($J$2)),"",GetStripDefaultProbability(A230,B230,Parameter_Date,CDSRollDate,E230:M230,SpreadCurveMaturities,D230,C230,$J$4,$J$6))</f>
        <v>0</v>
      </c>
      <c r="O230" s="163">
        <f ca="1"/>
        <v>0</v>
      </c>
      <c r="P230" s="163">
        <f ca="1"/>
        <v>1.8105718627849932E-3</v>
      </c>
      <c r="Q230" s="163">
        <f ca="1"/>
        <v>0</v>
      </c>
      <c r="R230" s="163">
        <f ca="1"/>
        <v>1.069299029295756E-2</v>
      </c>
      <c r="S230" s="163">
        <f ca="1"/>
        <v>0</v>
      </c>
      <c r="T230" s="163">
        <f ca="1"/>
        <v>2.6518543592150445E-2</v>
      </c>
      <c r="U230" s="163">
        <f ca="1"/>
        <v>4.8289829768317194E-2</v>
      </c>
      <c r="V230" s="139">
        <f ca="1"/>
        <v>8.6633380565898976E-2</v>
      </c>
      <c r="W230" s="138">
        <f ca="1"/>
        <v>0</v>
      </c>
      <c r="X230" s="163">
        <f ca="1"/>
        <v>0</v>
      </c>
      <c r="Y230" s="163">
        <f ca="1"/>
        <v>1.976922904522338E-3</v>
      </c>
      <c r="Z230" s="163">
        <f ca="1"/>
        <v>0</v>
      </c>
      <c r="AA230" s="163">
        <f ca="1"/>
        <v>1.1218806009511639E-2</v>
      </c>
      <c r="AB230" s="163">
        <f ca="1"/>
        <v>0</v>
      </c>
      <c r="AC230" s="163">
        <f ca="1"/>
        <v>2.782255172100323E-2</v>
      </c>
      <c r="AD230" s="163">
        <f ca="1"/>
        <v>5.0649822611342987E-2</v>
      </c>
      <c r="AE230" s="139">
        <f ca="1"/>
        <v>9.0791616951671927E-2</v>
      </c>
      <c r="AI230" s="136"/>
      <c r="AK230" s="136"/>
      <c r="AM230" s="136"/>
      <c r="AN230" s="136"/>
      <c r="AO230" s="136"/>
      <c r="AR230" s="136"/>
      <c r="AT230" s="136"/>
      <c r="AV230" s="136"/>
      <c r="AW230" s="136"/>
      <c r="AX230" s="136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7" t="s">
        <v>87</v>
      </c>
      <c r="F231" s="156" t="s">
        <v>87</v>
      </c>
      <c r="G231" s="156">
        <v>3.7787000000000001E-2</v>
      </c>
      <c r="H231" s="156" t="s">
        <v>87</v>
      </c>
      <c r="I231" s="156">
        <v>3.7137000000000003E-2</v>
      </c>
      <c r="J231" s="156" t="s">
        <v>87</v>
      </c>
      <c r="K231" s="156">
        <v>3.2376000000000002E-2</v>
      </c>
      <c r="L231" s="156">
        <v>2.9519E-2</v>
      </c>
      <c r="M231" s="156">
        <v>2.8091000000000001E-2</v>
      </c>
      <c r="N231" s="138" cm="1">
        <f t="array" aca="1" ref="N231:AE231" ca="1">IF(OR(B231="",NOT($J$2)),"",GetStripDefaultProbability(A231,B231,Parameter_Date,CDSRollDate,E231:M231,SpreadCurveMaturities,D231,C231,$J$4,$J$6))</f>
        <v>0</v>
      </c>
      <c r="O231" s="163">
        <f ca="1"/>
        <v>0</v>
      </c>
      <c r="P231" s="163">
        <f ca="1"/>
        <v>6.6960334631345098E-2</v>
      </c>
      <c r="Q231" s="163">
        <f ca="1"/>
        <v>0</v>
      </c>
      <c r="R231" s="163">
        <f ca="1"/>
        <v>0.17512361469329196</v>
      </c>
      <c r="S231" s="163">
        <f ca="1"/>
        <v>0</v>
      </c>
      <c r="T231" s="163">
        <f ca="1"/>
        <v>0.23613952784905723</v>
      </c>
      <c r="U231" s="163">
        <f ca="1"/>
        <v>0.28412028994900906</v>
      </c>
      <c r="V231" s="139">
        <f ca="1"/>
        <v>0.36145437272237468</v>
      </c>
      <c r="W231" s="138">
        <f ca="1"/>
        <v>0</v>
      </c>
      <c r="X231" s="163">
        <f ca="1"/>
        <v>0</v>
      </c>
      <c r="Y231" s="163">
        <f ca="1"/>
        <v>7.0187995373090506E-2</v>
      </c>
      <c r="Z231" s="163">
        <f ca="1"/>
        <v>0</v>
      </c>
      <c r="AA231" s="163">
        <f ca="1"/>
        <v>0.18302008640376399</v>
      </c>
      <c r="AB231" s="163">
        <f ca="1"/>
        <v>0</v>
      </c>
      <c r="AC231" s="163">
        <f ca="1"/>
        <v>0.24618142011014443</v>
      </c>
      <c r="AD231" s="163">
        <f ca="1"/>
        <v>0.29562118719384101</v>
      </c>
      <c r="AE231" s="139">
        <f ca="1"/>
        <v>0.37511166737632629</v>
      </c>
      <c r="AI231" s="136"/>
      <c r="AK231" s="136"/>
      <c r="AM231" s="136"/>
      <c r="AN231" s="136"/>
      <c r="AO231" s="136"/>
      <c r="AR231" s="136"/>
      <c r="AT231" s="136"/>
      <c r="AV231" s="136"/>
      <c r="AW231" s="136"/>
      <c r="AX231" s="136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7" t="s">
        <v>87</v>
      </c>
      <c r="F232" s="156" t="s">
        <v>87</v>
      </c>
      <c r="G232" s="156">
        <v>1.098E-3</v>
      </c>
      <c r="H232" s="156" t="s">
        <v>87</v>
      </c>
      <c r="I232" s="156">
        <v>2.1949999999999999E-3</v>
      </c>
      <c r="J232" s="156" t="s">
        <v>87</v>
      </c>
      <c r="K232" s="156">
        <v>4.3909999999999999E-3</v>
      </c>
      <c r="L232" s="156">
        <v>5.6239999999999997E-3</v>
      </c>
      <c r="M232" s="156">
        <v>6.9069999999999999E-3</v>
      </c>
      <c r="N232" s="138" cm="1">
        <f t="array" aca="1" ref="N232:AE232" ca="1">IF(OR(B232="",NOT($J$2)),"",GetStripDefaultProbability(A232,B232,Parameter_Date,CDSRollDate,E232:M232,SpreadCurveMaturities,D232,C232,$J$4,$J$6))</f>
        <v>0</v>
      </c>
      <c r="O232" s="163">
        <f ca="1"/>
        <v>0</v>
      </c>
      <c r="P232" s="163">
        <f ca="1"/>
        <v>2.0119524444149883E-3</v>
      </c>
      <c r="Q232" s="163">
        <f ca="1"/>
        <v>0</v>
      </c>
      <c r="R232" s="163">
        <f ca="1"/>
        <v>1.1479823127399147E-2</v>
      </c>
      <c r="S232" s="163">
        <f ca="1"/>
        <v>0</v>
      </c>
      <c r="T232" s="163">
        <f ca="1"/>
        <v>3.8640329633587767E-2</v>
      </c>
      <c r="U232" s="163">
        <f ca="1"/>
        <v>6.8908893241543923E-2</v>
      </c>
      <c r="V232" s="139">
        <f ca="1"/>
        <v>0.11980152205796202</v>
      </c>
      <c r="W232" s="138">
        <f ca="1"/>
        <v>0</v>
      </c>
      <c r="X232" s="163">
        <f ca="1"/>
        <v>0</v>
      </c>
      <c r="Y232" s="163">
        <f ca="1"/>
        <v>2.1782699254994098E-3</v>
      </c>
      <c r="Z232" s="163">
        <f ca="1"/>
        <v>0</v>
      </c>
      <c r="AA232" s="163">
        <f ca="1"/>
        <v>1.2045229993255524E-2</v>
      </c>
      <c r="AB232" s="163">
        <f ca="1"/>
        <v>0</v>
      </c>
      <c r="AC232" s="163">
        <f ca="1"/>
        <v>4.0534296096567668E-2</v>
      </c>
      <c r="AD232" s="163">
        <f ca="1"/>
        <v>7.2253949332374168E-2</v>
      </c>
      <c r="AE232" s="139">
        <f ca="1"/>
        <v>0.1255130199994533</v>
      </c>
      <c r="AI232" s="136"/>
      <c r="AK232" s="136"/>
      <c r="AM232" s="136"/>
      <c r="AN232" s="136"/>
      <c r="AO232" s="136"/>
      <c r="AR232" s="136"/>
      <c r="AT232" s="136"/>
      <c r="AV232" s="136"/>
      <c r="AW232" s="136"/>
      <c r="AX232" s="136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7" t="s">
        <v>87</v>
      </c>
      <c r="F233" s="156" t="s">
        <v>87</v>
      </c>
      <c r="G233" s="156">
        <v>0.128667</v>
      </c>
      <c r="H233" s="156" t="s">
        <v>87</v>
      </c>
      <c r="I233" s="156">
        <v>9.0311000000000002E-2</v>
      </c>
      <c r="J233" s="156" t="s">
        <v>87</v>
      </c>
      <c r="K233" s="156">
        <v>6.6102999999999995E-2</v>
      </c>
      <c r="L233" s="156">
        <v>6.0176E-2</v>
      </c>
      <c r="M233" s="156">
        <v>5.4705999999999998E-2</v>
      </c>
      <c r="N233" s="138" cm="1">
        <f t="array" aca="1" ref="N233:AE233" ca="1">IF(OR(B233="",NOT($J$2)),"",GetStripDefaultProbability(A233,B233,Parameter_Date,CDSRollDate,E233:M233,SpreadCurveMaturities,D233,C233,$J$4,$J$6))</f>
        <v>0</v>
      </c>
      <c r="O233" s="163">
        <f ca="1"/>
        <v>0</v>
      </c>
      <c r="P233" s="163">
        <f ca="1"/>
        <v>0.21020849866901725</v>
      </c>
      <c r="Q233" s="163">
        <f ca="1"/>
        <v>0</v>
      </c>
      <c r="R233" s="163">
        <f ca="1"/>
        <v>0.35916966553081286</v>
      </c>
      <c r="S233" s="163">
        <f ca="1"/>
        <v>0</v>
      </c>
      <c r="T233" s="163">
        <f ca="1"/>
        <v>0.38800110659742082</v>
      </c>
      <c r="U233" s="163">
        <f ca="1"/>
        <v>0.46044080711019386</v>
      </c>
      <c r="V233" s="139">
        <f ca="1"/>
        <v>0.53998646467867983</v>
      </c>
      <c r="W233" s="138">
        <f ca="1"/>
        <v>0</v>
      </c>
      <c r="X233" s="163">
        <f ca="1"/>
        <v>0</v>
      </c>
      <c r="Y233" s="163">
        <f ca="1"/>
        <v>0.21947232387332072</v>
      </c>
      <c r="Z233" s="163">
        <f ca="1"/>
        <v>0</v>
      </c>
      <c r="AA233" s="163">
        <f ca="1"/>
        <v>0.37260776657350192</v>
      </c>
      <c r="AB233" s="163">
        <f ca="1"/>
        <v>0</v>
      </c>
      <c r="AC233" s="163">
        <f ca="1"/>
        <v>0.40113705703153113</v>
      </c>
      <c r="AD233" s="163">
        <f ca="1"/>
        <v>0.47493668306582815</v>
      </c>
      <c r="AE233" s="139">
        <f ca="1"/>
        <v>0.55517082216029368</v>
      </c>
      <c r="AI233" s="136"/>
      <c r="AK233" s="136"/>
      <c r="AM233" s="136"/>
      <c r="AN233" s="136"/>
      <c r="AO233" s="136"/>
      <c r="AR233" s="136"/>
      <c r="AT233" s="136"/>
      <c r="AV233" s="136"/>
      <c r="AW233" s="136"/>
      <c r="AX233" s="136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7" t="s">
        <v>87</v>
      </c>
      <c r="F234" s="156" t="s">
        <v>87</v>
      </c>
      <c r="G234" s="156">
        <v>5.6700000000000001E-4</v>
      </c>
      <c r="H234" s="156" t="s">
        <v>87</v>
      </c>
      <c r="I234" s="156">
        <v>1.255E-3</v>
      </c>
      <c r="J234" s="156" t="s">
        <v>87</v>
      </c>
      <c r="K234" s="156">
        <v>2.0270000000000002E-3</v>
      </c>
      <c r="L234" s="156">
        <v>2.7499999999999998E-3</v>
      </c>
      <c r="M234" s="156">
        <v>3.6670000000000001E-3</v>
      </c>
      <c r="N234" s="138" cm="1">
        <f t="array" aca="1" ref="N234:AE234" ca="1">IF(OR(B234="",NOT($J$2)),"",GetStripDefaultProbability(A234,B234,Parameter_Date,CDSRollDate,E234:M234,SpreadCurveMaturities,D234,C234,$J$4,$J$6))</f>
        <v>0</v>
      </c>
      <c r="O234" s="163">
        <f ca="1"/>
        <v>0</v>
      </c>
      <c r="P234" s="163">
        <f ca="1"/>
        <v>1.0394610511608171E-3</v>
      </c>
      <c r="Q234" s="163">
        <f ca="1"/>
        <v>0</v>
      </c>
      <c r="R234" s="163">
        <f ca="1"/>
        <v>6.584861210862214E-3</v>
      </c>
      <c r="S234" s="163">
        <f ca="1"/>
        <v>0</v>
      </c>
      <c r="T234" s="163">
        <f ca="1"/>
        <v>1.7812162889178751E-2</v>
      </c>
      <c r="U234" s="163">
        <f ca="1"/>
        <v>3.4123699052987622E-2</v>
      </c>
      <c r="V234" s="139">
        <f ca="1"/>
        <v>6.5713143542831087E-2</v>
      </c>
      <c r="W234" s="138">
        <f ca="1"/>
        <v>0</v>
      </c>
      <c r="X234" s="163">
        <f ca="1"/>
        <v>0</v>
      </c>
      <c r="Y234" s="163">
        <f ca="1"/>
        <v>1.2059406006306173E-3</v>
      </c>
      <c r="Z234" s="163">
        <f ca="1"/>
        <v>0</v>
      </c>
      <c r="AA234" s="163">
        <f ca="1"/>
        <v>7.1016392699080333E-3</v>
      </c>
      <c r="AB234" s="163">
        <f ca="1"/>
        <v>0</v>
      </c>
      <c r="AC234" s="163">
        <f ca="1"/>
        <v>1.8666220853314375E-2</v>
      </c>
      <c r="AD234" s="163">
        <f ca="1"/>
        <v>3.5776587402568394E-2</v>
      </c>
      <c r="AE234" s="139">
        <f ca="1"/>
        <v>6.8875762092589499E-2</v>
      </c>
      <c r="AI234" s="136"/>
      <c r="AK234" s="136"/>
      <c r="AM234" s="136"/>
      <c r="AN234" s="136"/>
      <c r="AO234" s="136"/>
      <c r="AR234" s="136"/>
      <c r="AT234" s="136"/>
      <c r="AV234" s="136"/>
      <c r="AW234" s="136"/>
      <c r="AX234" s="136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7" t="s">
        <v>87</v>
      </c>
      <c r="F235" s="156" t="s">
        <v>87</v>
      </c>
      <c r="G235" s="156">
        <v>7.6000000000000004E-4</v>
      </c>
      <c r="H235" s="156" t="s">
        <v>87</v>
      </c>
      <c r="I235" s="156">
        <v>2.075E-3</v>
      </c>
      <c r="J235" s="156" t="s">
        <v>87</v>
      </c>
      <c r="K235" s="156">
        <v>2.702E-3</v>
      </c>
      <c r="L235" s="156">
        <v>3.6189999999999998E-3</v>
      </c>
      <c r="M235" s="156">
        <v>4.6800000000000001E-3</v>
      </c>
      <c r="N235" s="138" cm="1">
        <f t="array" aca="1" ref="N235:AE235" ca="1">IF(OR(B235="",NOT($J$2)),"",GetStripDefaultProbability(A235,B235,Parameter_Date,CDSRollDate,E235:M235,SpreadCurveMaturities,D235,C235,$J$4,$J$6))</f>
        <v>0</v>
      </c>
      <c r="O235" s="163">
        <f ca="1"/>
        <v>0</v>
      </c>
      <c r="P235" s="163">
        <f ca="1"/>
        <v>1.3930364840697429E-3</v>
      </c>
      <c r="Q235" s="163">
        <f ca="1"/>
        <v>0</v>
      </c>
      <c r="R235" s="163">
        <f ca="1"/>
        <v>1.089347261365925E-2</v>
      </c>
      <c r="S235" s="163">
        <f ca="1"/>
        <v>0</v>
      </c>
      <c r="T235" s="163">
        <f ca="1"/>
        <v>2.346413322660823E-2</v>
      </c>
      <c r="U235" s="163">
        <f ca="1"/>
        <v>4.4458391947793996E-2</v>
      </c>
      <c r="V235" s="139">
        <f ca="1"/>
        <v>8.271423904865205E-2</v>
      </c>
      <c r="W235" s="138">
        <f ca="1"/>
        <v>0</v>
      </c>
      <c r="X235" s="163">
        <f ca="1"/>
        <v>0</v>
      </c>
      <c r="Y235" s="163">
        <f ca="1"/>
        <v>1.5594571092165666E-3</v>
      </c>
      <c r="Z235" s="163">
        <f ca="1"/>
        <v>0</v>
      </c>
      <c r="AA235" s="163">
        <f ca="1"/>
        <v>1.1427668329180962E-2</v>
      </c>
      <c r="AB235" s="163">
        <f ca="1"/>
        <v>0</v>
      </c>
      <c r="AC235" s="163">
        <f ca="1"/>
        <v>2.4617147318557797E-2</v>
      </c>
      <c r="AD235" s="163">
        <f ca="1"/>
        <v>4.6632278317055298E-2</v>
      </c>
      <c r="AE235" s="139">
        <f ca="1"/>
        <v>8.6690970685208368E-2</v>
      </c>
      <c r="AI235" s="136"/>
      <c r="AK235" s="136"/>
      <c r="AM235" s="136"/>
      <c r="AN235" s="136"/>
      <c r="AO235" s="136"/>
      <c r="AR235" s="136"/>
      <c r="AT235" s="136"/>
      <c r="AV235" s="136"/>
      <c r="AW235" s="136"/>
      <c r="AX235" s="136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7" t="s">
        <v>87</v>
      </c>
      <c r="F236" s="156" t="s">
        <v>87</v>
      </c>
      <c r="G236" s="156">
        <v>1.158E-3</v>
      </c>
      <c r="H236" s="156" t="s">
        <v>87</v>
      </c>
      <c r="I236" s="156">
        <v>3.3089999999999999E-3</v>
      </c>
      <c r="J236" s="156" t="s">
        <v>87</v>
      </c>
      <c r="K236" s="156">
        <v>4.6319999999999998E-3</v>
      </c>
      <c r="L236" s="156">
        <v>6.097E-3</v>
      </c>
      <c r="M236" s="156">
        <v>7.515E-3</v>
      </c>
      <c r="N236" s="138" cm="1">
        <f t="array" aca="1" ref="N236:AE236" ca="1">IF(OR(B236="",NOT($J$2)),"",GetStripDefaultProbability(A236,B236,Parameter_Date,CDSRollDate,E236:M236,SpreadCurveMaturities,D236,C236,$J$4,$J$6))</f>
        <v>0</v>
      </c>
      <c r="O236" s="163">
        <f ca="1"/>
        <v>0</v>
      </c>
      <c r="P236" s="163">
        <f ca="1"/>
        <v>2.12177941543501E-3</v>
      </c>
      <c r="Q236" s="163">
        <f ca="1"/>
        <v>0</v>
      </c>
      <c r="R236" s="163">
        <f ca="1"/>
        <v>1.7337106382249279E-2</v>
      </c>
      <c r="S236" s="163">
        <f ca="1"/>
        <v>0</v>
      </c>
      <c r="T236" s="163">
        <f ca="1"/>
        <v>4.0133782323152123E-2</v>
      </c>
      <c r="U236" s="163">
        <f ca="1"/>
        <v>7.4136707354648723E-2</v>
      </c>
      <c r="V236" s="139">
        <f ca="1"/>
        <v>0.1294944811141604</v>
      </c>
      <c r="W236" s="138">
        <f ca="1"/>
        <v>0</v>
      </c>
      <c r="X236" s="163">
        <f ca="1"/>
        <v>0</v>
      </c>
      <c r="Y236" s="163">
        <f ca="1"/>
        <v>2.2880785935390779E-3</v>
      </c>
      <c r="Z236" s="163">
        <f ca="1"/>
        <v>0</v>
      </c>
      <c r="AA236" s="163">
        <f ca="1"/>
        <v>1.8191148665257839E-2</v>
      </c>
      <c r="AB236" s="163">
        <f ca="1"/>
        <v>0</v>
      </c>
      <c r="AC236" s="163">
        <f ca="1"/>
        <v>4.2098538893158954E-2</v>
      </c>
      <c r="AD236" s="163">
        <f ca="1"/>
        <v>7.7722667038669702E-2</v>
      </c>
      <c r="AE236" s="139">
        <f ca="1"/>
        <v>0.13563966955585471</v>
      </c>
      <c r="AI236" s="136"/>
      <c r="AK236" s="136"/>
      <c r="AM236" s="136"/>
      <c r="AN236" s="136"/>
      <c r="AO236" s="136"/>
      <c r="AR236" s="136"/>
      <c r="AT236" s="136"/>
      <c r="AV236" s="136"/>
      <c r="AW236" s="136"/>
      <c r="AX236" s="136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7" t="s">
        <v>87</v>
      </c>
      <c r="F237" s="156" t="s">
        <v>87</v>
      </c>
      <c r="G237" s="156">
        <v>1.062E-3</v>
      </c>
      <c r="H237" s="156" t="s">
        <v>87</v>
      </c>
      <c r="I237" s="156">
        <v>1.9780000000000002E-3</v>
      </c>
      <c r="J237" s="156" t="s">
        <v>87</v>
      </c>
      <c r="K237" s="156">
        <v>3.088E-3</v>
      </c>
      <c r="L237" s="156">
        <v>3.764E-3</v>
      </c>
      <c r="M237" s="156">
        <v>5.4039999999999999E-3</v>
      </c>
      <c r="N237" s="138" cm="1">
        <f t="array" aca="1" ref="N237:AE237" ca="1">IF(OR(B237="",NOT($J$2)),"",GetStripDefaultProbability(A237,B237,Parameter_Date,CDSRollDate,E237:M237,SpreadCurveMaturities,D237,C237,$J$4,$J$6))</f>
        <v>0</v>
      </c>
      <c r="O237" s="163">
        <f ca="1"/>
        <v>0</v>
      </c>
      <c r="P237" s="163">
        <f ca="1"/>
        <v>1.9460505080843848E-3</v>
      </c>
      <c r="Q237" s="163">
        <f ca="1"/>
        <v>0</v>
      </c>
      <c r="R237" s="163">
        <f ca="1"/>
        <v>1.0339639280124602E-2</v>
      </c>
      <c r="S237" s="163">
        <f ca="1"/>
        <v>0</v>
      </c>
      <c r="T237" s="163">
        <f ca="1"/>
        <v>2.6981032506903979E-2</v>
      </c>
      <c r="U237" s="163">
        <f ca="1"/>
        <v>4.5973410994689989E-2</v>
      </c>
      <c r="V237" s="139">
        <f ca="1"/>
        <v>9.6199075346093843E-2</v>
      </c>
      <c r="W237" s="138">
        <f ca="1"/>
        <v>0</v>
      </c>
      <c r="X237" s="163">
        <f ca="1"/>
        <v>0</v>
      </c>
      <c r="Y237" s="163">
        <f ca="1"/>
        <v>2.1123789719248443E-3</v>
      </c>
      <c r="Z237" s="163">
        <f ca="1"/>
        <v>0</v>
      </c>
      <c r="AA237" s="163">
        <f ca="1"/>
        <v>1.0854291686363537E-2</v>
      </c>
      <c r="AB237" s="163">
        <f ca="1"/>
        <v>0</v>
      </c>
      <c r="AC237" s="163">
        <f ca="1"/>
        <v>2.8307555267892415E-2</v>
      </c>
      <c r="AD237" s="163">
        <f ca="1"/>
        <v>4.8221402328747498E-2</v>
      </c>
      <c r="AE237" s="139">
        <f ca="1"/>
        <v>0.10084112222087438</v>
      </c>
      <c r="AI237" s="136"/>
      <c r="AK237" s="136"/>
      <c r="AM237" s="136"/>
      <c r="AN237" s="136"/>
      <c r="AO237" s="136"/>
      <c r="AR237" s="136"/>
      <c r="AT237" s="136"/>
      <c r="AV237" s="136"/>
      <c r="AW237" s="136"/>
      <c r="AX237" s="136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7" t="s">
        <v>87</v>
      </c>
      <c r="F238" s="156" t="s">
        <v>87</v>
      </c>
      <c r="G238" s="156">
        <v>1.0319999999999999E-3</v>
      </c>
      <c r="H238" s="156" t="s">
        <v>87</v>
      </c>
      <c r="I238" s="156">
        <v>1.8159999999999999E-3</v>
      </c>
      <c r="J238" s="156" t="s">
        <v>87</v>
      </c>
      <c r="K238" s="156">
        <v>2.6540000000000001E-3</v>
      </c>
      <c r="L238" s="156">
        <v>3.4919999999999999E-3</v>
      </c>
      <c r="M238" s="156">
        <v>4.4229999999999998E-3</v>
      </c>
      <c r="N238" s="138" cm="1">
        <f t="array" aca="1" ref="N238:AE238" ca="1">IF(OR(B238="",NOT($J$2)),"",GetStripDefaultProbability(A238,B238,Parameter_Date,CDSRollDate,E238:M238,SpreadCurveMaturities,D238,C238,$J$4,$J$6))</f>
        <v>0</v>
      </c>
      <c r="O238" s="163">
        <f ca="1"/>
        <v>0</v>
      </c>
      <c r="P238" s="163">
        <f ca="1"/>
        <v>1.891128931042152E-3</v>
      </c>
      <c r="Q238" s="163">
        <f ca="1"/>
        <v>0</v>
      </c>
      <c r="R238" s="163">
        <f ca="1"/>
        <v>9.4882896710738462E-3</v>
      </c>
      <c r="S238" s="163">
        <f ca="1"/>
        <v>0</v>
      </c>
      <c r="T238" s="163">
        <f ca="1"/>
        <v>2.3137790393466418E-2</v>
      </c>
      <c r="U238" s="163">
        <f ca="1"/>
        <v>4.293644489380366E-2</v>
      </c>
      <c r="V238" s="139">
        <f ca="1"/>
        <v>7.8074692109482924E-2</v>
      </c>
      <c r="W238" s="138">
        <f ca="1"/>
        <v>0</v>
      </c>
      <c r="X238" s="163">
        <f ca="1"/>
        <v>0</v>
      </c>
      <c r="Y238" s="163">
        <f ca="1"/>
        <v>2.0574665477210985E-3</v>
      </c>
      <c r="Z238" s="163">
        <f ca="1"/>
        <v>0</v>
      </c>
      <c r="AA238" s="163">
        <f ca="1"/>
        <v>1.000341444815922E-2</v>
      </c>
      <c r="AB238" s="163">
        <f ca="1"/>
        <v>0</v>
      </c>
      <c r="AC238" s="163">
        <f ca="1"/>
        <v>2.42715781395616E-2</v>
      </c>
      <c r="AD238" s="163">
        <f ca="1"/>
        <v>4.5033989525854135E-2</v>
      </c>
      <c r="AE238" s="139">
        <f ca="1"/>
        <v>8.1832459350115183E-2</v>
      </c>
      <c r="AI238" s="136"/>
      <c r="AK238" s="136"/>
      <c r="AM238" s="136"/>
      <c r="AN238" s="136"/>
      <c r="AO238" s="136"/>
      <c r="AR238" s="136"/>
      <c r="AT238" s="136"/>
      <c r="AV238" s="136"/>
      <c r="AW238" s="136"/>
      <c r="AX238" s="136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7" t="s">
        <v>87</v>
      </c>
      <c r="F239" s="156" t="s">
        <v>87</v>
      </c>
      <c r="G239" s="156">
        <v>6.02E-4</v>
      </c>
      <c r="H239" s="156" t="s">
        <v>87</v>
      </c>
      <c r="I239" s="156">
        <v>2.0270000000000002E-3</v>
      </c>
      <c r="J239" s="156" t="s">
        <v>87</v>
      </c>
      <c r="K239" s="156">
        <v>2.5089999999999999E-3</v>
      </c>
      <c r="L239" s="156">
        <v>3.4740000000000001E-3</v>
      </c>
      <c r="M239" s="156">
        <v>4.4390000000000002E-3</v>
      </c>
      <c r="N239" s="138" cm="1">
        <f t="array" aca="1" ref="N239:AE239" ca="1">IF(OR(B239="",NOT($J$2)),"",GetStripDefaultProbability(A239,B239,Parameter_Date,CDSRollDate,E239:M239,SpreadCurveMaturities,D239,C239,$J$4,$J$6))</f>
        <v>0</v>
      </c>
      <c r="O239" s="163">
        <f ca="1"/>
        <v>0</v>
      </c>
      <c r="P239" s="163">
        <f ca="1"/>
        <v>1.1035901665897851E-3</v>
      </c>
      <c r="Q239" s="163">
        <f ca="1"/>
        <v>0</v>
      </c>
      <c r="R239" s="163">
        <f ca="1"/>
        <v>1.0661917798244658E-2</v>
      </c>
      <c r="S239" s="163">
        <f ca="1"/>
        <v>0</v>
      </c>
      <c r="T239" s="163">
        <f ca="1"/>
        <v>2.1759883706672922E-2</v>
      </c>
      <c r="U239" s="163">
        <f ca="1"/>
        <v>4.2793769409864568E-2</v>
      </c>
      <c r="V239" s="139">
        <f ca="1"/>
        <v>7.8525656386686848E-2</v>
      </c>
      <c r="W239" s="138">
        <f ca="1"/>
        <v>0</v>
      </c>
      <c r="X239" s="163">
        <f ca="1"/>
        <v>0</v>
      </c>
      <c r="Y239" s="163">
        <f ca="1"/>
        <v>1.2700590287801905E-3</v>
      </c>
      <c r="Z239" s="163">
        <f ca="1"/>
        <v>0</v>
      </c>
      <c r="AA239" s="163">
        <f ca="1"/>
        <v>1.1183619944429513E-2</v>
      </c>
      <c r="AB239" s="163">
        <f ca="1"/>
        <v>0</v>
      </c>
      <c r="AC239" s="163">
        <f ca="1"/>
        <v>2.2828366775778375E-2</v>
      </c>
      <c r="AD239" s="163">
        <f ca="1"/>
        <v>4.4886563831648463E-2</v>
      </c>
      <c r="AE239" s="139">
        <f ca="1"/>
        <v>8.2307549506733579E-2</v>
      </c>
      <c r="AI239" s="136"/>
      <c r="AK239" s="136"/>
      <c r="AM239" s="136"/>
      <c r="AN239" s="136"/>
      <c r="AO239" s="136"/>
      <c r="AR239" s="136"/>
      <c r="AT239" s="136"/>
      <c r="AV239" s="136"/>
      <c r="AW239" s="136"/>
      <c r="AX239" s="136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7" t="s">
        <v>87</v>
      </c>
      <c r="F240" s="156" t="s">
        <v>87</v>
      </c>
      <c r="G240" s="156">
        <v>9.41E-4</v>
      </c>
      <c r="H240" s="156" t="s">
        <v>87</v>
      </c>
      <c r="I240" s="156">
        <v>2.0409999999999998E-3</v>
      </c>
      <c r="J240" s="156" t="s">
        <v>87</v>
      </c>
      <c r="K240" s="156">
        <v>3.1359999999999999E-3</v>
      </c>
      <c r="L240" s="156">
        <v>4.032E-3</v>
      </c>
      <c r="M240" s="156">
        <v>5.0280000000000004E-3</v>
      </c>
      <c r="N240" s="138" cm="1">
        <f t="array" aca="1" ref="N240:AE240" ca="1">IF(OR(B240="",NOT($J$2)),"",GetStripDefaultProbability(A240,B240,Parameter_Date,CDSRollDate,E240:M240,SpreadCurveMaturities,D240,C240,$J$4,$J$6))</f>
        <v>0</v>
      </c>
      <c r="O240" s="163">
        <f ca="1"/>
        <v>0</v>
      </c>
      <c r="P240" s="163">
        <f ca="1"/>
        <v>1.7245151442915052E-3</v>
      </c>
      <c r="Q240" s="163">
        <f ca="1"/>
        <v>0</v>
      </c>
      <c r="R240" s="163">
        <f ca="1"/>
        <v>1.0688934907136849E-2</v>
      </c>
      <c r="S240" s="163">
        <f ca="1"/>
        <v>0</v>
      </c>
      <c r="T240" s="163">
        <f ca="1"/>
        <v>2.7397176917965838E-2</v>
      </c>
      <c r="U240" s="163">
        <f ca="1"/>
        <v>4.9450031392176408E-2</v>
      </c>
      <c r="V240" s="139">
        <f ca="1"/>
        <v>8.8200409905388466E-2</v>
      </c>
      <c r="W240" s="138">
        <f ca="1"/>
        <v>0</v>
      </c>
      <c r="X240" s="163">
        <f ca="1"/>
        <v>0</v>
      </c>
      <c r="Y240" s="163">
        <f ca="1"/>
        <v>1.8908805275795748E-3</v>
      </c>
      <c r="Z240" s="163">
        <f ca="1"/>
        <v>0</v>
      </c>
      <c r="AA240" s="163">
        <f ca="1"/>
        <v>1.1214236786044052E-2</v>
      </c>
      <c r="AB240" s="163">
        <f ca="1"/>
        <v>0</v>
      </c>
      <c r="AC240" s="163">
        <f ca="1"/>
        <v>2.874383078531062E-2</v>
      </c>
      <c r="AD240" s="163">
        <f ca="1"/>
        <v>5.1865535833241383E-2</v>
      </c>
      <c r="AE240" s="139">
        <f ca="1"/>
        <v>9.2430382794286614E-2</v>
      </c>
      <c r="AI240" s="136"/>
      <c r="AK240" s="136"/>
      <c r="AM240" s="136"/>
      <c r="AN240" s="136"/>
      <c r="AO240" s="136"/>
      <c r="AR240" s="136"/>
      <c r="AT240" s="136"/>
      <c r="AV240" s="136"/>
      <c r="AW240" s="136"/>
      <c r="AX240" s="136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7" t="s">
        <v>87</v>
      </c>
      <c r="F241" s="156" t="s">
        <v>87</v>
      </c>
      <c r="G241" s="156">
        <v>1.0070000000000001E-3</v>
      </c>
      <c r="H241" s="156" t="s">
        <v>87</v>
      </c>
      <c r="I241" s="156">
        <v>2.4489999999999998E-3</v>
      </c>
      <c r="J241" s="156" t="s">
        <v>87</v>
      </c>
      <c r="K241" s="156">
        <v>2.7989999999999998E-3</v>
      </c>
      <c r="L241" s="156">
        <v>3.388E-3</v>
      </c>
      <c r="M241" s="156">
        <v>3.7799999999999999E-3</v>
      </c>
      <c r="N241" s="138" cm="1">
        <f t="array" aca="1" ref="N241:AE241" ca="1">IF(OR(B241="",NOT($J$2)),"",GetStripDefaultProbability(A241,B241,Parameter_Date,CDSRollDate,E241:M241,SpreadCurveMaturities,D241,C241,$J$4,$J$6))</f>
        <v>0</v>
      </c>
      <c r="O241" s="163">
        <f ca="1"/>
        <v>0</v>
      </c>
      <c r="P241" s="163">
        <f ca="1"/>
        <v>1.8453586605379213E-3</v>
      </c>
      <c r="Q241" s="163">
        <f ca="1"/>
        <v>0</v>
      </c>
      <c r="R241" s="163">
        <f ca="1"/>
        <v>1.2831951453183277E-2</v>
      </c>
      <c r="S241" s="163">
        <f ca="1"/>
        <v>0</v>
      </c>
      <c r="T241" s="163">
        <f ca="1"/>
        <v>2.4096149448091908E-2</v>
      </c>
      <c r="U241" s="163">
        <f ca="1"/>
        <v>4.1037604581414033E-2</v>
      </c>
      <c r="V241" s="139">
        <f ca="1"/>
        <v>6.504848981115785E-2</v>
      </c>
      <c r="W241" s="138">
        <f ca="1"/>
        <v>0</v>
      </c>
      <c r="X241" s="163">
        <f ca="1"/>
        <v>0</v>
      </c>
      <c r="Y241" s="163">
        <f ca="1"/>
        <v>2.0117039049420971E-3</v>
      </c>
      <c r="Z241" s="163">
        <f ca="1"/>
        <v>0</v>
      </c>
      <c r="AA241" s="163">
        <f ca="1"/>
        <v>1.3463445214824232E-2</v>
      </c>
      <c r="AB241" s="163">
        <f ca="1"/>
        <v>0</v>
      </c>
      <c r="AC241" s="163">
        <f ca="1"/>
        <v>2.5281174132362416E-2</v>
      </c>
      <c r="AD241" s="163">
        <f ca="1"/>
        <v>4.3045749007277645E-2</v>
      </c>
      <c r="AE241" s="139">
        <f ca="1"/>
        <v>6.8194360979621726E-2</v>
      </c>
      <c r="AI241" s="136"/>
      <c r="AK241" s="136"/>
      <c r="AM241" s="136"/>
      <c r="AN241" s="136"/>
      <c r="AO241" s="136"/>
      <c r="AR241" s="136"/>
      <c r="AT241" s="136"/>
      <c r="AV241" s="136"/>
      <c r="AW241" s="136"/>
      <c r="AX241" s="136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7" t="s">
        <v>87</v>
      </c>
      <c r="F242" s="156" t="s">
        <v>87</v>
      </c>
      <c r="G242" s="156">
        <v>2.0790000000000001E-3</v>
      </c>
      <c r="H242" s="156" t="s">
        <v>87</v>
      </c>
      <c r="I242" s="156">
        <v>3.5140000000000002E-3</v>
      </c>
      <c r="J242" s="156" t="s">
        <v>87</v>
      </c>
      <c r="K242" s="156">
        <v>5.1630000000000001E-3</v>
      </c>
      <c r="L242" s="156">
        <v>6.1060000000000003E-3</v>
      </c>
      <c r="M242" s="156">
        <v>6.9950000000000003E-3</v>
      </c>
      <c r="N242" s="138" cm="1">
        <f t="array" aca="1" ref="N242:AE242" ca="1">IF(OR(B242="",NOT($J$2)),"",GetStripDefaultProbability(A242,B242,Parameter_Date,CDSRollDate,E242:M242,SpreadCurveMaturities,D242,C242,$J$4,$J$6))</f>
        <v>0</v>
      </c>
      <c r="O242" s="163">
        <f ca="1"/>
        <v>0</v>
      </c>
      <c r="P242" s="163">
        <f ca="1"/>
        <v>3.8061206184522023E-3</v>
      </c>
      <c r="Q242" s="163">
        <f ca="1"/>
        <v>0</v>
      </c>
      <c r="R242" s="163">
        <f ca="1"/>
        <v>1.8280600244712231E-2</v>
      </c>
      <c r="S242" s="163">
        <f ca="1"/>
        <v>0</v>
      </c>
      <c r="T242" s="163">
        <f ca="1"/>
        <v>4.4645702773121076E-2</v>
      </c>
      <c r="U242" s="163">
        <f ca="1"/>
        <v>7.3376131590781157E-2</v>
      </c>
      <c r="V242" s="139">
        <f ca="1"/>
        <v>0.11860076222383464</v>
      </c>
      <c r="W242" s="138">
        <f ca="1"/>
        <v>0</v>
      </c>
      <c r="X242" s="163">
        <f ca="1"/>
        <v>0</v>
      </c>
      <c r="Y242" s="163">
        <f ca="1"/>
        <v>3.9959807879075271E-3</v>
      </c>
      <c r="Z242" s="163">
        <f ca="1"/>
        <v>0</v>
      </c>
      <c r="AA242" s="163">
        <f ca="1"/>
        <v>1.9185310303158509E-2</v>
      </c>
      <c r="AB242" s="163">
        <f ca="1"/>
        <v>0</v>
      </c>
      <c r="AC242" s="163">
        <f ca="1"/>
        <v>4.6831256516599473E-2</v>
      </c>
      <c r="AD242" s="163">
        <f ca="1"/>
        <v>7.6926720672959248E-2</v>
      </c>
      <c r="AE242" s="139">
        <f ca="1"/>
        <v>0.12423358046684596</v>
      </c>
      <c r="AI242" s="136"/>
      <c r="AK242" s="136"/>
      <c r="AM242" s="136"/>
      <c r="AN242" s="136"/>
      <c r="AO242" s="136"/>
      <c r="AR242" s="136"/>
      <c r="AT242" s="136"/>
      <c r="AV242" s="136"/>
      <c r="AW242" s="136"/>
      <c r="AX242" s="136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7" t="s">
        <v>87</v>
      </c>
      <c r="F243" s="156" t="s">
        <v>87</v>
      </c>
      <c r="G243" s="156">
        <v>6.9099999999999999E-4</v>
      </c>
      <c r="H243" s="156" t="s">
        <v>87</v>
      </c>
      <c r="I243" s="156">
        <v>2.895E-3</v>
      </c>
      <c r="J243" s="156" t="s">
        <v>87</v>
      </c>
      <c r="K243" s="156">
        <v>4.1980000000000003E-3</v>
      </c>
      <c r="L243" s="156">
        <v>5.3080000000000002E-3</v>
      </c>
      <c r="M243" s="156">
        <v>6.5620000000000001E-3</v>
      </c>
      <c r="N243" s="138" cm="1">
        <f t="array" aca="1" ref="N243:AE243" ca="1">IF(OR(B243="",NOT($J$2)),"",GetStripDefaultProbability(A243,B243,Parameter_Date,CDSRollDate,E243:M243,SpreadCurveMaturities,D243,C243,$J$4,$J$6))</f>
        <v>0</v>
      </c>
      <c r="O243" s="163">
        <f ca="1"/>
        <v>0</v>
      </c>
      <c r="P243" s="163">
        <f ca="1"/>
        <v>1.2666429481217323E-3</v>
      </c>
      <c r="Q243" s="163">
        <f ca="1"/>
        <v>0</v>
      </c>
      <c r="R243" s="163">
        <f ca="1"/>
        <v>1.5226213083967877E-2</v>
      </c>
      <c r="S243" s="163">
        <f ca="1"/>
        <v>0</v>
      </c>
      <c r="T243" s="163">
        <f ca="1"/>
        <v>3.6539208633833531E-2</v>
      </c>
      <c r="U243" s="163">
        <f ca="1"/>
        <v>6.4615846913046449E-2</v>
      </c>
      <c r="V243" s="139">
        <f ca="1"/>
        <v>0.11367396096401294</v>
      </c>
      <c r="W243" s="138">
        <f ca="1"/>
        <v>0</v>
      </c>
      <c r="X243" s="163">
        <f ca="1"/>
        <v>0</v>
      </c>
      <c r="Y243" s="163">
        <f ca="1"/>
        <v>1.4330846370836925E-3</v>
      </c>
      <c r="Z243" s="163">
        <f ca="1"/>
        <v>0</v>
      </c>
      <c r="AA243" s="163">
        <f ca="1"/>
        <v>1.5973415625646692E-2</v>
      </c>
      <c r="AB243" s="163">
        <f ca="1"/>
        <v>0</v>
      </c>
      <c r="AC243" s="163">
        <f ca="1"/>
        <v>3.8327885606003975E-2</v>
      </c>
      <c r="AD243" s="163">
        <f ca="1"/>
        <v>6.7750485661290161E-2</v>
      </c>
      <c r="AE243" s="139">
        <f ca="1"/>
        <v>0.11909911018552966</v>
      </c>
      <c r="AI243" s="136"/>
      <c r="AK243" s="136"/>
      <c r="AM243" s="136"/>
      <c r="AN243" s="136"/>
      <c r="AO243" s="136"/>
      <c r="AR243" s="136"/>
      <c r="AT243" s="136"/>
      <c r="AV243" s="136"/>
      <c r="AW243" s="136"/>
      <c r="AX243" s="136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7" t="s">
        <v>87</v>
      </c>
      <c r="F244" s="156" t="s">
        <v>87</v>
      </c>
      <c r="G244" s="156">
        <v>2.5040000000000001E-3</v>
      </c>
      <c r="H244" s="156" t="s">
        <v>87</v>
      </c>
      <c r="I244" s="156">
        <v>6.2230000000000002E-3</v>
      </c>
      <c r="J244" s="156" t="s">
        <v>87</v>
      </c>
      <c r="K244" s="156">
        <v>8.3470000000000003E-3</v>
      </c>
      <c r="L244" s="156">
        <v>9.9769999999999998E-3</v>
      </c>
      <c r="M244" s="156">
        <v>1.2248999999999999E-2</v>
      </c>
      <c r="N244" s="138" cm="1">
        <f t="array" aca="1" ref="N244:AE244" ca="1">IF(OR(B244="",NOT($J$2)),"",GetStripDefaultProbability(A244,B244,Parameter_Date,CDSRollDate,E244:M244,SpreadCurveMaturities,D244,C244,$J$4,$J$6))</f>
        <v>0</v>
      </c>
      <c r="O244" s="163">
        <f ca="1"/>
        <v>0</v>
      </c>
      <c r="P244" s="163">
        <f ca="1"/>
        <v>4.5824179064893888E-3</v>
      </c>
      <c r="Q244" s="163">
        <f ca="1"/>
        <v>0</v>
      </c>
      <c r="R244" s="163">
        <f ca="1"/>
        <v>3.2367326021358167E-2</v>
      </c>
      <c r="S244" s="163">
        <f ca="1"/>
        <v>0</v>
      </c>
      <c r="T244" s="163">
        <f ca="1"/>
        <v>7.1216779287060272E-2</v>
      </c>
      <c r="U244" s="163">
        <f ca="1"/>
        <v>0.1176684094001238</v>
      </c>
      <c r="V244" s="139">
        <f ca="1"/>
        <v>0.20303001534842158</v>
      </c>
      <c r="W244" s="138">
        <f ca="1"/>
        <v>0</v>
      </c>
      <c r="X244" s="163">
        <f ca="1"/>
        <v>0</v>
      </c>
      <c r="Y244" s="163">
        <f ca="1"/>
        <v>4.8108905444318451E-3</v>
      </c>
      <c r="Z244" s="163">
        <f ca="1"/>
        <v>0</v>
      </c>
      <c r="AA244" s="163">
        <f ca="1"/>
        <v>3.3956605554721353E-2</v>
      </c>
      <c r="AB244" s="163">
        <f ca="1"/>
        <v>0</v>
      </c>
      <c r="AC244" s="163">
        <f ca="1"/>
        <v>7.46565588728344E-2</v>
      </c>
      <c r="AD244" s="163">
        <f ca="1"/>
        <v>0.12326769578097585</v>
      </c>
      <c r="AE244" s="139">
        <f ca="1"/>
        <v>0.21233057973028269</v>
      </c>
      <c r="AI244" s="136"/>
      <c r="AK244" s="136"/>
      <c r="AM244" s="136"/>
      <c r="AN244" s="136"/>
      <c r="AO244" s="136"/>
      <c r="AR244" s="136"/>
      <c r="AT244" s="136"/>
      <c r="AV244" s="136"/>
      <c r="AW244" s="136"/>
      <c r="AX244" s="136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7" t="s">
        <v>87</v>
      </c>
      <c r="F245" s="156" t="s">
        <v>87</v>
      </c>
      <c r="G245" s="156">
        <v>3.1319999999999998E-3</v>
      </c>
      <c r="H245" s="156" t="s">
        <v>87</v>
      </c>
      <c r="I245" s="156">
        <v>7.0920000000000002E-3</v>
      </c>
      <c r="J245" s="156" t="s">
        <v>87</v>
      </c>
      <c r="K245" s="156">
        <v>1.155E-2</v>
      </c>
      <c r="L245" s="156">
        <v>1.3374E-2</v>
      </c>
      <c r="M245" s="156">
        <v>1.5500999999999999E-2</v>
      </c>
      <c r="N245" s="138" cm="1">
        <f t="array" aca="1" ref="N245:AE245" ca="1">IF(OR(B245="",NOT($J$2)),"",GetStripDefaultProbability(A245,B245,Parameter_Date,CDSRollDate,E245:M245,SpreadCurveMaturities,D245,C245,$J$4,$J$6))</f>
        <v>0</v>
      </c>
      <c r="O245" s="163">
        <f ca="1"/>
        <v>0</v>
      </c>
      <c r="P245" s="163">
        <f ca="1"/>
        <v>5.728414764062717E-3</v>
      </c>
      <c r="Q245" s="163">
        <f ca="1"/>
        <v>0</v>
      </c>
      <c r="R245" s="163">
        <f ca="1"/>
        <v>3.6778092466818291E-2</v>
      </c>
      <c r="S245" s="163">
        <f ca="1"/>
        <v>0</v>
      </c>
      <c r="T245" s="163">
        <f ca="1"/>
        <v>9.8597618632036754E-2</v>
      </c>
      <c r="U245" s="163">
        <f ca="1"/>
        <v>0.15570635848896563</v>
      </c>
      <c r="V245" s="139">
        <f ca="1"/>
        <v>0.24894129011259691</v>
      </c>
      <c r="W245" s="138">
        <f ca="1"/>
        <v>0</v>
      </c>
      <c r="X245" s="163">
        <f ca="1"/>
        <v>0</v>
      </c>
      <c r="Y245" s="163">
        <f ca="1"/>
        <v>6.0138182319267042E-3</v>
      </c>
      <c r="Z245" s="163">
        <f ca="1"/>
        <v>0</v>
      </c>
      <c r="AA245" s="163">
        <f ca="1"/>
        <v>3.8578950089285136E-2</v>
      </c>
      <c r="AB245" s="163">
        <f ca="1"/>
        <v>0</v>
      </c>
      <c r="AC245" s="163">
        <f ca="1"/>
        <v>0.10334518515350311</v>
      </c>
      <c r="AD245" s="163">
        <f ca="1"/>
        <v>0.1629919728503455</v>
      </c>
      <c r="AE245" s="139">
        <f ca="1"/>
        <v>0.26003195278063396</v>
      </c>
      <c r="AI245" s="136"/>
      <c r="AK245" s="136"/>
      <c r="AM245" s="136"/>
      <c r="AN245" s="136"/>
      <c r="AO245" s="136"/>
      <c r="AR245" s="136"/>
      <c r="AT245" s="136"/>
      <c r="AV245" s="136"/>
      <c r="AW245" s="136"/>
      <c r="AX245" s="136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7" t="s">
        <v>87</v>
      </c>
      <c r="F246" s="156" t="s">
        <v>87</v>
      </c>
      <c r="G246" s="156">
        <v>6.3900000000000003E-4</v>
      </c>
      <c r="H246" s="156" t="s">
        <v>87</v>
      </c>
      <c r="I246" s="156">
        <v>1.4480000000000001E-3</v>
      </c>
      <c r="J246" s="156" t="s">
        <v>87</v>
      </c>
      <c r="K246" s="156">
        <v>2.5569999999999998E-3</v>
      </c>
      <c r="L246" s="156">
        <v>3.3289999999999999E-3</v>
      </c>
      <c r="M246" s="156">
        <v>4.3429999999999996E-3</v>
      </c>
      <c r="N246" s="138" cm="1">
        <f t="array" aca="1" ref="N246:AE246" ca="1">IF(OR(B246="",NOT($J$2)),"",GetStripDefaultProbability(A246,B246,Parameter_Date,CDSRollDate,E246:M246,SpreadCurveMaturities,D246,C246,$J$4,$J$6))</f>
        <v>0</v>
      </c>
      <c r="O246" s="163">
        <f ca="1"/>
        <v>0</v>
      </c>
      <c r="P246" s="163">
        <f ca="1"/>
        <v>1.1713793616202617E-3</v>
      </c>
      <c r="Q246" s="163">
        <f ca="1"/>
        <v>0</v>
      </c>
      <c r="R246" s="163">
        <f ca="1"/>
        <v>7.5965439688954195E-3</v>
      </c>
      <c r="S246" s="163">
        <f ca="1"/>
        <v>0</v>
      </c>
      <c r="T246" s="163">
        <f ca="1"/>
        <v>2.2520609094391131E-2</v>
      </c>
      <c r="U246" s="163">
        <f ca="1"/>
        <v>4.1144750976116584E-2</v>
      </c>
      <c r="V246" s="139">
        <f ca="1"/>
        <v>7.7216214263371441E-2</v>
      </c>
      <c r="W246" s="138">
        <f ca="1"/>
        <v>0</v>
      </c>
      <c r="X246" s="163">
        <f ca="1"/>
        <v>0</v>
      </c>
      <c r="Y246" s="163">
        <f ca="1"/>
        <v>1.3378369265507617E-3</v>
      </c>
      <c r="Z246" s="163">
        <f ca="1"/>
        <v>0</v>
      </c>
      <c r="AA246" s="163">
        <f ca="1"/>
        <v>8.1127824777103008E-3</v>
      </c>
      <c r="AB246" s="163">
        <f ca="1"/>
        <v>0</v>
      </c>
      <c r="AC246" s="163">
        <f ca="1"/>
        <v>2.3611550973818951E-2</v>
      </c>
      <c r="AD246" s="163">
        <f ca="1"/>
        <v>4.3143739501428469E-2</v>
      </c>
      <c r="AE246" s="139">
        <f ca="1"/>
        <v>8.092274116261311E-2</v>
      </c>
      <c r="AI246" s="136"/>
      <c r="AK246" s="136"/>
      <c r="AM246" s="136"/>
      <c r="AN246" s="136"/>
      <c r="AO246" s="136"/>
      <c r="AR246" s="136"/>
      <c r="AT246" s="136"/>
      <c r="AV246" s="136"/>
      <c r="AW246" s="136"/>
      <c r="AX246" s="136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7" t="s">
        <v>87</v>
      </c>
      <c r="F247" s="156" t="s">
        <v>87</v>
      </c>
      <c r="G247" s="156">
        <v>6.0999999999999997E-4</v>
      </c>
      <c r="H247" s="156" t="s">
        <v>87</v>
      </c>
      <c r="I247" s="156">
        <v>2.3159999999999999E-3</v>
      </c>
      <c r="J247" s="156" t="s">
        <v>87</v>
      </c>
      <c r="K247" s="156">
        <v>2.702E-3</v>
      </c>
      <c r="L247" s="156">
        <v>3.571E-3</v>
      </c>
      <c r="M247" s="156">
        <v>4.8250000000000003E-3</v>
      </c>
      <c r="N247" s="138" cm="1">
        <f t="array" aca="1" ref="N247:AE247" ca="1">IF(OR(B247="",NOT($J$2)),"",GetStripDefaultProbability(A247,B247,Parameter_Date,CDSRollDate,E247:M247,SpreadCurveMaturities,D247,C247,$J$4,$J$6))</f>
        <v>0</v>
      </c>
      <c r="O247" s="163">
        <f ca="1"/>
        <v>0</v>
      </c>
      <c r="P247" s="163">
        <f ca="1"/>
        <v>1.1182476765997373E-3</v>
      </c>
      <c r="Q247" s="163">
        <f ca="1"/>
        <v>0</v>
      </c>
      <c r="R247" s="163">
        <f ca="1"/>
        <v>1.2186151327895245E-2</v>
      </c>
      <c r="S247" s="163">
        <f ca="1"/>
        <v>0</v>
      </c>
      <c r="T247" s="163">
        <f ca="1"/>
        <v>2.3347507508037268E-2</v>
      </c>
      <c r="U247" s="163">
        <f ca="1"/>
        <v>4.3703258469971584E-2</v>
      </c>
      <c r="V247" s="139">
        <f ca="1"/>
        <v>8.5527658131930084E-2</v>
      </c>
      <c r="W247" s="138">
        <f ca="1"/>
        <v>0</v>
      </c>
      <c r="X247" s="163">
        <f ca="1"/>
        <v>0</v>
      </c>
      <c r="Y247" s="163">
        <f ca="1"/>
        <v>1.2847140960473569E-3</v>
      </c>
      <c r="Z247" s="163">
        <f ca="1"/>
        <v>0</v>
      </c>
      <c r="AA247" s="163">
        <f ca="1"/>
        <v>1.2783133638274102E-2</v>
      </c>
      <c r="AB247" s="163">
        <f ca="1"/>
        <v>0</v>
      </c>
      <c r="AC247" s="163">
        <f ca="1"/>
        <v>2.4493538666188197E-2</v>
      </c>
      <c r="AD247" s="163">
        <f ca="1"/>
        <v>4.5838771410453116E-2</v>
      </c>
      <c r="AE247" s="139">
        <f ca="1"/>
        <v>8.9662641284998013E-2</v>
      </c>
      <c r="AI247" s="136"/>
      <c r="AK247" s="136"/>
      <c r="AM247" s="136"/>
      <c r="AN247" s="136"/>
      <c r="AO247" s="136"/>
      <c r="AR247" s="136"/>
      <c r="AT247" s="136"/>
      <c r="AV247" s="136"/>
      <c r="AW247" s="136"/>
      <c r="AX247" s="136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7" t="s">
        <v>87</v>
      </c>
      <c r="F248" s="156" t="s">
        <v>87</v>
      </c>
      <c r="G248" s="156">
        <v>2.4285999999999999E-2</v>
      </c>
      <c r="H248" s="156" t="s">
        <v>87</v>
      </c>
      <c r="I248" s="156">
        <v>2.4133999999999999E-2</v>
      </c>
      <c r="J248" s="156" t="s">
        <v>87</v>
      </c>
      <c r="K248" s="156">
        <v>2.1857000000000001E-2</v>
      </c>
      <c r="L248" s="156">
        <v>2.0947E-2</v>
      </c>
      <c r="M248" s="156">
        <v>2.0036000000000002E-2</v>
      </c>
      <c r="N248" s="138" cm="1">
        <f t="array" aca="1" ref="N248:AE248" ca="1">IF(OR(B248="",NOT($J$2)),"",GetStripDefaultProbability(A248,B248,Parameter_Date,CDSRollDate,E248:M248,SpreadCurveMaturities,D248,C248,$J$4,$J$6))</f>
        <v>0</v>
      </c>
      <c r="O248" s="163">
        <f ca="1"/>
        <v>0</v>
      </c>
      <c r="P248" s="163">
        <f ca="1"/>
        <v>4.3582040228531072E-2</v>
      </c>
      <c r="Q248" s="163">
        <f ca="1"/>
        <v>0</v>
      </c>
      <c r="R248" s="163">
        <f ca="1"/>
        <v>0.11768819165649658</v>
      </c>
      <c r="S248" s="163">
        <f ca="1"/>
        <v>0</v>
      </c>
      <c r="T248" s="163">
        <f ca="1"/>
        <v>0.16808147316389899</v>
      </c>
      <c r="U248" s="163">
        <f ca="1"/>
        <v>0.21639577328103821</v>
      </c>
      <c r="V248" s="139">
        <f ca="1"/>
        <v>0.27982392883972085</v>
      </c>
      <c r="W248" s="138">
        <f ca="1"/>
        <v>0</v>
      </c>
      <c r="X248" s="163">
        <f ca="1"/>
        <v>0</v>
      </c>
      <c r="Y248" s="163">
        <f ca="1"/>
        <v>4.5695149581849837E-2</v>
      </c>
      <c r="Z248" s="163">
        <f ca="1"/>
        <v>0</v>
      </c>
      <c r="AA248" s="163">
        <f ca="1"/>
        <v>0.12319566733030185</v>
      </c>
      <c r="AB248" s="163">
        <f ca="1"/>
        <v>0</v>
      </c>
      <c r="AC248" s="163">
        <f ca="1"/>
        <v>0.17564287205090479</v>
      </c>
      <c r="AD248" s="163">
        <f ca="1"/>
        <v>0.22578702205393031</v>
      </c>
      <c r="AE248" s="139">
        <f ca="1"/>
        <v>0.29135280281966569</v>
      </c>
      <c r="AI248" s="136"/>
      <c r="AK248" s="136"/>
      <c r="AM248" s="136"/>
      <c r="AN248" s="136"/>
      <c r="AO248" s="136"/>
      <c r="AR248" s="136"/>
      <c r="AT248" s="136"/>
      <c r="AV248" s="136"/>
      <c r="AW248" s="136"/>
      <c r="AX248" s="136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7" t="s">
        <v>87</v>
      </c>
      <c r="F249" s="156" t="s">
        <v>87</v>
      </c>
      <c r="G249" s="156">
        <v>1.5659999999999999E-3</v>
      </c>
      <c r="H249" s="156" t="s">
        <v>87</v>
      </c>
      <c r="I249" s="156">
        <v>2.3509999999999998E-3</v>
      </c>
      <c r="J249" s="156" t="s">
        <v>87</v>
      </c>
      <c r="K249" s="156">
        <v>2.7499999999999998E-3</v>
      </c>
      <c r="L249" s="156">
        <v>3.5490000000000001E-3</v>
      </c>
      <c r="M249" s="156">
        <v>4.2579999999999996E-3</v>
      </c>
      <c r="N249" s="138" cm="1">
        <f t="array" aca="1" ref="N249:AE249" ca="1">IF(OR(B249="",NOT($J$2)),"",GetStripDefaultProbability(A249,B249,Parameter_Date,CDSRollDate,E249:M249,SpreadCurveMaturities,D249,C249,$J$4,$J$6))</f>
        <v>0</v>
      </c>
      <c r="O249" s="163">
        <f ca="1"/>
        <v>0</v>
      </c>
      <c r="P249" s="163">
        <f ca="1"/>
        <v>2.86828507121073E-3</v>
      </c>
      <c r="Q249" s="163">
        <f ca="1"/>
        <v>0</v>
      </c>
      <c r="R249" s="163">
        <f ca="1"/>
        <v>1.2237184324886741E-2</v>
      </c>
      <c r="S249" s="163">
        <f ca="1"/>
        <v>0</v>
      </c>
      <c r="T249" s="163">
        <f ca="1"/>
        <v>2.3629232375500075E-2</v>
      </c>
      <c r="U249" s="163">
        <f ca="1"/>
        <v>4.3202720519661231E-2</v>
      </c>
      <c r="V249" s="139">
        <f ca="1"/>
        <v>7.4199883893054985E-2</v>
      </c>
      <c r="W249" s="138">
        <f ca="1"/>
        <v>0</v>
      </c>
      <c r="X249" s="163">
        <f ca="1"/>
        <v>0</v>
      </c>
      <c r="Y249" s="163">
        <f ca="1"/>
        <v>3.0344598420644076E-3</v>
      </c>
      <c r="Z249" s="163">
        <f ca="1"/>
        <v>0</v>
      </c>
      <c r="AA249" s="163">
        <f ca="1"/>
        <v>1.2843093765517066E-2</v>
      </c>
      <c r="AB249" s="163">
        <f ca="1"/>
        <v>0</v>
      </c>
      <c r="AC249" s="163">
        <f ca="1"/>
        <v>2.4795039179216771E-2</v>
      </c>
      <c r="AD249" s="163">
        <f ca="1"/>
        <v>4.5319725622738671E-2</v>
      </c>
      <c r="AE249" s="139">
        <f ca="1"/>
        <v>7.7781506117658439E-2</v>
      </c>
      <c r="AI249" s="136"/>
      <c r="AK249" s="136"/>
      <c r="AM249" s="136"/>
      <c r="AN249" s="136"/>
      <c r="AO249" s="136"/>
      <c r="AR249" s="136"/>
      <c r="AT249" s="136"/>
      <c r="AV249" s="136"/>
      <c r="AW249" s="136"/>
      <c r="AX249" s="136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7" t="s">
        <v>87</v>
      </c>
      <c r="F250" s="156" t="s">
        <v>87</v>
      </c>
      <c r="G250" s="156">
        <v>6.9800000000000005E-4</v>
      </c>
      <c r="H250" s="156" t="s">
        <v>87</v>
      </c>
      <c r="I250" s="156">
        <v>1.629E-3</v>
      </c>
      <c r="J250" s="156" t="s">
        <v>87</v>
      </c>
      <c r="K250" s="156">
        <v>2.6540000000000001E-3</v>
      </c>
      <c r="L250" s="156">
        <v>3.637E-3</v>
      </c>
      <c r="M250" s="156">
        <v>4.8650000000000004E-3</v>
      </c>
      <c r="N250" s="138" cm="1">
        <f t="array" aca="1" ref="N250:AE250" ca="1">IF(OR(B250="",NOT($J$2)),"",GetStripDefaultProbability(A250,B250,Parameter_Date,CDSRollDate,E250:M250,SpreadCurveMaturities,D250,C250,$J$4,$J$6))</f>
        <v>0</v>
      </c>
      <c r="O250" s="163">
        <f ca="1"/>
        <v>0</v>
      </c>
      <c r="P250" s="163">
        <f ca="1"/>
        <v>1.2794662040581661E-3</v>
      </c>
      <c r="Q250" s="163">
        <f ca="1"/>
        <v>0</v>
      </c>
      <c r="R250" s="163">
        <f ca="1"/>
        <v>8.5457797656942613E-3</v>
      </c>
      <c r="S250" s="163">
        <f ca="1"/>
        <v>0</v>
      </c>
      <c r="T250" s="163">
        <f ca="1"/>
        <v>2.329136932212561E-2</v>
      </c>
      <c r="U250" s="163">
        <f ca="1"/>
        <v>4.5017654916891137E-2</v>
      </c>
      <c r="V250" s="139">
        <f ca="1"/>
        <v>8.6621545623511098E-2</v>
      </c>
      <c r="W250" s="138">
        <f ca="1"/>
        <v>0</v>
      </c>
      <c r="X250" s="163">
        <f ca="1"/>
        <v>0</v>
      </c>
      <c r="Y250" s="163">
        <f ca="1"/>
        <v>1.4459057559921273E-3</v>
      </c>
      <c r="Z250" s="163">
        <f ca="1"/>
        <v>0</v>
      </c>
      <c r="AA250" s="163">
        <f ca="1"/>
        <v>9.0615023291852337E-3</v>
      </c>
      <c r="AB250" s="163">
        <f ca="1"/>
        <v>0</v>
      </c>
      <c r="AC250" s="163">
        <f ca="1"/>
        <v>2.4425435054513223E-2</v>
      </c>
      <c r="AD250" s="163">
        <f ca="1"/>
        <v>4.7209152215335726E-2</v>
      </c>
      <c r="AE250" s="139">
        <f ca="1"/>
        <v>9.080096271188165E-2</v>
      </c>
      <c r="AI250" s="136"/>
      <c r="AK250" s="136"/>
      <c r="AM250" s="136"/>
      <c r="AN250" s="136"/>
      <c r="AO250" s="136"/>
      <c r="AR250" s="136"/>
      <c r="AT250" s="136"/>
      <c r="AV250" s="136"/>
      <c r="AW250" s="136"/>
      <c r="AX250" s="136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7" t="s">
        <v>87</v>
      </c>
      <c r="F251" s="156" t="s">
        <v>87</v>
      </c>
      <c r="G251" s="156">
        <v>1.928E-3</v>
      </c>
      <c r="H251" s="156" t="s">
        <v>87</v>
      </c>
      <c r="I251" s="156">
        <v>4.6899999999999997E-3</v>
      </c>
      <c r="J251" s="156" t="s">
        <v>87</v>
      </c>
      <c r="K251" s="156">
        <v>6.7070000000000003E-3</v>
      </c>
      <c r="L251" s="156">
        <v>8.3960000000000007E-3</v>
      </c>
      <c r="M251" s="156">
        <v>9.9319999999999999E-3</v>
      </c>
      <c r="N251" s="138" cm="1">
        <f t="array" aca="1" ref="N251:AE251" ca="1">IF(OR(B251="",NOT($J$2)),"",GetStripDefaultProbability(A251,B251,Parameter_Date,CDSRollDate,E251:M251,SpreadCurveMaturities,D251,C251,$J$4,$J$6))</f>
        <v>0</v>
      </c>
      <c r="O251" s="163">
        <f ca="1"/>
        <v>0</v>
      </c>
      <c r="P251" s="163">
        <f ca="1"/>
        <v>3.5301623762762357E-3</v>
      </c>
      <c r="Q251" s="163">
        <f ca="1"/>
        <v>0</v>
      </c>
      <c r="R251" s="163">
        <f ca="1"/>
        <v>2.4462954643963752E-2</v>
      </c>
      <c r="S251" s="163">
        <f ca="1"/>
        <v>0</v>
      </c>
      <c r="T251" s="163">
        <f ca="1"/>
        <v>5.7747956568054204E-2</v>
      </c>
      <c r="U251" s="163">
        <f ca="1"/>
        <v>0.10054168594300428</v>
      </c>
      <c r="V251" s="139">
        <f ca="1"/>
        <v>0.16675880268448662</v>
      </c>
      <c r="W251" s="138">
        <f ca="1"/>
        <v>0</v>
      </c>
      <c r="X251" s="163">
        <f ca="1"/>
        <v>0</v>
      </c>
      <c r="Y251" s="163">
        <f ca="1"/>
        <v>3.6962268434472811E-3</v>
      </c>
      <c r="Z251" s="163">
        <f ca="1"/>
        <v>0</v>
      </c>
      <c r="AA251" s="163">
        <f ca="1"/>
        <v>2.5670534207611229E-2</v>
      </c>
      <c r="AB251" s="163">
        <f ca="1"/>
        <v>0</v>
      </c>
      <c r="AC251" s="163">
        <f ca="1"/>
        <v>6.0558370050146748E-2</v>
      </c>
      <c r="AD251" s="163">
        <f ca="1"/>
        <v>0.10535046179329677</v>
      </c>
      <c r="AE251" s="139">
        <f ca="1"/>
        <v>0.17452829669792169</v>
      </c>
      <c r="AI251" s="136"/>
      <c r="AK251" s="136"/>
      <c r="AM251" s="136"/>
      <c r="AN251" s="136"/>
      <c r="AO251" s="136"/>
      <c r="AR251" s="136"/>
      <c r="AT251" s="136"/>
      <c r="AV251" s="136"/>
      <c r="AW251" s="136"/>
      <c r="AX251" s="136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7" t="s">
        <v>87</v>
      </c>
      <c r="F252" s="156" t="s">
        <v>87</v>
      </c>
      <c r="G252" s="156">
        <v>6.02E-4</v>
      </c>
      <c r="H252" s="156" t="s">
        <v>87</v>
      </c>
      <c r="I252" s="156">
        <v>2.8709999999999999E-3</v>
      </c>
      <c r="J252" s="156" t="s">
        <v>87</v>
      </c>
      <c r="K252" s="156">
        <v>3.8119999999999999E-3</v>
      </c>
      <c r="L252" s="156">
        <v>4.6119999999999998E-3</v>
      </c>
      <c r="M252" s="156">
        <v>5.6470000000000001E-3</v>
      </c>
      <c r="N252" s="138" cm="1">
        <f t="array" aca="1" ref="N252:AE252" ca="1">IF(OR(B252="",NOT($J$2)),"",GetStripDefaultProbability(A252,B252,Parameter_Date,CDSRollDate,E252:M252,SpreadCurveMaturities,D252,C252,$J$4,$J$6))</f>
        <v>0</v>
      </c>
      <c r="O252" s="163">
        <f ca="1"/>
        <v>0</v>
      </c>
      <c r="P252" s="163">
        <f ca="1"/>
        <v>1.1035901665897851E-3</v>
      </c>
      <c r="Q252" s="163">
        <f ca="1"/>
        <v>0</v>
      </c>
      <c r="R252" s="163">
        <f ca="1"/>
        <v>1.5112508164594973E-2</v>
      </c>
      <c r="S252" s="163">
        <f ca="1"/>
        <v>0</v>
      </c>
      <c r="T252" s="163">
        <f ca="1"/>
        <v>3.3080699262302504E-2</v>
      </c>
      <c r="U252" s="163">
        <f ca="1"/>
        <v>5.5921005050890815E-2</v>
      </c>
      <c r="V252" s="139">
        <f ca="1"/>
        <v>9.7857618325619899E-2</v>
      </c>
      <c r="W252" s="138">
        <f ca="1"/>
        <v>0</v>
      </c>
      <c r="X252" s="163">
        <f ca="1"/>
        <v>0</v>
      </c>
      <c r="Y252" s="163">
        <f ca="1"/>
        <v>1.2700590287801905E-3</v>
      </c>
      <c r="Z252" s="163">
        <f ca="1"/>
        <v>0</v>
      </c>
      <c r="AA252" s="163">
        <f ca="1"/>
        <v>1.5853514742978025E-2</v>
      </c>
      <c r="AB252" s="163">
        <f ca="1"/>
        <v>0</v>
      </c>
      <c r="AC252" s="163">
        <f ca="1"/>
        <v>3.4700987506809389E-2</v>
      </c>
      <c r="AD252" s="163">
        <f ca="1"/>
        <v>5.8640415070819629E-2</v>
      </c>
      <c r="AE252" s="139">
        <f ca="1"/>
        <v>0.10255176354597928</v>
      </c>
      <c r="AI252" s="136"/>
      <c r="AK252" s="136"/>
      <c r="AM252" s="136"/>
      <c r="AN252" s="136"/>
      <c r="AO252" s="136"/>
      <c r="AR252" s="136"/>
      <c r="AT252" s="136"/>
      <c r="AV252" s="136"/>
      <c r="AW252" s="136"/>
      <c r="AX252" s="136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7" t="s">
        <v>87</v>
      </c>
      <c r="F253" s="156" t="s">
        <v>87</v>
      </c>
      <c r="G253" s="156">
        <v>3.7399999999999998E-4</v>
      </c>
      <c r="H253" s="156" t="s">
        <v>87</v>
      </c>
      <c r="I253" s="156">
        <v>1.255E-3</v>
      </c>
      <c r="J253" s="156" t="s">
        <v>87</v>
      </c>
      <c r="K253" s="156">
        <v>1.9300000000000001E-3</v>
      </c>
      <c r="L253" s="156">
        <v>2.9919999999999999E-3</v>
      </c>
      <c r="M253" s="156">
        <v>3.4740000000000001E-3</v>
      </c>
      <c r="N253" s="138" cm="1">
        <f t="array" aca="1" ref="N253:AE253" ca="1">IF(OR(B253="",NOT($J$2)),"",GetStripDefaultProbability(A253,B253,Parameter_Date,CDSRollDate,E253:M253,SpreadCurveMaturities,D253,C253,$J$4,$J$6))</f>
        <v>0</v>
      </c>
      <c r="O253" s="163">
        <f ca="1"/>
        <v>0</v>
      </c>
      <c r="P253" s="163">
        <f ca="1"/>
        <v>6.8576140783715989E-4</v>
      </c>
      <c r="Q253" s="163">
        <f ca="1"/>
        <v>0</v>
      </c>
      <c r="R253" s="163">
        <f ca="1"/>
        <v>6.6108722432988154E-3</v>
      </c>
      <c r="S253" s="163">
        <f ca="1"/>
        <v>0</v>
      </c>
      <c r="T253" s="163">
        <f ca="1"/>
        <v>1.6954027954152018E-2</v>
      </c>
      <c r="U253" s="163">
        <f ca="1"/>
        <v>3.748165769537859E-2</v>
      </c>
      <c r="V253" s="139">
        <f ca="1"/>
        <v>6.1496297366609554E-2</v>
      </c>
      <c r="W253" s="138">
        <f ca="1"/>
        <v>0</v>
      </c>
      <c r="X253" s="163">
        <f ca="1"/>
        <v>0</v>
      </c>
      <c r="Y253" s="163">
        <f ca="1"/>
        <v>8.5229990233026687E-4</v>
      </c>
      <c r="Z253" s="163">
        <f ca="1"/>
        <v>0</v>
      </c>
      <c r="AA253" s="163">
        <f ca="1"/>
        <v>7.1277010295642818E-3</v>
      </c>
      <c r="AB253" s="163">
        <f ca="1"/>
        <v>0</v>
      </c>
      <c r="AC253" s="163">
        <f ca="1"/>
        <v>1.7796545223956239E-2</v>
      </c>
      <c r="AD253" s="163">
        <f ca="1"/>
        <v>3.9293207877142966E-2</v>
      </c>
      <c r="AE253" s="139">
        <f ca="1"/>
        <v>6.4455051518604423E-2</v>
      </c>
      <c r="AI253" s="136"/>
      <c r="AK253" s="136"/>
      <c r="AM253" s="136"/>
      <c r="AN253" s="136"/>
      <c r="AO253" s="136"/>
      <c r="AR253" s="136"/>
      <c r="AT253" s="136"/>
      <c r="AV253" s="136"/>
      <c r="AW253" s="136"/>
      <c r="AX253" s="136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7" t="s">
        <v>87</v>
      </c>
      <c r="F254" s="156" t="s">
        <v>87</v>
      </c>
      <c r="G254" s="156">
        <v>1.0859999999999999E-3</v>
      </c>
      <c r="H254" s="156" t="s">
        <v>87</v>
      </c>
      <c r="I254" s="156">
        <v>1.3029999999999999E-3</v>
      </c>
      <c r="J254" s="156" t="s">
        <v>87</v>
      </c>
      <c r="K254" s="156">
        <v>2.1710000000000002E-3</v>
      </c>
      <c r="L254" s="156">
        <v>2.895E-3</v>
      </c>
      <c r="M254" s="156">
        <v>3.3779999999999999E-3</v>
      </c>
      <c r="N254" s="138" cm="1">
        <f t="array" aca="1" ref="N254:AE254" ca="1">IF(OR(B254="",NOT($J$2)),"",GetStripDefaultProbability(A254,B254,Parameter_Date,CDSRollDate,E254:M254,SpreadCurveMaturities,D254,C254,$J$4,$J$6))</f>
        <v>0</v>
      </c>
      <c r="O254" s="163">
        <f ca="1"/>
        <v>0</v>
      </c>
      <c r="P254" s="163">
        <f ca="1"/>
        <v>1.9899856118108517E-3</v>
      </c>
      <c r="Q254" s="163">
        <f ca="1"/>
        <v>0</v>
      </c>
      <c r="R254" s="163">
        <f ca="1"/>
        <v>6.7689376991165728E-3</v>
      </c>
      <c r="S254" s="163">
        <f ca="1"/>
        <v>0</v>
      </c>
      <c r="T254" s="163">
        <f ca="1"/>
        <v>1.9026102822749857E-2</v>
      </c>
      <c r="U254" s="163">
        <f ca="1"/>
        <v>3.5803054618867347E-2</v>
      </c>
      <c r="V254" s="139">
        <f ca="1"/>
        <v>5.9400961122701879E-2</v>
      </c>
      <c r="W254" s="138">
        <f ca="1"/>
        <v>0</v>
      </c>
      <c r="X254" s="163">
        <f ca="1"/>
        <v>0</v>
      </c>
      <c r="Y254" s="163">
        <f ca="1"/>
        <v>2.1563067537487823E-3</v>
      </c>
      <c r="Z254" s="163">
        <f ca="1"/>
        <v>0</v>
      </c>
      <c r="AA254" s="163">
        <f ca="1"/>
        <v>7.2854442687697585E-3</v>
      </c>
      <c r="AB254" s="163">
        <f ca="1"/>
        <v>0</v>
      </c>
      <c r="AC254" s="163">
        <f ca="1"/>
        <v>1.9944437687045347E-2</v>
      </c>
      <c r="AD254" s="163">
        <f ca="1"/>
        <v>3.7542074778397772E-2</v>
      </c>
      <c r="AE254" s="139">
        <f ca="1"/>
        <v>6.2267676964455121E-2</v>
      </c>
      <c r="AI254" s="136"/>
      <c r="AK254" s="136"/>
      <c r="AM254" s="136"/>
      <c r="AN254" s="136"/>
      <c r="AO254" s="136"/>
      <c r="AR254" s="136"/>
      <c r="AT254" s="136"/>
      <c r="AV254" s="136"/>
      <c r="AW254" s="136"/>
      <c r="AX254" s="136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7" t="s">
        <v>87</v>
      </c>
      <c r="F255" s="156" t="s">
        <v>87</v>
      </c>
      <c r="G255" s="156">
        <v>6.9499999999999998E-4</v>
      </c>
      <c r="H255" s="156" t="s">
        <v>87</v>
      </c>
      <c r="I255" s="156">
        <v>1.544E-3</v>
      </c>
      <c r="J255" s="156" t="s">
        <v>87</v>
      </c>
      <c r="K255" s="156">
        <v>2.3159999999999999E-3</v>
      </c>
      <c r="L255" s="156">
        <v>3.1849999999999999E-3</v>
      </c>
      <c r="M255" s="156">
        <v>4.4869999999999997E-3</v>
      </c>
      <c r="N255" s="138" cm="1">
        <f t="array" aca="1" ref="N255:AE255" ca="1">IF(OR(B255="",NOT($J$2)),"",GetStripDefaultProbability(A255,B255,Parameter_Date,CDSRollDate,E255:M255,SpreadCurveMaturities,D255,C255,$J$4,$J$6))</f>
        <v>0</v>
      </c>
      <c r="O255" s="163">
        <f ca="1"/>
        <v>0</v>
      </c>
      <c r="P255" s="163">
        <f ca="1"/>
        <v>1.2739705429263282E-3</v>
      </c>
      <c r="Q255" s="163">
        <f ca="1"/>
        <v>0</v>
      </c>
      <c r="R255" s="163">
        <f ca="1"/>
        <v>8.096727479771082E-3</v>
      </c>
      <c r="S255" s="163">
        <f ca="1"/>
        <v>0</v>
      </c>
      <c r="T255" s="163">
        <f ca="1"/>
        <v>2.0264906930510418E-2</v>
      </c>
      <c r="U255" s="163">
        <f ca="1"/>
        <v>3.9426206150822707E-2</v>
      </c>
      <c r="V255" s="139">
        <f ca="1"/>
        <v>8.0543625010051301E-2</v>
      </c>
      <c r="W255" s="138">
        <f ca="1"/>
        <v>0</v>
      </c>
      <c r="X255" s="163">
        <f ca="1"/>
        <v>0</v>
      </c>
      <c r="Y255" s="163">
        <f ca="1"/>
        <v>1.4404110107324453E-3</v>
      </c>
      <c r="Z255" s="163">
        <f ca="1"/>
        <v>0</v>
      </c>
      <c r="AA255" s="163">
        <f ca="1"/>
        <v>8.6126882508035241E-3</v>
      </c>
      <c r="AB255" s="163">
        <f ca="1"/>
        <v>0</v>
      </c>
      <c r="AC255" s="163">
        <f ca="1"/>
        <v>2.1248186326292995E-2</v>
      </c>
      <c r="AD255" s="163">
        <f ca="1"/>
        <v>4.1344948412180504E-2</v>
      </c>
      <c r="AE255" s="139">
        <f ca="1"/>
        <v>8.4438253923956097E-2</v>
      </c>
      <c r="AI255" s="136"/>
      <c r="AK255" s="136"/>
      <c r="AM255" s="136"/>
      <c r="AN255" s="136"/>
      <c r="AO255" s="136"/>
      <c r="AR255" s="136"/>
      <c r="AT255" s="136"/>
      <c r="AV255" s="136"/>
      <c r="AW255" s="136"/>
      <c r="AX255" s="136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7" t="s">
        <v>87</v>
      </c>
      <c r="F256" s="156" t="s">
        <v>87</v>
      </c>
      <c r="G256" s="156">
        <v>2.0885000000000001E-2</v>
      </c>
      <c r="H256" s="156" t="s">
        <v>87</v>
      </c>
      <c r="I256" s="156">
        <v>1.9042E-2</v>
      </c>
      <c r="J256" s="156" t="s">
        <v>87</v>
      </c>
      <c r="K256" s="156">
        <v>1.5970999999999999E-2</v>
      </c>
      <c r="L256" s="156">
        <v>1.5356E-2</v>
      </c>
      <c r="M256" s="156">
        <v>1.4435E-2</v>
      </c>
      <c r="N256" s="138" cm="1">
        <f t="array" aca="1" ref="N256:AE256" ca="1">IF(OR(B256="",NOT($J$2)),"",GetStripDefaultProbability(A256,B256,Parameter_Date,CDSRollDate,E256:M256,SpreadCurveMaturities,D256,C256,$J$4,$J$6))</f>
        <v>0</v>
      </c>
      <c r="O256" s="163">
        <f ca="1"/>
        <v>0</v>
      </c>
      <c r="P256" s="163">
        <f ca="1"/>
        <v>3.759271230223904E-2</v>
      </c>
      <c r="Q256" s="163">
        <f ca="1"/>
        <v>0</v>
      </c>
      <c r="R256" s="163">
        <f ca="1"/>
        <v>9.3717456283961997E-2</v>
      </c>
      <c r="S256" s="163">
        <f ca="1"/>
        <v>0</v>
      </c>
      <c r="T256" s="163">
        <f ca="1"/>
        <v>0.12444332484376008</v>
      </c>
      <c r="U256" s="163">
        <f ca="1"/>
        <v>0.16274140371698242</v>
      </c>
      <c r="V256" s="139">
        <f ca="1"/>
        <v>0.20895410940944958</v>
      </c>
      <c r="W256" s="138">
        <f ca="1"/>
        <v>0</v>
      </c>
      <c r="X256" s="163">
        <f ca="1"/>
        <v>0</v>
      </c>
      <c r="Y256" s="163">
        <f ca="1"/>
        <v>3.9424083034603541E-2</v>
      </c>
      <c r="Z256" s="163">
        <f ca="1"/>
        <v>0</v>
      </c>
      <c r="AA256" s="163">
        <f ca="1"/>
        <v>9.8158064132238376E-2</v>
      </c>
      <c r="AB256" s="163">
        <f ca="1"/>
        <v>0</v>
      </c>
      <c r="AC256" s="163">
        <f ca="1"/>
        <v>0.13016362176949647</v>
      </c>
      <c r="AD256" s="163">
        <f ca="1"/>
        <v>0.17003840111843116</v>
      </c>
      <c r="AE256" s="139">
        <f ca="1"/>
        <v>0.21802423371189894</v>
      </c>
      <c r="AI256" s="136"/>
      <c r="AK256" s="136"/>
      <c r="AM256" s="136"/>
      <c r="AN256" s="136"/>
      <c r="AO256" s="136"/>
      <c r="AR256" s="136"/>
      <c r="AT256" s="136"/>
      <c r="AV256" s="136"/>
      <c r="AW256" s="136"/>
      <c r="AX256" s="136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7" t="s">
        <v>87</v>
      </c>
      <c r="F257" s="156" t="s">
        <v>87</v>
      </c>
      <c r="G257" s="156">
        <v>1.3420000000000001E-3</v>
      </c>
      <c r="H257" s="156" t="s">
        <v>87</v>
      </c>
      <c r="I257" s="156">
        <v>2.5339999999999998E-3</v>
      </c>
      <c r="J257" s="156" t="s">
        <v>87</v>
      </c>
      <c r="K257" s="156">
        <v>3.3289999999999999E-3</v>
      </c>
      <c r="L257" s="156">
        <v>3.4290000000000002E-3</v>
      </c>
      <c r="M257" s="156">
        <v>3.5279999999999999E-3</v>
      </c>
      <c r="N257" s="138" cm="1">
        <f t="array" aca="1" ref="N257:AE257" ca="1">IF(OR(B257="",NOT($J$2)),"",GetStripDefaultProbability(A257,B257,Parameter_Date,CDSRollDate,E257:M257,SpreadCurveMaturities,D257,C257,$J$4,$J$6))</f>
        <v>0</v>
      </c>
      <c r="O257" s="163">
        <f ca="1"/>
        <v>0</v>
      </c>
      <c r="P257" s="163">
        <f ca="1"/>
        <v>2.4585074005427643E-3</v>
      </c>
      <c r="Q257" s="163">
        <f ca="1"/>
        <v>0</v>
      </c>
      <c r="R257" s="163">
        <f ca="1"/>
        <v>1.3232857482067151E-2</v>
      </c>
      <c r="S257" s="163">
        <f ca="1"/>
        <v>0</v>
      </c>
      <c r="T257" s="163">
        <f ca="1"/>
        <v>2.8802949958440571E-2</v>
      </c>
      <c r="U257" s="163">
        <f ca="1"/>
        <v>4.0913195981880479E-2</v>
      </c>
      <c r="V257" s="139">
        <f ca="1"/>
        <v>5.9309172175031954E-2</v>
      </c>
      <c r="W257" s="138">
        <f ca="1"/>
        <v>0</v>
      </c>
      <c r="X257" s="163">
        <f ca="1"/>
        <v>0</v>
      </c>
      <c r="Y257" s="163">
        <f ca="1"/>
        <v>2.624750462013492E-3</v>
      </c>
      <c r="Z257" s="163">
        <f ca="1"/>
        <v>0</v>
      </c>
      <c r="AA257" s="163">
        <f ca="1"/>
        <v>1.3886361786473067E-2</v>
      </c>
      <c r="AB257" s="163">
        <f ca="1"/>
        <v>0</v>
      </c>
      <c r="AC257" s="163">
        <f ca="1"/>
        <v>3.0220062328381703E-2</v>
      </c>
      <c r="AD257" s="163">
        <f ca="1"/>
        <v>4.2915665379358647E-2</v>
      </c>
      <c r="AE257" s="139">
        <f ca="1"/>
        <v>6.2180747526970781E-2</v>
      </c>
      <c r="AI257" s="136"/>
      <c r="AK257" s="136"/>
      <c r="AM257" s="136"/>
      <c r="AN257" s="136"/>
      <c r="AO257" s="136"/>
      <c r="AR257" s="136"/>
      <c r="AT257" s="136"/>
      <c r="AV257" s="136"/>
      <c r="AW257" s="136"/>
      <c r="AX257" s="136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7" t="s">
        <v>87</v>
      </c>
      <c r="F258" s="156" t="s">
        <v>87</v>
      </c>
      <c r="G258" s="156">
        <v>2.846E-3</v>
      </c>
      <c r="H258" s="156" t="s">
        <v>87</v>
      </c>
      <c r="I258" s="156">
        <v>4.3860000000000001E-3</v>
      </c>
      <c r="J258" s="156" t="s">
        <v>87</v>
      </c>
      <c r="K258" s="156">
        <v>7.0930000000000003E-3</v>
      </c>
      <c r="L258" s="156">
        <v>8.5389999999999997E-3</v>
      </c>
      <c r="M258" s="156">
        <v>1.0266000000000001E-2</v>
      </c>
      <c r="N258" s="138" cm="1">
        <f t="array" aca="1" ref="N258:AE258" ca="1">IF(OR(B258="",NOT($J$2)),"",GetStripDefaultProbability(A258,B258,Parameter_Date,CDSRollDate,E258:M258,SpreadCurveMaturities,D258,C258,$J$4,$J$6))</f>
        <v>0</v>
      </c>
      <c r="O258" s="163">
        <f ca="1"/>
        <v>0</v>
      </c>
      <c r="P258" s="163">
        <f ca="1"/>
        <v>5.2066738163142334E-3</v>
      </c>
      <c r="Q258" s="163">
        <f ca="1"/>
        <v>0</v>
      </c>
      <c r="R258" s="163">
        <f ca="1"/>
        <v>2.2736065893303792E-2</v>
      </c>
      <c r="S258" s="163">
        <f ca="1"/>
        <v>0</v>
      </c>
      <c r="T258" s="163">
        <f ca="1"/>
        <v>6.1236690064328303E-2</v>
      </c>
      <c r="U258" s="163">
        <f ca="1"/>
        <v>0.10196465161447965</v>
      </c>
      <c r="V258" s="139">
        <f ca="1"/>
        <v>0.1722779500386542</v>
      </c>
      <c r="W258" s="138">
        <f ca="1"/>
        <v>0</v>
      </c>
      <c r="X258" s="163">
        <f ca="1"/>
        <v>0</v>
      </c>
      <c r="Y258" s="163">
        <f ca="1"/>
        <v>5.4661686651823471E-3</v>
      </c>
      <c r="Z258" s="163">
        <f ca="1"/>
        <v>0</v>
      </c>
      <c r="AA258" s="163">
        <f ca="1"/>
        <v>2.3858213671600459E-2</v>
      </c>
      <c r="AB258" s="163">
        <f ca="1"/>
        <v>0</v>
      </c>
      <c r="AC258" s="163">
        <f ca="1"/>
        <v>6.4210574091041361E-2</v>
      </c>
      <c r="AD258" s="163">
        <f ca="1"/>
        <v>0.10683744769340398</v>
      </c>
      <c r="AE258" s="139">
        <f ca="1"/>
        <v>0.18028731275530274</v>
      </c>
      <c r="AI258" s="136"/>
      <c r="AK258" s="136"/>
      <c r="AM258" s="136"/>
      <c r="AN258" s="136"/>
      <c r="AO258" s="136"/>
      <c r="AR258" s="136"/>
      <c r="AT258" s="136"/>
      <c r="AV258" s="136"/>
      <c r="AW258" s="136"/>
      <c r="AX258" s="136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7" t="s">
        <v>87</v>
      </c>
      <c r="F259" s="156" t="s">
        <v>87</v>
      </c>
      <c r="G259" s="156">
        <v>1.1789999999999999E-3</v>
      </c>
      <c r="H259" s="156" t="s">
        <v>87</v>
      </c>
      <c r="I259" s="156">
        <v>2.5530000000000001E-3</v>
      </c>
      <c r="J259" s="156" t="s">
        <v>87</v>
      </c>
      <c r="K259" s="156">
        <v>4.5840000000000004E-3</v>
      </c>
      <c r="L259" s="156">
        <v>5.6449999999999998E-3</v>
      </c>
      <c r="M259" s="156">
        <v>6.6100000000000004E-3</v>
      </c>
      <c r="N259" s="138" cm="1">
        <f t="array" aca="1" ref="N259:AE259" ca="1">IF(OR(B259="",NOT($J$2)),"",GetStripDefaultProbability(A259,B259,Parameter_Date,CDSRollDate,E259:M259,SpreadCurveMaturities,D259,C259,$J$4,$J$6))</f>
        <v>0</v>
      </c>
      <c r="O259" s="163">
        <f ca="1"/>
        <v>0</v>
      </c>
      <c r="P259" s="163">
        <f ca="1"/>
        <v>2.1602160236540158E-3</v>
      </c>
      <c r="Q259" s="163">
        <f ca="1"/>
        <v>0</v>
      </c>
      <c r="R259" s="163">
        <f ca="1"/>
        <v>1.3355877483130496E-2</v>
      </c>
      <c r="S259" s="163">
        <f ca="1"/>
        <v>0</v>
      </c>
      <c r="T259" s="163">
        <f ca="1"/>
        <v>4.0154224573572317E-2</v>
      </c>
      <c r="U259" s="163">
        <f ca="1"/>
        <v>6.8733323688320191E-2</v>
      </c>
      <c r="V259" s="139">
        <f ca="1"/>
        <v>0.11356250437424997</v>
      </c>
      <c r="W259" s="138">
        <f ca="1"/>
        <v>0</v>
      </c>
      <c r="X259" s="163">
        <f ca="1"/>
        <v>0</v>
      </c>
      <c r="Y259" s="163">
        <f ca="1"/>
        <v>2.3265087962001108E-3</v>
      </c>
      <c r="Z259" s="163">
        <f ca="1"/>
        <v>0</v>
      </c>
      <c r="AA259" s="163">
        <f ca="1"/>
        <v>1.4014347202441657E-2</v>
      </c>
      <c r="AB259" s="163">
        <f ca="1"/>
        <v>0</v>
      </c>
      <c r="AC259" s="163">
        <f ca="1"/>
        <v>4.2121368885591592E-2</v>
      </c>
      <c r="AD259" s="163">
        <f ca="1"/>
        <v>7.2067846527179791E-2</v>
      </c>
      <c r="AE259" s="139">
        <f ca="1"/>
        <v>0.11897701964938034</v>
      </c>
      <c r="AI259" s="136"/>
      <c r="AK259" s="136"/>
      <c r="AM259" s="136"/>
      <c r="AN259" s="136"/>
      <c r="AO259" s="136"/>
      <c r="AR259" s="136"/>
      <c r="AT259" s="136"/>
      <c r="AV259" s="136"/>
      <c r="AW259" s="136"/>
      <c r="AX259" s="136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7" t="s">
        <v>87</v>
      </c>
      <c r="F260" s="156" t="s">
        <v>87</v>
      </c>
      <c r="G260" s="156">
        <v>5.7700000000000004E-4</v>
      </c>
      <c r="H260" s="156" t="s">
        <v>87</v>
      </c>
      <c r="I260" s="156">
        <v>1.15E-3</v>
      </c>
      <c r="J260" s="156" t="s">
        <v>87</v>
      </c>
      <c r="K260" s="156">
        <v>1.9780000000000002E-3</v>
      </c>
      <c r="L260" s="156">
        <v>2.5760000000000002E-3</v>
      </c>
      <c r="M260" s="156">
        <v>3.3579999999999999E-3</v>
      </c>
      <c r="N260" s="138" cm="1">
        <f t="array" aca="1" ref="N260:AE260" ca="1">IF(OR(B260="",NOT($J$2)),"",GetStripDefaultProbability(A260,B260,Parameter_Date,CDSRollDate,E260:M260,SpreadCurveMaturities,D260,C260,$J$4,$J$6))</f>
        <v>0</v>
      </c>
      <c r="O260" s="163">
        <f ca="1"/>
        <v>0</v>
      </c>
      <c r="P260" s="163">
        <f ca="1"/>
        <v>1.0577840724030896E-3</v>
      </c>
      <c r="Q260" s="163">
        <f ca="1"/>
        <v>0</v>
      </c>
      <c r="R260" s="163">
        <f ca="1"/>
        <v>6.0275346387993478E-3</v>
      </c>
      <c r="S260" s="163">
        <f ca="1"/>
        <v>0</v>
      </c>
      <c r="T260" s="163">
        <f ca="1"/>
        <v>1.7422733534563029E-2</v>
      </c>
      <c r="U260" s="163">
        <f ca="1"/>
        <v>3.1911984475397004E-2</v>
      </c>
      <c r="V260" s="139">
        <f ca="1"/>
        <v>6.0029164080318442E-2</v>
      </c>
      <c r="W260" s="138">
        <f ca="1"/>
        <v>0</v>
      </c>
      <c r="X260" s="163">
        <f ca="1"/>
        <v>0</v>
      </c>
      <c r="Y260" s="163">
        <f ca="1"/>
        <v>1.2242605682887264E-3</v>
      </c>
      <c r="Z260" s="163">
        <f ca="1"/>
        <v>0</v>
      </c>
      <c r="AA260" s="163">
        <f ca="1"/>
        <v>6.5445868425736409E-3</v>
      </c>
      <c r="AB260" s="163">
        <f ca="1"/>
        <v>0</v>
      </c>
      <c r="AC260" s="163">
        <f ca="1"/>
        <v>1.8264869168691078E-2</v>
      </c>
      <c r="AD260" s="163">
        <f ca="1"/>
        <v>3.3453216843269518E-2</v>
      </c>
      <c r="AE260" s="139">
        <f ca="1"/>
        <v>6.2918478063090699E-2</v>
      </c>
      <c r="AI260" s="136"/>
      <c r="AK260" s="136"/>
      <c r="AM260" s="136"/>
      <c r="AN260" s="136"/>
      <c r="AO260" s="136"/>
      <c r="AR260" s="136"/>
      <c r="AT260" s="136"/>
      <c r="AV260" s="136"/>
      <c r="AW260" s="136"/>
      <c r="AX260" s="136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7" t="s">
        <v>87</v>
      </c>
      <c r="F261" s="156" t="s">
        <v>87</v>
      </c>
      <c r="G261" s="156">
        <v>2.5500000000000002E-3</v>
      </c>
      <c r="H261" s="156" t="s">
        <v>87</v>
      </c>
      <c r="I261" s="156">
        <v>3.8579999999999999E-3</v>
      </c>
      <c r="J261" s="156" t="s">
        <v>87</v>
      </c>
      <c r="K261" s="156">
        <v>4.9699999999999996E-3</v>
      </c>
      <c r="L261" s="156">
        <v>5.5579999999999996E-3</v>
      </c>
      <c r="M261" s="156">
        <v>6.3429999999999997E-3</v>
      </c>
      <c r="N261" s="138" cm="1">
        <f t="array" aca="1" ref="N261:AE261" ca="1">IF(OR(B261="",NOT($J$2)),"",GetStripDefaultProbability(A261,B261,Parameter_Date,CDSRollDate,E261:M261,SpreadCurveMaturities,D261,C261,$J$4,$J$6))</f>
        <v>0</v>
      </c>
      <c r="O261" s="163">
        <f ca="1"/>
        <v>0</v>
      </c>
      <c r="P261" s="163">
        <f ca="1"/>
        <v>4.6664047260184249E-3</v>
      </c>
      <c r="Q261" s="163">
        <f ca="1"/>
        <v>0</v>
      </c>
      <c r="R261" s="163">
        <f ca="1"/>
        <v>2.001588543029087E-2</v>
      </c>
      <c r="S261" s="163">
        <f ca="1"/>
        <v>0</v>
      </c>
      <c r="T261" s="163">
        <f ca="1"/>
        <v>4.2632995128752849E-2</v>
      </c>
      <c r="U261" s="163">
        <f ca="1"/>
        <v>6.6156932496817977E-2</v>
      </c>
      <c r="V261" s="139">
        <f ca="1"/>
        <v>0.10715863007256676</v>
      </c>
      <c r="W261" s="138">
        <f ca="1"/>
        <v>0</v>
      </c>
      <c r="X261" s="163">
        <f ca="1"/>
        <v>0</v>
      </c>
      <c r="Y261" s="163">
        <f ca="1"/>
        <v>4.8990525119164685E-3</v>
      </c>
      <c r="Z261" s="163">
        <f ca="1"/>
        <v>0</v>
      </c>
      <c r="AA261" s="163">
        <f ca="1"/>
        <v>2.1005344881899202E-2</v>
      </c>
      <c r="AB261" s="163">
        <f ca="1"/>
        <v>0</v>
      </c>
      <c r="AC261" s="163">
        <f ca="1"/>
        <v>4.4720303779760773E-2</v>
      </c>
      <c r="AD261" s="163">
        <f ca="1"/>
        <v>6.9362913219405797E-2</v>
      </c>
      <c r="AE261" s="139">
        <f ca="1"/>
        <v>0.112265306203302</v>
      </c>
      <c r="AI261" s="136"/>
      <c r="AK261" s="136"/>
      <c r="AM261" s="136"/>
      <c r="AN261" s="136"/>
      <c r="AO261" s="136"/>
      <c r="AR261" s="136"/>
      <c r="AT261" s="136"/>
      <c r="AV261" s="136"/>
      <c r="AW261" s="136"/>
      <c r="AX261" s="136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7" t="s">
        <v>87</v>
      </c>
      <c r="F262" s="156" t="s">
        <v>87</v>
      </c>
      <c r="G262" s="156">
        <v>2.5166999999999998E-2</v>
      </c>
      <c r="H262" s="156" t="s">
        <v>87</v>
      </c>
      <c r="I262" s="156">
        <v>2.5009E-2</v>
      </c>
      <c r="J262" s="156" t="s">
        <v>87</v>
      </c>
      <c r="K262" s="156">
        <v>2.265E-2</v>
      </c>
      <c r="L262" s="156">
        <v>2.1706E-2</v>
      </c>
      <c r="M262" s="156">
        <v>2.0763E-2</v>
      </c>
      <c r="N262" s="138" cm="1">
        <f t="array" aca="1" ref="N262:AE262" ca="1">IF(OR(B262="",NOT($J$2)),"",GetStripDefaultProbability(A262,B262,Parameter_Date,CDSRollDate,E262:M262,SpreadCurveMaturities,D262,C262,$J$4,$J$6))</f>
        <v>0</v>
      </c>
      <c r="O262" s="163">
        <f ca="1"/>
        <v>0</v>
      </c>
      <c r="P262" s="163">
        <f ca="1"/>
        <v>4.5127611681800794E-2</v>
      </c>
      <c r="Q262" s="163">
        <f ca="1"/>
        <v>0</v>
      </c>
      <c r="R262" s="163">
        <f ca="1"/>
        <v>0.12168352608159527</v>
      </c>
      <c r="S262" s="163">
        <f ca="1"/>
        <v>0</v>
      </c>
      <c r="T262" s="163">
        <f ca="1"/>
        <v>0.17357483053458789</v>
      </c>
      <c r="U262" s="163">
        <f ca="1"/>
        <v>0.22321053364910692</v>
      </c>
      <c r="V262" s="139">
        <f ca="1"/>
        <v>0.28821299766687558</v>
      </c>
      <c r="W262" s="138">
        <f ca="1"/>
        <v>0</v>
      </c>
      <c r="X262" s="163">
        <f ca="1"/>
        <v>0</v>
      </c>
      <c r="Y262" s="163">
        <f ca="1"/>
        <v>4.7312924246275423E-2</v>
      </c>
      <c r="Z262" s="163">
        <f ca="1"/>
        <v>0</v>
      </c>
      <c r="AA262" s="163">
        <f ca="1"/>
        <v>0.12736425645837046</v>
      </c>
      <c r="AB262" s="163">
        <f ca="1"/>
        <v>0</v>
      </c>
      <c r="AC262" s="163">
        <f ca="1"/>
        <v>0.18133753021605392</v>
      </c>
      <c r="AD262" s="163">
        <f ca="1"/>
        <v>0.23284996645394795</v>
      </c>
      <c r="AE262" s="139">
        <f ca="1"/>
        <v>0.30000522050247891</v>
      </c>
      <c r="AI262" s="136"/>
      <c r="AK262" s="136"/>
      <c r="AM262" s="136"/>
      <c r="AN262" s="136"/>
      <c r="AO262" s="136"/>
      <c r="AR262" s="136"/>
      <c r="AT262" s="136"/>
      <c r="AV262" s="136"/>
      <c r="AW262" s="136"/>
      <c r="AX262" s="136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7" t="s">
        <v>87</v>
      </c>
      <c r="F263" s="156" t="s">
        <v>87</v>
      </c>
      <c r="G263" s="156">
        <v>4.4299999999999999E-3</v>
      </c>
      <c r="H263" s="156" t="s">
        <v>87</v>
      </c>
      <c r="I263" s="156">
        <v>7.8539999999999999E-3</v>
      </c>
      <c r="J263" s="156" t="s">
        <v>87</v>
      </c>
      <c r="K263" s="156">
        <v>1.235E-2</v>
      </c>
      <c r="L263" s="156">
        <v>1.4572E-2</v>
      </c>
      <c r="M263" s="156">
        <v>1.7569000000000001E-2</v>
      </c>
      <c r="N263" s="138" cm="1">
        <f t="array" aca="1" ref="N263:AE263" ca="1">IF(OR(B263="",NOT($J$2)),"",GetStripDefaultProbability(A263,B263,Parameter_Date,CDSRollDate,E263:M263,SpreadCurveMaturities,D263,C263,$J$4,$J$6))</f>
        <v>0</v>
      </c>
      <c r="O263" s="163">
        <f ca="1"/>
        <v>0</v>
      </c>
      <c r="P263" s="163">
        <f ca="1"/>
        <v>8.0929149827818625E-3</v>
      </c>
      <c r="Q263" s="163">
        <f ca="1"/>
        <v>0</v>
      </c>
      <c r="R263" s="163">
        <f ca="1"/>
        <v>4.0508403874758847E-2</v>
      </c>
      <c r="S263" s="163">
        <f ca="1"/>
        <v>0</v>
      </c>
      <c r="T263" s="163">
        <f ca="1"/>
        <v>0.10478071294737179</v>
      </c>
      <c r="U263" s="163">
        <f ca="1"/>
        <v>0.1687635665593511</v>
      </c>
      <c r="V263" s="139">
        <f ca="1"/>
        <v>0.28071233602239865</v>
      </c>
      <c r="W263" s="138">
        <f ca="1"/>
        <v>0</v>
      </c>
      <c r="X263" s="163">
        <f ca="1"/>
        <v>0</v>
      </c>
      <c r="Y263" s="163">
        <f ca="1"/>
        <v>8.4955140547260388E-3</v>
      </c>
      <c r="Z263" s="163">
        <f ca="1"/>
        <v>0</v>
      </c>
      <c r="AA263" s="163">
        <f ca="1"/>
        <v>4.2486619531937553E-2</v>
      </c>
      <c r="AB263" s="163">
        <f ca="1"/>
        <v>0</v>
      </c>
      <c r="AC263" s="163">
        <f ca="1"/>
        <v>0.10980677896010949</v>
      </c>
      <c r="AD263" s="163">
        <f ca="1"/>
        <v>0.17661291059002304</v>
      </c>
      <c r="AE263" s="139">
        <f ca="1"/>
        <v>0.29306113756682628</v>
      </c>
      <c r="AI263" s="136"/>
      <c r="AK263" s="136"/>
      <c r="AM263" s="136"/>
      <c r="AN263" s="136"/>
      <c r="AO263" s="136"/>
      <c r="AR263" s="136"/>
      <c r="AT263" s="136"/>
      <c r="AV263" s="136"/>
      <c r="AW263" s="136"/>
      <c r="AX263" s="136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7" t="s">
        <v>87</v>
      </c>
      <c r="F264" s="156">
        <v>2.2000000000000001E-3</v>
      </c>
      <c r="G264" s="156">
        <v>2.8999999999999998E-3</v>
      </c>
      <c r="H264" s="156">
        <v>4.7999999999999996E-3</v>
      </c>
      <c r="I264" s="156">
        <v>6.8999999999999999E-3</v>
      </c>
      <c r="J264" s="156">
        <v>9.7000000000000003E-3</v>
      </c>
      <c r="K264" s="156">
        <v>1.2E-2</v>
      </c>
      <c r="L264" s="156">
        <v>1.5100000000000001E-2</v>
      </c>
      <c r="M264" s="156">
        <v>1.7399999999999999E-2</v>
      </c>
      <c r="N264" s="138" cm="1">
        <f t="array" aca="1" ref="N264:AE264" ca="1">IF(OR(B264="",NOT($J$2)),"",GetStripDefaultProbability(A264,B264,Parameter_Date,CDSRollDate,E264:M264,SpreadCurveMaturities,D264,C264,$J$4,$J$6))</f>
        <v>0</v>
      </c>
      <c r="O264" s="163">
        <f ca="1"/>
        <v>2.1925432923902699E-3</v>
      </c>
      <c r="P264" s="163">
        <f ca="1"/>
        <v>5.3242419821678544E-3</v>
      </c>
      <c r="Q264" s="163">
        <f ca="1"/>
        <v>1.6930513176607764E-2</v>
      </c>
      <c r="R264" s="163">
        <f ca="1"/>
        <v>3.6042201544714159E-2</v>
      </c>
      <c r="S264" s="163">
        <f ca="1"/>
        <v>6.7210682824462298E-2</v>
      </c>
      <c r="T264" s="163">
        <f ca="1"/>
        <v>0.10292986273106997</v>
      </c>
      <c r="U264" s="163">
        <f ca="1"/>
        <v>0.17649297858364843</v>
      </c>
      <c r="V264" s="139">
        <f ca="1"/>
        <v>0.27664751669518672</v>
      </c>
      <c r="W264" s="138">
        <f ca="1"/>
        <v>0</v>
      </c>
      <c r="X264" s="163">
        <f ca="1"/>
        <v>2.3020326601406182E-3</v>
      </c>
      <c r="Y264" s="163">
        <f ca="1"/>
        <v>5.5897881964281915E-3</v>
      </c>
      <c r="Z264" s="163">
        <f ca="1"/>
        <v>1.7770663110901253E-2</v>
      </c>
      <c r="AA264" s="163">
        <f ca="1"/>
        <v>3.78181820322252E-2</v>
      </c>
      <c r="AB264" s="163">
        <f ca="1"/>
        <v>7.0487692129552526E-2</v>
      </c>
      <c r="AC264" s="163">
        <f ca="1"/>
        <v>0.10788355287158613</v>
      </c>
      <c r="AD264" s="163">
        <f ca="1"/>
        <v>0.18472605512371854</v>
      </c>
      <c r="AE264" s="139">
        <f ca="1"/>
        <v>0.28883284777729745</v>
      </c>
      <c r="AH264" s="136"/>
      <c r="AI264" s="136"/>
      <c r="AJ264" s="136"/>
      <c r="AK264" s="136"/>
      <c r="AL264" s="136"/>
      <c r="AM264" s="136"/>
      <c r="AN264" s="136"/>
      <c r="AO264" s="136"/>
      <c r="AQ264" s="136"/>
      <c r="AR264" s="136"/>
      <c r="AS264" s="136"/>
      <c r="AT264" s="136"/>
      <c r="AU264" s="136"/>
      <c r="AV264" s="136"/>
      <c r="AW264" s="136"/>
      <c r="AX264" s="136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7" t="s">
        <v>87</v>
      </c>
      <c r="F265" s="156">
        <v>5.4000000000000003E-3</v>
      </c>
      <c r="G265" s="156">
        <v>5.4000000000000003E-3</v>
      </c>
      <c r="H265" s="156">
        <v>8.0999999999999996E-3</v>
      </c>
      <c r="I265" s="156">
        <v>9.7999999999999997E-3</v>
      </c>
      <c r="J265" s="156" t="s">
        <v>87</v>
      </c>
      <c r="K265" s="156">
        <v>1.2500000000000001E-2</v>
      </c>
      <c r="L265" s="156">
        <v>1.4800000000000001E-2</v>
      </c>
      <c r="M265" s="156">
        <v>1.6E-2</v>
      </c>
      <c r="N265" s="138" cm="1">
        <f t="array" aca="1" ref="N265:AE265" ca="1">IF(OR(B265="",NOT($J$2)),"",GetStripDefaultProbability(A265,B265,Parameter_Date,CDSRollDate,E265:M265,SpreadCurveMaturities,D265,C265,$J$4,$J$6))</f>
        <v>0</v>
      </c>
      <c r="O265" s="163">
        <f ca="1"/>
        <v>5.3731548916917671E-3</v>
      </c>
      <c r="P265" s="163">
        <f ca="1"/>
        <v>9.8557139044145314E-3</v>
      </c>
      <c r="Q265" s="163">
        <f ca="1"/>
        <v>2.8349655504068871E-2</v>
      </c>
      <c r="R265" s="163">
        <f ca="1"/>
        <v>5.0461340050236392E-2</v>
      </c>
      <c r="S265" s="163">
        <f ca="1"/>
        <v>0</v>
      </c>
      <c r="T265" s="163">
        <f ca="1"/>
        <v>0.10454334317665714</v>
      </c>
      <c r="U265" s="163">
        <f ca="1"/>
        <v>0.1694648594341247</v>
      </c>
      <c r="V265" s="139">
        <f ca="1"/>
        <v>0.24997924818890349</v>
      </c>
      <c r="W265" s="138">
        <f ca="1"/>
        <v>0</v>
      </c>
      <c r="X265" s="163">
        <f ca="1"/>
        <v>5.6409746020392726E-3</v>
      </c>
      <c r="Y265" s="163">
        <f ca="1"/>
        <v>1.0345896621723583E-2</v>
      </c>
      <c r="Z265" s="163">
        <f ca="1"/>
        <v>2.9748011114554274E-2</v>
      </c>
      <c r="AA265" s="163">
        <f ca="1"/>
        <v>5.2927148796640289E-2</v>
      </c>
      <c r="AB265" s="163">
        <f ca="1"/>
        <v>0</v>
      </c>
      <c r="AC265" s="163">
        <f ca="1"/>
        <v>0.10953376608891918</v>
      </c>
      <c r="AD265" s="163">
        <f ca="1"/>
        <v>0.17731548724427926</v>
      </c>
      <c r="AE265" s="139">
        <f ca="1"/>
        <v>0.26099207869758811</v>
      </c>
      <c r="AH265" s="136"/>
      <c r="AI265" s="136"/>
      <c r="AJ265" s="136"/>
      <c r="AK265" s="136"/>
      <c r="AM265" s="136"/>
      <c r="AN265" s="136"/>
      <c r="AO265" s="136"/>
      <c r="AQ265" s="136"/>
      <c r="AR265" s="136"/>
      <c r="AS265" s="136"/>
      <c r="AT265" s="136"/>
      <c r="AV265" s="136"/>
      <c r="AW265" s="136"/>
      <c r="AX265" s="136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7" t="s">
        <v>87</v>
      </c>
      <c r="F266" s="156" t="s">
        <v>87</v>
      </c>
      <c r="G266" s="156">
        <v>3.7569999999999999E-3</v>
      </c>
      <c r="H266" s="156" t="s">
        <v>87</v>
      </c>
      <c r="I266" s="156">
        <v>8.1030000000000008E-3</v>
      </c>
      <c r="J266" s="156" t="s">
        <v>87</v>
      </c>
      <c r="K266" s="156">
        <v>1.2500000000000001E-2</v>
      </c>
      <c r="L266" s="156">
        <v>1.413E-2</v>
      </c>
      <c r="M266" s="156">
        <v>1.6403000000000001E-2</v>
      </c>
      <c r="N266" s="138" cm="1">
        <f t="array" aca="1" ref="N266:AE266" ca="1">IF(OR(B266="",NOT($J$2)),"",GetStripDefaultProbability(A266,B266,Parameter_Date,CDSRollDate,E266:M266,SpreadCurveMaturities,D266,C266,$J$4,$J$6))</f>
        <v>0</v>
      </c>
      <c r="O266" s="163">
        <f ca="1"/>
        <v>0</v>
      </c>
      <c r="P266" s="163">
        <f ca="1"/>
        <v>6.8676405067066293E-3</v>
      </c>
      <c r="Q266" s="163">
        <f ca="1"/>
        <v>0</v>
      </c>
      <c r="R266" s="163">
        <f ca="1"/>
        <v>4.1904857067282641E-2</v>
      </c>
      <c r="S266" s="163">
        <f ca="1"/>
        <v>0</v>
      </c>
      <c r="T266" s="163">
        <f ca="1"/>
        <v>0.10602276472657524</v>
      </c>
      <c r="U266" s="163">
        <f ca="1"/>
        <v>0.16302476501148111</v>
      </c>
      <c r="V266" s="139">
        <f ca="1"/>
        <v>0.26103333774820692</v>
      </c>
      <c r="W266" s="138">
        <f ca="1"/>
        <v>0</v>
      </c>
      <c r="X266" s="163">
        <f ca="1"/>
        <v>0</v>
      </c>
      <c r="Y266" s="163">
        <f ca="1"/>
        <v>7.2095546696716584E-3</v>
      </c>
      <c r="Z266" s="163">
        <f ca="1"/>
        <v>0</v>
      </c>
      <c r="AA266" s="163">
        <f ca="1"/>
        <v>4.3950127307398335E-2</v>
      </c>
      <c r="AB266" s="163">
        <f ca="1"/>
        <v>0</v>
      </c>
      <c r="AC266" s="163">
        <f ca="1"/>
        <v>0.11110641211513617</v>
      </c>
      <c r="AD266" s="163">
        <f ca="1"/>
        <v>0.17060967710889208</v>
      </c>
      <c r="AE266" s="139">
        <f ca="1"/>
        <v>0.27257004142720065</v>
      </c>
      <c r="AI266" s="136"/>
      <c r="AK266" s="136"/>
      <c r="AM266" s="136"/>
      <c r="AN266" s="136"/>
      <c r="AO266" s="136"/>
      <c r="AR266" s="136"/>
      <c r="AT266" s="136"/>
      <c r="AV266" s="136"/>
      <c r="AW266" s="136"/>
      <c r="AX266" s="136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7" t="s">
        <v>87</v>
      </c>
      <c r="F267" s="156" t="s">
        <v>87</v>
      </c>
      <c r="G267" s="156">
        <v>2.745E-3</v>
      </c>
      <c r="H267" s="156" t="s">
        <v>87</v>
      </c>
      <c r="I267" s="156">
        <v>5.0330000000000001E-3</v>
      </c>
      <c r="J267" s="156" t="s">
        <v>87</v>
      </c>
      <c r="K267" s="156">
        <v>7.5500000000000003E-3</v>
      </c>
      <c r="L267" s="156">
        <v>8.7220000000000006E-3</v>
      </c>
      <c r="M267" s="156">
        <v>9.8480000000000009E-3</v>
      </c>
      <c r="N267" s="138" cm="1">
        <f t="array" aca="1" ref="N267:AE267" ca="1">IF(OR(B267="",NOT($J$2)),"",GetStripDefaultProbability(A267,B267,Parameter_Date,CDSRollDate,E267:M267,SpreadCurveMaturities,D267,C267,$J$4,$J$6))</f>
        <v>0</v>
      </c>
      <c r="O267" s="163">
        <f ca="1"/>
        <v>0</v>
      </c>
      <c r="P267" s="163">
        <f ca="1"/>
        <v>5.0223578873755947E-3</v>
      </c>
      <c r="Q267" s="163">
        <f ca="1"/>
        <v>0</v>
      </c>
      <c r="R267" s="163">
        <f ca="1"/>
        <v>2.6131208769548331E-2</v>
      </c>
      <c r="S267" s="163">
        <f ca="1"/>
        <v>0</v>
      </c>
      <c r="T267" s="163">
        <f ca="1"/>
        <v>6.4898076330547227E-2</v>
      </c>
      <c r="U267" s="163">
        <f ca="1"/>
        <v>0.10335937362875713</v>
      </c>
      <c r="V267" s="139">
        <f ca="1"/>
        <v>0.16307667085595245</v>
      </c>
      <c r="W267" s="138">
        <f ca="1"/>
        <v>0</v>
      </c>
      <c r="X267" s="163">
        <f ca="1"/>
        <v>0</v>
      </c>
      <c r="Y267" s="163">
        <f ca="1"/>
        <v>5.2726958016582337E-3</v>
      </c>
      <c r="Z267" s="163">
        <f ca="1"/>
        <v>0</v>
      </c>
      <c r="AA267" s="163">
        <f ca="1"/>
        <v>2.7418623848274426E-2</v>
      </c>
      <c r="AB267" s="163">
        <f ca="1"/>
        <v>0</v>
      </c>
      <c r="AC267" s="163">
        <f ca="1"/>
        <v>6.8043564042424509E-2</v>
      </c>
      <c r="AD267" s="163">
        <f ca="1"/>
        <v>0.10828912970937521</v>
      </c>
      <c r="AE267" s="139">
        <f ca="1"/>
        <v>0.17065172511078008</v>
      </c>
      <c r="AI267" s="136"/>
      <c r="AK267" s="136"/>
      <c r="AM267" s="136"/>
      <c r="AN267" s="136"/>
      <c r="AO267" s="136"/>
      <c r="AR267" s="136"/>
      <c r="AT267" s="136"/>
      <c r="AV267" s="136"/>
      <c r="AW267" s="136"/>
      <c r="AX267" s="136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7" t="s">
        <v>87</v>
      </c>
      <c r="F268" s="156" t="s">
        <v>87</v>
      </c>
      <c r="G268" s="156">
        <v>1.2830000000000001E-3</v>
      </c>
      <c r="H268" s="156" t="s">
        <v>87</v>
      </c>
      <c r="I268" s="156">
        <v>4.1999999999999997E-3</v>
      </c>
      <c r="J268" s="156" t="s">
        <v>87</v>
      </c>
      <c r="K268" s="156">
        <v>5.8999999999999999E-3</v>
      </c>
      <c r="L268" s="156">
        <v>7.7000000000000002E-3</v>
      </c>
      <c r="M268" s="156">
        <v>9.7000000000000003E-3</v>
      </c>
      <c r="N268" s="138" cm="1">
        <f t="array" aca="1" ref="N268:AE268" ca="1">IF(OR(B268="",NOT($J$2)),"",GetStripDefaultProbability(A268,B268,Parameter_Date,CDSRollDate,E268:M268,SpreadCurveMaturities,D268,C268,$J$4,$J$6))</f>
        <v>0</v>
      </c>
      <c r="O268" s="163">
        <f ca="1"/>
        <v>0</v>
      </c>
      <c r="P268" s="163">
        <f ca="1"/>
        <v>2.350547113139978E-3</v>
      </c>
      <c r="Q268" s="163">
        <f ca="1"/>
        <v>0</v>
      </c>
      <c r="R268" s="163">
        <f ca="1"/>
        <v>2.1994572331273332E-2</v>
      </c>
      <c r="S268" s="163">
        <f ca="1"/>
        <v>0</v>
      </c>
      <c r="T268" s="163">
        <f ca="1"/>
        <v>5.0949101839765421E-2</v>
      </c>
      <c r="U268" s="163">
        <f ca="1"/>
        <v>9.2935257492796186E-2</v>
      </c>
      <c r="V268" s="139">
        <f ca="1"/>
        <v>0.16538450931787907</v>
      </c>
      <c r="W268" s="138">
        <f ca="1"/>
        <v>0</v>
      </c>
      <c r="X268" s="163">
        <f ca="1"/>
        <v>0</v>
      </c>
      <c r="Y268" s="163">
        <f ca="1"/>
        <v>2.5168081664719288E-3</v>
      </c>
      <c r="Z268" s="163">
        <f ca="1"/>
        <v>0</v>
      </c>
      <c r="AA268" s="163">
        <f ca="1"/>
        <v>2.3077337751376437E-2</v>
      </c>
      <c r="AB268" s="163">
        <f ca="1"/>
        <v>0</v>
      </c>
      <c r="AC268" s="163">
        <f ca="1"/>
        <v>5.3432651261469677E-2</v>
      </c>
      <c r="AD268" s="163">
        <f ca="1"/>
        <v>9.7394030839145218E-2</v>
      </c>
      <c r="AE268" s="139">
        <f ca="1"/>
        <v>0.17312298985024599</v>
      </c>
      <c r="AI268" s="136"/>
      <c r="AK268" s="136"/>
      <c r="AM268" s="136"/>
      <c r="AN268" s="136"/>
      <c r="AO268" s="136"/>
      <c r="AR268" s="136"/>
      <c r="AT268" s="136"/>
      <c r="AV268" s="136"/>
      <c r="AW268" s="136"/>
      <c r="AX268" s="136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7" t="s">
        <v>87</v>
      </c>
      <c r="F269" s="156">
        <v>6.9999999999999999E-4</v>
      </c>
      <c r="G269" s="156">
        <v>1.4E-3</v>
      </c>
      <c r="H269" s="156">
        <v>2.5000000000000001E-3</v>
      </c>
      <c r="I269" s="156">
        <v>3.5999999999999999E-3</v>
      </c>
      <c r="J269" s="156" t="s">
        <v>87</v>
      </c>
      <c r="K269" s="156">
        <v>5.5999999999999999E-3</v>
      </c>
      <c r="L269" s="156">
        <v>7.0000000000000001E-3</v>
      </c>
      <c r="M269" s="156">
        <v>8.6E-3</v>
      </c>
      <c r="N269" s="138" cm="1">
        <f t="array" aca="1" ref="N269:AE269" ca="1">IF(OR(B269="",NOT($J$2)),"",GetStripDefaultProbability(A269,B269,Parameter_Date,CDSRollDate,E269:M269,SpreadCurveMaturities,D269,C269,$J$4,$J$6))</f>
        <v>0</v>
      </c>
      <c r="O269" s="163">
        <f ca="1"/>
        <v>6.98147686336692E-4</v>
      </c>
      <c r="P269" s="163">
        <f ca="1"/>
        <v>2.5828557111488015E-3</v>
      </c>
      <c r="Q269" s="163">
        <f ca="1"/>
        <v>8.8648331518841328E-3</v>
      </c>
      <c r="R269" s="163">
        <f ca="1"/>
        <v>1.8941776763836682E-2</v>
      </c>
      <c r="S269" s="163">
        <f ca="1"/>
        <v>0</v>
      </c>
      <c r="T269" s="163">
        <f ca="1"/>
        <v>4.8653083475991732E-2</v>
      </c>
      <c r="U269" s="163">
        <f ca="1"/>
        <v>8.4368754918549782E-2</v>
      </c>
      <c r="V269" s="139">
        <f ca="1"/>
        <v>0.14598513419569548</v>
      </c>
      <c r="W269" s="138">
        <f ca="1"/>
        <v>0</v>
      </c>
      <c r="X269" s="163">
        <f ca="1"/>
        <v>7.9784215457201491E-4</v>
      </c>
      <c r="Y269" s="163">
        <f ca="1"/>
        <v>2.7490780496143286E-3</v>
      </c>
      <c r="Z269" s="163">
        <f ca="1"/>
        <v>9.3032484729109743E-3</v>
      </c>
      <c r="AA269" s="163">
        <f ca="1"/>
        <v>1.9878584176902137E-2</v>
      </c>
      <c r="AB269" s="163">
        <f ca="1"/>
        <v>0</v>
      </c>
      <c r="AC269" s="163">
        <f ca="1"/>
        <v>5.1030326516313118E-2</v>
      </c>
      <c r="AD269" s="163">
        <f ca="1"/>
        <v>8.8435378026885614E-2</v>
      </c>
      <c r="AE269" s="139">
        <f ca="1"/>
        <v>0.15286030986107457</v>
      </c>
      <c r="AH269" s="136"/>
      <c r="AI269" s="136"/>
      <c r="AJ269" s="136"/>
      <c r="AK269" s="136"/>
      <c r="AM269" s="136"/>
      <c r="AN269" s="136"/>
      <c r="AO269" s="136"/>
      <c r="AQ269" s="136"/>
      <c r="AR269" s="136"/>
      <c r="AS269" s="136"/>
      <c r="AT269" s="136"/>
      <c r="AV269" s="136"/>
      <c r="AW269" s="136"/>
      <c r="AX269" s="136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7" t="s">
        <v>87</v>
      </c>
      <c r="F270" s="156" t="s">
        <v>87</v>
      </c>
      <c r="G270" s="156">
        <v>2.875E-3</v>
      </c>
      <c r="H270" s="156" t="s">
        <v>87</v>
      </c>
      <c r="I270" s="156">
        <v>1.1301E-2</v>
      </c>
      <c r="J270" s="156" t="s">
        <v>87</v>
      </c>
      <c r="K270" s="156">
        <v>1.15E-2</v>
      </c>
      <c r="L270" s="156">
        <v>1.0968E-2</v>
      </c>
      <c r="M270" s="156">
        <v>1.0647999999999999E-2</v>
      </c>
      <c r="N270" s="138" cm="1">
        <f t="array" aca="1" ref="N270:AE270" ca="1">IF(OR(B270="",NOT($J$2)),"",GetStripDefaultProbability(A270,B270,Parameter_Date,CDSRollDate,E270:M270,SpreadCurveMaturities,D270,C270,$J$4,$J$6))</f>
        <v>0</v>
      </c>
      <c r="O270" s="163">
        <f ca="1"/>
        <v>0</v>
      </c>
      <c r="P270" s="163">
        <f ca="1"/>
        <v>5.2595899645760946E-3</v>
      </c>
      <c r="Q270" s="163">
        <f ca="1"/>
        <v>0</v>
      </c>
      <c r="R270" s="163">
        <f ca="1"/>
        <v>5.8455904485611221E-2</v>
      </c>
      <c r="S270" s="163">
        <f ca="1"/>
        <v>0</v>
      </c>
      <c r="T270" s="163">
        <f ca="1"/>
        <v>9.5268078085066099E-2</v>
      </c>
      <c r="U270" s="163">
        <f ca="1"/>
        <v>0.12284645206388167</v>
      </c>
      <c r="V270" s="139">
        <f ca="1"/>
        <v>0.16413054517218983</v>
      </c>
      <c r="W270" s="138">
        <f ca="1"/>
        <v>0</v>
      </c>
      <c r="X270" s="163">
        <f ca="1"/>
        <v>0</v>
      </c>
      <c r="Y270" s="163">
        <f ca="1"/>
        <v>5.5217133200272661E-3</v>
      </c>
      <c r="Z270" s="163">
        <f ca="1"/>
        <v>0</v>
      </c>
      <c r="AA270" s="163">
        <f ca="1"/>
        <v>6.1312285074147987E-2</v>
      </c>
      <c r="AB270" s="163">
        <f ca="1"/>
        <v>0</v>
      </c>
      <c r="AC270" s="163">
        <f ca="1"/>
        <v>9.9795994879238514E-2</v>
      </c>
      <c r="AD270" s="163">
        <f ca="1"/>
        <v>0.12857552125522509</v>
      </c>
      <c r="AE270" s="139">
        <f ca="1"/>
        <v>0.17157861684743081</v>
      </c>
      <c r="AI270" s="136"/>
      <c r="AK270" s="136"/>
      <c r="AM270" s="136"/>
      <c r="AN270" s="136"/>
      <c r="AO270" s="136"/>
      <c r="AR270" s="136"/>
      <c r="AT270" s="136"/>
      <c r="AV270" s="136"/>
      <c r="AW270" s="136"/>
      <c r="AX270" s="136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7" t="s">
        <v>87</v>
      </c>
      <c r="F271" s="156" t="s">
        <v>87</v>
      </c>
      <c r="G271" s="156">
        <v>1.9629999999999999E-3</v>
      </c>
      <c r="H271" s="156" t="s">
        <v>87</v>
      </c>
      <c r="I271" s="156">
        <v>4.3169999999999997E-3</v>
      </c>
      <c r="J271" s="156" t="s">
        <v>87</v>
      </c>
      <c r="K271" s="156">
        <v>7.1500000000000001E-3</v>
      </c>
      <c r="L271" s="156">
        <v>8.0300000000000007E-3</v>
      </c>
      <c r="M271" s="156">
        <v>9.2399999999999999E-3</v>
      </c>
      <c r="N271" s="138" cm="1">
        <f t="array" aca="1" ref="N271:AE271" ca="1">IF(OR(B271="",NOT($J$2)),"",GetStripDefaultProbability(A271,B271,Parameter_Date,CDSRollDate,E271:M271,SpreadCurveMaturities,D271,C271,$J$4,$J$6))</f>
        <v>0</v>
      </c>
      <c r="O271" s="163">
        <f ca="1"/>
        <v>0</v>
      </c>
      <c r="P271" s="163">
        <f ca="1"/>
        <v>3.594132950272888E-3</v>
      </c>
      <c r="Q271" s="163">
        <f ca="1"/>
        <v>0</v>
      </c>
      <c r="R271" s="163">
        <f ca="1"/>
        <v>2.2506368853995484E-2</v>
      </c>
      <c r="S271" s="163">
        <f ca="1"/>
        <v>0</v>
      </c>
      <c r="T271" s="163">
        <f ca="1"/>
        <v>6.192866450420198E-2</v>
      </c>
      <c r="U271" s="163">
        <f ca="1"/>
        <v>9.5521377760337312E-2</v>
      </c>
      <c r="V271" s="139">
        <f ca="1"/>
        <v>0.15428320807349316</v>
      </c>
      <c r="W271" s="138">
        <f ca="1"/>
        <v>0</v>
      </c>
      <c r="X271" s="163">
        <f ca="1"/>
        <v>0</v>
      </c>
      <c r="Y271" s="163">
        <f ca="1"/>
        <v>3.7601867565861813E-3</v>
      </c>
      <c r="Z271" s="163">
        <f ca="1"/>
        <v>0</v>
      </c>
      <c r="AA271" s="163">
        <f ca="1"/>
        <v>2.3618846890345768E-2</v>
      </c>
      <c r="AB271" s="163">
        <f ca="1"/>
        <v>0</v>
      </c>
      <c r="AC271" s="163">
        <f ca="1"/>
        <v>6.4938337283060865E-2</v>
      </c>
      <c r="AD271" s="163">
        <f ca="1"/>
        <v>0.10009867250252458</v>
      </c>
      <c r="AE271" s="139">
        <f ca="1"/>
        <v>0.16149077331962025</v>
      </c>
      <c r="AI271" s="136"/>
      <c r="AK271" s="136"/>
      <c r="AM271" s="136"/>
      <c r="AN271" s="136"/>
      <c r="AO271" s="136"/>
      <c r="AR271" s="136"/>
      <c r="AT271" s="136"/>
      <c r="AV271" s="136"/>
      <c r="AW271" s="136"/>
      <c r="AX271" s="136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7" t="s">
        <v>87</v>
      </c>
      <c r="F272" s="156" t="s">
        <v>87</v>
      </c>
      <c r="G272" s="156">
        <v>2E-3</v>
      </c>
      <c r="H272" s="156" t="s">
        <v>87</v>
      </c>
      <c r="I272" s="156">
        <v>3.5000000000000001E-3</v>
      </c>
      <c r="J272" s="156" t="s">
        <v>87</v>
      </c>
      <c r="K272" s="156">
        <v>5.0000000000000001E-3</v>
      </c>
      <c r="L272" s="156">
        <v>6.7999999999999996E-3</v>
      </c>
      <c r="M272" s="156">
        <v>8.6999999999999994E-3</v>
      </c>
      <c r="N272" s="138" cm="1">
        <f t="array" aca="1" ref="N272:AE272" ca="1">IF(OR(B272="",NOT($J$2)),"",GetStripDefaultProbability(A272,B272,Parameter_Date,CDSRollDate,E272:M272,SpreadCurveMaturities,D272,C272,$J$4,$J$6))</f>
        <v>0</v>
      </c>
      <c r="O272" s="163">
        <f ca="1"/>
        <v>0</v>
      </c>
      <c r="P272" s="163">
        <f ca="1"/>
        <v>3.6617545607984248E-3</v>
      </c>
      <c r="Q272" s="163">
        <f ca="1"/>
        <v>0</v>
      </c>
      <c r="R272" s="163">
        <f ca="1"/>
        <v>1.8218571756717705E-2</v>
      </c>
      <c r="S272" s="163">
        <f ca="1"/>
        <v>0</v>
      </c>
      <c r="T272" s="163">
        <f ca="1"/>
        <v>4.3202138243207622E-2</v>
      </c>
      <c r="U272" s="163">
        <f ca="1"/>
        <v>8.2637091437748778E-2</v>
      </c>
      <c r="V272" s="139">
        <f ca="1"/>
        <v>0.14989687710558575</v>
      </c>
      <c r="W272" s="138">
        <f ca="1"/>
        <v>0</v>
      </c>
      <c r="X272" s="163">
        <f ca="1"/>
        <v>0</v>
      </c>
      <c r="Y272" s="163">
        <f ca="1"/>
        <v>3.8277970977805831E-3</v>
      </c>
      <c r="Z272" s="163">
        <f ca="1"/>
        <v>0</v>
      </c>
      <c r="AA272" s="163">
        <f ca="1"/>
        <v>1.9121596798396645E-2</v>
      </c>
      <c r="AB272" s="163">
        <f ca="1"/>
        <v>0</v>
      </c>
      <c r="AC272" s="163">
        <f ca="1"/>
        <v>4.5319724569101716E-2</v>
      </c>
      <c r="AD272" s="163">
        <f ca="1"/>
        <v>8.6626447110950799E-2</v>
      </c>
      <c r="AE272" s="139">
        <f ca="1"/>
        <v>0.15697086497346102</v>
      </c>
      <c r="AI272" s="136"/>
      <c r="AK272" s="136"/>
      <c r="AM272" s="136"/>
      <c r="AN272" s="136"/>
      <c r="AO272" s="136"/>
      <c r="AR272" s="136"/>
      <c r="AT272" s="136"/>
      <c r="AV272" s="136"/>
      <c r="AW272" s="136"/>
      <c r="AX272" s="136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7" t="s">
        <v>87</v>
      </c>
      <c r="F273" s="156" t="s">
        <v>87</v>
      </c>
      <c r="G273" s="156">
        <v>2.1810000000000002E-3</v>
      </c>
      <c r="H273" s="156" t="s">
        <v>87</v>
      </c>
      <c r="I273" s="156">
        <v>3.9830000000000004E-3</v>
      </c>
      <c r="J273" s="156" t="s">
        <v>87</v>
      </c>
      <c r="K273" s="156">
        <v>5.4999999999999997E-3</v>
      </c>
      <c r="L273" s="156">
        <v>6.0689999999999997E-3</v>
      </c>
      <c r="M273" s="156">
        <v>7.0169999999999998E-3</v>
      </c>
      <c r="N273" s="138" cm="1">
        <f t="array" aca="1" ref="N273:AE273" ca="1">IF(OR(B273="",NOT($J$2)),"",GetStripDefaultProbability(A273,B273,Parameter_Date,CDSRollDate,E273:M273,SpreadCurveMaturities,D273,C273,$J$4,$J$6))</f>
        <v>0</v>
      </c>
      <c r="O273" s="163">
        <f ca="1"/>
        <v>0</v>
      </c>
      <c r="P273" s="163">
        <f ca="1"/>
        <v>3.9924866461332753E-3</v>
      </c>
      <c r="Q273" s="163">
        <f ca="1"/>
        <v>0</v>
      </c>
      <c r="R273" s="163">
        <f ca="1"/>
        <v>2.0724977957254698E-2</v>
      </c>
      <c r="S273" s="163">
        <f ca="1"/>
        <v>0</v>
      </c>
      <c r="T273" s="163">
        <f ca="1"/>
        <v>4.7365072226960514E-2</v>
      </c>
      <c r="U273" s="163">
        <f ca="1"/>
        <v>7.2203260075801468E-2</v>
      </c>
      <c r="V273" s="139">
        <f ca="1"/>
        <v>0.11842171357555498</v>
      </c>
      <c r="W273" s="138">
        <f ca="1"/>
        <v>0</v>
      </c>
      <c r="X273" s="163">
        <f ca="1"/>
        <v>0</v>
      </c>
      <c r="Y273" s="163">
        <f ca="1"/>
        <v>4.1916200143465865E-3</v>
      </c>
      <c r="Z273" s="163">
        <f ca="1"/>
        <v>0</v>
      </c>
      <c r="AA273" s="163">
        <f ca="1"/>
        <v>2.1749286356144371E-2</v>
      </c>
      <c r="AB273" s="163">
        <f ca="1"/>
        <v>0</v>
      </c>
      <c r="AC273" s="163">
        <f ca="1"/>
        <v>4.9680121722041615E-2</v>
      </c>
      <c r="AD273" s="163">
        <f ca="1"/>
        <v>7.569391571776185E-2</v>
      </c>
      <c r="AE273" s="139">
        <f ca="1"/>
        <v>0.12404008386793708</v>
      </c>
      <c r="AI273" s="136"/>
      <c r="AK273" s="136"/>
      <c r="AM273" s="136"/>
      <c r="AN273" s="136"/>
      <c r="AO273" s="136"/>
      <c r="AR273" s="136"/>
      <c r="AT273" s="136"/>
      <c r="AV273" s="136"/>
      <c r="AW273" s="136"/>
      <c r="AX273" s="136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7" t="s">
        <v>87</v>
      </c>
      <c r="F274" s="156">
        <v>1E-3</v>
      </c>
      <c r="G274" s="156">
        <v>1.6000000000000001E-3</v>
      </c>
      <c r="H274" s="156">
        <v>2.3999999999999998E-3</v>
      </c>
      <c r="I274" s="156">
        <v>3.0999999999999999E-3</v>
      </c>
      <c r="J274" s="156" t="s">
        <v>87</v>
      </c>
      <c r="K274" s="156">
        <v>5.1999999999999998E-3</v>
      </c>
      <c r="L274" s="156">
        <v>6.3E-3</v>
      </c>
      <c r="M274" s="156">
        <v>7.1999999999999998E-3</v>
      </c>
      <c r="N274" s="138" cm="1">
        <f t="array" aca="1" ref="N274:AE274" ca="1">IF(OR(B274="",NOT($J$2)),"",GetStripDefaultProbability(A274,B274,Parameter_Date,CDSRollDate,E274:M274,SpreadCurveMaturities,D274,C274,$J$4,$J$6))</f>
        <v>0</v>
      </c>
      <c r="O274" s="163">
        <f ca="1"/>
        <v>9.9720509892320397E-4</v>
      </c>
      <c r="P274" s="163">
        <f ca="1"/>
        <v>2.9461785444060418E-3</v>
      </c>
      <c r="Q274" s="163">
        <f ca="1"/>
        <v>8.4853731346655747E-3</v>
      </c>
      <c r="R274" s="163">
        <f ca="1"/>
        <v>1.6244762687902758E-2</v>
      </c>
      <c r="S274" s="163">
        <f ca="1"/>
        <v>0</v>
      </c>
      <c r="T274" s="163">
        <f ca="1"/>
        <v>4.5290086842711186E-2</v>
      </c>
      <c r="U274" s="163">
        <f ca="1"/>
        <v>7.5997666948731557E-2</v>
      </c>
      <c r="V274" s="139">
        <f ca="1"/>
        <v>0.12182472927298338</v>
      </c>
      <c r="W274" s="138">
        <f ca="1"/>
        <v>0</v>
      </c>
      <c r="X274" s="163">
        <f ca="1"/>
        <v>1.0968686047534426E-3</v>
      </c>
      <c r="Y274" s="163">
        <f ca="1"/>
        <v>3.1123403341233313E-3</v>
      </c>
      <c r="Z274" s="163">
        <f ca="1"/>
        <v>8.9059484125890709E-3</v>
      </c>
      <c r="AA274" s="163">
        <f ca="1"/>
        <v>1.704932613092125E-2</v>
      </c>
      <c r="AB274" s="163">
        <f ca="1"/>
        <v>0</v>
      </c>
      <c r="AC274" s="163">
        <f ca="1"/>
        <v>4.750725392606503E-2</v>
      </c>
      <c r="AD274" s="163">
        <f ca="1"/>
        <v>7.9674677025391882E-2</v>
      </c>
      <c r="AE274" s="139">
        <f ca="1"/>
        <v>0.12760428614109021</v>
      </c>
      <c r="AH274" s="136"/>
      <c r="AI274" s="136"/>
      <c r="AJ274" s="136"/>
      <c r="AK274" s="136"/>
      <c r="AM274" s="136"/>
      <c r="AN274" s="136"/>
      <c r="AO274" s="136"/>
      <c r="AQ274" s="136"/>
      <c r="AR274" s="136"/>
      <c r="AS274" s="136"/>
      <c r="AT274" s="136"/>
      <c r="AV274" s="136"/>
      <c r="AW274" s="136"/>
      <c r="AX274" s="136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7" t="s">
        <v>87</v>
      </c>
      <c r="F275" s="156" t="s">
        <v>87</v>
      </c>
      <c r="G275" s="156">
        <v>5.0000000000000001E-3</v>
      </c>
      <c r="H275" s="156" t="s">
        <v>87</v>
      </c>
      <c r="I275" s="156">
        <v>0.01</v>
      </c>
      <c r="J275" s="156" t="s">
        <v>87</v>
      </c>
      <c r="K275" s="156">
        <v>0.02</v>
      </c>
      <c r="L275" s="156">
        <v>2.3E-2</v>
      </c>
      <c r="M275" s="156">
        <v>2.5323999999999999E-2</v>
      </c>
      <c r="N275" s="138" cm="1">
        <f t="array" aca="1" ref="N275:AE275" ca="1">IF(OR(B275="",NOT($J$2)),"",GetStripDefaultProbability(A275,B275,Parameter_Date,CDSRollDate,E275:M275,SpreadCurveMaturities,D275,C275,$J$4,$J$6))</f>
        <v>0</v>
      </c>
      <c r="O275" s="163">
        <f ca="1"/>
        <v>0</v>
      </c>
      <c r="P275" s="163">
        <f ca="1"/>
        <v>6.8548883327893551E-3</v>
      </c>
      <c r="Q275" s="163">
        <f ca="1"/>
        <v>0</v>
      </c>
      <c r="R275" s="163">
        <f ca="1"/>
        <v>3.8790244876969693E-2</v>
      </c>
      <c r="S275" s="163">
        <f ca="1"/>
        <v>0</v>
      </c>
      <c r="T275" s="163">
        <f ca="1"/>
        <v>0.12805132328066959</v>
      </c>
      <c r="U275" s="163">
        <f ca="1"/>
        <v>0.19844973111983311</v>
      </c>
      <c r="V275" s="139">
        <f ca="1"/>
        <v>0.29546096362554597</v>
      </c>
      <c r="W275" s="138">
        <f ca="1"/>
        <v>0</v>
      </c>
      <c r="X275" s="163">
        <f ca="1"/>
        <v>0</v>
      </c>
      <c r="Y275" s="163">
        <f ca="1"/>
        <v>7.1961703961458401E-3</v>
      </c>
      <c r="Z275" s="163">
        <f ca="1"/>
        <v>0</v>
      </c>
      <c r="AA275" s="163">
        <f ca="1"/>
        <v>4.0686960388410132E-2</v>
      </c>
      <c r="AB275" s="163">
        <f ca="1"/>
        <v>0</v>
      </c>
      <c r="AC275" s="163">
        <f ca="1"/>
        <v>0.1341694749680844</v>
      </c>
      <c r="AD275" s="163">
        <f ca="1"/>
        <v>0.20757403080683601</v>
      </c>
      <c r="AE275" s="139">
        <f ca="1"/>
        <v>0.30822983603259591</v>
      </c>
      <c r="AI275" s="136"/>
      <c r="AK275" s="136"/>
      <c r="AM275" s="136"/>
      <c r="AN275" s="136"/>
      <c r="AO275" s="136"/>
      <c r="AR275" s="136"/>
      <c r="AT275" s="136"/>
      <c r="AV275" s="136"/>
      <c r="AW275" s="136"/>
      <c r="AX275" s="136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7" t="s">
        <v>87</v>
      </c>
      <c r="F276" s="156">
        <v>1.8749999999999999E-2</v>
      </c>
      <c r="G276" s="156">
        <v>1.8749999999999999E-2</v>
      </c>
      <c r="H276" s="156">
        <v>1.7250000000000001E-2</v>
      </c>
      <c r="I276" s="156">
        <v>1.6500000000000001E-2</v>
      </c>
      <c r="J276" s="156" t="s">
        <v>87</v>
      </c>
      <c r="K276" s="156">
        <v>1.4999999999999999E-2</v>
      </c>
      <c r="L276" s="156">
        <v>1.4999999999999999E-2</v>
      </c>
      <c r="M276" s="156">
        <v>1.4999999999999999E-2</v>
      </c>
      <c r="N276" s="138" cm="1">
        <f t="array" aca="1" ref="N276:AE276" ca="1">IF(OR(B276="",NOT($J$2)),"",GetStripDefaultProbability(A276,B276,Parameter_Date,CDSRollDate,E276:M276,SpreadCurveMaturities,D276,C276,$J$4,$J$6))</f>
        <v>0</v>
      </c>
      <c r="O276" s="163">
        <f ca="1"/>
        <v>1.8534056234623009E-2</v>
      </c>
      <c r="P276" s="163">
        <f ca="1"/>
        <v>3.3806519569148596E-2</v>
      </c>
      <c r="Q276" s="163">
        <f ca="1"/>
        <v>5.8587061921116512E-2</v>
      </c>
      <c r="R276" s="163">
        <f ca="1"/>
        <v>8.1607023863211725E-2</v>
      </c>
      <c r="S276" s="163">
        <f ca="1"/>
        <v>0</v>
      </c>
      <c r="T276" s="163">
        <f ca="1"/>
        <v>0.11867390865776961</v>
      </c>
      <c r="U276" s="163">
        <f ca="1"/>
        <v>0.16194695721087449</v>
      </c>
      <c r="V276" s="139">
        <f ca="1"/>
        <v>0.22300294611405613</v>
      </c>
      <c r="W276" s="138">
        <f ca="1"/>
        <v>0</v>
      </c>
      <c r="X276" s="163">
        <f ca="1"/>
        <v>1.9450348249953064E-2</v>
      </c>
      <c r="Y276" s="163">
        <f ca="1"/>
        <v>3.5465784474041695E-2</v>
      </c>
      <c r="Z276" s="163">
        <f ca="1"/>
        <v>6.1416298268615388E-2</v>
      </c>
      <c r="AA276" s="163">
        <f ca="1"/>
        <v>8.5494590601006837E-2</v>
      </c>
      <c r="AB276" s="163">
        <f ca="1"/>
        <v>0</v>
      </c>
      <c r="AC276" s="163">
        <f ca="1"/>
        <v>0.12416501913371658</v>
      </c>
      <c r="AD276" s="163">
        <f ca="1"/>
        <v>0.16928744423370023</v>
      </c>
      <c r="AE276" s="139">
        <f ca="1"/>
        <v>0.23271672825889855</v>
      </c>
      <c r="AH276" s="136"/>
      <c r="AI276" s="136"/>
      <c r="AJ276" s="136"/>
      <c r="AK276" s="136"/>
      <c r="AM276" s="136"/>
      <c r="AN276" s="136"/>
      <c r="AO276" s="136"/>
      <c r="AQ276" s="136"/>
      <c r="AR276" s="136"/>
      <c r="AS276" s="136"/>
      <c r="AT276" s="136"/>
      <c r="AV276" s="136"/>
      <c r="AW276" s="136"/>
      <c r="AX276" s="136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7" t="s">
        <v>87</v>
      </c>
      <c r="F277" s="156">
        <v>8.6E-3</v>
      </c>
      <c r="G277" s="156">
        <v>8.6E-3</v>
      </c>
      <c r="H277" s="156">
        <v>8.6E-3</v>
      </c>
      <c r="I277" s="156">
        <v>8.8800000000000007E-3</v>
      </c>
      <c r="J277" s="156" t="s">
        <v>87</v>
      </c>
      <c r="K277" s="156">
        <v>9.4999999999999998E-3</v>
      </c>
      <c r="L277" s="156">
        <v>9.4999999999999998E-3</v>
      </c>
      <c r="M277" s="156">
        <v>9.4999999999999998E-3</v>
      </c>
      <c r="N277" s="138" cm="1">
        <f t="array" aca="1" ref="N277:AE277" ca="1">IF(OR(B277="",NOT($J$2)),"",GetStripDefaultProbability(A277,B277,Parameter_Date,CDSRollDate,E277:M277,SpreadCurveMaturities,D277,C277,$J$4,$J$6))</f>
        <v>0</v>
      </c>
      <c r="O277" s="163">
        <f ca="1"/>
        <v>8.5436854261695672E-3</v>
      </c>
      <c r="P277" s="163">
        <f ca="1"/>
        <v>1.565024813210214E-2</v>
      </c>
      <c r="Q277" s="163">
        <f ca="1"/>
        <v>2.9755335608316669E-2</v>
      </c>
      <c r="R277" s="163">
        <f ca="1"/>
        <v>4.5137587140816837E-2</v>
      </c>
      <c r="S277" s="163">
        <f ca="1"/>
        <v>0</v>
      </c>
      <c r="T277" s="163">
        <f ca="1"/>
        <v>7.8621612697937548E-2</v>
      </c>
      <c r="U277" s="163">
        <f ca="1"/>
        <v>0.10754610557071309</v>
      </c>
      <c r="V277" s="139">
        <f ca="1"/>
        <v>0.14928230512767726</v>
      </c>
      <c r="W277" s="138">
        <f ca="1"/>
        <v>0</v>
      </c>
      <c r="X277" s="163">
        <f ca="1"/>
        <v>8.9687278367123202E-3</v>
      </c>
      <c r="Y277" s="163">
        <f ca="1"/>
        <v>1.6426174041309749E-2</v>
      </c>
      <c r="Z277" s="163">
        <f ca="1"/>
        <v>3.1218646011598961E-2</v>
      </c>
      <c r="AA277" s="163">
        <f ca="1"/>
        <v>4.7340309420055848E-2</v>
      </c>
      <c r="AB277" s="163">
        <f ca="1"/>
        <v>0</v>
      </c>
      <c r="AC277" s="163">
        <f ca="1"/>
        <v>8.2383092175487671E-2</v>
      </c>
      <c r="AD277" s="163">
        <f ca="1"/>
        <v>0.11260955004151085</v>
      </c>
      <c r="AE277" s="139">
        <f ca="1"/>
        <v>0.15614307248352777</v>
      </c>
      <c r="AH277" s="136"/>
      <c r="AI277" s="136"/>
      <c r="AJ277" s="136"/>
      <c r="AK277" s="136"/>
      <c r="AM277" s="136"/>
      <c r="AN277" s="136"/>
      <c r="AO277" s="136"/>
      <c r="AQ277" s="136"/>
      <c r="AR277" s="136"/>
      <c r="AS277" s="136"/>
      <c r="AT277" s="136"/>
      <c r="AV277" s="136"/>
      <c r="AW277" s="136"/>
      <c r="AX277" s="136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7" t="s">
        <v>87</v>
      </c>
      <c r="F278" s="156" t="s">
        <v>87</v>
      </c>
      <c r="G278" s="156">
        <v>2.643E-3</v>
      </c>
      <c r="H278" s="156" t="s">
        <v>87</v>
      </c>
      <c r="I278" s="156">
        <v>3.9979999999999998E-3</v>
      </c>
      <c r="J278" s="156" t="s">
        <v>87</v>
      </c>
      <c r="K278" s="156">
        <v>5.1500000000000001E-3</v>
      </c>
      <c r="L278" s="156">
        <v>5.7600000000000004E-3</v>
      </c>
      <c r="M278" s="156">
        <v>6.5729999999999998E-3</v>
      </c>
      <c r="N278" s="138" cm="1">
        <f t="array" aca="1" ref="N278:AE278" ca="1">IF(OR(B278="",NOT($J$2)),"",GetStripDefaultProbability(A278,B278,Parameter_Date,CDSRollDate,E278:M278,SpreadCurveMaturities,D278,C278,$J$4,$J$6))</f>
        <v>0</v>
      </c>
      <c r="O278" s="163">
        <f ca="1"/>
        <v>0</v>
      </c>
      <c r="P278" s="163">
        <f ca="1"/>
        <v>4.836182729539229E-3</v>
      </c>
      <c r="Q278" s="163">
        <f ca="1"/>
        <v>0</v>
      </c>
      <c r="R278" s="163">
        <f ca="1"/>
        <v>2.0735616820832248E-2</v>
      </c>
      <c r="S278" s="163">
        <f ca="1"/>
        <v>0</v>
      </c>
      <c r="T278" s="163">
        <f ca="1"/>
        <v>4.4148871799891909E-2</v>
      </c>
      <c r="U278" s="163">
        <f ca="1"/>
        <v>6.8493028941753353E-2</v>
      </c>
      <c r="V278" s="139">
        <f ca="1"/>
        <v>0.11086196138162363</v>
      </c>
      <c r="W278" s="138">
        <f ca="1"/>
        <v>0</v>
      </c>
      <c r="X278" s="163">
        <f ca="1"/>
        <v>0</v>
      </c>
      <c r="Y278" s="163">
        <f ca="1"/>
        <v>5.0772691363760725E-3</v>
      </c>
      <c r="Z278" s="163">
        <f ca="1"/>
        <v>0</v>
      </c>
      <c r="AA278" s="163">
        <f ca="1"/>
        <v>2.1760219606795306E-2</v>
      </c>
      <c r="AB278" s="163">
        <f ca="1"/>
        <v>0</v>
      </c>
      <c r="AC278" s="163">
        <f ca="1"/>
        <v>4.6308715180814808E-2</v>
      </c>
      <c r="AD278" s="163">
        <f ca="1"/>
        <v>7.1808394710032419E-2</v>
      </c>
      <c r="AE278" s="139">
        <f ca="1"/>
        <v>0.11613583937283012</v>
      </c>
      <c r="AI278" s="136"/>
      <c r="AK278" s="136"/>
      <c r="AM278" s="136"/>
      <c r="AN278" s="136"/>
      <c r="AO278" s="136"/>
      <c r="AR278" s="136"/>
      <c r="AT278" s="136"/>
      <c r="AV278" s="136"/>
      <c r="AW278" s="136"/>
      <c r="AX278" s="136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7" t="s">
        <v>87</v>
      </c>
      <c r="F279" s="156">
        <v>1.1999999999999999E-3</v>
      </c>
      <c r="G279" s="156">
        <v>1.6999999999999999E-3</v>
      </c>
      <c r="H279" s="156">
        <v>2.8E-3</v>
      </c>
      <c r="I279" s="156">
        <v>3.5000000000000001E-3</v>
      </c>
      <c r="J279" s="156" t="s">
        <v>87</v>
      </c>
      <c r="K279" s="156">
        <v>4.4999999999999997E-3</v>
      </c>
      <c r="L279" s="156">
        <v>5.1999999999999998E-3</v>
      </c>
      <c r="M279" s="156">
        <v>6.1999999999999998E-3</v>
      </c>
      <c r="N279" s="138" cm="1">
        <f t="array" aca="1" ref="N279:AE279" ca="1">IF(OR(B279="",NOT($J$2)),"",GetStripDefaultProbability(A279,B279,Parameter_Date,CDSRollDate,E279:M279,SpreadCurveMaturities,D279,C279,$J$4,$J$6))</f>
        <v>0</v>
      </c>
      <c r="O279" s="163">
        <f ca="1"/>
        <v>1.1965271572978997E-3</v>
      </c>
      <c r="P279" s="163">
        <f ca="1"/>
        <v>3.1264563217608954E-3</v>
      </c>
      <c r="Q279" s="163">
        <f ca="1"/>
        <v>9.9045138370412733E-3</v>
      </c>
      <c r="R279" s="163">
        <f ca="1"/>
        <v>1.8315516435748469E-2</v>
      </c>
      <c r="S279" s="163">
        <f ca="1"/>
        <v>0</v>
      </c>
      <c r="T279" s="163">
        <f ca="1"/>
        <v>3.8770273727502524E-2</v>
      </c>
      <c r="U279" s="163">
        <f ca="1"/>
        <v>6.2247753313979137E-2</v>
      </c>
      <c r="V279" s="139">
        <f ca="1"/>
        <v>0.10550625884058507</v>
      </c>
      <c r="W279" s="138">
        <f ca="1"/>
        <v>0</v>
      </c>
      <c r="X279" s="163">
        <f ca="1"/>
        <v>1.2961697875810696E-3</v>
      </c>
      <c r="Y279" s="163">
        <f ca="1"/>
        <v>3.2925880676745178E-3</v>
      </c>
      <c r="Z279" s="163">
        <f ca="1"/>
        <v>1.0396082719475341E-2</v>
      </c>
      <c r="AA279" s="163">
        <f ca="1"/>
        <v>1.9222658992229524E-2</v>
      </c>
      <c r="AB279" s="163">
        <f ca="1"/>
        <v>0</v>
      </c>
      <c r="AC279" s="163">
        <f ca="1"/>
        <v>4.0672099002935225E-2</v>
      </c>
      <c r="AD279" s="163">
        <f ca="1"/>
        <v>6.527148534556404E-2</v>
      </c>
      <c r="AE279" s="139">
        <f ca="1"/>
        <v>0.11054733898125679</v>
      </c>
      <c r="AH279" s="136"/>
      <c r="AI279" s="136"/>
      <c r="AJ279" s="136"/>
      <c r="AK279" s="136"/>
      <c r="AM279" s="136"/>
      <c r="AN279" s="136"/>
      <c r="AO279" s="136"/>
      <c r="AQ279" s="136"/>
      <c r="AR279" s="136"/>
      <c r="AS279" s="136"/>
      <c r="AT279" s="136"/>
      <c r="AV279" s="136"/>
      <c r="AW279" s="136"/>
      <c r="AX279" s="136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7" t="s">
        <v>87</v>
      </c>
      <c r="F280" s="156">
        <v>1.1000000000000001E-3</v>
      </c>
      <c r="G280" s="156">
        <v>1.5E-3</v>
      </c>
      <c r="H280" s="156">
        <v>1.9E-3</v>
      </c>
      <c r="I280" s="156">
        <v>2.5999999999999999E-3</v>
      </c>
      <c r="J280" s="156" t="s">
        <v>87</v>
      </c>
      <c r="K280" s="156">
        <v>3.8E-3</v>
      </c>
      <c r="L280" s="156">
        <v>4.7000000000000002E-3</v>
      </c>
      <c r="M280" s="156">
        <v>5.7000000000000002E-3</v>
      </c>
      <c r="N280" s="138" cm="1">
        <f t="array" aca="1" ref="N280:AE280" ca="1">IF(OR(B280="",NOT($J$2)),"",GetStripDefaultProbability(A280,B280,Parameter_Date,CDSRollDate,E280:M280,SpreadCurveMaturities,D280,C280,$J$4,$J$6))</f>
        <v>0</v>
      </c>
      <c r="O280" s="163">
        <f ca="1"/>
        <v>1.0968710821319672E-3</v>
      </c>
      <c r="P280" s="163">
        <f ca="1"/>
        <v>2.757983019723742E-3</v>
      </c>
      <c r="Q280" s="163">
        <f ca="1"/>
        <v>6.6987273707558304E-3</v>
      </c>
      <c r="R280" s="163">
        <f ca="1"/>
        <v>1.364008161291308E-2</v>
      </c>
      <c r="S280" s="163">
        <f ca="1"/>
        <v>0</v>
      </c>
      <c r="T280" s="163">
        <f ca="1"/>
        <v>3.3038739946464224E-2</v>
      </c>
      <c r="U280" s="163">
        <f ca="1"/>
        <v>5.7007885844327588E-2</v>
      </c>
      <c r="V280" s="139">
        <f ca="1"/>
        <v>9.8193416234752307E-2</v>
      </c>
      <c r="W280" s="138">
        <f ca="1"/>
        <v>0</v>
      </c>
      <c r="X280" s="163">
        <f ca="1"/>
        <v>1.1965241739009258E-3</v>
      </c>
      <c r="Y280" s="163">
        <f ca="1"/>
        <v>2.9241761727488713E-3</v>
      </c>
      <c r="Z280" s="163">
        <f ca="1"/>
        <v>7.0482556332173152E-3</v>
      </c>
      <c r="AA280" s="163">
        <f ca="1"/>
        <v>1.431500878586478E-2</v>
      </c>
      <c r="AB280" s="163">
        <f ca="1"/>
        <v>0</v>
      </c>
      <c r="AC280" s="163">
        <f ca="1"/>
        <v>3.4662969748143646E-2</v>
      </c>
      <c r="AD280" s="163">
        <f ca="1"/>
        <v>5.9786438403082176E-2</v>
      </c>
      <c r="AE280" s="139">
        <f ca="1"/>
        <v>0.10290793114959829</v>
      </c>
      <c r="AH280" s="136"/>
      <c r="AI280" s="136"/>
      <c r="AJ280" s="136"/>
      <c r="AK280" s="136"/>
      <c r="AM280" s="136"/>
      <c r="AN280" s="136"/>
      <c r="AO280" s="136"/>
      <c r="AQ280" s="136"/>
      <c r="AR280" s="136"/>
      <c r="AS280" s="136"/>
      <c r="AT280" s="136"/>
      <c r="AV280" s="136"/>
      <c r="AW280" s="136"/>
      <c r="AX280" s="136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7" t="s">
        <v>87</v>
      </c>
      <c r="F281" s="156">
        <v>1.1000000000000001E-3</v>
      </c>
      <c r="G281" s="156">
        <v>1.6000000000000001E-3</v>
      </c>
      <c r="H281" s="156">
        <v>2E-3</v>
      </c>
      <c r="I281" s="156">
        <v>2.8E-3</v>
      </c>
      <c r="J281" s="156" t="s">
        <v>87</v>
      </c>
      <c r="K281" s="156">
        <v>3.8999999999999998E-3</v>
      </c>
      <c r="L281" s="156">
        <v>4.5999999999999999E-3</v>
      </c>
      <c r="M281" s="156">
        <v>5.5999999999999999E-3</v>
      </c>
      <c r="N281" s="138" cm="1">
        <f t="array" aca="1" ref="N281:AE281" ca="1">IF(OR(B281="",NOT($J$2)),"",GetStripDefaultProbability(A281,B281,Parameter_Date,CDSRollDate,E281:M281,SpreadCurveMaturities,D281,C281,$J$4,$J$6))</f>
        <v>0</v>
      </c>
      <c r="O281" s="163">
        <f ca="1"/>
        <v>1.0968710821319672E-3</v>
      </c>
      <c r="P281" s="163">
        <f ca="1"/>
        <v>2.9435474346423129E-3</v>
      </c>
      <c r="Q281" s="163">
        <f ca="1"/>
        <v>7.0503841602606032E-3</v>
      </c>
      <c r="R281" s="163">
        <f ca="1"/>
        <v>1.4694816302945668E-2</v>
      </c>
      <c r="S281" s="163">
        <f ca="1"/>
        <v>0</v>
      </c>
      <c r="T281" s="163">
        <f ca="1"/>
        <v>3.3831012788557602E-2</v>
      </c>
      <c r="U281" s="163">
        <f ca="1"/>
        <v>5.5503520765370351E-2</v>
      </c>
      <c r="V281" s="139">
        <f ca="1"/>
        <v>9.626868675360456E-2</v>
      </c>
      <c r="W281" s="138">
        <f ca="1"/>
        <v>0</v>
      </c>
      <c r="X281" s="163">
        <f ca="1"/>
        <v>1.1965241739009258E-3</v>
      </c>
      <c r="Y281" s="163">
        <f ca="1"/>
        <v>3.1097096628280863E-3</v>
      </c>
      <c r="Z281" s="163">
        <f ca="1"/>
        <v>7.3997952051966243E-3</v>
      </c>
      <c r="AA281" s="163">
        <f ca="1"/>
        <v>1.5423086084951576E-2</v>
      </c>
      <c r="AB281" s="163">
        <f ca="1"/>
        <v>0</v>
      </c>
      <c r="AC281" s="163">
        <f ca="1"/>
        <v>3.5494657696708565E-2</v>
      </c>
      <c r="AD281" s="163">
        <f ca="1"/>
        <v>5.8209770795902505E-2</v>
      </c>
      <c r="AE281" s="139">
        <f ca="1"/>
        <v>0.1008929444801282</v>
      </c>
      <c r="AH281" s="136"/>
      <c r="AI281" s="136"/>
      <c r="AJ281" s="136"/>
      <c r="AK281" s="136"/>
      <c r="AM281" s="136"/>
      <c r="AN281" s="136"/>
      <c r="AO281" s="136"/>
      <c r="AQ281" s="136"/>
      <c r="AR281" s="136"/>
      <c r="AS281" s="136"/>
      <c r="AT281" s="136"/>
      <c r="AV281" s="136"/>
      <c r="AW281" s="136"/>
      <c r="AX281" s="136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7" t="s">
        <v>87</v>
      </c>
      <c r="F282" s="156" t="s">
        <v>87</v>
      </c>
      <c r="G282" s="156">
        <v>9.3400000000000004E-4</v>
      </c>
      <c r="H282" s="156" t="s">
        <v>87</v>
      </c>
      <c r="I282" s="156">
        <v>2.264E-3</v>
      </c>
      <c r="J282" s="156" t="s">
        <v>87</v>
      </c>
      <c r="K282" s="156">
        <v>3.5500000000000002E-3</v>
      </c>
      <c r="L282" s="156">
        <v>4.4759999999999999E-3</v>
      </c>
      <c r="M282" s="156">
        <v>5.3509999999999999E-3</v>
      </c>
      <c r="N282" s="138" cm="1">
        <f t="array" aca="1" ref="N282:AE282" ca="1">IF(OR(B282="",NOT($J$2)),"",GetStripDefaultProbability(A282,B282,Parameter_Date,CDSRollDate,E282:M282,SpreadCurveMaturities,D282,C282,$J$4,$J$6))</f>
        <v>0</v>
      </c>
      <c r="O282" s="163">
        <f ca="1"/>
        <v>0</v>
      </c>
      <c r="P282" s="163">
        <f ca="1"/>
        <v>1.7116975566167092E-3</v>
      </c>
      <c r="Q282" s="163">
        <f ca="1"/>
        <v>0</v>
      </c>
      <c r="R282" s="163">
        <f ca="1"/>
        <v>1.1866633132376569E-2</v>
      </c>
      <c r="S282" s="163">
        <f ca="1"/>
        <v>0</v>
      </c>
      <c r="T282" s="163">
        <f ca="1"/>
        <v>3.101976921818117E-2</v>
      </c>
      <c r="U282" s="163">
        <f ca="1"/>
        <v>5.4730293687184739E-2</v>
      </c>
      <c r="V282" s="139">
        <f ca="1"/>
        <v>9.2994278916920248E-2</v>
      </c>
      <c r="W282" s="138">
        <f ca="1"/>
        <v>0</v>
      </c>
      <c r="X282" s="163">
        <f ca="1"/>
        <v>0</v>
      </c>
      <c r="Y282" s="163">
        <f ca="1"/>
        <v>1.8780650760324979E-3</v>
      </c>
      <c r="Z282" s="163">
        <f ca="1"/>
        <v>0</v>
      </c>
      <c r="AA282" s="163">
        <f ca="1"/>
        <v>1.2450032007273015E-2</v>
      </c>
      <c r="AB282" s="163">
        <f ca="1"/>
        <v>0</v>
      </c>
      <c r="AC282" s="163">
        <f ca="1"/>
        <v>3.2542778297244945E-2</v>
      </c>
      <c r="AD282" s="163">
        <f ca="1"/>
        <v>5.7398087272081733E-2</v>
      </c>
      <c r="AE282" s="139">
        <f ca="1"/>
        <v>9.7441601853738291E-2</v>
      </c>
      <c r="AI282" s="136"/>
      <c r="AK282" s="136"/>
      <c r="AM282" s="136"/>
      <c r="AN282" s="136"/>
      <c r="AO282" s="136"/>
      <c r="AR282" s="136"/>
      <c r="AT282" s="136"/>
      <c r="AV282" s="136"/>
      <c r="AW282" s="136"/>
      <c r="AX282" s="136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7" t="s">
        <v>87</v>
      </c>
      <c r="F283" s="156">
        <v>8.0000000000000004E-4</v>
      </c>
      <c r="G283" s="156">
        <v>1E-3</v>
      </c>
      <c r="H283" s="156">
        <v>1.9E-3</v>
      </c>
      <c r="I283" s="156">
        <v>2.3999999999999998E-3</v>
      </c>
      <c r="J283" s="156" t="s">
        <v>87</v>
      </c>
      <c r="K283" s="156">
        <v>3.8E-3</v>
      </c>
      <c r="L283" s="156">
        <v>4.4999999999999997E-3</v>
      </c>
      <c r="M283" s="156">
        <v>5.4000000000000003E-3</v>
      </c>
      <c r="N283" s="138" cm="1">
        <f t="array" aca="1" ref="N283:AE283" ca="1">IF(OR(B283="",NOT($J$2)),"",GetStripDefaultProbability(A283,B283,Parameter_Date,CDSRollDate,E283:M283,SpreadCurveMaturities,D283,C283,$J$4,$J$6))</f>
        <v>0</v>
      </c>
      <c r="O283" s="163">
        <f ca="1"/>
        <v>7.978434025011083E-4</v>
      </c>
      <c r="P283" s="163">
        <f ca="1"/>
        <v>1.8376578808882993E-3</v>
      </c>
      <c r="Q283" s="163">
        <f ca="1"/>
        <v>6.7395213602603476E-3</v>
      </c>
      <c r="R283" s="163">
        <f ca="1"/>
        <v>1.2602225890495644E-2</v>
      </c>
      <c r="S283" s="163">
        <f ca="1"/>
        <v>0</v>
      </c>
      <c r="T283" s="163">
        <f ca="1"/>
        <v>3.3163656242900297E-2</v>
      </c>
      <c r="U283" s="163">
        <f ca="1"/>
        <v>5.4534072825437874E-2</v>
      </c>
      <c r="V283" s="139">
        <f ca="1"/>
        <v>9.2993490061680339E-2</v>
      </c>
      <c r="W283" s="138">
        <f ca="1"/>
        <v>0</v>
      </c>
      <c r="X283" s="163">
        <f ca="1"/>
        <v>8.9752759609718069E-4</v>
      </c>
      <c r="Y283" s="163">
        <f ca="1"/>
        <v>2.0040044086446773E-3</v>
      </c>
      <c r="Z283" s="163">
        <f ca="1"/>
        <v>7.0891525928048482E-3</v>
      </c>
      <c r="AA283" s="163">
        <f ca="1"/>
        <v>1.3223834931790024E-2</v>
      </c>
      <c r="AB283" s="163">
        <f ca="1"/>
        <v>0</v>
      </c>
      <c r="AC283" s="163">
        <f ca="1"/>
        <v>3.4792280489115868E-2</v>
      </c>
      <c r="AD283" s="163">
        <f ca="1"/>
        <v>5.7192568592737913E-2</v>
      </c>
      <c r="AE283" s="139">
        <f ca="1"/>
        <v>9.7440443468932991E-2</v>
      </c>
      <c r="AH283" s="136"/>
      <c r="AI283" s="136"/>
      <c r="AJ283" s="136"/>
      <c r="AK283" s="136"/>
      <c r="AM283" s="136"/>
      <c r="AN283" s="136"/>
      <c r="AO283" s="136"/>
      <c r="AQ283" s="136"/>
      <c r="AR283" s="136"/>
      <c r="AS283" s="136"/>
      <c r="AT283" s="136"/>
      <c r="AV283" s="136"/>
      <c r="AW283" s="136"/>
      <c r="AX283" s="136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7">
        <v>1E-3</v>
      </c>
      <c r="F284" s="156">
        <v>1E-3</v>
      </c>
      <c r="G284" s="156">
        <v>1.2999999999999999E-3</v>
      </c>
      <c r="H284" s="156">
        <v>1.6000000000000001E-3</v>
      </c>
      <c r="I284" s="156">
        <v>2.3E-3</v>
      </c>
      <c r="J284" s="156">
        <v>2.8E-3</v>
      </c>
      <c r="K284" s="156">
        <v>3.3E-3</v>
      </c>
      <c r="L284" s="156">
        <v>4.4000000000000003E-3</v>
      </c>
      <c r="M284" s="156">
        <v>5.4000000000000003E-3</v>
      </c>
      <c r="N284" s="138" cm="1">
        <f t="array" aca="1" ref="N284:AE284" ca="1">IF(OR(B284="",NOT($J$2)),"",GetStripDefaultProbability(A284,B284,Parameter_Date,CDSRollDate,E284:M284,SpreadCurveMaturities,D284,C284,$J$4,$J$6))</f>
        <v>4.3455360504418561E-4</v>
      </c>
      <c r="O284" s="163">
        <f ca="1"/>
        <v>7.4800469748759202E-4</v>
      </c>
      <c r="P284" s="163">
        <f ca="1"/>
        <v>1.7925320181837456E-3</v>
      </c>
      <c r="Q284" s="163">
        <f ca="1"/>
        <v>4.231889801108335E-3</v>
      </c>
      <c r="R284" s="163">
        <f ca="1"/>
        <v>9.0781253791065719E-3</v>
      </c>
      <c r="S284" s="163">
        <f ca="1"/>
        <v>1.4699968443000144E-2</v>
      </c>
      <c r="T284" s="163">
        <f ca="1"/>
        <v>2.1671084771463511E-2</v>
      </c>
      <c r="U284" s="163">
        <f ca="1"/>
        <v>4.0744330330628187E-2</v>
      </c>
      <c r="V284" s="139">
        <f ca="1"/>
        <v>7.1458510543469078E-2</v>
      </c>
      <c r="W284" s="138">
        <f ca="1"/>
        <v>4.7799834014450315E-4</v>
      </c>
      <c r="X284" s="163">
        <f ca="1"/>
        <v>8.2277427907617717E-4</v>
      </c>
      <c r="Y284" s="163">
        <f ca="1"/>
        <v>1.9173001535087719E-3</v>
      </c>
      <c r="Z284" s="163">
        <f ca="1"/>
        <v>4.4946443278853776E-3</v>
      </c>
      <c r="AA284" s="163">
        <f ca="1"/>
        <v>9.5254520340594118E-3</v>
      </c>
      <c r="AB284" s="163">
        <f ca="1"/>
        <v>1.5425728637735392E-2</v>
      </c>
      <c r="AC284" s="163">
        <f ca="1"/>
        <v>2.2740531920249052E-2</v>
      </c>
      <c r="AD284" s="163">
        <f ca="1"/>
        <v>4.2742532172790115E-2</v>
      </c>
      <c r="AE284" s="139">
        <f ca="1"/>
        <v>7.4913834185769024E-2</v>
      </c>
      <c r="AG284" s="136"/>
      <c r="AH284" s="136"/>
      <c r="AI284" s="136"/>
      <c r="AJ284" s="136"/>
      <c r="AK284" s="136"/>
      <c r="AL284" s="136"/>
      <c r="AM284" s="136"/>
      <c r="AN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7" t="s">
        <v>87</v>
      </c>
      <c r="F285" s="156" t="s">
        <v>87</v>
      </c>
      <c r="G285" s="156">
        <v>8.6899999999999998E-4</v>
      </c>
      <c r="H285" s="156" t="s">
        <v>87</v>
      </c>
      <c r="I285" s="156">
        <v>2.2699999999999999E-3</v>
      </c>
      <c r="J285" s="156" t="s">
        <v>87</v>
      </c>
      <c r="K285" s="156">
        <v>3.2499999999999999E-3</v>
      </c>
      <c r="L285" s="156">
        <v>4.2300000000000003E-3</v>
      </c>
      <c r="M285" s="156">
        <v>5.2620000000000002E-3</v>
      </c>
      <c r="N285" s="138" cm="1">
        <f t="array" aca="1" ref="N285:AE285" ca="1">IF(OR(B285="",NOT($J$2)),"",GetStripDefaultProbability(A285,B285,Parameter_Date,CDSRollDate,E285:M285,SpreadCurveMaturities,D285,C285,$J$4,$J$6))</f>
        <v>0</v>
      </c>
      <c r="O285" s="163">
        <f ca="1"/>
        <v>0</v>
      </c>
      <c r="P285" s="163">
        <f ca="1"/>
        <v>1.5926693043435414E-3</v>
      </c>
      <c r="Q285" s="163">
        <f ca="1"/>
        <v>0</v>
      </c>
      <c r="R285" s="163">
        <f ca="1"/>
        <v>1.1907343837841755E-2</v>
      </c>
      <c r="S285" s="163">
        <f ca="1"/>
        <v>0</v>
      </c>
      <c r="T285" s="163">
        <f ca="1"/>
        <v>2.830820856337235E-2</v>
      </c>
      <c r="U285" s="163">
        <f ca="1"/>
        <v>5.1819056548272346E-2</v>
      </c>
      <c r="V285" s="139">
        <f ca="1"/>
        <v>9.2091636239171382E-2</v>
      </c>
      <c r="W285" s="138">
        <f ca="1"/>
        <v>0</v>
      </c>
      <c r="X285" s="163">
        <f ca="1"/>
        <v>0</v>
      </c>
      <c r="Y285" s="163">
        <f ca="1"/>
        <v>1.7590566601376478E-3</v>
      </c>
      <c r="Z285" s="163">
        <f ca="1"/>
        <v>0</v>
      </c>
      <c r="AA285" s="163">
        <f ca="1"/>
        <v>1.2492315282502831E-2</v>
      </c>
      <c r="AB285" s="163">
        <f ca="1"/>
        <v>0</v>
      </c>
      <c r="AC285" s="163">
        <f ca="1"/>
        <v>2.9698597226264445E-2</v>
      </c>
      <c r="AD285" s="163">
        <f ca="1"/>
        <v>5.4347076227342805E-2</v>
      </c>
      <c r="AE285" s="139">
        <f ca="1"/>
        <v>9.6527560668293155E-2</v>
      </c>
      <c r="AI285" s="136">
        <v>1.5E-3</v>
      </c>
      <c r="AK285" s="136">
        <v>1.17E-2</v>
      </c>
      <c r="AM285" s="136">
        <v>2.8000000000000001E-2</v>
      </c>
      <c r="AN285" s="136">
        <v>5.1400000000000001E-2</v>
      </c>
      <c r="AO285" s="136">
        <v>9.1499999999999998E-2</v>
      </c>
      <c r="AR285" s="136">
        <v>1.6999999999999999E-3</v>
      </c>
      <c r="AT285" s="136">
        <v>1.2200000000000001E-2</v>
      </c>
      <c r="AV285" s="136">
        <v>2.9399999999999999E-2</v>
      </c>
      <c r="AW285" s="136">
        <v>5.3900000000000003E-2</v>
      </c>
      <c r="AX285" s="136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7" t="s">
        <v>87</v>
      </c>
      <c r="F286" s="156">
        <v>5.9999999999999995E-4</v>
      </c>
      <c r="G286" s="156">
        <v>8.0000000000000004E-4</v>
      </c>
      <c r="H286" s="156">
        <v>1.2999999999999999E-3</v>
      </c>
      <c r="I286" s="156">
        <v>1.9E-3</v>
      </c>
      <c r="J286" s="156" t="s">
        <v>87</v>
      </c>
      <c r="K286" s="156">
        <v>3.0999999999999999E-3</v>
      </c>
      <c r="L286" s="156">
        <v>4.0000000000000001E-3</v>
      </c>
      <c r="M286" s="156">
        <v>5.0000000000000001E-3</v>
      </c>
      <c r="N286" s="138" cm="1">
        <f t="array" aca="1" ref="N286:AE286" ca="1">IF(OR(B286="",NOT($J$2)),"",GetStripDefaultProbability(A286,B286,Parameter_Date,CDSRollDate,E286:M286,SpreadCurveMaturities,D286,C286,$J$4,$J$6))</f>
        <v>0</v>
      </c>
      <c r="O286" s="163">
        <f ca="1"/>
        <v>5.9844205622783253E-4</v>
      </c>
      <c r="P286" s="163">
        <f ca="1"/>
        <v>1.4713900701842642E-3</v>
      </c>
      <c r="Q286" s="163">
        <f ca="1"/>
        <v>4.6060022358477282E-3</v>
      </c>
      <c r="R286" s="163">
        <f ca="1"/>
        <v>1.0021376133648285E-2</v>
      </c>
      <c r="S286" s="163">
        <f ca="1"/>
        <v>0</v>
      </c>
      <c r="T286" s="163">
        <f ca="1"/>
        <v>2.7181855400009503E-2</v>
      </c>
      <c r="U286" s="163">
        <f ca="1"/>
        <v>4.9024349479530716E-2</v>
      </c>
      <c r="V286" s="139">
        <f ca="1"/>
        <v>8.7273664953097518E-2</v>
      </c>
      <c r="W286" s="138">
        <f ca="1"/>
        <v>0</v>
      </c>
      <c r="X286" s="163">
        <f ca="1"/>
        <v>6.9814675354706868E-4</v>
      </c>
      <c r="Y286" s="163">
        <f ca="1"/>
        <v>1.6377976374900571E-3</v>
      </c>
      <c r="Z286" s="163">
        <f ca="1"/>
        <v>4.9562907770270836E-3</v>
      </c>
      <c r="AA286" s="163">
        <f ca="1"/>
        <v>1.0536375629449757E-2</v>
      </c>
      <c r="AB286" s="163">
        <f ca="1"/>
        <v>0</v>
      </c>
      <c r="AC286" s="163">
        <f ca="1"/>
        <v>2.8511619620098294E-2</v>
      </c>
      <c r="AD286" s="163">
        <f ca="1"/>
        <v>5.1413516635620105E-2</v>
      </c>
      <c r="AE286" s="139">
        <f ca="1"/>
        <v>9.145671741633532E-2</v>
      </c>
      <c r="AH286" s="136">
        <v>5.0000000000000001E-4</v>
      </c>
      <c r="AI286" s="136">
        <v>1.4E-3</v>
      </c>
      <c r="AJ286" s="136">
        <v>4.4999999999999997E-3</v>
      </c>
      <c r="AK286" s="136">
        <v>9.7999999999999997E-3</v>
      </c>
      <c r="AM286" s="136">
        <v>2.69E-2</v>
      </c>
      <c r="AN286" s="136">
        <v>4.8599999999999997E-2</v>
      </c>
      <c r="AO286" s="136">
        <v>8.6699999999999999E-2</v>
      </c>
      <c r="AQ286" s="136">
        <v>5.9999999999999995E-4</v>
      </c>
      <c r="AR286" s="136">
        <v>1.6000000000000001E-3</v>
      </c>
      <c r="AS286" s="136">
        <v>4.7999999999999996E-3</v>
      </c>
      <c r="AT286" s="136">
        <v>1.03E-2</v>
      </c>
      <c r="AV286" s="136">
        <v>2.8199999999999999E-2</v>
      </c>
      <c r="AW286" s="136">
        <v>5.0999999999999997E-2</v>
      </c>
      <c r="AX286" s="136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7" t="s">
        <v>87</v>
      </c>
      <c r="F287" s="156">
        <v>5.0000000000000001E-4</v>
      </c>
      <c r="G287" s="156">
        <v>6.9999999999999999E-4</v>
      </c>
      <c r="H287" s="156">
        <v>1.2999999999999999E-3</v>
      </c>
      <c r="I287" s="156">
        <v>1.6999999999999999E-3</v>
      </c>
      <c r="J287" s="156" t="s">
        <v>87</v>
      </c>
      <c r="K287" s="156">
        <v>2.8999999999999998E-3</v>
      </c>
      <c r="L287" s="156">
        <v>3.8999999999999998E-3</v>
      </c>
      <c r="M287" s="156">
        <v>4.8999999999999998E-3</v>
      </c>
      <c r="N287" s="138" cm="1">
        <f t="array" aca="1" ref="N287:AE287" ca="1">IF(OR(B287="",NOT($J$2)),"",GetStripDefaultProbability(A287,B287,Parameter_Date,CDSRollDate,E287:M287,SpreadCurveMaturities,D287,C287,$J$4,$J$6))</f>
        <v>0</v>
      </c>
      <c r="O287" s="163">
        <f ca="1"/>
        <v>4.9872651070981266E-4</v>
      </c>
      <c r="P287" s="163">
        <f ca="1"/>
        <v>1.2882057658748503E-3</v>
      </c>
      <c r="Q287" s="163">
        <f ca="1"/>
        <v>4.6150355027729795E-3</v>
      </c>
      <c r="R287" s="163">
        <f ca="1"/>
        <v>8.9489227459839116E-3</v>
      </c>
      <c r="S287" s="163">
        <f ca="1"/>
        <v>0</v>
      </c>
      <c r="T287" s="163">
        <f ca="1"/>
        <v>2.5464590872366299E-2</v>
      </c>
      <c r="U287" s="163">
        <f ca="1"/>
        <v>4.8000270122597111E-2</v>
      </c>
      <c r="V287" s="139">
        <f ca="1"/>
        <v>8.5822193794516166E-2</v>
      </c>
      <c r="W287" s="138">
        <f ca="1"/>
        <v>0</v>
      </c>
      <c r="X287" s="163">
        <f ca="1"/>
        <v>5.9844139207421154E-4</v>
      </c>
      <c r="Y287" s="163">
        <f ca="1"/>
        <v>1.454643861349969E-3</v>
      </c>
      <c r="Z287" s="163">
        <f ca="1"/>
        <v>4.965350083932063E-3</v>
      </c>
      <c r="AA287" s="163">
        <f ca="1"/>
        <v>9.464353400659542E-3</v>
      </c>
      <c r="AB287" s="163">
        <f ca="1"/>
        <v>0</v>
      </c>
      <c r="AC287" s="163">
        <f ca="1"/>
        <v>2.6706060349736993E-2</v>
      </c>
      <c r="AD287" s="163">
        <f ca="1"/>
        <v>5.0336567697840895E-2</v>
      </c>
      <c r="AE287" s="139">
        <f ca="1"/>
        <v>8.993571778670606E-2</v>
      </c>
      <c r="AH287" s="136">
        <v>5.0000000000000001E-4</v>
      </c>
      <c r="AI287" s="136">
        <v>1.1999999999999999E-3</v>
      </c>
      <c r="AJ287" s="136">
        <v>4.4999999999999997E-3</v>
      </c>
      <c r="AK287" s="136">
        <v>8.8000000000000005E-3</v>
      </c>
      <c r="AM287" s="136">
        <v>2.52E-2</v>
      </c>
      <c r="AN287" s="136">
        <v>4.7600000000000003E-2</v>
      </c>
      <c r="AO287" s="136">
        <v>8.5300000000000001E-2</v>
      </c>
      <c r="AQ287" s="136">
        <v>5.0000000000000001E-4</v>
      </c>
      <c r="AR287" s="136">
        <v>1.4E-3</v>
      </c>
      <c r="AS287" s="136">
        <v>4.7999999999999996E-3</v>
      </c>
      <c r="AT287" s="136">
        <v>9.2999999999999992E-3</v>
      </c>
      <c r="AV287" s="136">
        <v>2.64E-2</v>
      </c>
      <c r="AW287" s="136">
        <v>4.99E-2</v>
      </c>
      <c r="AX287" s="136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7" t="s">
        <v>87</v>
      </c>
      <c r="F288" s="156">
        <v>6.9999999999999999E-4</v>
      </c>
      <c r="G288" s="156">
        <v>8.0000000000000004E-4</v>
      </c>
      <c r="H288" s="156">
        <v>1.2999999999999999E-3</v>
      </c>
      <c r="I288" s="156">
        <v>2E-3</v>
      </c>
      <c r="J288" s="156" t="s">
        <v>87</v>
      </c>
      <c r="K288" s="156">
        <v>3.3E-3</v>
      </c>
      <c r="L288" s="156">
        <v>4.0000000000000001E-3</v>
      </c>
      <c r="M288" s="156">
        <v>4.8999999999999998E-3</v>
      </c>
      <c r="N288" s="138" cm="1">
        <f t="array" aca="1" ref="N288:AE288" ca="1">IF(OR(B288="",NOT($J$2)),"",GetStripDefaultProbability(A288,B288,Parameter_Date,CDSRollDate,E288:M288,SpreadCurveMaturities,D288,C288,$J$4,$J$6))</f>
        <v>0</v>
      </c>
      <c r="O288" s="163">
        <f ca="1"/>
        <v>6.98147686336692E-4</v>
      </c>
      <c r="P288" s="163">
        <f ca="1"/>
        <v>1.4688312592168185E-3</v>
      </c>
      <c r="Q288" s="163">
        <f ca="1"/>
        <v>4.6034016974833003E-3</v>
      </c>
      <c r="R288" s="163">
        <f ca="1"/>
        <v>1.0559378876372372E-2</v>
      </c>
      <c r="S288" s="163">
        <f ca="1"/>
        <v>0</v>
      </c>
      <c r="T288" s="163">
        <f ca="1"/>
        <v>2.8943986646860376E-2</v>
      </c>
      <c r="U288" s="163">
        <f ca="1"/>
        <v>4.8789307676298854E-2</v>
      </c>
      <c r="V288" s="139">
        <f ca="1"/>
        <v>8.5115973374169207E-2</v>
      </c>
      <c r="W288" s="138">
        <f ca="1"/>
        <v>0</v>
      </c>
      <c r="X288" s="163">
        <f ca="1"/>
        <v>7.9784215457201491E-4</v>
      </c>
      <c r="Y288" s="163">
        <f ca="1"/>
        <v>1.6352392529477289E-3</v>
      </c>
      <c r="Z288" s="163">
        <f ca="1"/>
        <v>4.9536814715206434E-3</v>
      </c>
      <c r="AA288" s="163">
        <f ca="1"/>
        <v>1.10741655271126E-2</v>
      </c>
      <c r="AB288" s="163">
        <f ca="1"/>
        <v>0</v>
      </c>
      <c r="AC288" s="163">
        <f ca="1"/>
        <v>3.0361910303773554E-2</v>
      </c>
      <c r="AD288" s="163">
        <f ca="1"/>
        <v>5.1168394027016895E-2</v>
      </c>
      <c r="AE288" s="139">
        <f ca="1"/>
        <v>8.9198540401317028E-2</v>
      </c>
      <c r="AH288" s="136">
        <v>5.9999999999999995E-4</v>
      </c>
      <c r="AI288" s="136">
        <v>1.4E-3</v>
      </c>
      <c r="AJ288" s="136">
        <v>4.4999999999999997E-3</v>
      </c>
      <c r="AK288" s="136">
        <v>1.04E-2</v>
      </c>
      <c r="AM288" s="136">
        <v>2.86E-2</v>
      </c>
      <c r="AN288" s="136">
        <v>4.8399999999999999E-2</v>
      </c>
      <c r="AO288" s="136">
        <v>8.4599999999999995E-2</v>
      </c>
      <c r="AQ288" s="136">
        <v>6.9999999999999999E-4</v>
      </c>
      <c r="AR288" s="136">
        <v>1.6000000000000001E-3</v>
      </c>
      <c r="AS288" s="136">
        <v>4.7999999999999996E-3</v>
      </c>
      <c r="AT288" s="136">
        <v>1.09E-2</v>
      </c>
      <c r="AV288" s="136">
        <v>0.03</v>
      </c>
      <c r="AW288" s="136">
        <v>5.0700000000000002E-2</v>
      </c>
      <c r="AX288" s="136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7" t="s">
        <v>87</v>
      </c>
      <c r="F289" s="156" t="s">
        <v>87</v>
      </c>
      <c r="G289" s="156">
        <v>5.5000000000000003E-4</v>
      </c>
      <c r="H289" s="156" t="s">
        <v>87</v>
      </c>
      <c r="I289" s="156">
        <v>1.6999999999999999E-3</v>
      </c>
      <c r="J289" s="156" t="s">
        <v>87</v>
      </c>
      <c r="K289" s="156">
        <v>2.7499999999999998E-3</v>
      </c>
      <c r="L289" s="156">
        <v>3.8999999999999998E-3</v>
      </c>
      <c r="M289" s="156">
        <v>5.0000000000000001E-3</v>
      </c>
      <c r="N289" s="138" cm="1">
        <f t="array" aca="1" ref="N289:AE289" ca="1">IF(OR(B289="",NOT($J$2)),"",GetStripDefaultProbability(A289,B289,Parameter_Date,CDSRollDate,E289:M289,SpreadCurveMaturities,D289,C289,$J$4,$J$6))</f>
        <v>0</v>
      </c>
      <c r="O289" s="163">
        <f ca="1"/>
        <v>0</v>
      </c>
      <c r="P289" s="163">
        <f ca="1"/>
        <v>1.0083111497977137E-3</v>
      </c>
      <c r="Q289" s="163">
        <f ca="1"/>
        <v>0</v>
      </c>
      <c r="R289" s="163">
        <f ca="1"/>
        <v>8.9413637985745753E-3</v>
      </c>
      <c r="S289" s="163">
        <f ca="1"/>
        <v>0</v>
      </c>
      <c r="T289" s="163">
        <f ca="1"/>
        <v>2.4144259058548778E-2</v>
      </c>
      <c r="U289" s="163">
        <f ca="1"/>
        <v>4.8381737294190597E-2</v>
      </c>
      <c r="V289" s="139">
        <f ca="1"/>
        <v>8.8591675159875871E-2</v>
      </c>
      <c r="W289" s="138">
        <f ca="1"/>
        <v>0</v>
      </c>
      <c r="X289" s="163">
        <f ca="1"/>
        <v>0</v>
      </c>
      <c r="Y289" s="163">
        <f ca="1"/>
        <v>1.1747958904837486E-3</v>
      </c>
      <c r="Z289" s="163">
        <f ca="1"/>
        <v>0</v>
      </c>
      <c r="AA289" s="163">
        <f ca="1"/>
        <v>9.456914146615647E-3</v>
      </c>
      <c r="AB289" s="163">
        <f ca="1"/>
        <v>0</v>
      </c>
      <c r="AC289" s="163">
        <f ca="1"/>
        <v>2.5321117383311775E-2</v>
      </c>
      <c r="AD289" s="163">
        <f ca="1"/>
        <v>5.0736558531865983E-2</v>
      </c>
      <c r="AE289" s="139">
        <f ca="1"/>
        <v>9.2861643993809584E-2</v>
      </c>
      <c r="AI289" s="136">
        <v>1E-3</v>
      </c>
      <c r="AK289" s="136">
        <v>8.8000000000000005E-3</v>
      </c>
      <c r="AM289" s="136">
        <v>2.3900000000000001E-2</v>
      </c>
      <c r="AN289" s="136">
        <v>4.8000000000000001E-2</v>
      </c>
      <c r="AO289" s="136">
        <v>8.7999999999999995E-2</v>
      </c>
      <c r="AR289" s="136">
        <v>1.1000000000000001E-3</v>
      </c>
      <c r="AT289" s="136">
        <v>9.2999999999999992E-3</v>
      </c>
      <c r="AV289" s="136">
        <v>2.5000000000000001E-2</v>
      </c>
      <c r="AW289" s="136">
        <v>5.0299999999999997E-2</v>
      </c>
      <c r="AX289" s="136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7" t="s">
        <v>87</v>
      </c>
      <c r="F290" s="156">
        <v>6.9999999999999999E-4</v>
      </c>
      <c r="G290" s="156">
        <v>8.9999999999999998E-4</v>
      </c>
      <c r="H290" s="156">
        <v>1.2999999999999999E-3</v>
      </c>
      <c r="I290" s="156">
        <v>1.8E-3</v>
      </c>
      <c r="J290" s="156" t="s">
        <v>87</v>
      </c>
      <c r="K290" s="156">
        <v>2.8999999999999998E-3</v>
      </c>
      <c r="L290" s="156">
        <v>3.5999999999999999E-3</v>
      </c>
      <c r="M290" s="156">
        <v>4.4000000000000003E-3</v>
      </c>
      <c r="N290" s="138" cm="1">
        <f t="array" aca="1" ref="N290:AE290" ca="1">IF(OR(B290="",NOT($J$2)),"",GetStripDefaultProbability(A290,B290,Parameter_Date,CDSRollDate,E290:M290,SpreadCurveMaturities,D290,C290,$J$4,$J$6))</f>
        <v>0</v>
      </c>
      <c r="O290" s="163">
        <f ca="1"/>
        <v>6.98147686336692E-4</v>
      </c>
      <c r="P290" s="163">
        <f ca="1"/>
        <v>1.6545407729871009E-3</v>
      </c>
      <c r="Q290" s="163">
        <f ca="1"/>
        <v>4.5969703247138449E-3</v>
      </c>
      <c r="R290" s="163">
        <f ca="1"/>
        <v>9.4714561307461809E-3</v>
      </c>
      <c r="S290" s="163">
        <f ca="1"/>
        <v>0</v>
      </c>
      <c r="T290" s="163">
        <f ca="1"/>
        <v>2.540579506229379E-2</v>
      </c>
      <c r="U290" s="163">
        <f ca="1"/>
        <v>4.4017298047781095E-2</v>
      </c>
      <c r="V290" s="139">
        <f ca="1"/>
        <v>7.6683180874739798E-2</v>
      </c>
      <c r="W290" s="138">
        <f ca="1"/>
        <v>0</v>
      </c>
      <c r="X290" s="163">
        <f ca="1"/>
        <v>7.9784215457201491E-4</v>
      </c>
      <c r="Y290" s="163">
        <f ca="1"/>
        <v>1.8209178177219787E-3</v>
      </c>
      <c r="Z290" s="163">
        <f ca="1"/>
        <v>4.9472325546502383E-3</v>
      </c>
      <c r="AA290" s="163">
        <f ca="1"/>
        <v>9.9866286793877102E-3</v>
      </c>
      <c r="AB290" s="163">
        <f ca="1"/>
        <v>0</v>
      </c>
      <c r="AC290" s="163">
        <f ca="1"/>
        <v>2.6647166783388077E-2</v>
      </c>
      <c r="AD290" s="163">
        <f ca="1"/>
        <v>4.6163327847539515E-2</v>
      </c>
      <c r="AE290" s="139">
        <f ca="1"/>
        <v>8.0371669913123056E-2</v>
      </c>
      <c r="AH290" s="136">
        <v>5.9999999999999995E-4</v>
      </c>
      <c r="AI290" s="136">
        <v>1.6000000000000001E-3</v>
      </c>
      <c r="AJ290" s="136">
        <v>4.4999999999999997E-3</v>
      </c>
      <c r="AK290" s="136">
        <v>9.2999999999999992E-3</v>
      </c>
      <c r="AM290" s="136">
        <v>2.5100000000000001E-2</v>
      </c>
      <c r="AN290" s="136">
        <v>4.36E-2</v>
      </c>
      <c r="AO290" s="136">
        <v>7.6200000000000004E-2</v>
      </c>
      <c r="AQ290" s="136">
        <v>6.9999999999999999E-4</v>
      </c>
      <c r="AR290" s="136">
        <v>1.6999999999999999E-3</v>
      </c>
      <c r="AS290" s="136">
        <v>4.7999999999999996E-3</v>
      </c>
      <c r="AT290" s="136">
        <v>9.7999999999999997E-3</v>
      </c>
      <c r="AV290" s="136">
        <v>2.63E-2</v>
      </c>
      <c r="AW290" s="136">
        <v>4.58E-2</v>
      </c>
      <c r="AX290" s="136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7" t="s">
        <v>87</v>
      </c>
      <c r="F291" s="156">
        <v>5.9999999999999995E-4</v>
      </c>
      <c r="G291" s="156">
        <v>6.9999999999999999E-4</v>
      </c>
      <c r="H291" s="156">
        <v>1.1999999999999999E-3</v>
      </c>
      <c r="I291" s="156">
        <v>1.8E-3</v>
      </c>
      <c r="J291" s="156" t="s">
        <v>87</v>
      </c>
      <c r="K291" s="156">
        <v>2.8E-3</v>
      </c>
      <c r="L291" s="156">
        <v>3.5000000000000001E-3</v>
      </c>
      <c r="M291" s="156">
        <v>4.4000000000000003E-3</v>
      </c>
      <c r="N291" s="138" cm="1">
        <f t="array" aca="1" ref="N291:AE291" ca="1">IF(OR(B291="",NOT($J$2)),"",GetStripDefaultProbability(A291,B291,Parameter_Date,CDSRollDate,E291:M291,SpreadCurveMaturities,D291,C291,$J$4,$J$6))</f>
        <v>0</v>
      </c>
      <c r="O291" s="163">
        <f ca="1"/>
        <v>5.9844205622783253E-4</v>
      </c>
      <c r="P291" s="163">
        <f ca="1"/>
        <v>1.2856558950586905E-3</v>
      </c>
      <c r="Q291" s="163">
        <f ca="1"/>
        <v>4.2535409362317589E-3</v>
      </c>
      <c r="R291" s="163">
        <f ca="1"/>
        <v>9.5039457100781766E-3</v>
      </c>
      <c r="S291" s="163">
        <f ca="1"/>
        <v>0</v>
      </c>
      <c r="T291" s="163">
        <f ca="1"/>
        <v>2.4535411769439408E-2</v>
      </c>
      <c r="U291" s="163">
        <f ca="1"/>
        <v>4.2837015526936417E-2</v>
      </c>
      <c r="V291" s="139">
        <f ca="1"/>
        <v>7.6995851256600467E-2</v>
      </c>
      <c r="W291" s="138">
        <f ca="1"/>
        <v>0</v>
      </c>
      <c r="X291" s="163">
        <f ca="1"/>
        <v>6.9814675354706868E-4</v>
      </c>
      <c r="Y291" s="163">
        <f ca="1"/>
        <v>1.4520944154741144E-3</v>
      </c>
      <c r="Z291" s="163">
        <f ca="1"/>
        <v>4.6039455378485972E-3</v>
      </c>
      <c r="AA291" s="163">
        <f ca="1"/>
        <v>1.0019209331473267E-2</v>
      </c>
      <c r="AB291" s="163">
        <f ca="1"/>
        <v>0</v>
      </c>
      <c r="AC291" s="163">
        <f ca="1"/>
        <v>2.5732667213386518E-2</v>
      </c>
      <c r="AD291" s="163">
        <f ca="1"/>
        <v>4.4924574322956046E-2</v>
      </c>
      <c r="AE291" s="139">
        <f ca="1"/>
        <v>8.0698363301199061E-2</v>
      </c>
      <c r="AH291" s="136">
        <v>5.0000000000000001E-4</v>
      </c>
      <c r="AI291" s="136">
        <v>1.1999999999999999E-3</v>
      </c>
      <c r="AJ291" s="136">
        <v>4.1000000000000003E-3</v>
      </c>
      <c r="AK291" s="136">
        <v>9.2999999999999992E-3</v>
      </c>
      <c r="AM291" s="136">
        <v>2.4299999999999999E-2</v>
      </c>
      <c r="AN291" s="136">
        <v>4.2500000000000003E-2</v>
      </c>
      <c r="AO291" s="136">
        <v>7.6499999999999999E-2</v>
      </c>
      <c r="AQ291" s="136">
        <v>5.9999999999999995E-4</v>
      </c>
      <c r="AR291" s="136">
        <v>1.4E-3</v>
      </c>
      <c r="AS291" s="136">
        <v>4.4999999999999997E-3</v>
      </c>
      <c r="AT291" s="136">
        <v>9.7999999999999997E-3</v>
      </c>
      <c r="AV291" s="136">
        <v>2.5399999999999999E-2</v>
      </c>
      <c r="AW291" s="136">
        <v>4.4499999999999998E-2</v>
      </c>
      <c r="AX291" s="136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7" t="s">
        <v>87</v>
      </c>
      <c r="F292" s="156" t="s">
        <v>87</v>
      </c>
      <c r="G292" s="156">
        <v>3.1260000000000003E-2</v>
      </c>
      <c r="H292" s="156" t="s">
        <v>87</v>
      </c>
      <c r="I292" s="156">
        <v>2.2712E-2</v>
      </c>
      <c r="J292" s="156" t="s">
        <v>87</v>
      </c>
      <c r="K292" s="156">
        <v>1.9E-2</v>
      </c>
      <c r="L292" s="156">
        <v>1.7339E-2</v>
      </c>
      <c r="M292" s="156">
        <v>1.6362000000000002E-2</v>
      </c>
      <c r="N292" s="138" cm="1">
        <f t="array" aca="1" ref="N292:AE292" ca="1">IF(OR(B292="",NOT($J$2)),"",GetStripDefaultProbability(A292,B292,Parameter_Date,CDSRollDate,E292:M292,SpreadCurveMaturities,D292,C292,$J$4,$J$6))</f>
        <v>0</v>
      </c>
      <c r="O292" s="163">
        <f ca="1"/>
        <v>0</v>
      </c>
      <c r="P292" s="163">
        <f ca="1"/>
        <v>5.5723461339003411E-2</v>
      </c>
      <c r="Q292" s="163">
        <f ca="1"/>
        <v>0</v>
      </c>
      <c r="R292" s="163">
        <f ca="1"/>
        <v>0.10932141519915284</v>
      </c>
      <c r="S292" s="163">
        <f ca="1"/>
        <v>0</v>
      </c>
      <c r="T292" s="163">
        <f ca="1"/>
        <v>0.14471044565778823</v>
      </c>
      <c r="U292" s="163">
        <f ca="1"/>
        <v>0.17801591428904884</v>
      </c>
      <c r="V292" s="139">
        <f ca="1"/>
        <v>0.23008501418027227</v>
      </c>
      <c r="W292" s="138">
        <f ca="1"/>
        <v>0</v>
      </c>
      <c r="X292" s="163">
        <f ca="1"/>
        <v>0</v>
      </c>
      <c r="Y292" s="163">
        <f ca="1"/>
        <v>5.8426590148177748E-2</v>
      </c>
      <c r="Z292" s="163">
        <f ca="1"/>
        <v>0</v>
      </c>
      <c r="AA292" s="163">
        <f ca="1"/>
        <v>0.11441495338310725</v>
      </c>
      <c r="AB292" s="163">
        <f ca="1"/>
        <v>0</v>
      </c>
      <c r="AC292" s="163">
        <f ca="1"/>
        <v>0.15123127580012585</v>
      </c>
      <c r="AD292" s="163">
        <f ca="1"/>
        <v>0.18583884768641667</v>
      </c>
      <c r="AE292" s="139">
        <f ca="1"/>
        <v>0.23984648509958173</v>
      </c>
      <c r="AI292" s="136">
        <v>5.2999999999999999E-2</v>
      </c>
      <c r="AK292" s="136">
        <v>0.1076</v>
      </c>
      <c r="AM292" s="136">
        <v>0.1434</v>
      </c>
      <c r="AN292" s="136">
        <v>0.17699999999999999</v>
      </c>
      <c r="AO292" s="136">
        <v>0.22919999999999999</v>
      </c>
      <c r="AR292" s="136">
        <v>5.5599999999999997E-2</v>
      </c>
      <c r="AT292" s="136">
        <v>0.11260000000000001</v>
      </c>
      <c r="AV292" s="136">
        <v>0.14990000000000001</v>
      </c>
      <c r="AW292" s="136">
        <v>0.18479999999999999</v>
      </c>
      <c r="AX292" s="136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7" t="s">
        <v>87</v>
      </c>
      <c r="F293" s="156">
        <v>4.5500000000000002E-3</v>
      </c>
      <c r="G293" s="156">
        <v>5.6800000000000002E-3</v>
      </c>
      <c r="H293" s="156">
        <v>7.9500000000000005E-3</v>
      </c>
      <c r="I293" s="156">
        <v>9.8200000000000006E-3</v>
      </c>
      <c r="J293" s="156" t="s">
        <v>87</v>
      </c>
      <c r="K293" s="156">
        <v>1.2500000000000001E-2</v>
      </c>
      <c r="L293" s="156">
        <v>1.2999999999999999E-2</v>
      </c>
      <c r="M293" s="156">
        <v>1.35E-2</v>
      </c>
      <c r="N293" s="138" cm="1">
        <f t="array" aca="1" ref="N293:AE293" ca="1">IF(OR(B293="",NOT($J$2)),"",GetStripDefaultProbability(A293,B293,Parameter_Date,CDSRollDate,E293:M293,SpreadCurveMaturities,D293,C293,$J$4,$J$6))</f>
        <v>0</v>
      </c>
      <c r="O293" s="163">
        <f ca="1"/>
        <v>4.5292901601107216E-3</v>
      </c>
      <c r="P293" s="163">
        <f ca="1"/>
        <v>1.0397919577810111E-2</v>
      </c>
      <c r="Q293" s="163">
        <f ca="1"/>
        <v>2.7824317761009243E-2</v>
      </c>
      <c r="R293" s="163">
        <f ca="1"/>
        <v>5.0603901755294722E-2</v>
      </c>
      <c r="S293" s="163">
        <f ca="1"/>
        <v>0</v>
      </c>
      <c r="T293" s="163">
        <f ca="1"/>
        <v>0.10457128066312416</v>
      </c>
      <c r="U293" s="163">
        <f ca="1"/>
        <v>0.14751077849090632</v>
      </c>
      <c r="V293" s="139">
        <f ca="1"/>
        <v>0.21040469414690999</v>
      </c>
      <c r="W293" s="138">
        <f ca="1"/>
        <v>0</v>
      </c>
      <c r="X293" s="163">
        <f ca="1"/>
        <v>4.7551609920865046E-3</v>
      </c>
      <c r="Y293" s="163">
        <f ca="1"/>
        <v>1.0915203733074197E-2</v>
      </c>
      <c r="Z293" s="163">
        <f ca="1"/>
        <v>2.9197157790539441E-2</v>
      </c>
      <c r="AA293" s="163">
        <f ca="1"/>
        <v>5.3076977018341909E-2</v>
      </c>
      <c r="AB293" s="163">
        <f ca="1"/>
        <v>0</v>
      </c>
      <c r="AC293" s="163">
        <f ca="1"/>
        <v>0.10956347162746771</v>
      </c>
      <c r="AD293" s="163">
        <f ca="1"/>
        <v>0.1543672079020515</v>
      </c>
      <c r="AE293" s="139">
        <f ca="1"/>
        <v>0.2197990573833446</v>
      </c>
      <c r="AH293" s="136">
        <v>4.1000000000000003E-3</v>
      </c>
      <c r="AI293" s="136">
        <v>9.9000000000000008E-3</v>
      </c>
      <c r="AJ293" s="136">
        <v>2.7099999999999999E-2</v>
      </c>
      <c r="AK293" s="136">
        <v>4.9700000000000001E-2</v>
      </c>
      <c r="AM293" s="136">
        <v>0.10340000000000001</v>
      </c>
      <c r="AN293" s="136">
        <v>0.1464</v>
      </c>
      <c r="AO293" s="136">
        <v>0.20930000000000001</v>
      </c>
      <c r="AQ293" s="136">
        <v>4.3E-3</v>
      </c>
      <c r="AR293" s="136">
        <v>1.04E-2</v>
      </c>
      <c r="AS293" s="136">
        <v>2.8400000000000002E-2</v>
      </c>
      <c r="AT293" s="136">
        <v>5.21E-2</v>
      </c>
      <c r="AV293" s="136">
        <v>0.1084</v>
      </c>
      <c r="AW293" s="136">
        <v>0.1532</v>
      </c>
      <c r="AX293" s="136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7" t="s">
        <v>87</v>
      </c>
      <c r="F294" s="156">
        <v>1.3500000000000001E-3</v>
      </c>
      <c r="G294" s="156">
        <v>2.32E-3</v>
      </c>
      <c r="H294" s="156">
        <v>3.8500000000000001E-3</v>
      </c>
      <c r="I294" s="156">
        <v>5.3400000000000001E-3</v>
      </c>
      <c r="J294" s="156" t="s">
        <v>87</v>
      </c>
      <c r="K294" s="156">
        <v>7.1999999999999998E-3</v>
      </c>
      <c r="L294" s="156">
        <v>8.0000000000000002E-3</v>
      </c>
      <c r="M294" s="156">
        <v>8.4499999999999992E-3</v>
      </c>
      <c r="N294" s="138" cm="1">
        <f t="array" aca="1" ref="N294:AE294" ca="1">IF(OR(B294="",NOT($J$2)),"",GetStripDefaultProbability(A294,B294,Parameter_Date,CDSRollDate,E294:M294,SpreadCurveMaturities,D294,C294,$J$4,$J$6))</f>
        <v>0</v>
      </c>
      <c r="O294" s="163">
        <f ca="1"/>
        <v>1.0096638887209242E-3</v>
      </c>
      <c r="P294" s="163">
        <f ca="1"/>
        <v>3.2056249886474042E-3</v>
      </c>
      <c r="Q294" s="163">
        <f ca="1"/>
        <v>1.0219882573187622E-2</v>
      </c>
      <c r="R294" s="163">
        <f ca="1"/>
        <v>2.10185274051089E-2</v>
      </c>
      <c r="S294" s="163">
        <f ca="1"/>
        <v>0</v>
      </c>
      <c r="T294" s="163">
        <f ca="1"/>
        <v>4.6587656676958744E-2</v>
      </c>
      <c r="U294" s="163">
        <f ca="1"/>
        <v>7.1443660281543475E-2</v>
      </c>
      <c r="V294" s="139">
        <f ca="1"/>
        <v>0.10550107082952698</v>
      </c>
      <c r="W294" s="138">
        <f ca="1"/>
        <v>0</v>
      </c>
      <c r="X294" s="163">
        <f ca="1"/>
        <v>1.0844109592604845E-3</v>
      </c>
      <c r="Y294" s="163">
        <f ca="1"/>
        <v>3.3650430290710354E-3</v>
      </c>
      <c r="Z294" s="163">
        <f ca="1"/>
        <v>1.0727947907343105E-2</v>
      </c>
      <c r="AA294" s="163">
        <f ca="1"/>
        <v>2.2059890230001544E-2</v>
      </c>
      <c r="AB294" s="163">
        <f ca="1"/>
        <v>0</v>
      </c>
      <c r="AC294" s="163">
        <f ca="1"/>
        <v>4.8866838661114187E-2</v>
      </c>
      <c r="AD294" s="163">
        <f ca="1"/>
        <v>7.4899970141511285E-2</v>
      </c>
      <c r="AE294" s="139">
        <f ca="1"/>
        <v>0.110498754536142</v>
      </c>
      <c r="AH294" s="136">
        <v>8.9999999999999998E-4</v>
      </c>
      <c r="AI294" s="136">
        <v>3.0000000000000001E-3</v>
      </c>
      <c r="AJ294" s="136">
        <v>9.9000000000000008E-3</v>
      </c>
      <c r="AK294" s="136">
        <v>2.06E-2</v>
      </c>
      <c r="AM294" s="136">
        <v>4.6100000000000002E-2</v>
      </c>
      <c r="AN294" s="136">
        <v>7.0900000000000005E-2</v>
      </c>
      <c r="AO294" s="136">
        <v>0.10489999999999999</v>
      </c>
      <c r="AQ294" s="136">
        <v>1E-3</v>
      </c>
      <c r="AR294" s="136">
        <v>3.2000000000000002E-3</v>
      </c>
      <c r="AS294" s="136">
        <v>1.04E-2</v>
      </c>
      <c r="AT294" s="136">
        <v>2.1700000000000001E-2</v>
      </c>
      <c r="AV294" s="136">
        <v>4.8300000000000003E-2</v>
      </c>
      <c r="AW294" s="136">
        <v>7.4300000000000005E-2</v>
      </c>
      <c r="AX294" s="136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7" t="s">
        <v>87</v>
      </c>
      <c r="F295" s="156">
        <v>5.6999999999999998E-4</v>
      </c>
      <c r="G295" s="156">
        <v>1.24E-3</v>
      </c>
      <c r="H295" s="156">
        <v>1.9499999999999999E-3</v>
      </c>
      <c r="I295" s="156">
        <v>2.6700000000000001E-3</v>
      </c>
      <c r="J295" s="156" t="s">
        <v>87</v>
      </c>
      <c r="K295" s="156">
        <v>4.0000000000000001E-3</v>
      </c>
      <c r="L295" s="156">
        <v>4.9100000000000003E-3</v>
      </c>
      <c r="M295" s="156">
        <v>6.2899999999999996E-3</v>
      </c>
      <c r="N295" s="138" cm="1">
        <f t="array" aca="1" ref="N295:AE295" ca="1">IF(OR(B295="",NOT($J$2)),"",GetStripDefaultProbability(A295,B295,Parameter_Date,CDSRollDate,E295:M295,SpreadCurveMaturities,D295,C295,$J$4,$J$6))</f>
        <v>0</v>
      </c>
      <c r="O295" s="163">
        <f ca="1"/>
        <v>5.6852843375387874E-4</v>
      </c>
      <c r="P295" s="163">
        <f ca="1"/>
        <v>2.289215917738785E-3</v>
      </c>
      <c r="Q295" s="163">
        <f ca="1"/>
        <v>6.9090421612434394E-3</v>
      </c>
      <c r="R295" s="163">
        <f ca="1"/>
        <v>1.4040915993698166E-2</v>
      </c>
      <c r="S295" s="163">
        <f ca="1"/>
        <v>0</v>
      </c>
      <c r="T295" s="163">
        <f ca="1"/>
        <v>3.4832047489364748E-2</v>
      </c>
      <c r="U295" s="163">
        <f ca="1"/>
        <v>5.9534410003672766E-2</v>
      </c>
      <c r="V295" s="139">
        <f ca="1"/>
        <v>0.1088134766245219</v>
      </c>
      <c r="W295" s="138">
        <f ca="1"/>
        <v>0</v>
      </c>
      <c r="X295" s="163">
        <f ca="1"/>
        <v>6.6823619100508935E-4</v>
      </c>
      <c r="Y295" s="163">
        <f ca="1"/>
        <v>2.4554871920987598E-3</v>
      </c>
      <c r="Z295" s="163">
        <f ca="1"/>
        <v>7.2586061497318388E-3</v>
      </c>
      <c r="AA295" s="163">
        <f ca="1"/>
        <v>1.4734655182163103E-2</v>
      </c>
      <c r="AB295" s="163">
        <f ca="1"/>
        <v>0</v>
      </c>
      <c r="AC295" s="163">
        <f ca="1"/>
        <v>3.6542386842312924E-2</v>
      </c>
      <c r="AD295" s="163">
        <f ca="1"/>
        <v>6.2432228420197244E-2</v>
      </c>
      <c r="AE295" s="139">
        <f ca="1"/>
        <v>0.11402305588727402</v>
      </c>
      <c r="AH295" s="136">
        <v>5.0000000000000001E-4</v>
      </c>
      <c r="AI295" s="136">
        <v>2.2000000000000001E-3</v>
      </c>
      <c r="AJ295" s="136">
        <v>6.7000000000000002E-3</v>
      </c>
      <c r="AK295" s="136">
        <v>1.38E-2</v>
      </c>
      <c r="AM295" s="136">
        <v>3.44E-2</v>
      </c>
      <c r="AN295" s="136">
        <v>5.8999999999999997E-2</v>
      </c>
      <c r="AO295" s="136">
        <v>0.1081</v>
      </c>
      <c r="AQ295" s="136">
        <v>5.9999999999999995E-4</v>
      </c>
      <c r="AR295" s="136">
        <v>2.3E-3</v>
      </c>
      <c r="AS295" s="136">
        <v>7.1000000000000004E-3</v>
      </c>
      <c r="AT295" s="136">
        <v>1.4500000000000001E-2</v>
      </c>
      <c r="AV295" s="136">
        <v>3.61E-2</v>
      </c>
      <c r="AW295" s="136">
        <v>6.1899999999999997E-2</v>
      </c>
      <c r="AX295" s="136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7" t="s">
        <v>87</v>
      </c>
      <c r="F296" s="156" t="s">
        <v>87</v>
      </c>
      <c r="G296" s="156">
        <v>6.4400000000000004E-4</v>
      </c>
      <c r="H296" s="156" t="s">
        <v>87</v>
      </c>
      <c r="I296" s="156">
        <v>2.428E-3</v>
      </c>
      <c r="J296" s="156" t="s">
        <v>87</v>
      </c>
      <c r="K296" s="156">
        <v>3.3500000000000001E-3</v>
      </c>
      <c r="L296" s="156">
        <v>4.3699999999999998E-3</v>
      </c>
      <c r="M296" s="156">
        <v>5.3410000000000003E-3</v>
      </c>
      <c r="N296" s="138" cm="1">
        <f t="array" aca="1" ref="N296:AE296" ca="1">IF(OR(B296="",NOT($J$2)),"",GetStripDefaultProbability(A296,B296,Parameter_Date,CDSRollDate,E296:M296,SpreadCurveMaturities,D296,C296,$J$4,$J$6))</f>
        <v>0</v>
      </c>
      <c r="O296" s="163">
        <f ca="1"/>
        <v>0</v>
      </c>
      <c r="P296" s="163">
        <f ca="1"/>
        <v>1.1805397135833395E-3</v>
      </c>
      <c r="Q296" s="163">
        <f ca="1"/>
        <v>0</v>
      </c>
      <c r="R296" s="163">
        <f ca="1"/>
        <v>1.2772129258601828E-2</v>
      </c>
      <c r="S296" s="163">
        <f ca="1"/>
        <v>0</v>
      </c>
      <c r="T296" s="163">
        <f ca="1"/>
        <v>2.9154488235373921E-2</v>
      </c>
      <c r="U296" s="163">
        <f ca="1"/>
        <v>5.3497825816157918E-2</v>
      </c>
      <c r="V296" s="139">
        <f ca="1"/>
        <v>9.3167573317429975E-2</v>
      </c>
      <c r="W296" s="138">
        <f ca="1"/>
        <v>0</v>
      </c>
      <c r="X296" s="163">
        <f ca="1"/>
        <v>0</v>
      </c>
      <c r="Y296" s="163">
        <f ca="1"/>
        <v>1.3469957518925657E-3</v>
      </c>
      <c r="Z296" s="163">
        <f ca="1"/>
        <v>0</v>
      </c>
      <c r="AA296" s="163">
        <f ca="1"/>
        <v>1.3398228453311734E-2</v>
      </c>
      <c r="AB296" s="163">
        <f ca="1"/>
        <v>0</v>
      </c>
      <c r="AC296" s="163">
        <f ca="1"/>
        <v>3.0584539205253392E-2</v>
      </c>
      <c r="AD296" s="163">
        <f ca="1"/>
        <v>5.61043079507485E-2</v>
      </c>
      <c r="AE296" s="139">
        <f ca="1"/>
        <v>9.7649543865474864E-2</v>
      </c>
      <c r="AI296" s="136">
        <v>1.1000000000000001E-3</v>
      </c>
      <c r="AK296" s="136">
        <v>1.2500000000000001E-2</v>
      </c>
      <c r="AM296" s="136">
        <v>2.8799999999999999E-2</v>
      </c>
      <c r="AN296" s="136">
        <v>5.2999999999999999E-2</v>
      </c>
      <c r="AO296" s="136">
        <v>9.2600000000000002E-2</v>
      </c>
      <c r="AR296" s="136">
        <v>1.2999999999999999E-3</v>
      </c>
      <c r="AT296" s="136">
        <v>1.3100000000000001E-2</v>
      </c>
      <c r="AV296" s="136">
        <v>3.0200000000000001E-2</v>
      </c>
      <c r="AW296" s="136">
        <v>5.5599999999999997E-2</v>
      </c>
      <c r="AX296" s="136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7" t="s">
        <v>87</v>
      </c>
      <c r="F297" s="156" t="s">
        <v>87</v>
      </c>
      <c r="G297" s="156">
        <v>6.2399999999999999E-4</v>
      </c>
      <c r="H297" s="156" t="s">
        <v>87</v>
      </c>
      <c r="I297" s="156">
        <v>2.0999999999999999E-3</v>
      </c>
      <c r="J297" s="156" t="s">
        <v>87</v>
      </c>
      <c r="K297" s="156">
        <v>2.5999999999999999E-3</v>
      </c>
      <c r="L297" s="156">
        <v>3.5999999999999999E-3</v>
      </c>
      <c r="M297" s="156">
        <v>4.5999999999999999E-3</v>
      </c>
      <c r="N297" s="138" cm="1">
        <f t="array" aca="1" ref="N297:AE297" ca="1">IF(OR(B297="",NOT($J$2)),"",GetStripDefaultProbability(A297,B297,Parameter_Date,CDSRollDate,E297:M297,SpreadCurveMaturities,D297,C297,$J$4,$J$6))</f>
        <v>0</v>
      </c>
      <c r="O297" s="163">
        <f ca="1"/>
        <v>0</v>
      </c>
      <c r="P297" s="163">
        <f ca="1"/>
        <v>1.143897805667593E-3</v>
      </c>
      <c r="Q297" s="163">
        <f ca="1"/>
        <v>0</v>
      </c>
      <c r="R297" s="163">
        <f ca="1"/>
        <v>1.1044300156480502E-2</v>
      </c>
      <c r="S297" s="163">
        <f ca="1"/>
        <v>0</v>
      </c>
      <c r="T297" s="163">
        <f ca="1"/>
        <v>2.2542304475873132E-2</v>
      </c>
      <c r="U297" s="163">
        <f ca="1"/>
        <v>4.4322101484456922E-2</v>
      </c>
      <c r="V297" s="139">
        <f ca="1"/>
        <v>8.1292525911270896E-2</v>
      </c>
      <c r="W297" s="138">
        <f ca="1"/>
        <v>0</v>
      </c>
      <c r="X297" s="163">
        <f ca="1"/>
        <v>0</v>
      </c>
      <c r="Y297" s="163">
        <f ca="1"/>
        <v>1.3103599504562524E-3</v>
      </c>
      <c r="Z297" s="163">
        <f ca="1"/>
        <v>0</v>
      </c>
      <c r="AA297" s="163">
        <f ca="1"/>
        <v>1.158503321520099E-2</v>
      </c>
      <c r="AB297" s="163">
        <f ca="1"/>
        <v>0</v>
      </c>
      <c r="AC297" s="163">
        <f ca="1"/>
        <v>2.3649227878391188E-2</v>
      </c>
      <c r="AD297" s="163">
        <f ca="1"/>
        <v>4.6488631647532364E-2</v>
      </c>
      <c r="AE297" s="139">
        <f ca="1"/>
        <v>8.5202963429500067E-2</v>
      </c>
      <c r="AI297" s="136">
        <v>1.1000000000000001E-3</v>
      </c>
      <c r="AK297" s="136">
        <v>1.0800000000000001E-2</v>
      </c>
      <c r="AM297" s="136">
        <v>2.23E-2</v>
      </c>
      <c r="AN297" s="136">
        <v>4.3900000000000002E-2</v>
      </c>
      <c r="AO297" s="136">
        <v>8.0799999999999997E-2</v>
      </c>
      <c r="AR297" s="136">
        <v>1.2999999999999999E-3</v>
      </c>
      <c r="AT297" s="136">
        <v>1.14E-2</v>
      </c>
      <c r="AV297" s="136">
        <v>2.3400000000000001E-2</v>
      </c>
      <c r="AW297" s="136">
        <v>4.6100000000000002E-2</v>
      </c>
      <c r="AX297" s="136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7" t="s">
        <v>87</v>
      </c>
      <c r="F298" s="156" t="s">
        <v>87</v>
      </c>
      <c r="G298" s="156">
        <v>1.1999999999999999E-3</v>
      </c>
      <c r="H298" s="156" t="s">
        <v>87</v>
      </c>
      <c r="I298" s="156">
        <v>2E-3</v>
      </c>
      <c r="J298" s="156" t="s">
        <v>87</v>
      </c>
      <c r="K298" s="156">
        <v>3.0000000000000001E-3</v>
      </c>
      <c r="L298" s="156">
        <v>4.0000000000000001E-3</v>
      </c>
      <c r="M298" s="156">
        <v>5.4999999999999997E-3</v>
      </c>
      <c r="N298" s="138" cm="1">
        <f t="array" aca="1" ref="N298:AE298" ca="1">IF(OR(B298="",NOT($J$2)),"",GetStripDefaultProbability(A298,B298,Parameter_Date,CDSRollDate,E298:M298,SpreadCurveMaturities,D298,C298,$J$4,$J$6))</f>
        <v>0</v>
      </c>
      <c r="O298" s="163">
        <f ca="1"/>
        <v>0</v>
      </c>
      <c r="P298" s="163">
        <f ca="1"/>
        <v>2.1986511638208972E-3</v>
      </c>
      <c r="Q298" s="163">
        <f ca="1"/>
        <v>0</v>
      </c>
      <c r="R298" s="163">
        <f ca="1"/>
        <v>1.0436720313543479E-2</v>
      </c>
      <c r="S298" s="163">
        <f ca="1"/>
        <v>0</v>
      </c>
      <c r="T298" s="163">
        <f ca="1"/>
        <v>2.6150400346450442E-2</v>
      </c>
      <c r="U298" s="163">
        <f ca="1"/>
        <v>4.9162311616328003E-2</v>
      </c>
      <c r="V298" s="139">
        <f ca="1"/>
        <v>9.7637630288307631E-2</v>
      </c>
      <c r="W298" s="138">
        <f ca="1"/>
        <v>0</v>
      </c>
      <c r="X298" s="163">
        <f ca="1"/>
        <v>0</v>
      </c>
      <c r="Y298" s="163">
        <f ca="1"/>
        <v>2.3649375310537124E-3</v>
      </c>
      <c r="Z298" s="163">
        <f ca="1"/>
        <v>0</v>
      </c>
      <c r="AA298" s="163">
        <f ca="1"/>
        <v>1.0951284602373379E-2</v>
      </c>
      <c r="AB298" s="163">
        <f ca="1"/>
        <v>0</v>
      </c>
      <c r="AC298" s="163">
        <f ca="1"/>
        <v>2.7437794045748864E-2</v>
      </c>
      <c r="AD298" s="163">
        <f ca="1"/>
        <v>5.1565996008987369E-2</v>
      </c>
      <c r="AE298" s="139">
        <f ca="1"/>
        <v>0.10234672015577728</v>
      </c>
      <c r="AI298" s="136">
        <v>2.0999999999999999E-3</v>
      </c>
      <c r="AK298" s="136">
        <v>1.0200000000000001E-2</v>
      </c>
      <c r="AM298" s="136">
        <v>2.5899999999999999E-2</v>
      </c>
      <c r="AN298" s="136">
        <v>4.87E-2</v>
      </c>
      <c r="AO298" s="136">
        <v>9.7000000000000003E-2</v>
      </c>
      <c r="AR298" s="136">
        <v>2.3E-3</v>
      </c>
      <c r="AT298" s="136">
        <v>1.0699999999999999E-2</v>
      </c>
      <c r="AV298" s="136">
        <v>2.7099999999999999E-2</v>
      </c>
      <c r="AW298" s="136">
        <v>5.11E-2</v>
      </c>
      <c r="AX298" s="136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7" t="s">
        <v>87</v>
      </c>
      <c r="F299" s="156" t="s">
        <v>87</v>
      </c>
      <c r="G299" s="156">
        <v>1.1999999999999999E-3</v>
      </c>
      <c r="H299" s="156" t="s">
        <v>87</v>
      </c>
      <c r="I299" s="156">
        <v>2E-3</v>
      </c>
      <c r="J299" s="156" t="s">
        <v>87</v>
      </c>
      <c r="K299" s="156">
        <v>3.0000000000000001E-3</v>
      </c>
      <c r="L299" s="156">
        <v>4.0000000000000001E-3</v>
      </c>
      <c r="M299" s="156">
        <v>5.4999999999999997E-3</v>
      </c>
      <c r="N299" s="138" cm="1">
        <f t="array" aca="1" ref="N299:AE299" ca="1">IF(OR(B299="",NOT($J$2)),"",GetStripDefaultProbability(A299,B299,Parameter_Date,CDSRollDate,E299:M299,SpreadCurveMaturities,D299,C299,$J$4,$J$6))</f>
        <v>0</v>
      </c>
      <c r="O299" s="163">
        <f ca="1"/>
        <v>0</v>
      </c>
      <c r="P299" s="163">
        <f ca="1"/>
        <v>2.1986511638208972E-3</v>
      </c>
      <c r="Q299" s="163">
        <f ca="1"/>
        <v>0</v>
      </c>
      <c r="R299" s="163">
        <f ca="1"/>
        <v>1.0436720313543479E-2</v>
      </c>
      <c r="S299" s="163">
        <f ca="1"/>
        <v>0</v>
      </c>
      <c r="T299" s="163">
        <f ca="1"/>
        <v>2.6150400346450442E-2</v>
      </c>
      <c r="U299" s="163">
        <f ca="1"/>
        <v>4.9162311616328003E-2</v>
      </c>
      <c r="V299" s="139">
        <f ca="1"/>
        <v>9.7637630288307631E-2</v>
      </c>
      <c r="W299" s="138">
        <f ca="1"/>
        <v>0</v>
      </c>
      <c r="X299" s="163">
        <f ca="1"/>
        <v>0</v>
      </c>
      <c r="Y299" s="163">
        <f ca="1"/>
        <v>2.3649375310537124E-3</v>
      </c>
      <c r="Z299" s="163">
        <f ca="1"/>
        <v>0</v>
      </c>
      <c r="AA299" s="163">
        <f ca="1"/>
        <v>1.0951284602373379E-2</v>
      </c>
      <c r="AB299" s="163">
        <f ca="1"/>
        <v>0</v>
      </c>
      <c r="AC299" s="163">
        <f ca="1"/>
        <v>2.7437794045748864E-2</v>
      </c>
      <c r="AD299" s="163">
        <f ca="1"/>
        <v>5.1565996008987369E-2</v>
      </c>
      <c r="AE299" s="139">
        <f ca="1"/>
        <v>0.10234672015577728</v>
      </c>
      <c r="AI299" s="136">
        <v>2.0999999999999999E-3</v>
      </c>
      <c r="AK299" s="136">
        <v>1.0200000000000001E-2</v>
      </c>
      <c r="AM299" s="136">
        <v>2.5899999999999999E-2</v>
      </c>
      <c r="AN299" s="136">
        <v>4.87E-2</v>
      </c>
      <c r="AO299" s="136">
        <v>9.7000000000000003E-2</v>
      </c>
      <c r="AR299" s="136">
        <v>2.3E-3</v>
      </c>
      <c r="AT299" s="136">
        <v>1.0699999999999999E-2</v>
      </c>
      <c r="AV299" s="136">
        <v>2.7099999999999999E-2</v>
      </c>
      <c r="AW299" s="136">
        <v>5.11E-2</v>
      </c>
      <c r="AX299" s="136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7" t="s">
        <v>87</v>
      </c>
      <c r="F300" s="156" t="s">
        <v>87</v>
      </c>
      <c r="G300" s="156">
        <v>4.8799999999999999E-4</v>
      </c>
      <c r="H300" s="156" t="s">
        <v>87</v>
      </c>
      <c r="I300" s="156">
        <v>1.9499999999999999E-3</v>
      </c>
      <c r="J300" s="156" t="s">
        <v>87</v>
      </c>
      <c r="K300" s="156">
        <v>2.65E-3</v>
      </c>
      <c r="L300" s="156">
        <v>3.5500000000000002E-3</v>
      </c>
      <c r="M300" s="156">
        <v>4.5500000000000002E-3</v>
      </c>
      <c r="N300" s="138" cm="1">
        <f t="array" aca="1" ref="N300:AE300" ca="1">IF(OR(B300="",NOT($J$2)),"",GetStripDefaultProbability(A300,B300,Parameter_Date,CDSRollDate,E300:M300,SpreadCurveMaturities,D300,C300,$J$4,$J$6))</f>
        <v>0</v>
      </c>
      <c r="O300" s="163">
        <f ca="1"/>
        <v>0</v>
      </c>
      <c r="P300" s="163">
        <f ca="1"/>
        <v>8.9469746008152828E-4</v>
      </c>
      <c r="Q300" s="163">
        <f ca="1"/>
        <v>0</v>
      </c>
      <c r="R300" s="163">
        <f ca="1"/>
        <v>1.0270996239597929E-2</v>
      </c>
      <c r="S300" s="163">
        <f ca="1"/>
        <v>0</v>
      </c>
      <c r="T300" s="163">
        <f ca="1"/>
        <v>2.3101195968857846E-2</v>
      </c>
      <c r="U300" s="163">
        <f ca="1"/>
        <v>4.3710821095540586E-2</v>
      </c>
      <c r="V300" s="139">
        <f ca="1"/>
        <v>8.0465207552436024E-2</v>
      </c>
      <c r="W300" s="138">
        <f ca="1"/>
        <v>0</v>
      </c>
      <c r="X300" s="163">
        <f ca="1"/>
        <v>0</v>
      </c>
      <c r="Y300" s="163">
        <f ca="1"/>
        <v>1.0612011348334338E-3</v>
      </c>
      <c r="Z300" s="163">
        <f ca="1"/>
        <v>0</v>
      </c>
      <c r="AA300" s="163">
        <f ca="1"/>
        <v>1.0785821760655789E-2</v>
      </c>
      <c r="AB300" s="163">
        <f ca="1"/>
        <v>0</v>
      </c>
      <c r="AC300" s="163">
        <f ca="1"/>
        <v>2.4233429375591919E-2</v>
      </c>
      <c r="AD300" s="163">
        <f ca="1"/>
        <v>4.5845913197640753E-2</v>
      </c>
      <c r="AE300" s="139">
        <f ca="1"/>
        <v>8.4334884318509662E-2</v>
      </c>
      <c r="AI300" s="136">
        <v>8.0000000000000004E-4</v>
      </c>
      <c r="AK300" s="136">
        <v>1.01E-2</v>
      </c>
      <c r="AM300" s="136">
        <v>2.2800000000000001E-2</v>
      </c>
      <c r="AN300" s="136">
        <v>4.3299999999999998E-2</v>
      </c>
      <c r="AO300" s="136">
        <v>0.08</v>
      </c>
      <c r="AR300" s="136">
        <v>1E-3</v>
      </c>
      <c r="AT300" s="136">
        <v>1.06E-2</v>
      </c>
      <c r="AV300" s="136">
        <v>2.4E-2</v>
      </c>
      <c r="AW300" s="136">
        <v>4.5499999999999999E-2</v>
      </c>
      <c r="AX300" s="136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7" t="s">
        <v>87</v>
      </c>
      <c r="F301" s="156" t="s">
        <v>87</v>
      </c>
      <c r="G301" s="156">
        <v>7.2199999999999999E-4</v>
      </c>
      <c r="H301" s="156" t="s">
        <v>87</v>
      </c>
      <c r="I301" s="156">
        <v>1.7849999999999999E-3</v>
      </c>
      <c r="J301" s="156" t="s">
        <v>87</v>
      </c>
      <c r="K301" s="156">
        <v>2.5500000000000002E-3</v>
      </c>
      <c r="L301" s="156">
        <v>3.4719999999999998E-3</v>
      </c>
      <c r="M301" s="156">
        <v>4.3400000000000001E-3</v>
      </c>
      <c r="N301" s="138" cm="1">
        <f t="array" aca="1" ref="N301:AE301" ca="1">IF(OR(B301="",NOT($J$2)),"",GetStripDefaultProbability(A301,B301,Parameter_Date,CDSRollDate,E301:M301,SpreadCurveMaturities,D301,C301,$J$4,$J$6))</f>
        <v>0</v>
      </c>
      <c r="O301" s="163">
        <f ca="1"/>
        <v>0</v>
      </c>
      <c r="P301" s="163">
        <f ca="1"/>
        <v>1.3234304130260721E-3</v>
      </c>
      <c r="Q301" s="163">
        <f ca="1"/>
        <v>0</v>
      </c>
      <c r="R301" s="163">
        <f ca="1"/>
        <v>9.3670516218719024E-3</v>
      </c>
      <c r="S301" s="163">
        <f ca="1"/>
        <v>0</v>
      </c>
      <c r="T301" s="163">
        <f ca="1"/>
        <v>2.2253466384818288E-2</v>
      </c>
      <c r="U301" s="163">
        <f ca="1"/>
        <v>4.2845812931493921E-2</v>
      </c>
      <c r="V301" s="139">
        <f ca="1"/>
        <v>7.6652074706591411E-2</v>
      </c>
      <c r="W301" s="138">
        <f ca="1"/>
        <v>0</v>
      </c>
      <c r="X301" s="163">
        <f ca="1"/>
        <v>0</v>
      </c>
      <c r="Y301" s="163">
        <f ca="1"/>
        <v>1.4898626382069402E-3</v>
      </c>
      <c r="Z301" s="163">
        <f ca="1"/>
        <v>0</v>
      </c>
      <c r="AA301" s="163">
        <f ca="1"/>
        <v>9.8823248599735347E-3</v>
      </c>
      <c r="AB301" s="163">
        <f ca="1"/>
        <v>0</v>
      </c>
      <c r="AC301" s="163">
        <f ca="1"/>
        <v>2.3341091616957965E-2</v>
      </c>
      <c r="AD301" s="163">
        <f ca="1"/>
        <v>4.493642437215728E-2</v>
      </c>
      <c r="AE301" s="139">
        <f ca="1"/>
        <v>8.0341462826250098E-2</v>
      </c>
      <c r="AI301" s="136">
        <v>1.2999999999999999E-3</v>
      </c>
      <c r="AK301" s="136">
        <v>9.1999999999999998E-3</v>
      </c>
      <c r="AM301" s="136">
        <v>2.1999999999999999E-2</v>
      </c>
      <c r="AN301" s="136">
        <v>4.2500000000000003E-2</v>
      </c>
      <c r="AO301" s="136">
        <v>7.6200000000000004E-2</v>
      </c>
      <c r="AR301" s="136">
        <v>1.4E-3</v>
      </c>
      <c r="AT301" s="136">
        <v>9.7000000000000003E-3</v>
      </c>
      <c r="AV301" s="136">
        <v>2.3099999999999999E-2</v>
      </c>
      <c r="AW301" s="136">
        <v>4.4600000000000001E-2</v>
      </c>
      <c r="AX301" s="136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7" t="s">
        <v>87</v>
      </c>
      <c r="F302" s="156">
        <v>5.9999999999999995E-4</v>
      </c>
      <c r="G302" s="156">
        <v>5.9999999999999995E-4</v>
      </c>
      <c r="H302" s="156">
        <v>1.1999999999999999E-3</v>
      </c>
      <c r="I302" s="156">
        <v>1.8E-3</v>
      </c>
      <c r="J302" s="156" t="s">
        <v>87</v>
      </c>
      <c r="K302" s="156">
        <v>2.8999999999999998E-3</v>
      </c>
      <c r="L302" s="156">
        <v>3.5000000000000001E-3</v>
      </c>
      <c r="M302" s="156">
        <v>4.4999999999999997E-3</v>
      </c>
      <c r="N302" s="138" cm="1">
        <f t="array" aca="1" ref="N302:AE302" ca="1">IF(OR(B302="",NOT($J$2)),"",GetStripDefaultProbability(A302,B302,Parameter_Date,CDSRollDate,E302:M302,SpreadCurveMaturities,D302,C302,$J$4,$J$6))</f>
        <v>0</v>
      </c>
      <c r="O302" s="163">
        <f ca="1"/>
        <v>5.9844205622783253E-4</v>
      </c>
      <c r="P302" s="163">
        <f ca="1"/>
        <v>1.0999062039814822E-3</v>
      </c>
      <c r="Q302" s="163">
        <f ca="1"/>
        <v>4.2599503670486261E-3</v>
      </c>
      <c r="R302" s="163">
        <f ca="1"/>
        <v>9.5104770634563129E-3</v>
      </c>
      <c r="S302" s="163">
        <f ca="1"/>
        <v>0</v>
      </c>
      <c r="T302" s="163">
        <f ca="1"/>
        <v>2.5446049839163543E-2</v>
      </c>
      <c r="U302" s="163">
        <f ca="1"/>
        <v>4.2749455957680871E-2</v>
      </c>
      <c r="V302" s="139">
        <f ca="1"/>
        <v>7.8837501613716943E-2</v>
      </c>
      <c r="W302" s="138">
        <f ca="1"/>
        <v>0</v>
      </c>
      <c r="X302" s="163">
        <f ca="1"/>
        <v>6.9814675354706868E-4</v>
      </c>
      <c r="Y302" s="163">
        <f ca="1"/>
        <v>1.266375680099352E-3</v>
      </c>
      <c r="Z302" s="163">
        <f ca="1"/>
        <v>4.6103725051148681E-3</v>
      </c>
      <c r="AA302" s="163">
        <f ca="1"/>
        <v>1.0025761522608589E-2</v>
      </c>
      <c r="AB302" s="163">
        <f ca="1"/>
        <v>0</v>
      </c>
      <c r="AC302" s="163">
        <f ca="1"/>
        <v>2.6687593385317232E-2</v>
      </c>
      <c r="AD302" s="163">
        <f ca="1"/>
        <v>4.483220099426366E-2</v>
      </c>
      <c r="AE302" s="139">
        <f ca="1"/>
        <v>8.2625209095644192E-2</v>
      </c>
      <c r="AH302" s="136">
        <v>5.0000000000000001E-4</v>
      </c>
      <c r="AI302" s="136">
        <v>1E-3</v>
      </c>
      <c r="AJ302" s="136">
        <v>4.1000000000000003E-3</v>
      </c>
      <c r="AK302" s="136">
        <v>9.2999999999999992E-3</v>
      </c>
      <c r="AM302" s="136">
        <v>2.52E-2</v>
      </c>
      <c r="AN302" s="136">
        <v>4.24E-2</v>
      </c>
      <c r="AO302" s="136">
        <v>7.8399999999999997E-2</v>
      </c>
      <c r="AQ302" s="136">
        <v>5.9999999999999995E-4</v>
      </c>
      <c r="AR302" s="136">
        <v>1.1999999999999999E-3</v>
      </c>
      <c r="AS302" s="136">
        <v>4.4999999999999997E-3</v>
      </c>
      <c r="AT302" s="136">
        <v>9.7999999999999997E-3</v>
      </c>
      <c r="AV302" s="136">
        <v>2.64E-2</v>
      </c>
      <c r="AW302" s="136">
        <v>4.4499999999999998E-2</v>
      </c>
      <c r="AX302" s="136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7" t="s">
        <v>87</v>
      </c>
      <c r="F303" s="156" t="s">
        <v>87</v>
      </c>
      <c r="G303" s="156">
        <v>6.5200000000000002E-4</v>
      </c>
      <c r="H303" s="156" t="s">
        <v>87</v>
      </c>
      <c r="I303" s="156">
        <v>1.8649999999999999E-3</v>
      </c>
      <c r="J303" s="156" t="s">
        <v>87</v>
      </c>
      <c r="K303" s="156">
        <v>2.7000000000000001E-3</v>
      </c>
      <c r="L303" s="156">
        <v>3.3869999999999998E-3</v>
      </c>
      <c r="M303" s="156">
        <v>4.0249999999999999E-3</v>
      </c>
      <c r="N303" s="138" cm="1">
        <f t="array" aca="1" ref="N303:AE303" ca="1">IF(OR(B303="",NOT($J$2)),"",GetStripDefaultProbability(A303,B303,Parameter_Date,CDSRollDate,E303:M303,SpreadCurveMaturities,D303,C303,$J$4,$J$6))</f>
        <v>0</v>
      </c>
      <c r="O303" s="163">
        <f ca="1"/>
        <v>0</v>
      </c>
      <c r="P303" s="163">
        <f ca="1"/>
        <v>1.1951961033497271E-3</v>
      </c>
      <c r="Q303" s="163">
        <f ca="1"/>
        <v>0</v>
      </c>
      <c r="R303" s="163">
        <f ca="1"/>
        <v>9.799361860734157E-3</v>
      </c>
      <c r="S303" s="163">
        <f ca="1"/>
        <v>0</v>
      </c>
      <c r="T303" s="163">
        <f ca="1"/>
        <v>2.3581114975868234E-2</v>
      </c>
      <c r="U303" s="163">
        <f ca="1"/>
        <v>4.1518414394869363E-2</v>
      </c>
      <c r="V303" s="139">
        <f ca="1"/>
        <v>7.0397869330285801E-2</v>
      </c>
      <c r="W303" s="138">
        <f ca="1"/>
        <v>0</v>
      </c>
      <c r="X303" s="163">
        <f ca="1"/>
        <v>0</v>
      </c>
      <c r="Y303" s="163">
        <f ca="1"/>
        <v>1.3616496991472049E-3</v>
      </c>
      <c r="Z303" s="163">
        <f ca="1"/>
        <v>0</v>
      </c>
      <c r="AA303" s="163">
        <f ca="1"/>
        <v>1.0314414609380984E-2</v>
      </c>
      <c r="AB303" s="163">
        <f ca="1"/>
        <v>0</v>
      </c>
      <c r="AC303" s="163">
        <f ca="1"/>
        <v>2.473557503401036E-2</v>
      </c>
      <c r="AD303" s="163">
        <f ca="1"/>
        <v>4.3545976544788423E-2</v>
      </c>
      <c r="AE303" s="139">
        <f ca="1"/>
        <v>7.3793512830708896E-2</v>
      </c>
      <c r="AI303" s="136">
        <v>1.1000000000000001E-3</v>
      </c>
      <c r="AK303" s="136">
        <v>9.5999999999999992E-3</v>
      </c>
      <c r="AM303" s="136">
        <v>2.3300000000000001E-2</v>
      </c>
      <c r="AN303" s="136">
        <v>4.1200000000000001E-2</v>
      </c>
      <c r="AO303" s="136">
        <v>7.0000000000000007E-2</v>
      </c>
      <c r="AR303" s="136">
        <v>1.2999999999999999E-3</v>
      </c>
      <c r="AT303" s="136">
        <v>1.01E-2</v>
      </c>
      <c r="AV303" s="136">
        <v>2.4500000000000001E-2</v>
      </c>
      <c r="AW303" s="136">
        <v>4.3200000000000002E-2</v>
      </c>
      <c r="AX303" s="136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7" t="s">
        <v>87</v>
      </c>
      <c r="F304" s="156">
        <v>5.0000000000000001E-4</v>
      </c>
      <c r="G304" s="156">
        <v>5.0000000000000001E-4</v>
      </c>
      <c r="H304" s="156">
        <v>1E-3</v>
      </c>
      <c r="I304" s="156">
        <v>1.5E-3</v>
      </c>
      <c r="J304" s="156" t="s">
        <v>87</v>
      </c>
      <c r="K304" s="156">
        <v>2.5999999999999999E-3</v>
      </c>
      <c r="L304" s="156">
        <v>3.3E-3</v>
      </c>
      <c r="M304" s="156">
        <v>4.0000000000000001E-3</v>
      </c>
      <c r="N304" s="138" cm="1">
        <f t="array" aca="1" ref="N304:AE304" ca="1">IF(OR(B304="",NOT($J$2)),"",GetStripDefaultProbability(A304,B304,Parameter_Date,CDSRollDate,E304:M304,SpreadCurveMaturities,D304,C304,$J$4,$J$6))</f>
        <v>0</v>
      </c>
      <c r="O304" s="163">
        <f ca="1"/>
        <v>4.9872651070981266E-4</v>
      </c>
      <c r="P304" s="163">
        <f ca="1"/>
        <v>9.1667256579530676E-4</v>
      </c>
      <c r="Q304" s="163">
        <f ca="1"/>
        <v>3.550876104413736E-3</v>
      </c>
      <c r="R304" s="163">
        <f ca="1"/>
        <v>7.9296765319296636E-3</v>
      </c>
      <c r="S304" s="163">
        <f ca="1"/>
        <v>0</v>
      </c>
      <c r="T304" s="163">
        <f ca="1"/>
        <v>2.2895580793910741E-2</v>
      </c>
      <c r="U304" s="163">
        <f ca="1"/>
        <v>4.0576423954132856E-2</v>
      </c>
      <c r="V304" s="139">
        <f ca="1"/>
        <v>6.9989082306155637E-2</v>
      </c>
      <c r="W304" s="138">
        <f ca="1"/>
        <v>0</v>
      </c>
      <c r="X304" s="163">
        <f ca="1"/>
        <v>5.9844139207421154E-4</v>
      </c>
      <c r="Y304" s="163">
        <f ca="1"/>
        <v>1.0831725783114754E-3</v>
      </c>
      <c r="Z304" s="163">
        <f ca="1"/>
        <v>3.901521012269149E-3</v>
      </c>
      <c r="AA304" s="163">
        <f ca="1"/>
        <v>8.4456764198472811E-3</v>
      </c>
      <c r="AB304" s="163">
        <f ca="1"/>
        <v>0</v>
      </c>
      <c r="AC304" s="163">
        <f ca="1"/>
        <v>2.4004438504332426E-2</v>
      </c>
      <c r="AD304" s="163">
        <f ca="1"/>
        <v>4.2547210298810922E-2</v>
      </c>
      <c r="AE304" s="139">
        <f ca="1"/>
        <v>7.3355963541396618E-2</v>
      </c>
      <c r="AH304" s="136">
        <v>5.0000000000000001E-4</v>
      </c>
      <c r="AI304" s="136">
        <v>8.9999999999999998E-4</v>
      </c>
      <c r="AJ304" s="136">
        <v>3.5000000000000001E-3</v>
      </c>
      <c r="AK304" s="136">
        <v>7.7999999999999996E-3</v>
      </c>
      <c r="AM304" s="136">
        <v>2.2599999999999999E-2</v>
      </c>
      <c r="AN304" s="136">
        <v>4.02E-2</v>
      </c>
      <c r="AO304" s="136">
        <v>6.9599999999999995E-2</v>
      </c>
      <c r="AQ304" s="136">
        <v>5.0000000000000001E-4</v>
      </c>
      <c r="AR304" s="136">
        <v>1E-3</v>
      </c>
      <c r="AS304" s="136">
        <v>3.8E-3</v>
      </c>
      <c r="AT304" s="136">
        <v>8.3000000000000001E-3</v>
      </c>
      <c r="AV304" s="136">
        <v>2.3699999999999999E-2</v>
      </c>
      <c r="AW304" s="136">
        <v>4.2200000000000001E-2</v>
      </c>
      <c r="AX304" s="136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7" t="s">
        <v>87</v>
      </c>
      <c r="F305" s="156">
        <v>4.0000000000000002E-4</v>
      </c>
      <c r="G305" s="156">
        <v>5.9999999999999995E-4</v>
      </c>
      <c r="H305" s="156">
        <v>1.1000000000000001E-3</v>
      </c>
      <c r="I305" s="156">
        <v>1.4E-3</v>
      </c>
      <c r="J305" s="156" t="s">
        <v>87</v>
      </c>
      <c r="K305" s="156">
        <v>2.3999999999999998E-3</v>
      </c>
      <c r="L305" s="156">
        <v>3.2000000000000002E-3</v>
      </c>
      <c r="M305" s="156">
        <v>4.1000000000000003E-3</v>
      </c>
      <c r="N305" s="138" cm="1">
        <f t="array" aca="1" ref="N305:AE305" ca="1">IF(OR(B305="",NOT($J$2)),"",GetStripDefaultProbability(A305,B305,Parameter_Date,CDSRollDate,E305:M305,SpreadCurveMaturities,D305,C305,$J$4,$J$6))</f>
        <v>0</v>
      </c>
      <c r="O305" s="163">
        <f ca="1"/>
        <v>3.9900104827061966E-4</v>
      </c>
      <c r="P305" s="163">
        <f ca="1"/>
        <v>1.1049878534659108E-3</v>
      </c>
      <c r="Q305" s="163">
        <f ca="1"/>
        <v>3.9061410518371753E-3</v>
      </c>
      <c r="R305" s="163">
        <f ca="1"/>
        <v>7.3679142559065491E-3</v>
      </c>
      <c r="S305" s="163">
        <f ca="1"/>
        <v>0</v>
      </c>
      <c r="T305" s="163">
        <f ca="1"/>
        <v>2.1102789733880356E-2</v>
      </c>
      <c r="U305" s="163">
        <f ca="1"/>
        <v>3.9470699320086511E-2</v>
      </c>
      <c r="V305" s="139">
        <f ca="1"/>
        <v>7.2314824112811205E-2</v>
      </c>
      <c r="W305" s="138">
        <f ca="1"/>
        <v>0</v>
      </c>
      <c r="X305" s="163">
        <f ca="1"/>
        <v>4.9872606913303752E-4</v>
      </c>
      <c r="Y305" s="163">
        <f ca="1"/>
        <v>1.2714564827104313E-3</v>
      </c>
      <c r="Z305" s="163">
        <f ca="1"/>
        <v>4.2566790699356538E-3</v>
      </c>
      <c r="AA305" s="163">
        <f ca="1"/>
        <v>7.8840538246789382E-3</v>
      </c>
      <c r="AB305" s="163">
        <f ca="1"/>
        <v>0</v>
      </c>
      <c r="AC305" s="163">
        <f ca="1"/>
        <v>2.2122744204687184E-2</v>
      </c>
      <c r="AD305" s="163">
        <f ca="1"/>
        <v>4.1387381274566537E-2</v>
      </c>
      <c r="AE305" s="139">
        <f ca="1"/>
        <v>7.5792148326529474E-2</v>
      </c>
      <c r="AH305" s="136">
        <v>4.0000000000000002E-4</v>
      </c>
      <c r="AI305" s="136">
        <v>1E-3</v>
      </c>
      <c r="AJ305" s="136">
        <v>3.8E-3</v>
      </c>
      <c r="AK305" s="136">
        <v>7.1999999999999998E-3</v>
      </c>
      <c r="AM305" s="136">
        <v>2.0899999999999998E-2</v>
      </c>
      <c r="AN305" s="136">
        <v>3.9100000000000003E-2</v>
      </c>
      <c r="AO305" s="136">
        <v>7.1900000000000006E-2</v>
      </c>
      <c r="AQ305" s="136">
        <v>4.0000000000000002E-4</v>
      </c>
      <c r="AR305" s="136">
        <v>1.1999999999999999E-3</v>
      </c>
      <c r="AS305" s="136">
        <v>4.1000000000000003E-3</v>
      </c>
      <c r="AT305" s="136">
        <v>7.7000000000000002E-3</v>
      </c>
      <c r="AV305" s="136">
        <v>2.1899999999999999E-2</v>
      </c>
      <c r="AW305" s="136">
        <v>4.1000000000000002E-2</v>
      </c>
      <c r="AX305" s="136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7" t="s">
        <v>87</v>
      </c>
      <c r="F306" s="156" t="s">
        <v>87</v>
      </c>
      <c r="G306" s="156">
        <v>3.8699999999999997E-4</v>
      </c>
      <c r="H306" s="156" t="s">
        <v>87</v>
      </c>
      <c r="I306" s="156">
        <v>1.2999999999999999E-3</v>
      </c>
      <c r="J306" s="156" t="s">
        <v>87</v>
      </c>
      <c r="K306" s="156">
        <v>2E-3</v>
      </c>
      <c r="L306" s="156">
        <v>3.0999999999999999E-3</v>
      </c>
      <c r="M306" s="156">
        <v>3.5999999999999999E-3</v>
      </c>
      <c r="N306" s="138" cm="1">
        <f t="array" aca="1" ref="N306:AE306" ca="1">IF(OR(B306="",NOT($J$2)),"",GetStripDefaultProbability(A306,B306,Parameter_Date,CDSRollDate,E306:M306,SpreadCurveMaturities,D306,C306,$J$4,$J$6))</f>
        <v>0</v>
      </c>
      <c r="O306" s="163">
        <f ca="1"/>
        <v>0</v>
      </c>
      <c r="P306" s="163">
        <f ca="1"/>
        <v>7.0958963894085514E-4</v>
      </c>
      <c r="Q306" s="163">
        <f ca="1"/>
        <v>0</v>
      </c>
      <c r="R306" s="163">
        <f ca="1"/>
        <v>6.8473776844036882E-3</v>
      </c>
      <c r="S306" s="163">
        <f ca="1"/>
        <v>0</v>
      </c>
      <c r="T306" s="163">
        <f ca="1"/>
        <v>1.7565506439536804E-2</v>
      </c>
      <c r="U306" s="163">
        <f ca="1"/>
        <v>3.8818285925250273E-2</v>
      </c>
      <c r="V306" s="139">
        <f ca="1"/>
        <v>6.3676935307432569E-2</v>
      </c>
      <c r="W306" s="138">
        <f ca="1"/>
        <v>0</v>
      </c>
      <c r="X306" s="163">
        <f ca="1"/>
        <v>0</v>
      </c>
      <c r="Y306" s="163">
        <f ca="1"/>
        <v>8.7612416238624924E-4</v>
      </c>
      <c r="Z306" s="163">
        <f ca="1"/>
        <v>0</v>
      </c>
      <c r="AA306" s="163">
        <f ca="1"/>
        <v>7.3640814631087403E-3</v>
      </c>
      <c r="AB306" s="163">
        <f ca="1"/>
        <v>0</v>
      </c>
      <c r="AC306" s="163">
        <f ca="1"/>
        <v>1.8407512063988496E-2</v>
      </c>
      <c r="AD306" s="163">
        <f ca="1"/>
        <v>4.0699720925333804E-2</v>
      </c>
      <c r="AE306" s="139">
        <f ca="1"/>
        <v>6.6743865695489957E-2</v>
      </c>
      <c r="AI306" s="136">
        <v>6.9999999999999999E-4</v>
      </c>
      <c r="AK306" s="136">
        <v>6.7000000000000002E-3</v>
      </c>
      <c r="AM306" s="136">
        <v>1.7399999999999999E-2</v>
      </c>
      <c r="AN306" s="136">
        <v>3.85E-2</v>
      </c>
      <c r="AO306" s="136">
        <v>6.3299999999999995E-2</v>
      </c>
      <c r="AR306" s="136">
        <v>8.0000000000000004E-4</v>
      </c>
      <c r="AT306" s="136">
        <v>7.1999999999999998E-3</v>
      </c>
      <c r="AV306" s="136">
        <v>1.8200000000000001E-2</v>
      </c>
      <c r="AW306" s="136">
        <v>4.0300000000000002E-2</v>
      </c>
      <c r="AX306" s="136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7" t="s">
        <v>87</v>
      </c>
      <c r="F307" s="156">
        <v>4.0000000000000002E-4</v>
      </c>
      <c r="G307" s="156">
        <v>8.9999999999999998E-4</v>
      </c>
      <c r="H307" s="156">
        <v>1.4E-3</v>
      </c>
      <c r="I307" s="156">
        <v>1.6999999999999999E-3</v>
      </c>
      <c r="J307" s="156" t="s">
        <v>87</v>
      </c>
      <c r="K307" s="156">
        <v>2.5000000000000001E-3</v>
      </c>
      <c r="L307" s="156">
        <v>2.8999999999999998E-3</v>
      </c>
      <c r="M307" s="156">
        <v>3.3999999999999998E-3</v>
      </c>
      <c r="N307" s="138" cm="1">
        <f t="array" aca="1" ref="N307:AE307" ca="1">IF(OR(B307="",NOT($J$2)),"",GetStripDefaultProbability(A307,B307,Parameter_Date,CDSRollDate,E307:M307,SpreadCurveMaturities,D307,C307,$J$4,$J$6))</f>
        <v>0</v>
      </c>
      <c r="O307" s="163">
        <f ca="1"/>
        <v>3.9900104827061966E-4</v>
      </c>
      <c r="P307" s="163">
        <f ca="1"/>
        <v>1.6622452761001494E-3</v>
      </c>
      <c r="Q307" s="163">
        <f ca="1"/>
        <v>4.9635767122303553E-3</v>
      </c>
      <c r="R307" s="163">
        <f ca="1"/>
        <v>8.9218134945693306E-3</v>
      </c>
      <c r="S307" s="163">
        <f ca="1"/>
        <v>0</v>
      </c>
      <c r="T307" s="163">
        <f ca="1"/>
        <v>2.1819167223315561E-2</v>
      </c>
      <c r="U307" s="163">
        <f ca="1"/>
        <v>3.5249282679540306E-2</v>
      </c>
      <c r="V307" s="139">
        <f ca="1"/>
        <v>5.8987670992882268E-2</v>
      </c>
      <c r="W307" s="138">
        <f ca="1"/>
        <v>0</v>
      </c>
      <c r="X307" s="163">
        <f ca="1"/>
        <v>4.9872606913303752E-4</v>
      </c>
      <c r="Y307" s="163">
        <f ca="1"/>
        <v>1.828621036846334E-3</v>
      </c>
      <c r="Z307" s="163">
        <f ca="1"/>
        <v>5.3137665251158372E-3</v>
      </c>
      <c r="AA307" s="163">
        <f ca="1"/>
        <v>9.4371669478802156E-3</v>
      </c>
      <c r="AB307" s="163">
        <f ca="1"/>
        <v>0</v>
      </c>
      <c r="AC307" s="163">
        <f ca="1"/>
        <v>2.2883235806730795E-2</v>
      </c>
      <c r="AD307" s="163">
        <f ca="1"/>
        <v>3.6968634785527921E-2</v>
      </c>
      <c r="AE307" s="139">
        <f ca="1"/>
        <v>6.184089020757555E-2</v>
      </c>
      <c r="AH307" s="136">
        <v>4.0000000000000002E-4</v>
      </c>
      <c r="AI307" s="136">
        <v>1.6000000000000001E-3</v>
      </c>
      <c r="AJ307" s="136">
        <v>4.7999999999999996E-3</v>
      </c>
      <c r="AK307" s="136">
        <v>8.8000000000000005E-3</v>
      </c>
      <c r="AM307" s="136">
        <v>2.1600000000000001E-2</v>
      </c>
      <c r="AN307" s="136">
        <v>3.5000000000000003E-2</v>
      </c>
      <c r="AO307" s="136">
        <v>5.8599999999999999E-2</v>
      </c>
      <c r="AQ307" s="136">
        <v>4.0000000000000002E-4</v>
      </c>
      <c r="AR307" s="136">
        <v>1.6999999999999999E-3</v>
      </c>
      <c r="AS307" s="136">
        <v>5.1999999999999998E-3</v>
      </c>
      <c r="AT307" s="136">
        <v>9.2999999999999992E-3</v>
      </c>
      <c r="AV307" s="136">
        <v>2.2599999999999999E-2</v>
      </c>
      <c r="AW307" s="136">
        <v>3.6700000000000003E-2</v>
      </c>
      <c r="AX307" s="136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7" t="s">
        <v>87</v>
      </c>
      <c r="F308" s="156">
        <v>5.0000000000000001E-4</v>
      </c>
      <c r="G308" s="156">
        <v>6.9999999999999999E-4</v>
      </c>
      <c r="H308" s="156">
        <v>1.1000000000000001E-3</v>
      </c>
      <c r="I308" s="156">
        <v>1.6000000000000001E-3</v>
      </c>
      <c r="J308" s="156" t="s">
        <v>87</v>
      </c>
      <c r="K308" s="156">
        <v>2.3E-3</v>
      </c>
      <c r="L308" s="156">
        <v>2.8999999999999998E-3</v>
      </c>
      <c r="M308" s="156">
        <v>3.7000000000000002E-3</v>
      </c>
      <c r="N308" s="138" cm="1">
        <f t="array" aca="1" ref="N308:AE308" ca="1">IF(OR(B308="",NOT($J$2)),"",GetStripDefaultProbability(A308,B308,Parameter_Date,CDSRollDate,E308:M308,SpreadCurveMaturities,D308,C308,$J$4,$J$6))</f>
        <v>0</v>
      </c>
      <c r="O308" s="163">
        <f ca="1"/>
        <v>4.9872651070981266E-4</v>
      </c>
      <c r="P308" s="163">
        <f ca="1"/>
        <v>1.2882057658748503E-3</v>
      </c>
      <c r="Q308" s="163">
        <f ca="1"/>
        <v>3.8971707420715207E-3</v>
      </c>
      <c r="R308" s="163">
        <f ca="1"/>
        <v>8.4413035981952822E-3</v>
      </c>
      <c r="S308" s="163">
        <f ca="1"/>
        <v>0</v>
      </c>
      <c r="T308" s="163">
        <f ca="1"/>
        <v>2.0109274411166389E-2</v>
      </c>
      <c r="U308" s="163">
        <f ca="1"/>
        <v>3.5536330562923824E-2</v>
      </c>
      <c r="V308" s="139">
        <f ca="1"/>
        <v>6.5105252282947723E-2</v>
      </c>
      <c r="W308" s="138">
        <f ca="1"/>
        <v>0</v>
      </c>
      <c r="X308" s="163">
        <f ca="1"/>
        <v>5.9844139207421154E-4</v>
      </c>
      <c r="Y308" s="163">
        <f ca="1"/>
        <v>1.454643861349969E-3</v>
      </c>
      <c r="Z308" s="163">
        <f ca="1"/>
        <v>4.2476819057671866E-3</v>
      </c>
      <c r="AA308" s="163">
        <f ca="1"/>
        <v>8.9570194471012554E-3</v>
      </c>
      <c r="AB308" s="163">
        <f ca="1"/>
        <v>0</v>
      </c>
      <c r="AC308" s="163">
        <f ca="1"/>
        <v>2.1084666301198096E-2</v>
      </c>
      <c r="AD308" s="163">
        <f ca="1"/>
        <v>3.7265595372221072E-2</v>
      </c>
      <c r="AE308" s="139">
        <f ca="1"/>
        <v>6.8246148246928207E-2</v>
      </c>
      <c r="AH308" s="136">
        <v>5.0000000000000001E-4</v>
      </c>
      <c r="AI308" s="136">
        <v>1.1999999999999999E-3</v>
      </c>
      <c r="AJ308" s="136">
        <v>3.8E-3</v>
      </c>
      <c r="AK308" s="136">
        <v>8.3000000000000001E-3</v>
      </c>
      <c r="AM308" s="136">
        <v>1.9900000000000001E-2</v>
      </c>
      <c r="AN308" s="136">
        <v>3.5200000000000002E-2</v>
      </c>
      <c r="AO308" s="136">
        <v>6.4699999999999994E-2</v>
      </c>
      <c r="AQ308" s="136">
        <v>5.0000000000000001E-4</v>
      </c>
      <c r="AR308" s="136">
        <v>1.4E-3</v>
      </c>
      <c r="AS308" s="136">
        <v>4.1000000000000003E-3</v>
      </c>
      <c r="AT308" s="136">
        <v>8.8000000000000005E-3</v>
      </c>
      <c r="AV308" s="136">
        <v>2.0799999999999999E-2</v>
      </c>
      <c r="AW308" s="136">
        <v>3.6999999999999998E-2</v>
      </c>
      <c r="AX308" s="136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7" t="s">
        <v>87</v>
      </c>
      <c r="F309" s="156">
        <v>4.0000000000000002E-4</v>
      </c>
      <c r="G309" s="156">
        <v>5.0000000000000001E-4</v>
      </c>
      <c r="H309" s="156">
        <v>8.9999999999999998E-4</v>
      </c>
      <c r="I309" s="156">
        <v>1.4E-3</v>
      </c>
      <c r="J309" s="156" t="s">
        <v>87</v>
      </c>
      <c r="K309" s="156">
        <v>2.0999999999999999E-3</v>
      </c>
      <c r="L309" s="156">
        <v>2.8E-3</v>
      </c>
      <c r="M309" s="156">
        <v>3.3999999999999998E-3</v>
      </c>
      <c r="N309" s="138" cm="1">
        <f t="array" aca="1" ref="N309:AE309" ca="1">IF(OR(B309="",NOT($J$2)),"",GetStripDefaultProbability(A309,B309,Parameter_Date,CDSRollDate,E309:M309,SpreadCurveMaturities,D309,C309,$J$4,$J$6))</f>
        <v>0</v>
      </c>
      <c r="O309" s="163">
        <f ca="1"/>
        <v>3.9900104827061966E-4</v>
      </c>
      <c r="P309" s="163">
        <f ca="1"/>
        <v>9.1920434298853326E-4</v>
      </c>
      <c r="Q309" s="163">
        <f ca="1"/>
        <v>3.1943138499956891E-3</v>
      </c>
      <c r="R309" s="163">
        <f ca="1"/>
        <v>7.4074735410043502E-3</v>
      </c>
      <c r="S309" s="163">
        <f ca="1"/>
        <v>0</v>
      </c>
      <c r="T309" s="163">
        <f ca="1"/>
        <v>1.8424163740241362E-2</v>
      </c>
      <c r="U309" s="163">
        <f ca="1"/>
        <v>3.4536593837588114E-2</v>
      </c>
      <c r="V309" s="139">
        <f ca="1"/>
        <v>5.9768720692564004E-2</v>
      </c>
      <c r="W309" s="138">
        <f ca="1"/>
        <v>0</v>
      </c>
      <c r="X309" s="163">
        <f ca="1"/>
        <v>4.9872606913303752E-4</v>
      </c>
      <c r="Y309" s="163">
        <f ca="1"/>
        <v>1.0857039335719909E-3</v>
      </c>
      <c r="Z309" s="163">
        <f ca="1"/>
        <v>3.5450644177309476E-3</v>
      </c>
      <c r="AA309" s="163">
        <f ca="1"/>
        <v>7.9237239778449098E-3</v>
      </c>
      <c r="AB309" s="163">
        <f ca="1"/>
        <v>0</v>
      </c>
      <c r="AC309" s="163">
        <f ca="1"/>
        <v>1.9310646352356797E-2</v>
      </c>
      <c r="AD309" s="163">
        <f ca="1"/>
        <v>3.6211728301921209E-2</v>
      </c>
      <c r="AE309" s="139">
        <f ca="1"/>
        <v>6.2651624858489519E-2</v>
      </c>
      <c r="AH309" s="136">
        <v>4.0000000000000002E-4</v>
      </c>
      <c r="AI309" s="136">
        <v>8.9999999999999998E-4</v>
      </c>
      <c r="AJ309" s="136">
        <v>3.0999999999999999E-3</v>
      </c>
      <c r="AK309" s="136">
        <v>7.3000000000000001E-3</v>
      </c>
      <c r="AM309" s="136">
        <v>1.8200000000000001E-2</v>
      </c>
      <c r="AN309" s="136">
        <v>3.4200000000000001E-2</v>
      </c>
      <c r="AO309" s="136">
        <v>5.9400000000000001E-2</v>
      </c>
      <c r="AQ309" s="136">
        <v>4.0000000000000002E-4</v>
      </c>
      <c r="AR309" s="136">
        <v>1E-3</v>
      </c>
      <c r="AS309" s="136">
        <v>3.3999999999999998E-3</v>
      </c>
      <c r="AT309" s="136">
        <v>7.7999999999999996E-3</v>
      </c>
      <c r="AV309" s="136">
        <v>1.9099999999999999E-2</v>
      </c>
      <c r="AW309" s="136">
        <v>3.5900000000000001E-2</v>
      </c>
      <c r="AX309" s="136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7" t="s">
        <v>87</v>
      </c>
      <c r="F310" s="156">
        <v>5.0000000000000001E-4</v>
      </c>
      <c r="G310" s="156">
        <v>5.9999999999999995E-4</v>
      </c>
      <c r="H310" s="156">
        <v>1.1999999999999999E-3</v>
      </c>
      <c r="I310" s="156">
        <v>1.6000000000000001E-3</v>
      </c>
      <c r="J310" s="156" t="s">
        <v>87</v>
      </c>
      <c r="K310" s="156">
        <v>2.3E-3</v>
      </c>
      <c r="L310" s="156">
        <v>2.7000000000000001E-3</v>
      </c>
      <c r="M310" s="156">
        <v>3.3E-3</v>
      </c>
      <c r="N310" s="138" cm="1">
        <f t="array" aca="1" ref="N310:AE310" ca="1">IF(OR(B310="",NOT($J$2)),"",GetStripDefaultProbability(A310,B310,Parameter_Date,CDSRollDate,E310:M310,SpreadCurveMaturities,D310,C310,$J$4,$J$6))</f>
        <v>0</v>
      </c>
      <c r="O310" s="163">
        <f ca="1"/>
        <v>4.9872651070981266E-4</v>
      </c>
      <c r="P310" s="163">
        <f ca="1"/>
        <v>1.1024469251739166E-3</v>
      </c>
      <c r="Q310" s="163">
        <f ca="1"/>
        <v>4.2625428447867764E-3</v>
      </c>
      <c r="R310" s="163">
        <f ca="1"/>
        <v>8.4311164720473064E-3</v>
      </c>
      <c r="S310" s="163">
        <f ca="1"/>
        <v>0</v>
      </c>
      <c r="T310" s="163">
        <f ca="1"/>
        <v>2.0098899828656425E-2</v>
      </c>
      <c r="U310" s="163">
        <f ca="1"/>
        <v>3.2897891238755084E-2</v>
      </c>
      <c r="V310" s="139">
        <f ca="1"/>
        <v>5.76751964551111E-2</v>
      </c>
      <c r="W310" s="138">
        <f ca="1"/>
        <v>0</v>
      </c>
      <c r="X310" s="163">
        <f ca="1"/>
        <v>5.9844139207421154E-4</v>
      </c>
      <c r="Y310" s="163">
        <f ca="1"/>
        <v>1.2689159778730419E-3</v>
      </c>
      <c r="Z310" s="163">
        <f ca="1"/>
        <v>4.6129737567995877E-3</v>
      </c>
      <c r="AA310" s="163">
        <f ca="1"/>
        <v>8.9468098516004568E-3</v>
      </c>
      <c r="AB310" s="163">
        <f ca="1"/>
        <v>0</v>
      </c>
      <c r="AC310" s="163">
        <f ca="1"/>
        <v>2.1074254612883259E-2</v>
      </c>
      <c r="AD310" s="163">
        <f ca="1"/>
        <v>3.4498881568005735E-2</v>
      </c>
      <c r="AE310" s="139">
        <f ca="1"/>
        <v>6.0463193365824952E-2</v>
      </c>
      <c r="AH310" s="136">
        <v>5.0000000000000001E-4</v>
      </c>
      <c r="AI310" s="136">
        <v>1E-3</v>
      </c>
      <c r="AJ310" s="136">
        <v>4.1000000000000003E-3</v>
      </c>
      <c r="AK310" s="136">
        <v>8.3000000000000001E-3</v>
      </c>
      <c r="AM310" s="136">
        <v>1.9900000000000001E-2</v>
      </c>
      <c r="AN310" s="136">
        <v>3.2599999999999997E-2</v>
      </c>
      <c r="AO310" s="136">
        <v>5.7299999999999997E-2</v>
      </c>
      <c r="AQ310" s="136">
        <v>5.0000000000000001E-4</v>
      </c>
      <c r="AR310" s="136">
        <v>1.1999999999999999E-3</v>
      </c>
      <c r="AS310" s="136">
        <v>4.4999999999999997E-3</v>
      </c>
      <c r="AT310" s="136">
        <v>8.8000000000000005E-3</v>
      </c>
      <c r="AV310" s="136">
        <v>2.0799999999999999E-2</v>
      </c>
      <c r="AW310" s="136">
        <v>3.4200000000000001E-2</v>
      </c>
      <c r="AX310" s="136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7" t="s">
        <v>87</v>
      </c>
      <c r="F311" s="156">
        <v>2.9999999999999997E-4</v>
      </c>
      <c r="G311" s="156">
        <v>5.0000000000000001E-4</v>
      </c>
      <c r="H311" s="156">
        <v>8.9999999999999998E-4</v>
      </c>
      <c r="I311" s="156">
        <v>1.2999999999999999E-3</v>
      </c>
      <c r="J311" s="156" t="s">
        <v>87</v>
      </c>
      <c r="K311" s="156">
        <v>2.0999999999999999E-3</v>
      </c>
      <c r="L311" s="156">
        <v>2.7000000000000001E-3</v>
      </c>
      <c r="M311" s="156">
        <v>3.3999999999999998E-3</v>
      </c>
      <c r="N311" s="138" cm="1">
        <f t="array" aca="1" ref="N311:AE311" ca="1">IF(OR(B311="",NOT($J$2)),"",GetStripDefaultProbability(A311,B311,Parameter_Date,CDSRollDate,E311:M311,SpreadCurveMaturities,D311,C311,$J$4,$J$6))</f>
        <v>0</v>
      </c>
      <c r="O311" s="163">
        <f ca="1"/>
        <v>2.9926566746929506E-4</v>
      </c>
      <c r="P311" s="163">
        <f ca="1"/>
        <v>9.2173632679792838E-4</v>
      </c>
      <c r="Q311" s="163">
        <f ca="1"/>
        <v>3.1968799979277263E-3</v>
      </c>
      <c r="R311" s="163">
        <f ca="1"/>
        <v>6.868543143585204E-3</v>
      </c>
      <c r="S311" s="163">
        <f ca="1"/>
        <v>0</v>
      </c>
      <c r="T311" s="163">
        <f ca="1"/>
        <v>1.8465679281941871E-2</v>
      </c>
      <c r="U311" s="163">
        <f ca="1"/>
        <v>3.326331310043773E-2</v>
      </c>
      <c r="V311" s="139">
        <f ca="1"/>
        <v>5.9990034900452294E-2</v>
      </c>
      <c r="W311" s="138">
        <f ca="1"/>
        <v>0</v>
      </c>
      <c r="X311" s="163">
        <f ca="1"/>
        <v>3.9900078367871572E-4</v>
      </c>
      <c r="Y311" s="163">
        <f ca="1"/>
        <v>1.088235495418588E-3</v>
      </c>
      <c r="Z311" s="163">
        <f ca="1"/>
        <v>3.5476393525042393E-3</v>
      </c>
      <c r="AA311" s="163">
        <f ca="1"/>
        <v>7.3849989566759922E-3</v>
      </c>
      <c r="AB311" s="163">
        <f ca="1"/>
        <v>0</v>
      </c>
      <c r="AC311" s="163">
        <f ca="1"/>
        <v>1.93521900145458E-2</v>
      </c>
      <c r="AD311" s="163">
        <f ca="1"/>
        <v>3.4874426681013815E-2</v>
      </c>
      <c r="AE311" s="139">
        <f ca="1"/>
        <v>6.288165744785057E-2</v>
      </c>
      <c r="AH311" s="136">
        <v>2.9999999999999997E-4</v>
      </c>
      <c r="AI311" s="136">
        <v>8.9999999999999998E-4</v>
      </c>
      <c r="AJ311" s="136">
        <v>3.0999999999999999E-3</v>
      </c>
      <c r="AK311" s="136">
        <v>6.7000000000000002E-3</v>
      </c>
      <c r="AM311" s="136">
        <v>1.83E-2</v>
      </c>
      <c r="AN311" s="136">
        <v>3.3000000000000002E-2</v>
      </c>
      <c r="AO311" s="136">
        <v>5.96E-2</v>
      </c>
      <c r="AQ311" s="136">
        <v>4.0000000000000002E-4</v>
      </c>
      <c r="AR311" s="136">
        <v>1E-3</v>
      </c>
      <c r="AS311" s="136">
        <v>3.3999999999999998E-3</v>
      </c>
      <c r="AT311" s="136">
        <v>7.1999999999999998E-3</v>
      </c>
      <c r="AV311" s="136">
        <v>1.9099999999999999E-2</v>
      </c>
      <c r="AW311" s="136">
        <v>3.4599999999999999E-2</v>
      </c>
      <c r="AX311" s="136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7" t="s">
        <v>87</v>
      </c>
      <c r="F312" s="156">
        <v>9.5600000000000008E-3</v>
      </c>
      <c r="G312" s="156">
        <v>9.5600000000000008E-3</v>
      </c>
      <c r="H312" s="156">
        <v>9.2700000000000005E-3</v>
      </c>
      <c r="I312" s="156">
        <v>9.0799999999999995E-3</v>
      </c>
      <c r="J312" s="156" t="s">
        <v>87</v>
      </c>
      <c r="K312" s="156">
        <v>8.6E-3</v>
      </c>
      <c r="L312" s="156">
        <v>8.6E-3</v>
      </c>
      <c r="M312" s="156">
        <v>8.6E-3</v>
      </c>
      <c r="N312" s="138" cm="1">
        <f t="array" aca="1" ref="N312:AE312" ca="1">IF(OR(B312="",NOT($J$2)),"",GetStripDefaultProbability(A312,B312,Parameter_Date,CDSRollDate,E312:M312,SpreadCurveMaturities,D312,C312,$J$4,$J$6))</f>
        <v>0</v>
      </c>
      <c r="O312" s="163">
        <f ca="1"/>
        <v>9.4930260944650069E-3</v>
      </c>
      <c r="P312" s="163">
        <f ca="1"/>
        <v>1.7382191290531424E-2</v>
      </c>
      <c r="Q312" s="163">
        <f ca="1"/>
        <v>3.2001977994209785E-2</v>
      </c>
      <c r="R312" s="163">
        <f ca="1"/>
        <v>4.5937119098026336E-2</v>
      </c>
      <c r="S312" s="163">
        <f ca="1"/>
        <v>0</v>
      </c>
      <c r="T312" s="163">
        <f ca="1"/>
        <v>7.0408882851485832E-2</v>
      </c>
      <c r="U312" s="163">
        <f ca="1"/>
        <v>9.6848492908582107E-2</v>
      </c>
      <c r="V312" s="139">
        <f ca="1"/>
        <v>0.13514542341457614</v>
      </c>
      <c r="W312" s="138">
        <f ca="1"/>
        <v>0</v>
      </c>
      <c r="X312" s="163">
        <f ca="1"/>
        <v>9.9650251909079168E-3</v>
      </c>
      <c r="Y312" s="163">
        <f ca="1"/>
        <v>1.8243167773778213E-2</v>
      </c>
      <c r="Z312" s="163">
        <f ca="1"/>
        <v>3.3573360204353975E-2</v>
      </c>
      <c r="AA312" s="163">
        <f ca="1"/>
        <v>4.8175457595223459E-2</v>
      </c>
      <c r="AB312" s="163">
        <f ca="1"/>
        <v>0</v>
      </c>
      <c r="AC312" s="163">
        <f ca="1"/>
        <v>7.3783007891101593E-2</v>
      </c>
      <c r="AD312" s="163">
        <f ca="1"/>
        <v>0.10142309436342856</v>
      </c>
      <c r="AE312" s="139">
        <f ca="1"/>
        <v>0.14139822510069588</v>
      </c>
      <c r="AH312" s="136">
        <v>8.6999999999999994E-3</v>
      </c>
      <c r="AI312" s="136">
        <v>1.6500000000000001E-2</v>
      </c>
      <c r="AJ312" s="136">
        <v>3.1199999999999999E-2</v>
      </c>
      <c r="AK312" s="136">
        <v>4.5100000000000001E-2</v>
      </c>
      <c r="AM312" s="136">
        <v>6.9699999999999998E-2</v>
      </c>
      <c r="AN312" s="136">
        <v>9.6100000000000005E-2</v>
      </c>
      <c r="AO312" s="136">
        <v>0.13450000000000001</v>
      </c>
      <c r="AQ312" s="136">
        <v>9.1000000000000004E-3</v>
      </c>
      <c r="AR312" s="136">
        <v>1.7299999999999999E-2</v>
      </c>
      <c r="AS312" s="136">
        <v>3.27E-2</v>
      </c>
      <c r="AT312" s="136">
        <v>4.7300000000000002E-2</v>
      </c>
      <c r="AV312" s="136">
        <v>7.2999999999999995E-2</v>
      </c>
      <c r="AW312" s="136">
        <v>0.1007</v>
      </c>
      <c r="AX312" s="136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7" t="s">
        <v>87</v>
      </c>
      <c r="F313" s="156">
        <v>2.2499999999999998E-3</v>
      </c>
      <c r="G313" s="156">
        <v>3.0000000000000001E-3</v>
      </c>
      <c r="H313" s="156">
        <v>4.4999999999999997E-3</v>
      </c>
      <c r="I313" s="156">
        <v>5.5900000000000004E-3</v>
      </c>
      <c r="J313" s="156" t="s">
        <v>87</v>
      </c>
      <c r="K313" s="156">
        <v>7.4999999999999997E-3</v>
      </c>
      <c r="L313" s="156">
        <v>8.2000000000000007E-3</v>
      </c>
      <c r="M313" s="156">
        <v>8.8999999999999999E-3</v>
      </c>
      <c r="N313" s="138" cm="1">
        <f t="array" aca="1" ref="N313:AE313" ca="1">IF(OR(B313="",NOT($J$2)),"",GetStripDefaultProbability(A313,B313,Parameter_Date,CDSRollDate,E313:M313,SpreadCurveMaturities,D313,C313,$J$4,$J$6))</f>
        <v>0</v>
      </c>
      <c r="O313" s="163">
        <f ca="1"/>
        <v>1.6822086862037233E-3</v>
      </c>
      <c r="P313" s="163">
        <f ca="1"/>
        <v>4.1335363060640562E-3</v>
      </c>
      <c r="Q313" s="163">
        <f ca="1"/>
        <v>1.1908692658600506E-2</v>
      </c>
      <c r="R313" s="163">
        <f ca="1"/>
        <v>2.1882771906465148E-2</v>
      </c>
      <c r="S313" s="163">
        <f ca="1"/>
        <v>0</v>
      </c>
      <c r="T313" s="163">
        <f ca="1"/>
        <v>4.8365390351654991E-2</v>
      </c>
      <c r="U313" s="163">
        <f ca="1"/>
        <v>7.2917805225161891E-2</v>
      </c>
      <c r="V313" s="139">
        <f ca="1"/>
        <v>0.11110988609845751</v>
      </c>
      <c r="W313" s="138">
        <f ca="1"/>
        <v>0</v>
      </c>
      <c r="X313" s="163">
        <f ca="1"/>
        <v>1.7662382323757608E-3</v>
      </c>
      <c r="Y313" s="163">
        <f ca="1"/>
        <v>4.3398142226537262E-3</v>
      </c>
      <c r="Z313" s="163">
        <f ca="1"/>
        <v>1.2500905647903737E-2</v>
      </c>
      <c r="AA313" s="163">
        <f ca="1"/>
        <v>2.2966564324643723E-2</v>
      </c>
      <c r="AB313" s="163">
        <f ca="1"/>
        <v>0</v>
      </c>
      <c r="AC313" s="163">
        <f ca="1"/>
        <v>5.0729009490370736E-2</v>
      </c>
      <c r="AD313" s="163">
        <f ca="1"/>
        <v>7.6441266085398474E-2</v>
      </c>
      <c r="AE313" s="139">
        <f ca="1"/>
        <v>0.11638226294928133</v>
      </c>
      <c r="AH313" s="136">
        <v>1.5E-3</v>
      </c>
      <c r="AI313" s="136">
        <v>3.8999999999999998E-3</v>
      </c>
      <c r="AJ313" s="136">
        <v>1.1599999999999999E-2</v>
      </c>
      <c r="AK313" s="136">
        <v>2.1499999999999998E-2</v>
      </c>
      <c r="AM313" s="136">
        <v>4.7800000000000002E-2</v>
      </c>
      <c r="AN313" s="136">
        <v>7.2300000000000003E-2</v>
      </c>
      <c r="AO313" s="136">
        <v>0.1105</v>
      </c>
      <c r="AQ313" s="136">
        <v>1.6000000000000001E-3</v>
      </c>
      <c r="AR313" s="136">
        <v>4.1000000000000003E-3</v>
      </c>
      <c r="AS313" s="136">
        <v>1.2200000000000001E-2</v>
      </c>
      <c r="AT313" s="136">
        <v>2.2499999999999999E-2</v>
      </c>
      <c r="AV313" s="136">
        <v>5.0200000000000002E-2</v>
      </c>
      <c r="AW313" s="136">
        <v>7.5800000000000006E-2</v>
      </c>
      <c r="AX313" s="136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7" t="s">
        <v>87</v>
      </c>
      <c r="F314" s="156" t="s">
        <v>87</v>
      </c>
      <c r="G314" s="156">
        <v>2E-3</v>
      </c>
      <c r="H314" s="156" t="s">
        <v>87</v>
      </c>
      <c r="I314" s="156">
        <v>3.5000000000000001E-3</v>
      </c>
      <c r="J314" s="156" t="s">
        <v>87</v>
      </c>
      <c r="K314" s="156">
        <v>4.4999999999999997E-3</v>
      </c>
      <c r="L314" s="156">
        <v>5.4999999999999997E-3</v>
      </c>
      <c r="M314" s="156">
        <v>6.4999999999999997E-3</v>
      </c>
      <c r="N314" s="138" cm="1">
        <f t="array" aca="1" ref="N314:AE314" ca="1">IF(OR(B314="",NOT($J$2)),"",GetStripDefaultProbability(A314,B314,Parameter_Date,CDSRollDate,E314:M314,SpreadCurveMaturities,D314,C314,$J$4,$J$6))</f>
        <v>0</v>
      </c>
      <c r="O314" s="163">
        <f ca="1"/>
        <v>0</v>
      </c>
      <c r="P314" s="163">
        <f ca="1"/>
        <v>3.6617545607984248E-3</v>
      </c>
      <c r="Q314" s="163">
        <f ca="1"/>
        <v>0</v>
      </c>
      <c r="R314" s="163">
        <f ca="1"/>
        <v>1.8218571756717705E-2</v>
      </c>
      <c r="S314" s="163">
        <f ca="1"/>
        <v>0</v>
      </c>
      <c r="T314" s="163">
        <f ca="1"/>
        <v>3.8706465530250589E-2</v>
      </c>
      <c r="U314" s="163">
        <f ca="1"/>
        <v>6.6229786509511723E-2</v>
      </c>
      <c r="V314" s="139">
        <f ca="1"/>
        <v>0.11114760099682708</v>
      </c>
      <c r="W314" s="138">
        <f ca="1"/>
        <v>0</v>
      </c>
      <c r="X314" s="163">
        <f ca="1"/>
        <v>0</v>
      </c>
      <c r="Y314" s="163">
        <f ca="1"/>
        <v>3.8277970977805831E-3</v>
      </c>
      <c r="Z314" s="163">
        <f ca="1"/>
        <v>0</v>
      </c>
      <c r="AA314" s="163">
        <f ca="1"/>
        <v>1.9121596798396645E-2</v>
      </c>
      <c r="AB314" s="163">
        <f ca="1"/>
        <v>0</v>
      </c>
      <c r="AC314" s="163">
        <f ca="1"/>
        <v>4.0607059096035569E-2</v>
      </c>
      <c r="AD314" s="163">
        <f ca="1"/>
        <v>6.9445047288294703E-2</v>
      </c>
      <c r="AE314" s="139">
        <f ca="1"/>
        <v>0.11645166899858528</v>
      </c>
      <c r="AI314" s="136">
        <v>3.5000000000000001E-3</v>
      </c>
      <c r="AK314" s="136">
        <v>1.7899999999999999E-2</v>
      </c>
      <c r="AM314" s="136">
        <v>3.8300000000000001E-2</v>
      </c>
      <c r="AN314" s="136">
        <v>6.5699999999999995E-2</v>
      </c>
      <c r="AO314" s="136">
        <v>0.1105</v>
      </c>
      <c r="AR314" s="136">
        <v>3.5999999999999999E-3</v>
      </c>
      <c r="AT314" s="136">
        <v>1.8800000000000001E-2</v>
      </c>
      <c r="AV314" s="136">
        <v>4.0099999999999997E-2</v>
      </c>
      <c r="AW314" s="136">
        <v>6.8900000000000003E-2</v>
      </c>
      <c r="AX314" s="136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7">
        <v>1.1999999999999999E-3</v>
      </c>
      <c r="F315" s="156">
        <v>1.1999999999999999E-3</v>
      </c>
      <c r="G315" s="156">
        <v>1.6000000000000001E-3</v>
      </c>
      <c r="H315" s="156">
        <v>2E-3</v>
      </c>
      <c r="I315" s="156">
        <v>2.8E-3</v>
      </c>
      <c r="J315" s="156">
        <v>3.3999999999999998E-3</v>
      </c>
      <c r="K315" s="156">
        <v>4.0000000000000001E-3</v>
      </c>
      <c r="L315" s="156">
        <v>5.4000000000000003E-3</v>
      </c>
      <c r="M315" s="156">
        <v>6.6E-3</v>
      </c>
      <c r="N315" s="138" cm="1">
        <f t="array" aca="1" ref="N315:AE315" ca="1">IF(OR(B315="",NOT($J$2)),"",GetStripDefaultProbability(A315,B315,Parameter_Date,CDSRollDate,E315:M315,SpreadCurveMaturities,D315,C315,$J$4,$J$6))</f>
        <v>5.2144163112932684E-4</v>
      </c>
      <c r="O315" s="163">
        <f ca="1"/>
        <v>8.975383976129736E-4</v>
      </c>
      <c r="P315" s="163">
        <f ca="1"/>
        <v>2.2063930502905782E-3</v>
      </c>
      <c r="Q315" s="163">
        <f ca="1"/>
        <v>5.2896263662338683E-3</v>
      </c>
      <c r="R315" s="163">
        <f ca="1"/>
        <v>1.1036152360734852E-2</v>
      </c>
      <c r="S315" s="163">
        <f ca="1"/>
        <v>1.781937288626767E-2</v>
      </c>
      <c r="T315" s="163">
        <f ca="1"/>
        <v>2.6210769529958822E-2</v>
      </c>
      <c r="U315" s="163">
        <f ca="1"/>
        <v>4.9888223141654753E-2</v>
      </c>
      <c r="V315" s="139">
        <f ca="1"/>
        <v>8.6805696960058132E-2</v>
      </c>
      <c r="W315" s="138">
        <f ca="1"/>
        <v>5.6488248207475777E-4</v>
      </c>
      <c r="X315" s="163">
        <f ca="1"/>
        <v>9.7229674228738183E-4</v>
      </c>
      <c r="Y315" s="163">
        <f ca="1"/>
        <v>2.3311094562261658E-3</v>
      </c>
      <c r="Z315" s="163">
        <f ca="1"/>
        <v>5.5521176076922529E-3</v>
      </c>
      <c r="AA315" s="163">
        <f ca="1"/>
        <v>1.1584068634924893E-2</v>
      </c>
      <c r="AB315" s="163">
        <f ca="1"/>
        <v>1.8702589324504637E-2</v>
      </c>
      <c r="AC315" s="163">
        <f ca="1"/>
        <v>2.7506477913412541E-2</v>
      </c>
      <c r="AD315" s="163">
        <f ca="1"/>
        <v>5.2330198173164311E-2</v>
      </c>
      <c r="AE315" s="139">
        <f ca="1"/>
        <v>9.1001017887567426E-2</v>
      </c>
      <c r="AG315" s="136">
        <v>4.0000000000000002E-4</v>
      </c>
      <c r="AH315" s="136">
        <v>8.0000000000000004E-4</v>
      </c>
      <c r="AI315" s="136">
        <v>2.0999999999999999E-3</v>
      </c>
      <c r="AJ315" s="136">
        <v>5.1000000000000004E-3</v>
      </c>
      <c r="AK315" s="136">
        <v>1.0800000000000001E-2</v>
      </c>
      <c r="AL315" s="136">
        <v>1.7600000000000001E-2</v>
      </c>
      <c r="AM315" s="136">
        <v>2.5899999999999999E-2</v>
      </c>
      <c r="AN315" s="136">
        <v>4.9500000000000002E-2</v>
      </c>
      <c r="AO315" s="136">
        <v>8.6300000000000002E-2</v>
      </c>
      <c r="AP315" s="136">
        <v>5.0000000000000001E-4</v>
      </c>
      <c r="AQ315" s="136">
        <v>8.9999999999999998E-4</v>
      </c>
      <c r="AR315" s="136">
        <v>2.2000000000000001E-3</v>
      </c>
      <c r="AS315" s="136">
        <v>5.4000000000000003E-3</v>
      </c>
      <c r="AT315" s="136">
        <v>1.14E-2</v>
      </c>
      <c r="AU315" s="136">
        <v>1.84E-2</v>
      </c>
      <c r="AV315" s="136">
        <v>2.7199999999999998E-2</v>
      </c>
      <c r="AW315" s="136">
        <v>5.1900000000000002E-2</v>
      </c>
      <c r="AX315" s="136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7" t="s">
        <v>87</v>
      </c>
      <c r="F316" s="156">
        <v>1.3799999999999999E-3</v>
      </c>
      <c r="G316" s="156">
        <v>2.1199999999999999E-3</v>
      </c>
      <c r="H316" s="156">
        <v>3.1199999999999999E-3</v>
      </c>
      <c r="I316" s="156">
        <v>3.9199999999999999E-3</v>
      </c>
      <c r="J316" s="156" t="s">
        <v>87</v>
      </c>
      <c r="K316" s="156">
        <v>5.1000000000000004E-3</v>
      </c>
      <c r="L316" s="156">
        <v>5.8199999999999997E-3</v>
      </c>
      <c r="M316" s="156">
        <v>6.4999999999999997E-3</v>
      </c>
      <c r="N316" s="138" cm="1">
        <f t="array" aca="1" ref="N316:AE316" ca="1">IF(OR(B316="",NOT($J$2)),"",GetStripDefaultProbability(A316,B316,Parameter_Date,CDSRollDate,E316:M316,SpreadCurveMaturities,D316,C316,$J$4,$J$6))</f>
        <v>0</v>
      </c>
      <c r="O316" s="163">
        <f ca="1"/>
        <v>1.0320893201662962E-3</v>
      </c>
      <c r="P316" s="163">
        <f ca="1"/>
        <v>2.9267012932704395E-3</v>
      </c>
      <c r="Q316" s="163">
        <f ca="1"/>
        <v>8.2703096671288279E-3</v>
      </c>
      <c r="R316" s="163">
        <f ca="1"/>
        <v>1.539283227787569E-2</v>
      </c>
      <c r="S316" s="163">
        <f ca="1"/>
        <v>0</v>
      </c>
      <c r="T316" s="163">
        <f ca="1"/>
        <v>3.304158577794436E-2</v>
      </c>
      <c r="U316" s="163">
        <f ca="1"/>
        <v>5.240618331054292E-2</v>
      </c>
      <c r="V316" s="139">
        <f ca="1"/>
        <v>8.282369221563568E-2</v>
      </c>
      <c r="W316" s="138">
        <f ca="1"/>
        <v>0</v>
      </c>
      <c r="X316" s="163">
        <f ca="1"/>
        <v>1.1068346103855209E-3</v>
      </c>
      <c r="Y316" s="163">
        <f ca="1"/>
        <v>3.0722348316983839E-3</v>
      </c>
      <c r="Z316" s="163">
        <f ca="1"/>
        <v>8.6816594387432167E-3</v>
      </c>
      <c r="AA316" s="163">
        <f ca="1"/>
        <v>1.6156772431986322E-2</v>
      </c>
      <c r="AB316" s="163">
        <f ca="1"/>
        <v>0</v>
      </c>
      <c r="AC316" s="163">
        <f ca="1"/>
        <v>3.4667625894759024E-2</v>
      </c>
      <c r="AD316" s="163">
        <f ca="1"/>
        <v>5.4964093689730764E-2</v>
      </c>
      <c r="AE316" s="139">
        <f ca="1"/>
        <v>8.679956663039412E-2</v>
      </c>
      <c r="AH316" s="136">
        <v>8.9999999999999998E-4</v>
      </c>
      <c r="AI316" s="136">
        <v>2.8E-3</v>
      </c>
      <c r="AJ316" s="136">
        <v>8.0000000000000002E-3</v>
      </c>
      <c r="AK316" s="136">
        <v>1.5100000000000001E-2</v>
      </c>
      <c r="AM316" s="136">
        <v>3.27E-2</v>
      </c>
      <c r="AN316" s="136">
        <v>5.1999999999999998E-2</v>
      </c>
      <c r="AO316" s="136">
        <v>8.2299999999999998E-2</v>
      </c>
      <c r="AQ316" s="136">
        <v>1E-3</v>
      </c>
      <c r="AR316" s="136">
        <v>2.8999999999999998E-3</v>
      </c>
      <c r="AS316" s="136">
        <v>8.3999999999999995E-3</v>
      </c>
      <c r="AT316" s="136">
        <v>1.5900000000000001E-2</v>
      </c>
      <c r="AV316" s="136">
        <v>3.4299999999999997E-2</v>
      </c>
      <c r="AW316" s="136">
        <v>5.45E-2</v>
      </c>
      <c r="AX316" s="136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7" t="s">
        <v>87</v>
      </c>
      <c r="F317" s="156">
        <v>1.5100000000000001E-3</v>
      </c>
      <c r="G317" s="156">
        <v>2.1299999999999999E-3</v>
      </c>
      <c r="H317" s="156">
        <v>2.9499999999999999E-3</v>
      </c>
      <c r="I317" s="156">
        <v>3.6900000000000001E-3</v>
      </c>
      <c r="J317" s="156" t="s">
        <v>87</v>
      </c>
      <c r="K317" s="156">
        <v>5.0000000000000001E-3</v>
      </c>
      <c r="L317" s="156">
        <v>5.7000000000000002E-3</v>
      </c>
      <c r="M317" s="156">
        <v>6.3E-3</v>
      </c>
      <c r="N317" s="138" cm="1">
        <f t="array" aca="1" ref="N317:AE317" ca="1">IF(OR(B317="",NOT($J$2)),"",GetStripDefaultProbability(A317,B317,Parameter_Date,CDSRollDate,E317:M317,SpreadCurveMaturities,D317,C317,$J$4,$J$6))</f>
        <v>0</v>
      </c>
      <c r="O317" s="163">
        <f ca="1"/>
        <v>1.1292603932691048E-3</v>
      </c>
      <c r="P317" s="163">
        <f ca="1"/>
        <v>2.938053522829609E-3</v>
      </c>
      <c r="Q317" s="163">
        <f ca="1"/>
        <v>7.8107041467184724E-3</v>
      </c>
      <c r="R317" s="163">
        <f ca="1"/>
        <v>1.448199625968638E-2</v>
      </c>
      <c r="S317" s="163">
        <f ca="1"/>
        <v>0</v>
      </c>
      <c r="T317" s="163">
        <f ca="1"/>
        <v>3.2457447259908623E-2</v>
      </c>
      <c r="U317" s="163">
        <f ca="1"/>
        <v>5.139814409879917E-2</v>
      </c>
      <c r="V317" s="139">
        <f ca="1"/>
        <v>8.0274465190344313E-2</v>
      </c>
      <c r="W317" s="138">
        <f ca="1"/>
        <v>0</v>
      </c>
      <c r="X317" s="163">
        <f ca="1"/>
        <v>1.2039979409399493E-3</v>
      </c>
      <c r="Y317" s="163">
        <f ca="1"/>
        <v>3.0842750801836072E-3</v>
      </c>
      <c r="Z317" s="163">
        <f ca="1"/>
        <v>8.1993383477629855E-3</v>
      </c>
      <c r="AA317" s="163">
        <f ca="1"/>
        <v>1.5201050710019204E-2</v>
      </c>
      <c r="AB317" s="163">
        <f ca="1"/>
        <v>0</v>
      </c>
      <c r="AC317" s="163">
        <f ca="1"/>
        <v>3.4055513931501968E-2</v>
      </c>
      <c r="AD317" s="163">
        <f ca="1"/>
        <v>5.390861378239753E-2</v>
      </c>
      <c r="AE317" s="139">
        <f ca="1"/>
        <v>8.4132979080438486E-2</v>
      </c>
      <c r="AH317" s="136">
        <v>1E-3</v>
      </c>
      <c r="AI317" s="136">
        <v>2.8E-3</v>
      </c>
      <c r="AJ317" s="136">
        <v>7.6E-3</v>
      </c>
      <c r="AK317" s="136">
        <v>1.4200000000000001E-2</v>
      </c>
      <c r="AM317" s="136">
        <v>3.2099999999999997E-2</v>
      </c>
      <c r="AN317" s="136">
        <v>5.0999999999999997E-2</v>
      </c>
      <c r="AO317" s="136">
        <v>7.9799999999999996E-2</v>
      </c>
      <c r="AQ317" s="136">
        <v>1.1000000000000001E-3</v>
      </c>
      <c r="AR317" s="136">
        <v>2.8999999999999998E-3</v>
      </c>
      <c r="AS317" s="136">
        <v>8.0000000000000002E-3</v>
      </c>
      <c r="AT317" s="136">
        <v>1.49E-2</v>
      </c>
      <c r="AV317" s="136">
        <v>3.3700000000000001E-2</v>
      </c>
      <c r="AW317" s="136">
        <v>5.3499999999999999E-2</v>
      </c>
      <c r="AX317" s="136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7" t="s">
        <v>87</v>
      </c>
      <c r="F318" s="156" t="s">
        <v>87</v>
      </c>
      <c r="G318" s="156">
        <v>1.2329999999999999E-3</v>
      </c>
      <c r="H318" s="156" t="s">
        <v>87</v>
      </c>
      <c r="I318" s="156">
        <v>2.516E-3</v>
      </c>
      <c r="J318" s="156" t="s">
        <v>87</v>
      </c>
      <c r="K318" s="156">
        <v>3.65E-3</v>
      </c>
      <c r="L318" s="156">
        <v>3.7980000000000002E-3</v>
      </c>
      <c r="M318" s="156">
        <v>3.9950000000000003E-3</v>
      </c>
      <c r="N318" s="138" cm="1">
        <f t="array" aca="1" ref="N318:AE318" ca="1">IF(OR(B318="",NOT($J$2)),"",GetStripDefaultProbability(A318,B318,Parameter_Date,CDSRollDate,E318:M318,SpreadCurveMaturities,D318,C318,$J$4,$J$6))</f>
        <v>0</v>
      </c>
      <c r="O318" s="163">
        <f ca="1"/>
        <v>0</v>
      </c>
      <c r="P318" s="163">
        <f ca="1"/>
        <v>2.2590462752368756E-3</v>
      </c>
      <c r="Q318" s="163">
        <f ca="1"/>
        <v>0</v>
      </c>
      <c r="R318" s="163">
        <f ca="1"/>
        <v>1.3153336611029909E-2</v>
      </c>
      <c r="S318" s="163">
        <f ca="1"/>
        <v>0</v>
      </c>
      <c r="T318" s="163">
        <f ca="1"/>
        <v>3.1733813606550143E-2</v>
      </c>
      <c r="U318" s="163">
        <f ca="1"/>
        <v>4.5473714281382915E-2</v>
      </c>
      <c r="V318" s="139">
        <f ca="1"/>
        <v>6.7464728865966883E-2</v>
      </c>
      <c r="W318" s="138">
        <f ca="1"/>
        <v>0</v>
      </c>
      <c r="X318" s="163">
        <f ca="1"/>
        <v>0</v>
      </c>
      <c r="Y318" s="163">
        <f ca="1"/>
        <v>2.4253225774464315E-3</v>
      </c>
      <c r="Z318" s="163">
        <f ca="1"/>
        <v>0</v>
      </c>
      <c r="AA318" s="163">
        <f ca="1"/>
        <v>1.3802189711772161E-2</v>
      </c>
      <c r="AB318" s="163">
        <f ca="1"/>
        <v>0</v>
      </c>
      <c r="AC318" s="163">
        <f ca="1"/>
        <v>3.329308986095536E-2</v>
      </c>
      <c r="AD318" s="163">
        <f ca="1"/>
        <v>4.7695548463710824E-2</v>
      </c>
      <c r="AE318" s="139">
        <f ca="1"/>
        <v>7.0719423981527085E-2</v>
      </c>
      <c r="AI318" s="136">
        <v>2.0999999999999999E-3</v>
      </c>
      <c r="AK318" s="136">
        <v>1.29E-2</v>
      </c>
      <c r="AM318" s="136">
        <v>3.1399999999999997E-2</v>
      </c>
      <c r="AN318" s="136">
        <v>4.5100000000000001E-2</v>
      </c>
      <c r="AO318" s="136">
        <v>6.7100000000000007E-2</v>
      </c>
      <c r="AR318" s="136">
        <v>2.3E-3</v>
      </c>
      <c r="AT318" s="136">
        <v>1.35E-2</v>
      </c>
      <c r="AV318" s="136">
        <v>3.2899999999999999E-2</v>
      </c>
      <c r="AW318" s="136">
        <v>4.7300000000000002E-2</v>
      </c>
      <c r="AX318" s="136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7" t="s">
        <v>87</v>
      </c>
      <c r="F319" s="156">
        <v>1.6000000000000001E-3</v>
      </c>
      <c r="G319" s="156">
        <v>1.9E-3</v>
      </c>
      <c r="H319" s="156">
        <v>2.5000000000000001E-3</v>
      </c>
      <c r="I319" s="156">
        <v>3.0000000000000001E-3</v>
      </c>
      <c r="J319" s="156" t="s">
        <v>87</v>
      </c>
      <c r="K319" s="156">
        <v>3.7000000000000002E-3</v>
      </c>
      <c r="L319" s="156">
        <v>3.8999999999999998E-3</v>
      </c>
      <c r="M319" s="156">
        <v>4.0000000000000001E-3</v>
      </c>
      <c r="N319" s="138" cm="1">
        <f t="array" aca="1" ref="N319:AE319" ca="1">IF(OR(B319="",NOT($J$2)),"",GetStripDefaultProbability(A319,B319,Parameter_Date,CDSRollDate,E319:M319,SpreadCurveMaturities,D319,C319,$J$4,$J$6))</f>
        <v>0</v>
      </c>
      <c r="O319" s="163">
        <f ca="1"/>
        <v>1.1965449581542442E-3</v>
      </c>
      <c r="P319" s="163">
        <f ca="1"/>
        <v>2.6162030723485552E-3</v>
      </c>
      <c r="Q319" s="163">
        <f ca="1"/>
        <v>6.6112177334661792E-3</v>
      </c>
      <c r="R319" s="163">
        <f ca="1"/>
        <v>1.1758065506678572E-2</v>
      </c>
      <c r="S319" s="163">
        <f ca="1"/>
        <v>0</v>
      </c>
      <c r="T319" s="163">
        <f ca="1"/>
        <v>2.3968188682596425E-2</v>
      </c>
      <c r="U319" s="163">
        <f ca="1"/>
        <v>3.5006117451715224E-2</v>
      </c>
      <c r="V319" s="139">
        <f ca="1"/>
        <v>5.0621896562892288E-2</v>
      </c>
      <c r="W319" s="138">
        <f ca="1"/>
        <v>0</v>
      </c>
      <c r="X319" s="163">
        <f ca="1"/>
        <v>1.2712782362738206E-3</v>
      </c>
      <c r="Y319" s="163">
        <f ca="1"/>
        <v>2.7408682552263475E-3</v>
      </c>
      <c r="Z319" s="163">
        <f ca="1"/>
        <v>6.9405373319969543E-3</v>
      </c>
      <c r="AA319" s="163">
        <f ca="1"/>
        <v>1.2342658373470594E-2</v>
      </c>
      <c r="AB319" s="163">
        <f ca="1"/>
        <v>0</v>
      </c>
      <c r="AC319" s="163">
        <f ca="1"/>
        <v>2.5152535852975277E-2</v>
      </c>
      <c r="AD319" s="163">
        <f ca="1"/>
        <v>3.6726969111862351E-2</v>
      </c>
      <c r="AE319" s="139">
        <f ca="1"/>
        <v>5.3086939472785866E-2</v>
      </c>
      <c r="AH319" s="136">
        <v>1.1000000000000001E-3</v>
      </c>
      <c r="AI319" s="136">
        <v>2.5000000000000001E-3</v>
      </c>
      <c r="AJ319" s="136">
        <v>6.4000000000000003E-3</v>
      </c>
      <c r="AK319" s="136">
        <v>1.15E-2</v>
      </c>
      <c r="AM319" s="136">
        <v>2.3699999999999999E-2</v>
      </c>
      <c r="AN319" s="136">
        <v>3.4700000000000002E-2</v>
      </c>
      <c r="AO319" s="136">
        <v>5.0299999999999997E-2</v>
      </c>
      <c r="AQ319" s="136">
        <v>1.1999999999999999E-3</v>
      </c>
      <c r="AR319" s="136">
        <v>2.5999999999999999E-3</v>
      </c>
      <c r="AS319" s="136">
        <v>6.7000000000000002E-3</v>
      </c>
      <c r="AT319" s="136">
        <v>1.21E-2</v>
      </c>
      <c r="AV319" s="136">
        <v>2.4899999999999999E-2</v>
      </c>
      <c r="AW319" s="136">
        <v>3.6400000000000002E-2</v>
      </c>
      <c r="AX319" s="136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7" t="s">
        <v>87</v>
      </c>
      <c r="F320" s="156" t="s">
        <v>87</v>
      </c>
      <c r="G320" s="156" t="s">
        <v>87</v>
      </c>
      <c r="H320" s="156" t="s">
        <v>87</v>
      </c>
      <c r="I320" s="156" t="s">
        <v>87</v>
      </c>
      <c r="J320" s="156" t="s">
        <v>87</v>
      </c>
      <c r="K320" s="156">
        <v>2E-3</v>
      </c>
      <c r="L320" s="156">
        <v>3.6129999999999999E-3</v>
      </c>
      <c r="M320" s="156">
        <v>4.9030000000000002E-3</v>
      </c>
      <c r="N320" s="138" cm="1">
        <f t="array" aca="1" ref="N320:AE320" ca="1">IF(OR(B320="",NOT($J$2)),"",GetStripDefaultProbability(A320,B320,Parameter_Date,CDSRollDate,E320:M320,SpreadCurveMaturities,D320,C320,$J$4,$J$6))</f>
        <v>0</v>
      </c>
      <c r="O320" s="163">
        <f ca="1"/>
        <v>0</v>
      </c>
      <c r="P320" s="163">
        <f ca="1"/>
        <v>0</v>
      </c>
      <c r="Q320" s="163">
        <f ca="1"/>
        <v>0</v>
      </c>
      <c r="R320" s="163">
        <f ca="1"/>
        <v>0</v>
      </c>
      <c r="S320" s="163">
        <f ca="1"/>
        <v>0</v>
      </c>
      <c r="T320" s="163">
        <f ca="1"/>
        <v>1.69586614649746E-2</v>
      </c>
      <c r="U320" s="163">
        <f ca="1"/>
        <v>4.500666323579916E-2</v>
      </c>
      <c r="V320" s="139">
        <f ca="1"/>
        <v>8.7727819165773657E-2</v>
      </c>
      <c r="W320" s="138">
        <f ca="1"/>
        <v>0</v>
      </c>
      <c r="X320" s="163">
        <f ca="1"/>
        <v>0</v>
      </c>
      <c r="Y320" s="163">
        <f ca="1"/>
        <v>0</v>
      </c>
      <c r="Z320" s="163">
        <f ca="1"/>
        <v>0</v>
      </c>
      <c r="AA320" s="163">
        <f ca="1"/>
        <v>0</v>
      </c>
      <c r="AB320" s="163">
        <f ca="1"/>
        <v>0</v>
      </c>
      <c r="AC320" s="163">
        <f ca="1"/>
        <v>1.7777521341433622E-2</v>
      </c>
      <c r="AD320" s="163">
        <f ca="1"/>
        <v>4.7219151608792864E-2</v>
      </c>
      <c r="AE320" s="139">
        <f ca="1"/>
        <v>9.1986759699885345E-2</v>
      </c>
      <c r="AM320" s="136">
        <v>1.6799999999999999E-2</v>
      </c>
      <c r="AN320" s="136">
        <v>4.4600000000000001E-2</v>
      </c>
      <c r="AO320" s="136">
        <v>8.72E-2</v>
      </c>
      <c r="AV320" s="136">
        <v>1.7600000000000001E-2</v>
      </c>
      <c r="AW320" s="136">
        <v>4.6800000000000001E-2</v>
      </c>
      <c r="AX320" s="136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7" t="s">
        <v>87</v>
      </c>
      <c r="F321" s="156">
        <v>1.1900000000000001E-3</v>
      </c>
      <c r="G321" s="156">
        <v>1.4300000000000001E-3</v>
      </c>
      <c r="H321" s="156">
        <v>1.91E-3</v>
      </c>
      <c r="I321" s="156">
        <v>2.32E-3</v>
      </c>
      <c r="J321" s="156" t="s">
        <v>87</v>
      </c>
      <c r="K321" s="156">
        <v>3.0999999999999999E-3</v>
      </c>
      <c r="L321" s="156">
        <v>3.5100000000000001E-3</v>
      </c>
      <c r="M321" s="156">
        <v>3.8999999999999998E-3</v>
      </c>
      <c r="N321" s="138" cm="1">
        <f t="array" aca="1" ref="N321:AE321" ca="1">IF(OR(B321="",NOT($J$2)),"",GetStripDefaultProbability(A321,B321,Parameter_Date,CDSRollDate,E321:M321,SpreadCurveMaturities,D321,C321,$J$4,$J$6))</f>
        <v>0</v>
      </c>
      <c r="O321" s="163">
        <f ca="1"/>
        <v>1.1865619956058504E-3</v>
      </c>
      <c r="P321" s="163">
        <f ca="1"/>
        <v>2.6257248751727635E-3</v>
      </c>
      <c r="Q321" s="163">
        <f ca="1"/>
        <v>6.7367655157445361E-3</v>
      </c>
      <c r="R321" s="163">
        <f ca="1"/>
        <v>1.2129624488090851E-2</v>
      </c>
      <c r="S321" s="163">
        <f ca="1"/>
        <v>0</v>
      </c>
      <c r="T321" s="163">
        <f ca="1"/>
        <v>2.6848473291603003E-2</v>
      </c>
      <c r="U321" s="163">
        <f ca="1"/>
        <v>4.2286555896650535E-2</v>
      </c>
      <c r="V321" s="139">
        <f ca="1"/>
        <v>6.6636276475192546E-2</v>
      </c>
      <c r="W321" s="138">
        <f ca="1"/>
        <v>0</v>
      </c>
      <c r="X321" s="163">
        <f ca="1"/>
        <v>1.2862056741852479E-3</v>
      </c>
      <c r="Y321" s="163">
        <f ca="1"/>
        <v>2.7919400693855456E-3</v>
      </c>
      <c r="Z321" s="163">
        <f ca="1"/>
        <v>7.0862869332071199E-3</v>
      </c>
      <c r="AA321" s="163">
        <f ca="1"/>
        <v>1.2729676421428526E-2</v>
      </c>
      <c r="AB321" s="163">
        <f ca="1"/>
        <v>0</v>
      </c>
      <c r="AC321" s="163">
        <f ca="1"/>
        <v>2.8170925215690534E-2</v>
      </c>
      <c r="AD321" s="163">
        <f ca="1"/>
        <v>4.4357502618080247E-2</v>
      </c>
      <c r="AE321" s="139">
        <f ca="1"/>
        <v>6.985858765511932E-2</v>
      </c>
      <c r="AH321" s="136">
        <v>1.1000000000000001E-3</v>
      </c>
      <c r="AI321" s="136">
        <v>2.5000000000000001E-3</v>
      </c>
      <c r="AJ321" s="136">
        <v>6.6E-3</v>
      </c>
      <c r="AK321" s="136">
        <v>1.1900000000000001E-2</v>
      </c>
      <c r="AM321" s="136">
        <v>2.6499999999999999E-2</v>
      </c>
      <c r="AN321" s="136">
        <v>4.19E-2</v>
      </c>
      <c r="AO321" s="136">
        <v>6.6199999999999995E-2</v>
      </c>
      <c r="AQ321" s="136">
        <v>1.1999999999999999E-3</v>
      </c>
      <c r="AR321" s="136">
        <v>2.7000000000000001E-3</v>
      </c>
      <c r="AS321" s="136">
        <v>6.8999999999999999E-3</v>
      </c>
      <c r="AT321" s="136">
        <v>1.2500000000000001E-2</v>
      </c>
      <c r="AV321" s="136">
        <v>2.7900000000000001E-2</v>
      </c>
      <c r="AW321" s="136">
        <v>4.3999999999999997E-2</v>
      </c>
      <c r="AX321" s="136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7" t="s">
        <v>87</v>
      </c>
      <c r="F322" s="156">
        <v>5.0000000000000001E-4</v>
      </c>
      <c r="G322" s="156">
        <v>8.0000000000000004E-4</v>
      </c>
      <c r="H322" s="156">
        <v>1.1999999999999999E-3</v>
      </c>
      <c r="I322" s="156">
        <v>1.6000000000000001E-3</v>
      </c>
      <c r="J322" s="156" t="s">
        <v>87</v>
      </c>
      <c r="K322" s="156">
        <v>2.5999999999999999E-3</v>
      </c>
      <c r="L322" s="156">
        <v>3.2000000000000002E-3</v>
      </c>
      <c r="M322" s="156">
        <v>3.5999999999999999E-3</v>
      </c>
      <c r="N322" s="138" cm="1">
        <f t="array" aca="1" ref="N322:AE322" ca="1">IF(OR(B322="",NOT($J$2)),"",GetStripDefaultProbability(A322,B322,Parameter_Date,CDSRollDate,E322:M322,SpreadCurveMaturities,D322,C322,$J$4,$J$6))</f>
        <v>0</v>
      </c>
      <c r="O322" s="163">
        <f ca="1"/>
        <v>4.9872651070981266E-4</v>
      </c>
      <c r="P322" s="163">
        <f ca="1"/>
        <v>1.4739490898789676E-3</v>
      </c>
      <c r="Q322" s="163">
        <f ca="1"/>
        <v>4.2497236025992313E-3</v>
      </c>
      <c r="R322" s="163">
        <f ca="1"/>
        <v>8.4181452713483207E-3</v>
      </c>
      <c r="S322" s="163">
        <f ca="1"/>
        <v>0</v>
      </c>
      <c r="T322" s="163">
        <f ca="1"/>
        <v>2.2801716178815434E-2</v>
      </c>
      <c r="U322" s="163">
        <f ca="1"/>
        <v>3.9170223289659134E-2</v>
      </c>
      <c r="V322" s="139">
        <f ca="1"/>
        <v>6.2320579694662759E-2</v>
      </c>
      <c r="W322" s="138">
        <f ca="1"/>
        <v>0</v>
      </c>
      <c r="X322" s="163">
        <f ca="1"/>
        <v>5.9844139207421154E-4</v>
      </c>
      <c r="Y322" s="163">
        <f ca="1"/>
        <v>1.6403562307232278E-3</v>
      </c>
      <c r="Z322" s="163">
        <f ca="1"/>
        <v>4.6001191656769302E-3</v>
      </c>
      <c r="AA322" s="163">
        <f ca="1"/>
        <v>8.9337969338907364E-3</v>
      </c>
      <c r="AB322" s="163">
        <f ca="1"/>
        <v>0</v>
      </c>
      <c r="AC322" s="163">
        <f ca="1"/>
        <v>2.3910346969666096E-2</v>
      </c>
      <c r="AD322" s="163">
        <f ca="1"/>
        <v>4.1076826880632855E-2</v>
      </c>
      <c r="AE322" s="139">
        <f ca="1"/>
        <v>6.5328085361477273E-2</v>
      </c>
      <c r="AH322" s="136">
        <v>5.0000000000000001E-4</v>
      </c>
      <c r="AI322" s="136">
        <v>1.4E-3</v>
      </c>
      <c r="AJ322" s="136">
        <v>4.1000000000000003E-3</v>
      </c>
      <c r="AK322" s="136">
        <v>8.3000000000000001E-3</v>
      </c>
      <c r="AM322" s="136">
        <v>2.2499999999999999E-2</v>
      </c>
      <c r="AN322" s="136">
        <v>3.8800000000000001E-2</v>
      </c>
      <c r="AO322" s="136">
        <v>6.1899999999999997E-2</v>
      </c>
      <c r="AQ322" s="136">
        <v>5.0000000000000001E-4</v>
      </c>
      <c r="AR322" s="136">
        <v>1.6000000000000001E-3</v>
      </c>
      <c r="AS322" s="136">
        <v>4.4999999999999997E-3</v>
      </c>
      <c r="AT322" s="136">
        <v>8.8000000000000005E-3</v>
      </c>
      <c r="AV322" s="136">
        <v>2.3599999999999999E-2</v>
      </c>
      <c r="AW322" s="136">
        <v>4.07E-2</v>
      </c>
      <c r="AX322" s="136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7" t="s">
        <v>87</v>
      </c>
      <c r="F323" s="156" t="s">
        <v>87</v>
      </c>
      <c r="G323" s="156">
        <v>5.9999999999999995E-4</v>
      </c>
      <c r="H323" s="156" t="s">
        <v>87</v>
      </c>
      <c r="I323" s="156">
        <v>1.1999999999999999E-3</v>
      </c>
      <c r="J323" s="156" t="s">
        <v>87</v>
      </c>
      <c r="K323" s="156">
        <v>2.0999999999999999E-3</v>
      </c>
      <c r="L323" s="156">
        <v>3.0000000000000001E-3</v>
      </c>
      <c r="M323" s="156">
        <v>4.1000000000000003E-3</v>
      </c>
      <c r="N323" s="138" cm="1">
        <f t="array" aca="1" ref="N323:AE323" ca="1">IF(OR(B323="",NOT($J$2)),"",GetStripDefaultProbability(A323,B323,Parameter_Date,CDSRollDate,E323:M323,SpreadCurveMaturities,D323,C323,$J$4,$J$6))</f>
        <v>0</v>
      </c>
      <c r="O323" s="163">
        <f ca="1"/>
        <v>0</v>
      </c>
      <c r="P323" s="163">
        <f ca="1"/>
        <v>1.0999257557419151E-3</v>
      </c>
      <c r="Q323" s="163">
        <f ca="1"/>
        <v>0</v>
      </c>
      <c r="R323" s="163">
        <f ca="1"/>
        <v>6.2892173333627399E-3</v>
      </c>
      <c r="S323" s="163">
        <f ca="1"/>
        <v>0</v>
      </c>
      <c r="T323" s="163">
        <f ca="1"/>
        <v>1.8504072354009748E-2</v>
      </c>
      <c r="U323" s="163">
        <f ca="1"/>
        <v>3.7405618255248463E-2</v>
      </c>
      <c r="V323" s="139">
        <f ca="1"/>
        <v>7.3743457034950222E-2</v>
      </c>
      <c r="W323" s="138">
        <f ca="1"/>
        <v>0</v>
      </c>
      <c r="X323" s="163">
        <f ca="1"/>
        <v>0</v>
      </c>
      <c r="Y323" s="163">
        <f ca="1"/>
        <v>1.2663952285902891E-3</v>
      </c>
      <c r="Z323" s="163">
        <f ca="1"/>
        <v>0</v>
      </c>
      <c r="AA323" s="163">
        <f ca="1"/>
        <v>6.8061319199741455E-3</v>
      </c>
      <c r="AB323" s="163">
        <f ca="1"/>
        <v>0</v>
      </c>
      <c r="AC323" s="163">
        <f ca="1"/>
        <v>1.9390855042772381E-2</v>
      </c>
      <c r="AD323" s="163">
        <f ca="1"/>
        <v>3.9217043772805216E-2</v>
      </c>
      <c r="AE323" s="139">
        <f ca="1"/>
        <v>7.7283534805453469E-2</v>
      </c>
      <c r="AI323" s="136">
        <v>1E-3</v>
      </c>
      <c r="AK323" s="136">
        <v>6.1999999999999998E-3</v>
      </c>
      <c r="AM323" s="136">
        <v>1.83E-2</v>
      </c>
      <c r="AN323" s="136">
        <v>3.7100000000000001E-2</v>
      </c>
      <c r="AO323" s="136">
        <v>7.3300000000000004E-2</v>
      </c>
      <c r="AR323" s="136">
        <v>1.1999999999999999E-3</v>
      </c>
      <c r="AT323" s="136">
        <v>6.7000000000000002E-3</v>
      </c>
      <c r="AV323" s="136">
        <v>1.9099999999999999E-2</v>
      </c>
      <c r="AW323" s="136">
        <v>3.8899999999999997E-2</v>
      </c>
      <c r="AX323" s="136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7" t="s">
        <v>87</v>
      </c>
      <c r="F324" s="156">
        <v>2.9999999999999997E-4</v>
      </c>
      <c r="G324" s="156">
        <v>5.0000000000000001E-4</v>
      </c>
      <c r="H324" s="156">
        <v>1E-3</v>
      </c>
      <c r="I324" s="156">
        <v>1.5E-3</v>
      </c>
      <c r="J324" s="156" t="s">
        <v>87</v>
      </c>
      <c r="K324" s="156">
        <v>2.3E-3</v>
      </c>
      <c r="L324" s="156">
        <v>2.8999999999999998E-3</v>
      </c>
      <c r="M324" s="156">
        <v>3.3999999999999998E-3</v>
      </c>
      <c r="N324" s="138" cm="1">
        <f t="array" aca="1" ref="N324:AE324" ca="1">IF(OR(B324="",NOT($J$2)),"",GetStripDefaultProbability(A324,B324,Parameter_Date,CDSRollDate,E324:M324,SpreadCurveMaturities,D324,C324,$J$4,$J$6))</f>
        <v>0</v>
      </c>
      <c r="O324" s="163">
        <f ca="1"/>
        <v>2.9926566746929506E-4</v>
      </c>
      <c r="P324" s="163">
        <f ca="1"/>
        <v>9.2173632679792838E-4</v>
      </c>
      <c r="Q324" s="163">
        <f ca="1"/>
        <v>3.5560262748963734E-3</v>
      </c>
      <c r="R324" s="163">
        <f ca="1"/>
        <v>7.9349086715492234E-3</v>
      </c>
      <c r="S324" s="163">
        <f ca="1"/>
        <v>0</v>
      </c>
      <c r="T324" s="163">
        <f ca="1"/>
        <v>2.0183941271042727E-2</v>
      </c>
      <c r="U324" s="163">
        <f ca="1"/>
        <v>3.5611839707859971E-2</v>
      </c>
      <c r="V324" s="139">
        <f ca="1"/>
        <v>5.9350411945918391E-2</v>
      </c>
      <c r="W324" s="138">
        <f ca="1"/>
        <v>0</v>
      </c>
      <c r="X324" s="163">
        <f ca="1"/>
        <v>3.9900078367871572E-4</v>
      </c>
      <c r="Y324" s="163">
        <f ca="1"/>
        <v>1.088235495418588E-3</v>
      </c>
      <c r="Z324" s="163">
        <f ca="1"/>
        <v>3.9066887490182278E-3</v>
      </c>
      <c r="AA324" s="163">
        <f ca="1"/>
        <v>8.4509251940650953E-3</v>
      </c>
      <c r="AB324" s="163">
        <f ca="1"/>
        <v>0</v>
      </c>
      <c r="AC324" s="163">
        <f ca="1"/>
        <v>2.1159478323862557E-2</v>
      </c>
      <c r="AD324" s="163">
        <f ca="1"/>
        <v>3.7341413057054518E-2</v>
      </c>
      <c r="AE324" s="139">
        <f ca="1"/>
        <v>6.221441220832169E-2</v>
      </c>
      <c r="AH324" s="136">
        <v>2.9999999999999997E-4</v>
      </c>
      <c r="AI324" s="136">
        <v>8.9999999999999998E-4</v>
      </c>
      <c r="AJ324" s="136">
        <v>3.5000000000000001E-3</v>
      </c>
      <c r="AK324" s="136">
        <v>7.7999999999999996E-3</v>
      </c>
      <c r="AM324" s="136">
        <v>0.02</v>
      </c>
      <c r="AN324" s="136">
        <v>3.5299999999999998E-2</v>
      </c>
      <c r="AO324" s="136">
        <v>5.8999999999999997E-2</v>
      </c>
      <c r="AQ324" s="136">
        <v>4.0000000000000002E-4</v>
      </c>
      <c r="AR324" s="136">
        <v>1E-3</v>
      </c>
      <c r="AS324" s="136">
        <v>3.8E-3</v>
      </c>
      <c r="AT324" s="136">
        <v>8.3000000000000001E-3</v>
      </c>
      <c r="AV324" s="136">
        <v>2.0899999999999998E-2</v>
      </c>
      <c r="AW324" s="136">
        <v>3.6999999999999998E-2</v>
      </c>
      <c r="AX324" s="136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7" t="s">
        <v>87</v>
      </c>
      <c r="F325" s="156" t="s">
        <v>87</v>
      </c>
      <c r="G325" s="156">
        <v>4.9600000000000002E-4</v>
      </c>
      <c r="H325" s="156" t="s">
        <v>87</v>
      </c>
      <c r="I325" s="156">
        <v>1.2899999999999999E-3</v>
      </c>
      <c r="J325" s="156" t="s">
        <v>87</v>
      </c>
      <c r="K325" s="156">
        <v>2.15E-3</v>
      </c>
      <c r="L325" s="156">
        <v>2.6740000000000002E-3</v>
      </c>
      <c r="M325" s="156">
        <v>3.199E-3</v>
      </c>
      <c r="N325" s="138" cm="1">
        <f t="array" aca="1" ref="N325:AE325" ca="1">IF(OR(B325="",NOT($J$2)),"",GetStripDefaultProbability(A325,B325,Parameter_Date,CDSRollDate,E325:M325,SpreadCurveMaturities,D325,C325,$J$4,$J$6))</f>
        <v>0</v>
      </c>
      <c r="O325" s="163">
        <f ca="1"/>
        <v>0</v>
      </c>
      <c r="P325" s="163">
        <f ca="1"/>
        <v>9.093580113954669E-4</v>
      </c>
      <c r="Q325" s="163">
        <f ca="1"/>
        <v>0</v>
      </c>
      <c r="R325" s="163">
        <f ca="1"/>
        <v>6.7797259012384314E-3</v>
      </c>
      <c r="S325" s="163">
        <f ca="1"/>
        <v>0</v>
      </c>
      <c r="T325" s="163">
        <f ca="1"/>
        <v>1.8923608092296873E-2</v>
      </c>
      <c r="U325" s="163">
        <f ca="1"/>
        <v>3.2969293449560455E-2</v>
      </c>
      <c r="V325" s="139">
        <f ca="1"/>
        <v>5.6402537334353187E-2</v>
      </c>
      <c r="W325" s="138">
        <f ca="1"/>
        <v>0</v>
      </c>
      <c r="X325" s="163">
        <f ca="1"/>
        <v>0</v>
      </c>
      <c r="Y325" s="163">
        <f ca="1"/>
        <v>1.0758592428978808E-3</v>
      </c>
      <c r="Z325" s="163">
        <f ca="1"/>
        <v>0</v>
      </c>
      <c r="AA325" s="163">
        <f ca="1"/>
        <v>7.296428994281734E-3</v>
      </c>
      <c r="AB325" s="163">
        <f ca="1"/>
        <v>0</v>
      </c>
      <c r="AC325" s="163">
        <f ca="1"/>
        <v>1.9832804118317005E-2</v>
      </c>
      <c r="AD325" s="163">
        <f ca="1"/>
        <v>3.456612947751081E-2</v>
      </c>
      <c r="AE325" s="139">
        <f ca="1"/>
        <v>5.9122383769836917E-2</v>
      </c>
      <c r="AI325" s="136">
        <v>8.9999999999999998E-4</v>
      </c>
      <c r="AK325" s="136">
        <v>6.7000000000000002E-3</v>
      </c>
      <c r="AM325" s="136">
        <v>1.8700000000000001E-2</v>
      </c>
      <c r="AN325" s="136">
        <v>3.27E-2</v>
      </c>
      <c r="AO325" s="136">
        <v>5.6000000000000001E-2</v>
      </c>
      <c r="AR325" s="136">
        <v>1E-3</v>
      </c>
      <c r="AT325" s="136">
        <v>7.1999999999999998E-3</v>
      </c>
      <c r="AV325" s="136">
        <v>1.9599999999999999E-2</v>
      </c>
      <c r="AW325" s="136">
        <v>3.4299999999999997E-2</v>
      </c>
      <c r="AX325" s="136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7" t="s">
        <v>87</v>
      </c>
      <c r="F326" s="156">
        <v>5.1000000000000004E-3</v>
      </c>
      <c r="G326" s="156">
        <v>5.1000000000000004E-3</v>
      </c>
      <c r="H326" s="156">
        <v>5.1000000000000004E-3</v>
      </c>
      <c r="I326" s="156">
        <v>5.5700000000000003E-3</v>
      </c>
      <c r="J326" s="156" t="s">
        <v>87</v>
      </c>
      <c r="K326" s="156">
        <v>6.0000000000000001E-3</v>
      </c>
      <c r="L326" s="156">
        <v>6.2100000000000002E-3</v>
      </c>
      <c r="M326" s="156">
        <v>6.3E-3</v>
      </c>
      <c r="N326" s="138" cm="1">
        <f t="array" aca="1" ref="N326:AE326" ca="1">IF(OR(B326="",NOT($J$2)),"",GetStripDefaultProbability(A326,B326,Parameter_Date,CDSRollDate,E326:M326,SpreadCurveMaturities,D326,C326,$J$4,$J$6))</f>
        <v>0</v>
      </c>
      <c r="O326" s="163">
        <f ca="1"/>
        <v>5.0754767852660976E-3</v>
      </c>
      <c r="P326" s="163">
        <f ca="1"/>
        <v>9.3108396683699857E-3</v>
      </c>
      <c r="Q326" s="163">
        <f ca="1"/>
        <v>1.7753220802091074E-2</v>
      </c>
      <c r="R326" s="163">
        <f ca="1"/>
        <v>2.8633434362236754E-2</v>
      </c>
      <c r="S326" s="163">
        <f ca="1"/>
        <v>0</v>
      </c>
      <c r="T326" s="163">
        <f ca="1"/>
        <v>5.0474306867196117E-2</v>
      </c>
      <c r="U326" s="163">
        <f ca="1"/>
        <v>7.2122311123488436E-2</v>
      </c>
      <c r="V326" s="139">
        <f ca="1"/>
        <v>0.1024539074568529</v>
      </c>
      <c r="W326" s="138">
        <f ca="1"/>
        <v>0</v>
      </c>
      <c r="X326" s="163">
        <f ca="1"/>
        <v>5.3285037851246164E-3</v>
      </c>
      <c r="Y326" s="163">
        <f ca="1"/>
        <v>9.7740593761759254E-3</v>
      </c>
      <c r="Z326" s="163">
        <f ca="1"/>
        <v>1.8632244551110677E-2</v>
      </c>
      <c r="AA326" s="163">
        <f ca="1"/>
        <v>3.0044171274783538E-2</v>
      </c>
      <c r="AB326" s="163">
        <f ca="1"/>
        <v>0</v>
      </c>
      <c r="AC326" s="163">
        <f ca="1"/>
        <v>5.2929825009284781E-2</v>
      </c>
      <c r="AD326" s="163">
        <f ca="1"/>
        <v>7.5593104903160513E-2</v>
      </c>
      <c r="AE326" s="139">
        <f ca="1"/>
        <v>0.1072895783325909</v>
      </c>
      <c r="AH326" s="136">
        <v>4.5999999999999999E-3</v>
      </c>
      <c r="AI326" s="136">
        <v>8.8000000000000005E-3</v>
      </c>
      <c r="AJ326" s="136">
        <v>1.7299999999999999E-2</v>
      </c>
      <c r="AK326" s="136">
        <v>2.81E-2</v>
      </c>
      <c r="AM326" s="136">
        <v>4.99E-2</v>
      </c>
      <c r="AN326" s="136">
        <v>7.1599999999999997E-2</v>
      </c>
      <c r="AO326" s="136">
        <v>0.1019</v>
      </c>
      <c r="AQ326" s="136">
        <v>4.8999999999999998E-3</v>
      </c>
      <c r="AR326" s="136">
        <v>9.2999999999999992E-3</v>
      </c>
      <c r="AS326" s="136">
        <v>1.8100000000000002E-2</v>
      </c>
      <c r="AT326" s="136">
        <v>2.9499999999999998E-2</v>
      </c>
      <c r="AV326" s="136">
        <v>5.2400000000000002E-2</v>
      </c>
      <c r="AW326" s="136">
        <v>7.4999999999999997E-2</v>
      </c>
      <c r="AX326" s="136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7" t="s">
        <v>87</v>
      </c>
      <c r="F327" s="156" t="s">
        <v>87</v>
      </c>
      <c r="G327" s="156">
        <v>1.225E-3</v>
      </c>
      <c r="H327" s="156" t="s">
        <v>87</v>
      </c>
      <c r="I327" s="156">
        <v>2.4499999999999999E-3</v>
      </c>
      <c r="J327" s="156" t="s">
        <v>87</v>
      </c>
      <c r="K327" s="156">
        <v>4.8999999999999998E-3</v>
      </c>
      <c r="L327" s="156">
        <v>5.6350000000000003E-3</v>
      </c>
      <c r="M327" s="156">
        <v>6.3699999999999998E-3</v>
      </c>
      <c r="N327" s="138" cm="1">
        <f t="array" aca="1" ref="N327:AE327" ca="1">IF(OR(B327="",NOT($J$2)),"",GetStripDefaultProbability(A327,B327,Parameter_Date,CDSRollDate,E327:M327,SpreadCurveMaturities,D327,C327,$J$4,$J$6))</f>
        <v>0</v>
      </c>
      <c r="O327" s="163">
        <f ca="1"/>
        <v>0</v>
      </c>
      <c r="P327" s="163">
        <f ca="1"/>
        <v>2.244405368961977E-3</v>
      </c>
      <c r="Q327" s="163">
        <f ca="1"/>
        <v>0</v>
      </c>
      <c r="R327" s="163">
        <f ca="1"/>
        <v>1.2806658892120848E-2</v>
      </c>
      <c r="S327" s="163">
        <f ca="1"/>
        <v>0</v>
      </c>
      <c r="T327" s="163">
        <f ca="1"/>
        <v>4.3057784381650199E-2</v>
      </c>
      <c r="U327" s="163">
        <f ca="1"/>
        <v>6.8297144944578947E-2</v>
      </c>
      <c r="V327" s="139">
        <f ca="1"/>
        <v>0.10863846639295294</v>
      </c>
      <c r="W327" s="138">
        <f ca="1"/>
        <v>0</v>
      </c>
      <c r="X327" s="163">
        <f ca="1"/>
        <v>0</v>
      </c>
      <c r="Y327" s="163">
        <f ca="1"/>
        <v>2.4106841111029009E-3</v>
      </c>
      <c r="Z327" s="163">
        <f ca="1"/>
        <v>0</v>
      </c>
      <c r="AA327" s="163">
        <f ca="1"/>
        <v>1.3438370942216449E-2</v>
      </c>
      <c r="AB327" s="163">
        <f ca="1"/>
        <v>0</v>
      </c>
      <c r="AC327" s="163">
        <f ca="1"/>
        <v>4.5165407765733856E-2</v>
      </c>
      <c r="AD327" s="163">
        <f ca="1"/>
        <v>7.1610718805872997E-2</v>
      </c>
      <c r="AE327" s="139">
        <f ca="1"/>
        <v>0.11381944586135129</v>
      </c>
      <c r="AI327" s="136">
        <v>2.0999999999999999E-3</v>
      </c>
      <c r="AK327" s="136">
        <v>1.26E-2</v>
      </c>
      <c r="AM327" s="136">
        <v>4.2599999999999999E-2</v>
      </c>
      <c r="AN327" s="136">
        <v>6.7699999999999996E-2</v>
      </c>
      <c r="AO327" s="136">
        <v>0.108</v>
      </c>
      <c r="AR327" s="136">
        <v>2.3E-3</v>
      </c>
      <c r="AT327" s="136">
        <v>1.32E-2</v>
      </c>
      <c r="AV327" s="136">
        <v>4.4600000000000001E-2</v>
      </c>
      <c r="AW327" s="136">
        <v>7.0999999999999994E-2</v>
      </c>
      <c r="AX327" s="136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7" t="s">
        <v>87</v>
      </c>
      <c r="F328" s="156">
        <v>9.3999999999999997E-4</v>
      </c>
      <c r="G328" s="156">
        <v>1.01E-3</v>
      </c>
      <c r="H328" s="156">
        <v>2.0100000000000001E-3</v>
      </c>
      <c r="I328" s="156">
        <v>3.0100000000000001E-3</v>
      </c>
      <c r="J328" s="156" t="s">
        <v>87</v>
      </c>
      <c r="K328" s="156">
        <v>4.7999999999999996E-3</v>
      </c>
      <c r="L328" s="156">
        <v>5.4999999999999997E-3</v>
      </c>
      <c r="M328" s="156">
        <v>6.1999999999999998E-3</v>
      </c>
      <c r="N328" s="138" cm="1">
        <f t="array" aca="1" ref="N328:AE328" ca="1">IF(OR(B328="",NOT($J$2)),"",GetStripDefaultProbability(A328,B328,Parameter_Date,CDSRollDate,E328:M328,SpreadCurveMaturities,D328,C328,$J$4,$J$6))</f>
        <v>0</v>
      </c>
      <c r="O328" s="163">
        <f ca="1"/>
        <v>7.0313270757627055E-4</v>
      </c>
      <c r="P328" s="163">
        <f ca="1"/>
        <v>1.3897722776639032E-3</v>
      </c>
      <c r="Q328" s="163">
        <f ca="1"/>
        <v>5.3504711153076201E-3</v>
      </c>
      <c r="R328" s="163">
        <f ca="1"/>
        <v>1.1918426361709367E-2</v>
      </c>
      <c r="S328" s="163">
        <f ca="1"/>
        <v>0</v>
      </c>
      <c r="T328" s="163">
        <f ca="1"/>
        <v>3.1510293459498517E-2</v>
      </c>
      <c r="U328" s="163">
        <f ca="1"/>
        <v>4.9992982702641076E-2</v>
      </c>
      <c r="V328" s="139">
        <f ca="1"/>
        <v>7.9654695620526295E-2</v>
      </c>
      <c r="W328" s="138">
        <f ca="1"/>
        <v>0</v>
      </c>
      <c r="X328" s="163">
        <f ca="1"/>
        <v>7.7790387183773735E-4</v>
      </c>
      <c r="Y328" s="163">
        <f ca="1"/>
        <v>1.5145907548131943E-3</v>
      </c>
      <c r="Z328" s="163">
        <f ca="1"/>
        <v>5.6143721672092806E-3</v>
      </c>
      <c r="AA328" s="163">
        <f ca="1"/>
        <v>1.2508539633449778E-2</v>
      </c>
      <c r="AB328" s="163">
        <f ca="1"/>
        <v>0</v>
      </c>
      <c r="AC328" s="163">
        <f ca="1"/>
        <v>3.3061327403277274E-2</v>
      </c>
      <c r="AD328" s="163">
        <f ca="1"/>
        <v>5.2436585305692063E-2</v>
      </c>
      <c r="AE328" s="139">
        <f ca="1"/>
        <v>8.3486555544293184E-2</v>
      </c>
      <c r="AH328" s="136">
        <v>5.9999999999999995E-4</v>
      </c>
      <c r="AI328" s="136">
        <v>1.2999999999999999E-3</v>
      </c>
      <c r="AJ328" s="136">
        <v>5.1999999999999998E-3</v>
      </c>
      <c r="AK328" s="136">
        <v>1.17E-2</v>
      </c>
      <c r="AM328" s="136">
        <v>3.1099999999999999E-2</v>
      </c>
      <c r="AN328" s="136">
        <v>4.9599999999999998E-2</v>
      </c>
      <c r="AO328" s="136">
        <v>7.9200000000000007E-2</v>
      </c>
      <c r="AQ328" s="136">
        <v>6.9999999999999999E-4</v>
      </c>
      <c r="AR328" s="136">
        <v>1.4E-3</v>
      </c>
      <c r="AS328" s="136">
        <v>5.4999999999999997E-3</v>
      </c>
      <c r="AT328" s="136">
        <v>1.23E-2</v>
      </c>
      <c r="AV328" s="136">
        <v>3.27E-2</v>
      </c>
      <c r="AW328" s="136">
        <v>5.1999999999999998E-2</v>
      </c>
      <c r="AX328" s="136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7" t="s">
        <v>87</v>
      </c>
      <c r="F329" s="156">
        <v>1.2700000000000001E-3</v>
      </c>
      <c r="G329" s="156">
        <v>1.7899999999999999E-3</v>
      </c>
      <c r="H329" s="156">
        <v>2.5899999999999999E-3</v>
      </c>
      <c r="I329" s="156">
        <v>3.2799999999999999E-3</v>
      </c>
      <c r="J329" s="156" t="s">
        <v>87</v>
      </c>
      <c r="K329" s="156">
        <v>4.5999999999999999E-3</v>
      </c>
      <c r="L329" s="156">
        <v>5.3200000000000001E-3</v>
      </c>
      <c r="M329" s="156">
        <v>5.8999999999999999E-3</v>
      </c>
      <c r="N329" s="138" cm="1">
        <f t="array" aca="1" ref="N329:AE329" ca="1">IF(OR(B329="",NOT($J$2)),"",GetStripDefaultProbability(A329,B329,Parameter_Date,CDSRollDate,E329:M329,SpreadCurveMaturities,D329,C329,$J$4,$J$6))</f>
        <v>0</v>
      </c>
      <c r="O329" s="163">
        <f ca="1"/>
        <v>9.4986028555765767E-4</v>
      </c>
      <c r="P329" s="163">
        <f ca="1"/>
        <v>2.4695338893468977E-3</v>
      </c>
      <c r="Q329" s="163">
        <f ca="1"/>
        <v>6.8652630998435882E-3</v>
      </c>
      <c r="R329" s="163">
        <f ca="1"/>
        <v>1.2891860872031424E-2</v>
      </c>
      <c r="S329" s="163">
        <f ca="1"/>
        <v>0</v>
      </c>
      <c r="T329" s="163">
        <f ca="1"/>
        <v>2.9953161636685821E-2</v>
      </c>
      <c r="U329" s="163">
        <f ca="1"/>
        <v>4.8170176009780685E-2</v>
      </c>
      <c r="V329" s="139">
        <f ca="1"/>
        <v>7.5511848654050473E-2</v>
      </c>
      <c r="W329" s="138">
        <f ca="1"/>
        <v>0</v>
      </c>
      <c r="X329" s="163">
        <f ca="1"/>
        <v>1.0246120919665813E-3</v>
      </c>
      <c r="Y329" s="163">
        <f ca="1"/>
        <v>2.5942174047284272E-3</v>
      </c>
      <c r="Z329" s="163">
        <f ca="1"/>
        <v>7.2066528540208896E-3</v>
      </c>
      <c r="AA329" s="163">
        <f ca="1"/>
        <v>1.3532088665529574E-2</v>
      </c>
      <c r="AB329" s="163">
        <f ca="1"/>
        <v>0</v>
      </c>
      <c r="AC329" s="163">
        <f ca="1"/>
        <v>3.1429608159552203E-2</v>
      </c>
      <c r="AD329" s="163">
        <f ca="1"/>
        <v>5.0527024733778791E-2</v>
      </c>
      <c r="AE329" s="139">
        <f ca="1"/>
        <v>7.9151378259948224E-2</v>
      </c>
      <c r="AH329" s="136">
        <v>8.9999999999999998E-4</v>
      </c>
      <c r="AI329" s="136">
        <v>2.3E-3</v>
      </c>
      <c r="AJ329" s="136">
        <v>6.7000000000000002E-3</v>
      </c>
      <c r="AK329" s="136">
        <v>1.2699999999999999E-2</v>
      </c>
      <c r="AM329" s="136">
        <v>2.9600000000000001E-2</v>
      </c>
      <c r="AN329" s="136">
        <v>4.7800000000000002E-2</v>
      </c>
      <c r="AO329" s="136">
        <v>7.51E-2</v>
      </c>
      <c r="AQ329" s="136">
        <v>8.9999999999999998E-4</v>
      </c>
      <c r="AR329" s="136">
        <v>2.5000000000000001E-3</v>
      </c>
      <c r="AS329" s="136">
        <v>7.0000000000000001E-3</v>
      </c>
      <c r="AT329" s="136">
        <v>1.3299999999999999E-2</v>
      </c>
      <c r="AV329" s="136">
        <v>3.1099999999999999E-2</v>
      </c>
      <c r="AW329" s="136">
        <v>5.0099999999999999E-2</v>
      </c>
      <c r="AX329" s="136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7" t="s">
        <v>87</v>
      </c>
      <c r="F330" s="156">
        <v>9.3999999999999997E-4</v>
      </c>
      <c r="G330" s="156">
        <v>1.66E-3</v>
      </c>
      <c r="H330" s="156">
        <v>2.5699999999999998E-3</v>
      </c>
      <c r="I330" s="156">
        <v>3.4299999999999999E-3</v>
      </c>
      <c r="J330" s="156" t="s">
        <v>87</v>
      </c>
      <c r="K330" s="156">
        <v>4.7999999999999996E-3</v>
      </c>
      <c r="L330" s="156">
        <v>5.5700000000000003E-3</v>
      </c>
      <c r="M330" s="156">
        <v>6.1999999999999998E-3</v>
      </c>
      <c r="N330" s="138" cm="1">
        <f t="array" aca="1" ref="N330:AE330" ca="1">IF(OR(B330="",NOT($J$2)),"",GetStripDefaultProbability(A330,B330,Parameter_Date,CDSRollDate,E330:M330,SpreadCurveMaturities,D330,C330,$J$4,$J$6))</f>
        <v>0</v>
      </c>
      <c r="O330" s="163">
        <f ca="1"/>
        <v>7.0313270757627055E-4</v>
      </c>
      <c r="P330" s="163">
        <f ca="1"/>
        <v>2.2949895690052013E-3</v>
      </c>
      <c r="Q330" s="163">
        <f ca="1"/>
        <v>6.8244977728224576E-3</v>
      </c>
      <c r="R330" s="163">
        <f ca="1"/>
        <v>1.3514727516196534E-2</v>
      </c>
      <c r="S330" s="163">
        <f ca="1"/>
        <v>0</v>
      </c>
      <c r="T330" s="163">
        <f ca="1"/>
        <v>3.1274165944107701E-2</v>
      </c>
      <c r="U330" s="163">
        <f ca="1"/>
        <v>5.0440001524539424E-2</v>
      </c>
      <c r="V330" s="139">
        <f ca="1"/>
        <v>7.9322323986523502E-2</v>
      </c>
      <c r="W330" s="138">
        <f ca="1"/>
        <v>0</v>
      </c>
      <c r="X330" s="163">
        <f ca="1"/>
        <v>7.7790387183773735E-4</v>
      </c>
      <c r="Y330" s="163">
        <f ca="1"/>
        <v>2.4196949010627522E-3</v>
      </c>
      <c r="Z330" s="163">
        <f ca="1"/>
        <v>7.1632501995143594E-3</v>
      </c>
      <c r="AA330" s="163">
        <f ca="1"/>
        <v>1.4185237327794198E-2</v>
      </c>
      <c r="AB330" s="163">
        <f ca="1"/>
        <v>0</v>
      </c>
      <c r="AC330" s="163">
        <f ca="1"/>
        <v>3.2814363192439022E-2</v>
      </c>
      <c r="AD330" s="163">
        <f ca="1"/>
        <v>5.2905055143285806E-2</v>
      </c>
      <c r="AE330" s="139">
        <f ca="1"/>
        <v>8.3138140894099211E-2</v>
      </c>
      <c r="AH330" s="136">
        <v>5.9999999999999995E-4</v>
      </c>
      <c r="AI330" s="136">
        <v>2.2000000000000001E-3</v>
      </c>
      <c r="AJ330" s="136">
        <v>6.6E-3</v>
      </c>
      <c r="AK330" s="136">
        <v>1.3299999999999999E-2</v>
      </c>
      <c r="AM330" s="136">
        <v>3.09E-2</v>
      </c>
      <c r="AN330" s="136">
        <v>0.05</v>
      </c>
      <c r="AO330" s="136">
        <v>7.8799999999999995E-2</v>
      </c>
      <c r="AQ330" s="136">
        <v>6.9999999999999999E-4</v>
      </c>
      <c r="AR330" s="136">
        <v>2.3E-3</v>
      </c>
      <c r="AS330" s="136">
        <v>7.0000000000000001E-3</v>
      </c>
      <c r="AT330" s="136">
        <v>1.3899999999999999E-2</v>
      </c>
      <c r="AV330" s="136">
        <v>3.2399999999999998E-2</v>
      </c>
      <c r="AW330" s="136">
        <v>5.2499999999999998E-2</v>
      </c>
      <c r="AX330" s="136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7" t="s">
        <v>87</v>
      </c>
      <c r="F331" s="156">
        <v>1.1100000000000001E-3</v>
      </c>
      <c r="G331" s="156">
        <v>1.73E-3</v>
      </c>
      <c r="H331" s="156">
        <v>2.5899999999999999E-3</v>
      </c>
      <c r="I331" s="156">
        <v>3.3500000000000001E-3</v>
      </c>
      <c r="J331" s="156" t="s">
        <v>87</v>
      </c>
      <c r="K331" s="156">
        <v>4.7999999999999996E-3</v>
      </c>
      <c r="L331" s="156">
        <v>5.5799999999999999E-3</v>
      </c>
      <c r="M331" s="156">
        <v>6.1999999999999998E-3</v>
      </c>
      <c r="N331" s="138" cm="1">
        <f t="array" aca="1" ref="N331:AE331" ca="1">IF(OR(B331="",NOT($J$2)),"",GetStripDefaultProbability(A331,B331,Parameter_Date,CDSRollDate,E331:M331,SpreadCurveMaturities,D331,C331,$J$4,$J$6))</f>
        <v>0</v>
      </c>
      <c r="O331" s="163">
        <f ca="1"/>
        <v>8.3024237591122763E-4</v>
      </c>
      <c r="P331" s="163">
        <f ca="1"/>
        <v>2.3891323509267481E-3</v>
      </c>
      <c r="Q331" s="163">
        <f ca="1"/>
        <v>6.8714099146393037E-3</v>
      </c>
      <c r="R331" s="163">
        <f ca="1"/>
        <v>1.3181415026981891E-2</v>
      </c>
      <c r="S331" s="163">
        <f ca="1"/>
        <v>0</v>
      </c>
      <c r="T331" s="163">
        <f ca="1"/>
        <v>3.1288812985210912E-2</v>
      </c>
      <c r="U331" s="163">
        <f ca="1"/>
        <v>5.0552311654908477E-2</v>
      </c>
      <c r="V331" s="139">
        <f ca="1"/>
        <v>7.9323089316597706E-2</v>
      </c>
      <c r="W331" s="138">
        <f ca="1"/>
        <v>0</v>
      </c>
      <c r="X331" s="163">
        <f ca="1"/>
        <v>9.050036034430331E-4</v>
      </c>
      <c r="Y331" s="163">
        <f ca="1"/>
        <v>2.5138259158711262E-3</v>
      </c>
      <c r="Z331" s="163">
        <f ca="1"/>
        <v>7.2128166050379194E-3</v>
      </c>
      <c r="AA331" s="163">
        <f ca="1"/>
        <v>1.3835711846384657E-2</v>
      </c>
      <c r="AB331" s="163">
        <f ca="1"/>
        <v>0</v>
      </c>
      <c r="AC331" s="163">
        <f ca="1"/>
        <v>3.2830073609230848E-2</v>
      </c>
      <c r="AD331" s="163">
        <f ca="1"/>
        <v>5.3023268375060217E-2</v>
      </c>
      <c r="AE331" s="139">
        <f ca="1"/>
        <v>8.3139420350139215E-2</v>
      </c>
      <c r="AH331" s="136">
        <v>8.0000000000000004E-4</v>
      </c>
      <c r="AI331" s="136">
        <v>2.3E-3</v>
      </c>
      <c r="AJ331" s="136">
        <v>6.7000000000000002E-3</v>
      </c>
      <c r="AK331" s="136">
        <v>1.29E-2</v>
      </c>
      <c r="AM331" s="136">
        <v>3.09E-2</v>
      </c>
      <c r="AN331" s="136">
        <v>5.0099999999999999E-2</v>
      </c>
      <c r="AO331" s="136">
        <v>7.8899999999999998E-2</v>
      </c>
      <c r="AQ331" s="136">
        <v>8.0000000000000004E-4</v>
      </c>
      <c r="AR331" s="136">
        <v>2.3999999999999998E-3</v>
      </c>
      <c r="AS331" s="136">
        <v>7.0000000000000001E-3</v>
      </c>
      <c r="AT331" s="136">
        <v>1.3599999999999999E-2</v>
      </c>
      <c r="AV331" s="136">
        <v>3.2500000000000001E-2</v>
      </c>
      <c r="AW331" s="136">
        <v>5.2600000000000001E-2</v>
      </c>
      <c r="AX331" s="136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7" t="s">
        <v>87</v>
      </c>
      <c r="F332" s="156">
        <v>1.06E-3</v>
      </c>
      <c r="G332" s="156">
        <v>1.5299999999999999E-3</v>
      </c>
      <c r="H332" s="156">
        <v>2.47E-3</v>
      </c>
      <c r="I332" s="156">
        <v>3.29E-3</v>
      </c>
      <c r="J332" s="156" t="s">
        <v>87</v>
      </c>
      <c r="K332" s="156">
        <v>4.7000000000000002E-3</v>
      </c>
      <c r="L332" s="156">
        <v>5.4200000000000003E-3</v>
      </c>
      <c r="M332" s="156">
        <v>6.0000000000000001E-3</v>
      </c>
      <c r="N332" s="138" cm="1">
        <f t="array" aca="1" ref="N332:AE332" ca="1">IF(OR(B332="",NOT($J$2)),"",GetStripDefaultProbability(A332,B332,Parameter_Date,CDSRollDate,E332:M332,SpreadCurveMaturities,D332,C332,$J$4,$J$6))</f>
        <v>0</v>
      </c>
      <c r="O332" s="163">
        <f ca="1"/>
        <v>7.9285885212920792E-4</v>
      </c>
      <c r="P332" s="163">
        <f ca="1"/>
        <v>2.1116442510635824E-3</v>
      </c>
      <c r="Q332" s="163">
        <f ca="1"/>
        <v>6.5597258605247788E-3</v>
      </c>
      <c r="R332" s="163">
        <f ca="1"/>
        <v>1.2965042214123979E-2</v>
      </c>
      <c r="S332" s="163">
        <f ca="1"/>
        <v>0</v>
      </c>
      <c r="T332" s="163">
        <f ca="1"/>
        <v>3.0659088448876437E-2</v>
      </c>
      <c r="U332" s="163">
        <f ca="1"/>
        <v>4.9106694839843756E-2</v>
      </c>
      <c r="V332" s="139">
        <f ca="1"/>
        <v>7.6776955077669129E-2</v>
      </c>
      <c r="W332" s="138">
        <f ca="1"/>
        <v>0</v>
      </c>
      <c r="X332" s="163">
        <f ca="1"/>
        <v>8.6762300999454478E-4</v>
      </c>
      <c r="Y332" s="163">
        <f ca="1"/>
        <v>2.2363724998619716E-3</v>
      </c>
      <c r="Z332" s="163">
        <f ca="1"/>
        <v>6.8851177148653298E-3</v>
      </c>
      <c r="AA332" s="163">
        <f ca="1"/>
        <v>1.3608165345382672E-2</v>
      </c>
      <c r="AB332" s="163">
        <f ca="1"/>
        <v>0</v>
      </c>
      <c r="AC332" s="163">
        <f ca="1"/>
        <v>3.2169298540407065E-2</v>
      </c>
      <c r="AD332" s="163">
        <f ca="1"/>
        <v>5.1507876133395469E-2</v>
      </c>
      <c r="AE332" s="139">
        <f ca="1"/>
        <v>8.0474528748287755E-2</v>
      </c>
      <c r="AH332" s="136">
        <v>6.9999999999999999E-4</v>
      </c>
      <c r="AI332" s="136">
        <v>2E-3</v>
      </c>
      <c r="AJ332" s="136">
        <v>6.4000000000000003E-3</v>
      </c>
      <c r="AK332" s="136">
        <v>1.2699999999999999E-2</v>
      </c>
      <c r="AM332" s="136">
        <v>3.0300000000000001E-2</v>
      </c>
      <c r="AN332" s="136">
        <v>4.87E-2</v>
      </c>
      <c r="AO332" s="136">
        <v>7.6300000000000007E-2</v>
      </c>
      <c r="AQ332" s="136">
        <v>8.0000000000000004E-4</v>
      </c>
      <c r="AR332" s="136">
        <v>2.0999999999999999E-3</v>
      </c>
      <c r="AS332" s="136">
        <v>6.7000000000000002E-3</v>
      </c>
      <c r="AT332" s="136">
        <v>1.34E-2</v>
      </c>
      <c r="AV332" s="136">
        <v>3.1800000000000002E-2</v>
      </c>
      <c r="AW332" s="136">
        <v>5.11E-2</v>
      </c>
      <c r="AX332" s="136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7" t="s">
        <v>87</v>
      </c>
      <c r="F333" s="156">
        <v>1.15E-3</v>
      </c>
      <c r="G333" s="156">
        <v>1.81E-3</v>
      </c>
      <c r="H333" s="156">
        <v>2.8E-3</v>
      </c>
      <c r="I333" s="156">
        <v>3.5000000000000001E-3</v>
      </c>
      <c r="J333" s="156" t="s">
        <v>87</v>
      </c>
      <c r="K333" s="156">
        <v>4.5999999999999999E-3</v>
      </c>
      <c r="L333" s="156">
        <v>5.1999999999999998E-3</v>
      </c>
      <c r="M333" s="156">
        <v>5.7000000000000002E-3</v>
      </c>
      <c r="N333" s="138" cm="1">
        <f t="array" aca="1" ref="N333:AE333" ca="1">IF(OR(B333="",NOT($J$2)),"",GetStripDefaultProbability(A333,B333,Parameter_Date,CDSRollDate,E333:M333,SpreadCurveMaturities,D333,C333,$J$4,$J$6))</f>
        <v>0</v>
      </c>
      <c r="O333" s="163">
        <f ca="1"/>
        <v>1.1467003581168145E-3</v>
      </c>
      <c r="P333" s="163">
        <f ca="1"/>
        <v>3.3318572044148675E-3</v>
      </c>
      <c r="Q333" s="163">
        <f ca="1"/>
        <v>9.8984298376574298E-3</v>
      </c>
      <c r="R333" s="163">
        <f ca="1"/>
        <v>1.8309326501480538E-2</v>
      </c>
      <c r="S333" s="163">
        <f ca="1"/>
        <v>0</v>
      </c>
      <c r="T333" s="163">
        <f ca="1"/>
        <v>3.9659348673085626E-2</v>
      </c>
      <c r="U333" s="163">
        <f ca="1"/>
        <v>6.2142756136775668E-2</v>
      </c>
      <c r="V333" s="139">
        <f ca="1"/>
        <v>9.5936337618325762E-2</v>
      </c>
      <c r="W333" s="138">
        <f ca="1"/>
        <v>0</v>
      </c>
      <c r="X333" s="163">
        <f ca="1"/>
        <v>1.2463482251061642E-3</v>
      </c>
      <c r="Y333" s="163">
        <f ca="1"/>
        <v>3.4979547197019345E-3</v>
      </c>
      <c r="Z333" s="163">
        <f ca="1"/>
        <v>1.0389982203571457E-2</v>
      </c>
      <c r="AA333" s="163">
        <f ca="1"/>
        <v>1.9216435378708985E-2</v>
      </c>
      <c r="AB333" s="163">
        <f ca="1"/>
        <v>0</v>
      </c>
      <c r="AC333" s="163">
        <f ca="1"/>
        <v>4.1604470504921109E-2</v>
      </c>
      <c r="AD333" s="163">
        <f ca="1"/>
        <v>6.5161315998461755E-2</v>
      </c>
      <c r="AE333" s="139">
        <f ca="1"/>
        <v>0.10050760207043041</v>
      </c>
      <c r="AH333" s="136">
        <v>1E-3</v>
      </c>
      <c r="AI333" s="136">
        <v>3.2000000000000002E-3</v>
      </c>
      <c r="AJ333" s="136">
        <v>9.5999999999999992E-3</v>
      </c>
      <c r="AK333" s="136">
        <v>1.7999999999999999E-2</v>
      </c>
      <c r="AM333" s="136">
        <v>3.9199999999999999E-2</v>
      </c>
      <c r="AN333" s="136">
        <v>6.1600000000000002E-2</v>
      </c>
      <c r="AO333" s="136">
        <v>9.5399999999999999E-2</v>
      </c>
      <c r="AQ333" s="136">
        <v>1.1000000000000001E-3</v>
      </c>
      <c r="AR333" s="136">
        <v>3.3E-3</v>
      </c>
      <c r="AS333" s="136">
        <v>1.01E-2</v>
      </c>
      <c r="AT333" s="136">
        <v>1.89E-2</v>
      </c>
      <c r="AV333" s="136">
        <v>4.1099999999999998E-2</v>
      </c>
      <c r="AW333" s="136">
        <v>6.4600000000000005E-2</v>
      </c>
      <c r="AX333" s="136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7" t="s">
        <v>87</v>
      </c>
      <c r="F334" s="156">
        <v>1.6299999999999999E-3</v>
      </c>
      <c r="G334" s="156">
        <v>1.8400000000000001E-3</v>
      </c>
      <c r="H334" s="156">
        <v>2.2399999999999998E-3</v>
      </c>
      <c r="I334" s="156">
        <v>2.8E-3</v>
      </c>
      <c r="J334" s="156" t="s">
        <v>87</v>
      </c>
      <c r="K334" s="156">
        <v>4.5999999999999999E-3</v>
      </c>
      <c r="L334" s="156">
        <v>4.9399999999999999E-3</v>
      </c>
      <c r="M334" s="156">
        <v>5.4999999999999997E-3</v>
      </c>
      <c r="N334" s="138" cm="1">
        <f t="array" aca="1" ref="N334:AE334" ca="1">IF(OR(B334="",NOT($J$2)),"",GetStripDefaultProbability(A334,B334,Parameter_Date,CDSRollDate,E334:M334,SpreadCurveMaturities,D334,C334,$J$4,$J$6))</f>
        <v>0</v>
      </c>
      <c r="O334" s="163">
        <f ca="1"/>
        <v>1.2189665429579444E-3</v>
      </c>
      <c r="P334" s="163">
        <f ca="1"/>
        <v>2.5321081812110791E-3</v>
      </c>
      <c r="Q334" s="163">
        <f ca="1"/>
        <v>5.9147864160049579E-3</v>
      </c>
      <c r="R334" s="163">
        <f ca="1"/>
        <v>1.0984037528367852E-2</v>
      </c>
      <c r="S334" s="163">
        <f ca="1"/>
        <v>0</v>
      </c>
      <c r="T334" s="163">
        <f ca="1"/>
        <v>3.0192779511955092E-2</v>
      </c>
      <c r="U334" s="163">
        <f ca="1"/>
        <v>4.4728050269355446E-2</v>
      </c>
      <c r="V334" s="139">
        <f ca="1"/>
        <v>7.0706583384168131E-2</v>
      </c>
      <c r="W334" s="138">
        <f ca="1"/>
        <v>0</v>
      </c>
      <c r="X334" s="163">
        <f ca="1"/>
        <v>1.2936980207768345E-3</v>
      </c>
      <c r="Y334" s="163">
        <f ca="1"/>
        <v>2.6567838753012163E-3</v>
      </c>
      <c r="Z334" s="163">
        <f ca="1"/>
        <v>6.209347998656467E-3</v>
      </c>
      <c r="AA334" s="163">
        <f ca="1"/>
        <v>1.1530221889519132E-2</v>
      </c>
      <c r="AB334" s="163">
        <f ca="1"/>
        <v>0</v>
      </c>
      <c r="AC334" s="163">
        <f ca="1"/>
        <v>3.1681583205898978E-2</v>
      </c>
      <c r="AD334" s="163">
        <f ca="1"/>
        <v>4.6919977360727061E-2</v>
      </c>
      <c r="AE334" s="139">
        <f ca="1"/>
        <v>7.412150555413044E-2</v>
      </c>
      <c r="AH334" s="136">
        <v>1.1000000000000001E-3</v>
      </c>
      <c r="AI334" s="136">
        <v>2.3999999999999998E-3</v>
      </c>
      <c r="AJ334" s="136">
        <v>5.7999999999999996E-3</v>
      </c>
      <c r="AK334" s="136">
        <v>1.0800000000000001E-2</v>
      </c>
      <c r="AM334" s="136">
        <v>2.98E-2</v>
      </c>
      <c r="AN334" s="136">
        <v>4.4400000000000002E-2</v>
      </c>
      <c r="AO334" s="136">
        <v>7.0300000000000001E-2</v>
      </c>
      <c r="AQ334" s="136">
        <v>1.1999999999999999E-3</v>
      </c>
      <c r="AR334" s="136">
        <v>2.5000000000000001E-3</v>
      </c>
      <c r="AS334" s="136">
        <v>6.0000000000000001E-3</v>
      </c>
      <c r="AT334" s="136">
        <v>1.1299999999999999E-2</v>
      </c>
      <c r="AV334" s="136">
        <v>3.1300000000000001E-2</v>
      </c>
      <c r="AW334" s="136">
        <v>4.65E-2</v>
      </c>
      <c r="AX334" s="136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7" t="s">
        <v>87</v>
      </c>
      <c r="F335" s="156" t="s">
        <v>87</v>
      </c>
      <c r="G335" s="156">
        <v>1.75E-3</v>
      </c>
      <c r="H335" s="156" t="s">
        <v>87</v>
      </c>
      <c r="I335" s="156">
        <v>3.2499999999999999E-3</v>
      </c>
      <c r="J335" s="156" t="s">
        <v>87</v>
      </c>
      <c r="K335" s="156">
        <v>4.2500000000000003E-3</v>
      </c>
      <c r="L335" s="156">
        <v>4.6499999999999996E-3</v>
      </c>
      <c r="M335" s="156">
        <v>4.9500000000000004E-3</v>
      </c>
      <c r="N335" s="138" cm="1">
        <f t="array" aca="1" ref="N335:AE335" ca="1">IF(OR(B335="",NOT($J$2)),"",GetStripDefaultProbability(A335,B335,Parameter_Date,CDSRollDate,E335:M335,SpreadCurveMaturities,D335,C335,$J$4,$J$6))</f>
        <v>0</v>
      </c>
      <c r="O335" s="163">
        <f ca="1"/>
        <v>0</v>
      </c>
      <c r="P335" s="163">
        <f ca="1"/>
        <v>3.2047633264822295E-3</v>
      </c>
      <c r="Q335" s="163">
        <f ca="1"/>
        <v>0</v>
      </c>
      <c r="R335" s="163">
        <f ca="1"/>
        <v>1.69418358129656E-2</v>
      </c>
      <c r="S335" s="163">
        <f ca="1"/>
        <v>0</v>
      </c>
      <c r="T335" s="163">
        <f ca="1"/>
        <v>3.6641373813767419E-2</v>
      </c>
      <c r="U335" s="163">
        <f ca="1"/>
        <v>5.5541445978683157E-2</v>
      </c>
      <c r="V335" s="139">
        <f ca="1"/>
        <v>8.3298352656621666E-2</v>
      </c>
      <c r="W335" s="138">
        <f ca="1"/>
        <v>0</v>
      </c>
      <c r="X335" s="163">
        <f ca="1"/>
        <v>0</v>
      </c>
      <c r="Y335" s="163">
        <f ca="1"/>
        <v>3.3708820223213865E-3</v>
      </c>
      <c r="Z335" s="163">
        <f ca="1"/>
        <v>0</v>
      </c>
      <c r="AA335" s="163">
        <f ca="1"/>
        <v>1.7780522641496321E-2</v>
      </c>
      <c r="AB335" s="163">
        <f ca="1"/>
        <v>0</v>
      </c>
      <c r="AC335" s="163">
        <f ca="1"/>
        <v>3.8440936032050566E-2</v>
      </c>
      <c r="AD335" s="163">
        <f ca="1"/>
        <v>5.8246522463722417E-2</v>
      </c>
      <c r="AE335" s="139">
        <f ca="1"/>
        <v>8.7289130267417914E-2</v>
      </c>
      <c r="AI335" s="136">
        <v>3.0000000000000001E-3</v>
      </c>
      <c r="AK335" s="136">
        <v>1.66E-2</v>
      </c>
      <c r="AM335" s="136">
        <v>3.6200000000000003E-2</v>
      </c>
      <c r="AN335" s="136">
        <v>5.5100000000000003E-2</v>
      </c>
      <c r="AO335" s="136">
        <v>8.2799999999999999E-2</v>
      </c>
      <c r="AR335" s="136">
        <v>3.2000000000000002E-3</v>
      </c>
      <c r="AT335" s="136">
        <v>1.7500000000000002E-2</v>
      </c>
      <c r="AV335" s="136">
        <v>3.7999999999999999E-2</v>
      </c>
      <c r="AW335" s="136">
        <v>5.7799999999999997E-2</v>
      </c>
      <c r="AX335" s="136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7" t="s">
        <v>87</v>
      </c>
      <c r="F336" s="156" t="s">
        <v>87</v>
      </c>
      <c r="G336" s="156">
        <v>1.013E-3</v>
      </c>
      <c r="H336" s="156" t="s">
        <v>87</v>
      </c>
      <c r="I336" s="156">
        <v>2.0270000000000002E-3</v>
      </c>
      <c r="J336" s="156" t="s">
        <v>87</v>
      </c>
      <c r="K336" s="156">
        <v>3.6679999999999998E-3</v>
      </c>
      <c r="L336" s="156">
        <v>4.1850000000000004E-3</v>
      </c>
      <c r="M336" s="156">
        <v>4.7229999999999998E-3</v>
      </c>
      <c r="N336" s="138" cm="1">
        <f t="array" aca="1" ref="N336:AE336" ca="1">IF(OR(B336="",NOT($J$2)),"",GetStripDefaultProbability(A336,B336,Parameter_Date,CDSRollDate,E336:M336,SpreadCurveMaturities,D336,C336,$J$4,$J$6))</f>
        <v>0</v>
      </c>
      <c r="O336" s="163">
        <f ca="1"/>
        <v>0</v>
      </c>
      <c r="P336" s="163">
        <f ca="1"/>
        <v>1.3925785651176525E-3</v>
      </c>
      <c r="Q336" s="163">
        <f ca="1"/>
        <v>0</v>
      </c>
      <c r="R336" s="163">
        <f ca="1"/>
        <v>7.962316950831716E-3</v>
      </c>
      <c r="S336" s="163">
        <f ca="1"/>
        <v>0</v>
      </c>
      <c r="T336" s="163">
        <f ca="1"/>
        <v>2.4226787555246321E-2</v>
      </c>
      <c r="U336" s="163">
        <f ca="1"/>
        <v>3.8347944331564632E-2</v>
      </c>
      <c r="V336" s="139">
        <f ca="1"/>
        <v>6.1467131381962803E-2</v>
      </c>
      <c r="W336" s="138">
        <f ca="1"/>
        <v>0</v>
      </c>
      <c r="X336" s="163">
        <f ca="1"/>
        <v>0</v>
      </c>
      <c r="Y336" s="163">
        <f ca="1"/>
        <v>1.5173966914855397E-3</v>
      </c>
      <c r="Z336" s="163">
        <f ca="1"/>
        <v>0</v>
      </c>
      <c r="AA336" s="163">
        <f ca="1"/>
        <v>8.3546192577931278E-3</v>
      </c>
      <c r="AB336" s="163">
        <f ca="1"/>
        <v>0</v>
      </c>
      <c r="AC336" s="163">
        <f ca="1"/>
        <v>2.5421005125644824E-2</v>
      </c>
      <c r="AD336" s="163">
        <f ca="1"/>
        <v>4.0230250348424312E-2</v>
      </c>
      <c r="AE336" s="139">
        <f ca="1"/>
        <v>6.4448735538820578E-2</v>
      </c>
      <c r="AI336" s="136">
        <v>1.2999999999999999E-3</v>
      </c>
      <c r="AK336" s="136">
        <v>7.7999999999999996E-3</v>
      </c>
      <c r="AM336" s="136">
        <v>2.3900000000000001E-2</v>
      </c>
      <c r="AN336" s="136">
        <v>3.7999999999999999E-2</v>
      </c>
      <c r="AO336" s="136">
        <v>6.1100000000000002E-2</v>
      </c>
      <c r="AR336" s="136">
        <v>1.4E-3</v>
      </c>
      <c r="AT336" s="136">
        <v>8.2000000000000007E-3</v>
      </c>
      <c r="AV336" s="136">
        <v>2.5100000000000001E-2</v>
      </c>
      <c r="AW336" s="136">
        <v>3.9899999999999998E-2</v>
      </c>
      <c r="AX336" s="136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7" t="s">
        <v>87</v>
      </c>
      <c r="F337" s="156">
        <v>5.0000000000000001E-4</v>
      </c>
      <c r="G337" s="156">
        <v>1E-3</v>
      </c>
      <c r="H337" s="156">
        <v>1.6000000000000001E-3</v>
      </c>
      <c r="I337" s="156">
        <v>2.2000000000000001E-3</v>
      </c>
      <c r="J337" s="156" t="s">
        <v>87</v>
      </c>
      <c r="K337" s="156">
        <v>3.3E-3</v>
      </c>
      <c r="L337" s="156">
        <v>3.8999999999999998E-3</v>
      </c>
      <c r="M337" s="156">
        <v>4.4999999999999997E-3</v>
      </c>
      <c r="N337" s="138" cm="1">
        <f t="array" aca="1" ref="N337:AE337" ca="1">IF(OR(B337="",NOT($J$2)),"",GetStripDefaultProbability(A337,B337,Parameter_Date,CDSRollDate,E337:M337,SpreadCurveMaturities,D337,C337,$J$4,$J$6))</f>
        <v>0</v>
      </c>
      <c r="O337" s="163">
        <f ca="1"/>
        <v>3.7406813298301866E-4</v>
      </c>
      <c r="P337" s="163">
        <f ca="1"/>
        <v>1.3842727168100755E-3</v>
      </c>
      <c r="Q337" s="163">
        <f ca="1"/>
        <v>4.2561683674704476E-3</v>
      </c>
      <c r="R337" s="163">
        <f ca="1"/>
        <v>8.6951896046119082E-3</v>
      </c>
      <c r="S337" s="163">
        <f ca="1"/>
        <v>0</v>
      </c>
      <c r="T337" s="163">
        <f ca="1"/>
        <v>2.1657380501789003E-2</v>
      </c>
      <c r="U337" s="163">
        <f ca="1"/>
        <v>3.5665456951203489E-2</v>
      </c>
      <c r="V337" s="139">
        <f ca="1"/>
        <v>5.8545044875057406E-2</v>
      </c>
      <c r="W337" s="138">
        <f ca="1"/>
        <v>0</v>
      </c>
      <c r="X337" s="163">
        <f ca="1"/>
        <v>4.48864672465632E-4</v>
      </c>
      <c r="Y337" s="163">
        <f ca="1"/>
        <v>1.5090918813525089E-3</v>
      </c>
      <c r="Z337" s="163">
        <f ca="1"/>
        <v>4.518983757668682E-3</v>
      </c>
      <c r="AA337" s="163">
        <f ca="1"/>
        <v>9.1224412857235926E-3</v>
      </c>
      <c r="AB337" s="163">
        <f ca="1"/>
        <v>0</v>
      </c>
      <c r="AC337" s="163">
        <f ca="1"/>
        <v>2.2723887873982274E-2</v>
      </c>
      <c r="AD337" s="163">
        <f ca="1"/>
        <v>3.7415727897220807E-2</v>
      </c>
      <c r="AE337" s="139">
        <f ca="1"/>
        <v>6.138791667013177E-2</v>
      </c>
      <c r="AH337" s="136">
        <v>2.9999999999999997E-4</v>
      </c>
      <c r="AI337" s="136">
        <v>1.2999999999999999E-3</v>
      </c>
      <c r="AJ337" s="136">
        <v>4.1000000000000003E-3</v>
      </c>
      <c r="AK337" s="136">
        <v>8.5000000000000006E-3</v>
      </c>
      <c r="AM337" s="136">
        <v>2.1399999999999999E-2</v>
      </c>
      <c r="AN337" s="136">
        <v>3.5400000000000001E-2</v>
      </c>
      <c r="AO337" s="136">
        <v>5.8200000000000002E-2</v>
      </c>
      <c r="AQ337" s="136">
        <v>4.0000000000000002E-4</v>
      </c>
      <c r="AR337" s="136">
        <v>1.4E-3</v>
      </c>
      <c r="AS337" s="136">
        <v>4.4000000000000003E-3</v>
      </c>
      <c r="AT337" s="136">
        <v>8.8999999999999999E-3</v>
      </c>
      <c r="AV337" s="136">
        <v>2.2499999999999999E-2</v>
      </c>
      <c r="AW337" s="136">
        <v>3.7100000000000001E-2</v>
      </c>
      <c r="AX337" s="136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7" t="s">
        <v>87</v>
      </c>
      <c r="F338" s="156" t="s">
        <v>87</v>
      </c>
      <c r="G338" s="156">
        <v>1.3649999999999999E-3</v>
      </c>
      <c r="H338" s="156" t="s">
        <v>87</v>
      </c>
      <c r="I338" s="156">
        <v>3.6960000000000001E-3</v>
      </c>
      <c r="J338" s="156" t="s">
        <v>87</v>
      </c>
      <c r="K338" s="156">
        <v>4.3E-3</v>
      </c>
      <c r="L338" s="156">
        <v>4.3499999999999997E-3</v>
      </c>
      <c r="M338" s="156">
        <v>4.4000000000000003E-3</v>
      </c>
      <c r="N338" s="138" cm="1">
        <f t="array" aca="1" ref="N338:AE338" ca="1">IF(OR(B338="",NOT($J$2)),"",GetStripDefaultProbability(A338,B338,Parameter_Date,CDSRollDate,E338:M338,SpreadCurveMaturities,D338,C338,$J$4,$J$6))</f>
        <v>0</v>
      </c>
      <c r="O338" s="163">
        <f ca="1"/>
        <v>0</v>
      </c>
      <c r="P338" s="163">
        <f ca="1"/>
        <v>2.5005904762646081E-3</v>
      </c>
      <c r="Q338" s="163">
        <f ca="1"/>
        <v>0</v>
      </c>
      <c r="R338" s="163">
        <f ca="1"/>
        <v>1.9339567782115652E-2</v>
      </c>
      <c r="S338" s="163">
        <f ca="1"/>
        <v>0</v>
      </c>
      <c r="T338" s="163">
        <f ca="1"/>
        <v>3.68821607019304E-2</v>
      </c>
      <c r="U338" s="163">
        <f ca="1"/>
        <v>5.1333614527634963E-2</v>
      </c>
      <c r="V338" s="139">
        <f ca="1"/>
        <v>7.2889950032443029E-2</v>
      </c>
      <c r="W338" s="138">
        <f ca="1"/>
        <v>0</v>
      </c>
      <c r="X338" s="163">
        <f ca="1"/>
        <v>0</v>
      </c>
      <c r="Y338" s="163">
        <f ca="1"/>
        <v>2.6668265244654821E-3</v>
      </c>
      <c r="Z338" s="163">
        <f ca="1"/>
        <v>0</v>
      </c>
      <c r="AA338" s="163">
        <f ca="1"/>
        <v>2.0293150900783319E-2</v>
      </c>
      <c r="AB338" s="163">
        <f ca="1"/>
        <v>0</v>
      </c>
      <c r="AC338" s="163">
        <f ca="1"/>
        <v>3.8690107191898582E-2</v>
      </c>
      <c r="AD338" s="163">
        <f ca="1"/>
        <v>5.3831940818532598E-2</v>
      </c>
      <c r="AE338" s="139">
        <f ca="1"/>
        <v>7.6389992391508121E-2</v>
      </c>
      <c r="AI338" s="136">
        <v>2.3999999999999998E-3</v>
      </c>
      <c r="AK338" s="136">
        <v>1.9E-2</v>
      </c>
      <c r="AM338" s="136">
        <v>3.6499999999999998E-2</v>
      </c>
      <c r="AN338" s="136">
        <v>5.0900000000000001E-2</v>
      </c>
      <c r="AO338" s="136">
        <v>7.2499999999999995E-2</v>
      </c>
      <c r="AR338" s="136">
        <v>2.5000000000000001E-3</v>
      </c>
      <c r="AT338" s="136">
        <v>1.9900000000000001E-2</v>
      </c>
      <c r="AV338" s="136">
        <v>3.8300000000000001E-2</v>
      </c>
      <c r="AW338" s="136">
        <v>5.3400000000000003E-2</v>
      </c>
      <c r="AX338" s="136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7" t="s">
        <v>87</v>
      </c>
      <c r="F339" s="156" t="s">
        <v>87</v>
      </c>
      <c r="G339" s="156">
        <v>1.029E-3</v>
      </c>
      <c r="H339" s="156" t="s">
        <v>87</v>
      </c>
      <c r="I339" s="156">
        <v>2.5209999999999998E-3</v>
      </c>
      <c r="J339" s="156" t="s">
        <v>87</v>
      </c>
      <c r="K339" s="156">
        <v>3.5500000000000002E-3</v>
      </c>
      <c r="L339" s="156">
        <v>3.5500000000000002E-3</v>
      </c>
      <c r="M339" s="156">
        <v>3.9500000000000004E-3</v>
      </c>
      <c r="N339" s="138" cm="1">
        <f t="array" aca="1" ref="N339:AE339" ca="1">IF(OR(B339="",NOT($J$2)),"",GetStripDefaultProbability(A339,B339,Parameter_Date,CDSRollDate,E339:M339,SpreadCurveMaturities,D339,C339,$J$4,$J$6))</f>
        <v>0</v>
      </c>
      <c r="O339" s="163">
        <f ca="1"/>
        <v>0</v>
      </c>
      <c r="P339" s="163">
        <f ca="1"/>
        <v>1.414558439792879E-3</v>
      </c>
      <c r="Q339" s="163">
        <f ca="1"/>
        <v>0</v>
      </c>
      <c r="R339" s="163">
        <f ca="1"/>
        <v>9.9189087164792689E-3</v>
      </c>
      <c r="S339" s="163">
        <f ca="1"/>
        <v>0</v>
      </c>
      <c r="T339" s="163">
        <f ca="1"/>
        <v>2.3208844898091496E-2</v>
      </c>
      <c r="U339" s="163">
        <f ca="1"/>
        <v>3.1894524649435096E-2</v>
      </c>
      <c r="V339" s="139">
        <f ca="1"/>
        <v>5.0788049451260808E-2</v>
      </c>
      <c r="W339" s="138">
        <f ca="1"/>
        <v>0</v>
      </c>
      <c r="X339" s="163">
        <f ca="1"/>
        <v>0</v>
      </c>
      <c r="Y339" s="163">
        <f ca="1"/>
        <v>1.5393738188774764E-3</v>
      </c>
      <c r="Z339" s="163">
        <f ca="1"/>
        <v>0</v>
      </c>
      <c r="AA339" s="163">
        <f ca="1"/>
        <v>1.0408158661565414E-2</v>
      </c>
      <c r="AB339" s="163">
        <f ca="1"/>
        <v>0</v>
      </c>
      <c r="AC339" s="163">
        <f ca="1"/>
        <v>2.4352840327039438E-2</v>
      </c>
      <c r="AD339" s="163">
        <f ca="1"/>
        <v>3.3461199381784934E-2</v>
      </c>
      <c r="AE339" s="139">
        <f ca="1"/>
        <v>5.3259602971429287E-2</v>
      </c>
      <c r="AI339" s="136">
        <v>1.2999999999999999E-3</v>
      </c>
      <c r="AK339" s="136">
        <v>9.7000000000000003E-3</v>
      </c>
      <c r="AM339" s="136">
        <v>2.29E-2</v>
      </c>
      <c r="AN339" s="136">
        <v>3.1600000000000003E-2</v>
      </c>
      <c r="AO339" s="136">
        <v>5.0500000000000003E-2</v>
      </c>
      <c r="AR339" s="136">
        <v>1.5E-3</v>
      </c>
      <c r="AT339" s="136">
        <v>1.0200000000000001E-2</v>
      </c>
      <c r="AV339" s="136">
        <v>2.41E-2</v>
      </c>
      <c r="AW339" s="136">
        <v>3.32E-2</v>
      </c>
      <c r="AX339" s="136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7" t="s">
        <v>87</v>
      </c>
      <c r="F340" s="156" t="s">
        <v>87</v>
      </c>
      <c r="G340" s="156">
        <v>6.6299999999999996E-4</v>
      </c>
      <c r="H340" s="156" t="s">
        <v>87</v>
      </c>
      <c r="I340" s="156">
        <v>1.534E-3</v>
      </c>
      <c r="J340" s="156" t="s">
        <v>87</v>
      </c>
      <c r="K340" s="156">
        <v>2.65E-3</v>
      </c>
      <c r="L340" s="156">
        <v>3.4399999999999999E-3</v>
      </c>
      <c r="M340" s="156">
        <v>4.2770000000000004E-3</v>
      </c>
      <c r="N340" s="138" cm="1">
        <f t="array" aca="1" ref="N340:AE340" ca="1">IF(OR(B340="",NOT($J$2)),"",GetStripDefaultProbability(A340,B340,Parameter_Date,CDSRollDate,E340:M340,SpreadCurveMaturities,D340,C340,$J$4,$J$6))</f>
        <v>0</v>
      </c>
      <c r="O340" s="163">
        <f ca="1"/>
        <v>0</v>
      </c>
      <c r="P340" s="163">
        <f ca="1"/>
        <v>9.1164870327464786E-4</v>
      </c>
      <c r="Q340" s="163">
        <f ca="1"/>
        <v>0</v>
      </c>
      <c r="R340" s="163">
        <f ca="1"/>
        <v>6.0408906084902236E-3</v>
      </c>
      <c r="S340" s="163">
        <f ca="1"/>
        <v>0</v>
      </c>
      <c r="T340" s="163">
        <f ca="1"/>
        <v>1.7520077554688873E-2</v>
      </c>
      <c r="U340" s="163">
        <f ca="1"/>
        <v>3.196615886784282E-2</v>
      </c>
      <c r="V340" s="139">
        <f ca="1"/>
        <v>5.7023163278683842E-2</v>
      </c>
      <c r="W340" s="138">
        <f ca="1"/>
        <v>0</v>
      </c>
      <c r="X340" s="163">
        <f ca="1"/>
        <v>0</v>
      </c>
      <c r="Y340" s="163">
        <f ca="1"/>
        <v>1.0365269421562795E-3</v>
      </c>
      <c r="Z340" s="163">
        <f ca="1"/>
        <v>0</v>
      </c>
      <c r="AA340" s="163">
        <f ca="1"/>
        <v>6.428670443108131E-3</v>
      </c>
      <c r="AB340" s="163">
        <f ca="1"/>
        <v>0</v>
      </c>
      <c r="AC340" s="163">
        <f ca="1"/>
        <v>1.837362492410044E-2</v>
      </c>
      <c r="AD340" s="163">
        <f ca="1"/>
        <v>3.3528070868828808E-2</v>
      </c>
      <c r="AE340" s="139">
        <f ca="1"/>
        <v>5.9787530144880474E-2</v>
      </c>
      <c r="AI340" s="136">
        <v>8.9999999999999998E-4</v>
      </c>
      <c r="AK340" s="136">
        <v>5.8999999999999999E-3</v>
      </c>
      <c r="AM340" s="136">
        <v>1.7299999999999999E-2</v>
      </c>
      <c r="AN340" s="136">
        <v>3.1699999999999999E-2</v>
      </c>
      <c r="AO340" s="136">
        <v>5.67E-2</v>
      </c>
      <c r="AR340" s="136">
        <v>1E-3</v>
      </c>
      <c r="AT340" s="136">
        <v>6.3E-3</v>
      </c>
      <c r="AV340" s="136">
        <v>1.8200000000000001E-2</v>
      </c>
      <c r="AW340" s="136">
        <v>3.32E-2</v>
      </c>
      <c r="AX340" s="136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7" t="s">
        <v>87</v>
      </c>
      <c r="F341" s="156">
        <v>5.0000000000000001E-4</v>
      </c>
      <c r="G341" s="156">
        <v>6.9999999999999999E-4</v>
      </c>
      <c r="H341" s="156">
        <v>1.1000000000000001E-3</v>
      </c>
      <c r="I341" s="156">
        <v>1.6000000000000001E-3</v>
      </c>
      <c r="J341" s="156" t="s">
        <v>87</v>
      </c>
      <c r="K341" s="156">
        <v>2.5999999999999999E-3</v>
      </c>
      <c r="L341" s="156">
        <v>3.3E-3</v>
      </c>
      <c r="M341" s="156">
        <v>4.1000000000000003E-3</v>
      </c>
      <c r="N341" s="138" cm="1">
        <f t="array" aca="1" ref="N341:AE341" ca="1">IF(OR(B341="",NOT($J$2)),"",GetStripDefaultProbability(A341,B341,Parameter_Date,CDSRollDate,E341:M341,SpreadCurveMaturities,D341,C341,$J$4,$J$6))</f>
        <v>0</v>
      </c>
      <c r="O341" s="163">
        <f ca="1"/>
        <v>4.9872651070981266E-4</v>
      </c>
      <c r="P341" s="163">
        <f ca="1"/>
        <v>1.2882057658748503E-3</v>
      </c>
      <c r="Q341" s="163">
        <f ca="1"/>
        <v>3.8971707420715207E-3</v>
      </c>
      <c r="R341" s="163">
        <f ca="1"/>
        <v>8.4413035981952822E-3</v>
      </c>
      <c r="S341" s="163">
        <f ca="1"/>
        <v>0</v>
      </c>
      <c r="T341" s="163">
        <f ca="1"/>
        <v>2.2825551342653072E-2</v>
      </c>
      <c r="U341" s="163">
        <f ca="1"/>
        <v>4.0505489643663739E-2</v>
      </c>
      <c r="V341" s="139">
        <f ca="1"/>
        <v>7.1853471750133013E-2</v>
      </c>
      <c r="W341" s="138">
        <f ca="1"/>
        <v>0</v>
      </c>
      <c r="X341" s="163">
        <f ca="1"/>
        <v>5.9844139207421154E-4</v>
      </c>
      <c r="Y341" s="163">
        <f ca="1"/>
        <v>1.454643861349969E-3</v>
      </c>
      <c r="Z341" s="163">
        <f ca="1"/>
        <v>4.2476819057671866E-3</v>
      </c>
      <c r="AA341" s="163">
        <f ca="1"/>
        <v>8.9570194471012554E-3</v>
      </c>
      <c r="AB341" s="163">
        <f ca="1"/>
        <v>0</v>
      </c>
      <c r="AC341" s="163">
        <f ca="1"/>
        <v>2.3934274495695407E-2</v>
      </c>
      <c r="AD341" s="163">
        <f ca="1"/>
        <v>4.2475944691390932E-2</v>
      </c>
      <c r="AE341" s="139">
        <f ca="1"/>
        <v>7.5311369617957258E-2</v>
      </c>
      <c r="AH341" s="136">
        <v>5.0000000000000001E-4</v>
      </c>
      <c r="AI341" s="136">
        <v>1.1999999999999999E-3</v>
      </c>
      <c r="AJ341" s="136">
        <v>3.8E-3</v>
      </c>
      <c r="AK341" s="136">
        <v>8.3000000000000001E-3</v>
      </c>
      <c r="AM341" s="136">
        <v>2.2599999999999999E-2</v>
      </c>
      <c r="AN341" s="136">
        <v>4.02E-2</v>
      </c>
      <c r="AO341" s="136">
        <v>7.1400000000000005E-2</v>
      </c>
      <c r="AQ341" s="136">
        <v>5.0000000000000001E-4</v>
      </c>
      <c r="AR341" s="136">
        <v>1.4E-3</v>
      </c>
      <c r="AS341" s="136">
        <v>4.1000000000000003E-3</v>
      </c>
      <c r="AT341" s="136">
        <v>8.8000000000000005E-3</v>
      </c>
      <c r="AV341" s="136">
        <v>2.3699999999999999E-2</v>
      </c>
      <c r="AW341" s="136">
        <v>4.2099999999999999E-2</v>
      </c>
      <c r="AX341" s="136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7" t="s">
        <v>87</v>
      </c>
      <c r="F342" s="156">
        <v>8.0000000000000004E-4</v>
      </c>
      <c r="G342" s="156">
        <v>1.2700000000000001E-3</v>
      </c>
      <c r="H342" s="156">
        <v>1.8699999999999999E-3</v>
      </c>
      <c r="I342" s="156">
        <v>2.3E-3</v>
      </c>
      <c r="J342" s="156" t="s">
        <v>87</v>
      </c>
      <c r="K342" s="156">
        <v>2.8E-3</v>
      </c>
      <c r="L342" s="156">
        <v>3.2000000000000002E-3</v>
      </c>
      <c r="M342" s="156">
        <v>3.7000000000000002E-3</v>
      </c>
      <c r="N342" s="138" cm="1">
        <f t="array" aca="1" ref="N342:AE342" ca="1">IF(OR(B342="",NOT($J$2)),"",GetStripDefaultProbability(A342,B342,Parameter_Date,CDSRollDate,E342:M342,SpreadCurveMaturities,D342,C342,$J$4,$J$6))</f>
        <v>0</v>
      </c>
      <c r="O342" s="163">
        <f ca="1"/>
        <v>7.978434025011083E-4</v>
      </c>
      <c r="P342" s="163">
        <f ca="1"/>
        <v>2.3389295339110161E-3</v>
      </c>
      <c r="Q342" s="163">
        <f ca="1"/>
        <v>6.6142770511095073E-3</v>
      </c>
      <c r="R342" s="163">
        <f ca="1"/>
        <v>1.2049559082455641E-2</v>
      </c>
      <c r="S342" s="163">
        <f ca="1"/>
        <v>0</v>
      </c>
      <c r="T342" s="163">
        <f ca="1"/>
        <v>2.4177693606536432E-2</v>
      </c>
      <c r="U342" s="163">
        <f ca="1"/>
        <v>3.8549103773879878E-2</v>
      </c>
      <c r="V342" s="139">
        <f ca="1"/>
        <v>6.3639789681568137E-2</v>
      </c>
      <c r="W342" s="138">
        <f ca="1"/>
        <v>0</v>
      </c>
      <c r="X342" s="163">
        <f ca="1"/>
        <v>8.9752759609718069E-4</v>
      </c>
      <c r="Y342" s="163">
        <f ca="1"/>
        <v>2.5051925233476879E-3</v>
      </c>
      <c r="Z342" s="163">
        <f ca="1"/>
        <v>6.9638983676670874E-3</v>
      </c>
      <c r="AA342" s="163">
        <f ca="1"/>
        <v>1.2644354480382147E-2</v>
      </c>
      <c r="AB342" s="163">
        <f ca="1"/>
        <v>0</v>
      </c>
      <c r="AC342" s="163">
        <f ca="1"/>
        <v>2.5368133526845194E-2</v>
      </c>
      <c r="AD342" s="163">
        <f ca="1"/>
        <v>4.0438142824224865E-2</v>
      </c>
      <c r="AE342" s="139">
        <f ca="1"/>
        <v>6.6721413600493551E-2</v>
      </c>
      <c r="AH342" s="136">
        <v>6.9999999999999999E-4</v>
      </c>
      <c r="AI342" s="136">
        <v>2.2000000000000001E-3</v>
      </c>
      <c r="AJ342" s="136">
        <v>6.4000000000000003E-3</v>
      </c>
      <c r="AK342" s="136">
        <v>1.18E-2</v>
      </c>
      <c r="AM342" s="136">
        <v>2.3900000000000001E-2</v>
      </c>
      <c r="AN342" s="136">
        <v>3.8199999999999998E-2</v>
      </c>
      <c r="AO342" s="136">
        <v>6.3299999999999995E-2</v>
      </c>
      <c r="AQ342" s="136">
        <v>8.0000000000000004E-4</v>
      </c>
      <c r="AR342" s="136">
        <v>2.3999999999999998E-3</v>
      </c>
      <c r="AS342" s="136">
        <v>6.7999999999999996E-3</v>
      </c>
      <c r="AT342" s="136">
        <v>1.24E-2</v>
      </c>
      <c r="AV342" s="136">
        <v>2.5100000000000001E-2</v>
      </c>
      <c r="AW342" s="136">
        <v>4.0099999999999997E-2</v>
      </c>
      <c r="AX342" s="136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7" t="s">
        <v>87</v>
      </c>
      <c r="F343" s="156" t="s">
        <v>87</v>
      </c>
      <c r="G343" s="156">
        <v>1.683E-3</v>
      </c>
      <c r="H343" s="156" t="s">
        <v>87</v>
      </c>
      <c r="I343" s="156">
        <v>3.1979999999999999E-3</v>
      </c>
      <c r="J343" s="156" t="s">
        <v>87</v>
      </c>
      <c r="K343" s="156">
        <v>5.0499999999999998E-3</v>
      </c>
      <c r="L343" s="156">
        <v>6.9020000000000001E-3</v>
      </c>
      <c r="M343" s="156">
        <v>6.8859999999999998E-3</v>
      </c>
      <c r="N343" s="138" cm="1">
        <f t="array" aca="1" ref="N343:AE343" ca="1">IF(OR(B343="",NOT($J$2)),"",GetStripDefaultProbability(A343,B343,Parameter_Date,CDSRollDate,E343:M343,SpreadCurveMaturities,D343,C343,$J$4,$J$6))</f>
        <v>0</v>
      </c>
      <c r="O343" s="163">
        <f ca="1"/>
        <v>0</v>
      </c>
      <c r="P343" s="163">
        <f ca="1"/>
        <v>2.3125752754442619E-3</v>
      </c>
      <c r="Q343" s="163">
        <f ca="1"/>
        <v>0</v>
      </c>
      <c r="R343" s="163">
        <f ca="1"/>
        <v>1.2530003237335774E-2</v>
      </c>
      <c r="S343" s="163">
        <f ca="1"/>
        <v>0</v>
      </c>
      <c r="T343" s="163">
        <f ca="1"/>
        <v>3.3042186472591384E-2</v>
      </c>
      <c r="U343" s="163">
        <f ca="1"/>
        <v>6.3566179802116762E-2</v>
      </c>
      <c r="V343" s="139">
        <f ca="1"/>
        <v>8.7444823343256428E-2</v>
      </c>
      <c r="W343" s="138">
        <f ca="1"/>
        <v>0</v>
      </c>
      <c r="X343" s="163">
        <f ca="1"/>
        <v>0</v>
      </c>
      <c r="Y343" s="163">
        <f ca="1"/>
        <v>2.4372784094299771E-3</v>
      </c>
      <c r="Z343" s="163">
        <f ca="1"/>
        <v>0</v>
      </c>
      <c r="AA343" s="163">
        <f ca="1"/>
        <v>1.3151507599269419E-2</v>
      </c>
      <c r="AB343" s="163">
        <f ca="1"/>
        <v>0</v>
      </c>
      <c r="AC343" s="163">
        <f ca="1"/>
        <v>3.4668766463788137E-2</v>
      </c>
      <c r="AD343" s="163">
        <f ca="1"/>
        <v>6.6661376983039311E-2</v>
      </c>
      <c r="AE343" s="139">
        <f ca="1"/>
        <v>9.1636317915343546E-2</v>
      </c>
      <c r="AI343" s="136">
        <v>2.2000000000000001E-3</v>
      </c>
      <c r="AK343" s="136">
        <v>1.23E-2</v>
      </c>
      <c r="AM343" s="136">
        <v>3.27E-2</v>
      </c>
      <c r="AN343" s="136">
        <v>6.3E-2</v>
      </c>
      <c r="AO343" s="136">
        <v>8.6900000000000005E-2</v>
      </c>
      <c r="AR343" s="136">
        <v>2.3E-3</v>
      </c>
      <c r="AT343" s="136">
        <v>1.29E-2</v>
      </c>
      <c r="AV343" s="136">
        <v>3.4299999999999997E-2</v>
      </c>
      <c r="AW343" s="136">
        <v>6.6100000000000006E-2</v>
      </c>
      <c r="AX343" s="136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7" t="s">
        <v>87</v>
      </c>
      <c r="F344" s="156" t="s">
        <v>87</v>
      </c>
      <c r="G344" s="156">
        <v>2.872E-3</v>
      </c>
      <c r="H344" s="156" t="s">
        <v>87</v>
      </c>
      <c r="I344" s="156">
        <v>4.6160000000000003E-3</v>
      </c>
      <c r="J344" s="156" t="s">
        <v>87</v>
      </c>
      <c r="K344" s="156">
        <v>5.9500000000000004E-3</v>
      </c>
      <c r="L344" s="156">
        <v>6.3600000000000002E-3</v>
      </c>
      <c r="M344" s="156">
        <v>7.1809999999999999E-3</v>
      </c>
      <c r="N344" s="138" cm="1">
        <f t="array" aca="1" ref="N344:AE344" ca="1">IF(OR(B344="",NOT($J$2)),"",GetStripDefaultProbability(A344,B344,Parameter_Date,CDSRollDate,E344:M344,SpreadCurveMaturities,D344,C344,$J$4,$J$6))</f>
        <v>0</v>
      </c>
      <c r="O344" s="163">
        <f ca="1"/>
        <v>0</v>
      </c>
      <c r="P344" s="163">
        <f ca="1"/>
        <v>3.9431578241775345E-3</v>
      </c>
      <c r="Q344" s="163">
        <f ca="1"/>
        <v>0</v>
      </c>
      <c r="R344" s="163">
        <f ca="1"/>
        <v>1.7996834851555565E-2</v>
      </c>
      <c r="S344" s="163">
        <f ca="1"/>
        <v>0</v>
      </c>
      <c r="T344" s="163">
        <f ca="1"/>
        <v>3.8369105138260862E-2</v>
      </c>
      <c r="U344" s="163">
        <f ca="1"/>
        <v>5.6697312000559941E-2</v>
      </c>
      <c r="V344" s="139">
        <f ca="1"/>
        <v>9.1124940767888574E-2</v>
      </c>
      <c r="W344" s="138">
        <f ca="1"/>
        <v>0</v>
      </c>
      <c r="X344" s="163">
        <f ca="1"/>
        <v>0</v>
      </c>
      <c r="Y344" s="163">
        <f ca="1"/>
        <v>4.1398369033760485E-3</v>
      </c>
      <c r="Z344" s="163">
        <f ca="1"/>
        <v>0</v>
      </c>
      <c r="AA344" s="163">
        <f ca="1"/>
        <v>1.8887601347817529E-2</v>
      </c>
      <c r="AB344" s="163">
        <f ca="1"/>
        <v>0</v>
      </c>
      <c r="AC344" s="163">
        <f ca="1"/>
        <v>4.0251921391762036E-2</v>
      </c>
      <c r="AD344" s="163">
        <f ca="1"/>
        <v>5.9456057457365152E-2</v>
      </c>
      <c r="AE344" s="139">
        <f ca="1"/>
        <v>9.5495918706853145E-2</v>
      </c>
      <c r="AI344" s="136">
        <v>3.7000000000000002E-3</v>
      </c>
      <c r="AK344" s="136">
        <v>1.77E-2</v>
      </c>
      <c r="AM344" s="136">
        <v>3.7900000000000003E-2</v>
      </c>
      <c r="AN344" s="136">
        <v>5.62E-2</v>
      </c>
      <c r="AO344" s="136">
        <v>9.06E-2</v>
      </c>
      <c r="AR344" s="136">
        <v>3.8999999999999998E-3</v>
      </c>
      <c r="AT344" s="136">
        <v>1.8499999999999999E-2</v>
      </c>
      <c r="AV344" s="136">
        <v>3.9800000000000002E-2</v>
      </c>
      <c r="AW344" s="136">
        <v>5.8999999999999997E-2</v>
      </c>
      <c r="AX344" s="136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7" t="s">
        <v>87</v>
      </c>
      <c r="F345" s="156">
        <v>1.15E-3</v>
      </c>
      <c r="G345" s="156">
        <v>1.66E-3</v>
      </c>
      <c r="H345" s="156">
        <v>2.82E-3</v>
      </c>
      <c r="I345" s="156">
        <v>3.8899999999999998E-3</v>
      </c>
      <c r="J345" s="156" t="s">
        <v>87</v>
      </c>
      <c r="K345" s="156">
        <v>5.4999999999999997E-3</v>
      </c>
      <c r="L345" s="156">
        <v>6.2100000000000002E-3</v>
      </c>
      <c r="M345" s="156">
        <v>6.62E-3</v>
      </c>
      <c r="N345" s="138" cm="1">
        <f t="array" aca="1" ref="N345:AE345" ca="1">IF(OR(B345="",NOT($J$2)),"",GetStripDefaultProbability(A345,B345,Parameter_Date,CDSRollDate,E345:M345,SpreadCurveMaturities,D345,C345,$J$4,$J$6))</f>
        <v>0</v>
      </c>
      <c r="O345" s="163">
        <f ca="1"/>
        <v>8.6014819134327958E-4</v>
      </c>
      <c r="P345" s="163">
        <f ca="1"/>
        <v>2.2908957862946E-3</v>
      </c>
      <c r="Q345" s="163">
        <f ca="1"/>
        <v>7.4920971559490068E-3</v>
      </c>
      <c r="R345" s="163">
        <f ca="1"/>
        <v>1.5338855385546801E-2</v>
      </c>
      <c r="S345" s="163">
        <f ca="1"/>
        <v>0</v>
      </c>
      <c r="T345" s="163">
        <f ca="1"/>
        <v>3.5814613727625288E-2</v>
      </c>
      <c r="U345" s="163">
        <f ca="1"/>
        <v>5.5993741114468532E-2</v>
      </c>
      <c r="V345" s="139">
        <f ca="1"/>
        <v>8.3797489049479812E-2</v>
      </c>
      <c r="W345" s="138">
        <f ca="1"/>
        <v>0</v>
      </c>
      <c r="X345" s="163">
        <f ca="1"/>
        <v>9.3490706986210093E-4</v>
      </c>
      <c r="Y345" s="163">
        <f ca="1"/>
        <v>2.4156016300401761E-3</v>
      </c>
      <c r="Z345" s="163">
        <f ca="1"/>
        <v>7.8642342092919426E-3</v>
      </c>
      <c r="AA345" s="163">
        <f ca="1"/>
        <v>1.6099790983464701E-2</v>
      </c>
      <c r="AB345" s="163">
        <f ca="1"/>
        <v>0</v>
      </c>
      <c r="AC345" s="163">
        <f ca="1"/>
        <v>3.7575334305267716E-2</v>
      </c>
      <c r="AD345" s="163">
        <f ca="1"/>
        <v>5.8723096661941199E-2</v>
      </c>
      <c r="AE345" s="139">
        <f ca="1"/>
        <v>8.7815489172089145E-2</v>
      </c>
      <c r="AH345" s="136">
        <v>8.0000000000000004E-4</v>
      </c>
      <c r="AI345" s="136">
        <v>2.2000000000000001E-3</v>
      </c>
      <c r="AJ345" s="136">
        <v>7.3000000000000001E-3</v>
      </c>
      <c r="AK345" s="136">
        <v>1.5100000000000001E-2</v>
      </c>
      <c r="AM345" s="136">
        <v>3.5400000000000001E-2</v>
      </c>
      <c r="AN345" s="136">
        <v>5.5500000000000001E-2</v>
      </c>
      <c r="AO345" s="136">
        <v>8.3299999999999999E-2</v>
      </c>
      <c r="AQ345" s="136">
        <v>8.0000000000000004E-4</v>
      </c>
      <c r="AR345" s="136">
        <v>2.3E-3</v>
      </c>
      <c r="AS345" s="136">
        <v>7.6E-3</v>
      </c>
      <c r="AT345" s="136">
        <v>1.5800000000000002E-2</v>
      </c>
      <c r="AV345" s="136">
        <v>3.7100000000000001E-2</v>
      </c>
      <c r="AW345" s="136">
        <v>5.8200000000000002E-2</v>
      </c>
      <c r="AX345" s="136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7" t="s">
        <v>87</v>
      </c>
      <c r="F346" s="156">
        <v>1.49E-3</v>
      </c>
      <c r="G346" s="156">
        <v>2.1800000000000001E-3</v>
      </c>
      <c r="H346" s="156">
        <v>3.0999999999999999E-3</v>
      </c>
      <c r="I346" s="156">
        <v>3.98E-3</v>
      </c>
      <c r="J346" s="156" t="s">
        <v>87</v>
      </c>
      <c r="K346" s="156">
        <v>5.3E-3</v>
      </c>
      <c r="L346" s="156">
        <v>5.8999999999999999E-3</v>
      </c>
      <c r="M346" s="156">
        <v>6.3E-3</v>
      </c>
      <c r="N346" s="138" cm="1">
        <f t="array" aca="1" ref="N346:AE346" ca="1">IF(OR(B346="",NOT($J$2)),"",GetStripDefaultProbability(A346,B346,Parameter_Date,CDSRollDate,E346:M346,SpreadCurveMaturities,D346,C346,$J$4,$J$6))</f>
        <v>0</v>
      </c>
      <c r="O346" s="163">
        <f ca="1"/>
        <v>1.1143116104822548E-3</v>
      </c>
      <c r="P346" s="163">
        <f ca="1"/>
        <v>3.0080303371659012E-3</v>
      </c>
      <c r="Q346" s="163">
        <f ca="1"/>
        <v>8.2113924574217512E-3</v>
      </c>
      <c r="R346" s="163">
        <f ca="1"/>
        <v>1.5632649964125056E-2</v>
      </c>
      <c r="S346" s="163">
        <f ca="1"/>
        <v>0</v>
      </c>
      <c r="T346" s="163">
        <f ca="1"/>
        <v>3.4367868956262537E-2</v>
      </c>
      <c r="U346" s="163">
        <f ca="1"/>
        <v>5.3019977746830982E-2</v>
      </c>
      <c r="V346" s="139">
        <f ca="1"/>
        <v>7.9674395925931174E-2</v>
      </c>
      <c r="W346" s="138">
        <f ca="1"/>
        <v>0</v>
      </c>
      <c r="X346" s="163">
        <f ca="1"/>
        <v>1.1890503522538065E-3</v>
      </c>
      <c r="Y346" s="163">
        <f ca="1"/>
        <v>3.1577237947633119E-3</v>
      </c>
      <c r="Z346" s="163">
        <f ca="1"/>
        <v>8.6199079416757751E-3</v>
      </c>
      <c r="AA346" s="163">
        <f ca="1"/>
        <v>1.6408554863518998E-2</v>
      </c>
      <c r="AB346" s="163">
        <f ca="1"/>
        <v>0</v>
      </c>
      <c r="AC346" s="163">
        <f ca="1"/>
        <v>3.605846339345542E-2</v>
      </c>
      <c r="AD346" s="163">
        <f ca="1"/>
        <v>5.5606829198803664E-2</v>
      </c>
      <c r="AE346" s="139">
        <f ca="1"/>
        <v>8.350156316527424E-2</v>
      </c>
      <c r="AH346" s="136">
        <v>1E-3</v>
      </c>
      <c r="AI346" s="136">
        <v>2.8999999999999998E-3</v>
      </c>
      <c r="AJ346" s="136">
        <v>8.0000000000000002E-3</v>
      </c>
      <c r="AK346" s="136">
        <v>1.5299999999999999E-2</v>
      </c>
      <c r="AM346" s="136">
        <v>3.4000000000000002E-2</v>
      </c>
      <c r="AN346" s="136">
        <v>5.2600000000000001E-2</v>
      </c>
      <c r="AO346" s="136">
        <v>7.9200000000000007E-2</v>
      </c>
      <c r="AQ346" s="136">
        <v>1.1000000000000001E-3</v>
      </c>
      <c r="AR346" s="136">
        <v>3.0000000000000001E-3</v>
      </c>
      <c r="AS346" s="136">
        <v>8.3999999999999995E-3</v>
      </c>
      <c r="AT346" s="136">
        <v>1.61E-2</v>
      </c>
      <c r="AV346" s="136">
        <v>3.5700000000000003E-2</v>
      </c>
      <c r="AW346" s="136">
        <v>5.5199999999999999E-2</v>
      </c>
      <c r="AX346" s="136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7" t="s">
        <v>87</v>
      </c>
      <c r="F347" s="156">
        <v>1.39E-3</v>
      </c>
      <c r="G347" s="156">
        <v>2.0899999999999998E-3</v>
      </c>
      <c r="H347" s="156">
        <v>3.0500000000000002E-3</v>
      </c>
      <c r="I347" s="156">
        <v>3.8999999999999998E-3</v>
      </c>
      <c r="J347" s="156" t="s">
        <v>87</v>
      </c>
      <c r="K347" s="156">
        <v>5.3E-3</v>
      </c>
      <c r="L347" s="156">
        <v>6.0000000000000001E-3</v>
      </c>
      <c r="M347" s="156">
        <v>6.6E-3</v>
      </c>
      <c r="N347" s="138" cm="1">
        <f t="array" aca="1" ref="N347:AE347" ca="1">IF(OR(B347="",NOT($J$2)),"",GetStripDefaultProbability(A347,B347,Parameter_Date,CDSRollDate,E347:M347,SpreadCurveMaturities,D347,C347,$J$4,$J$6))</f>
        <v>0</v>
      </c>
      <c r="O347" s="163">
        <f ca="1"/>
        <v>1.039564352507405E-3</v>
      </c>
      <c r="P347" s="163">
        <f ca="1"/>
        <v>2.8847518535777272E-3</v>
      </c>
      <c r="Q347" s="163">
        <f ca="1"/>
        <v>8.0836484839311717E-3</v>
      </c>
      <c r="R347" s="163">
        <f ca="1"/>
        <v>1.532246066372478E-2</v>
      </c>
      <c r="S347" s="163">
        <f ca="1"/>
        <v>0</v>
      </c>
      <c r="T347" s="163">
        <f ca="1"/>
        <v>3.4406043498219518E-2</v>
      </c>
      <c r="U347" s="163">
        <f ca="1"/>
        <v>5.4032461956936451E-2</v>
      </c>
      <c r="V347" s="139">
        <f ca="1"/>
        <v>8.388415030559393E-2</v>
      </c>
      <c r="W347" s="138">
        <f ca="1"/>
        <v>0</v>
      </c>
      <c r="X347" s="163">
        <f ca="1"/>
        <v>1.1143090487505392E-3</v>
      </c>
      <c r="Y347" s="163">
        <f ca="1"/>
        <v>3.028202141904468E-3</v>
      </c>
      <c r="Z347" s="163">
        <f ca="1"/>
        <v>8.4857391505782642E-3</v>
      </c>
      <c r="AA347" s="163">
        <f ca="1"/>
        <v>1.608297320001062E-2</v>
      </c>
      <c r="AB347" s="163">
        <f ca="1"/>
        <v>0</v>
      </c>
      <c r="AC347" s="163">
        <f ca="1"/>
        <v>3.6098552256064287E-2</v>
      </c>
      <c r="AD347" s="163">
        <f ca="1"/>
        <v>5.6668252151767851E-2</v>
      </c>
      <c r="AE347" s="139">
        <f ca="1"/>
        <v>8.79080655913832E-2</v>
      </c>
      <c r="AH347" s="136">
        <v>8.9999999999999998E-4</v>
      </c>
      <c r="AI347" s="136">
        <v>2.7000000000000001E-3</v>
      </c>
      <c r="AJ347" s="136">
        <v>7.9000000000000008E-3</v>
      </c>
      <c r="AK347" s="136">
        <v>1.4999999999999999E-2</v>
      </c>
      <c r="AM347" s="136">
        <v>3.4000000000000002E-2</v>
      </c>
      <c r="AN347" s="136">
        <v>5.3600000000000002E-2</v>
      </c>
      <c r="AO347" s="136">
        <v>8.3400000000000002E-2</v>
      </c>
      <c r="AQ347" s="136">
        <v>1E-3</v>
      </c>
      <c r="AR347" s="136">
        <v>2.8999999999999998E-3</v>
      </c>
      <c r="AS347" s="136">
        <v>8.3000000000000001E-3</v>
      </c>
      <c r="AT347" s="136">
        <v>1.5800000000000002E-2</v>
      </c>
      <c r="AV347" s="136">
        <v>3.5700000000000003E-2</v>
      </c>
      <c r="AW347" s="136">
        <v>5.62E-2</v>
      </c>
      <c r="AX347" s="136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7" t="s">
        <v>87</v>
      </c>
      <c r="F348" s="156" t="s">
        <v>87</v>
      </c>
      <c r="G348" s="156">
        <v>2.5000000000000001E-3</v>
      </c>
      <c r="H348" s="156" t="s">
        <v>87</v>
      </c>
      <c r="I348" s="156">
        <v>3.7000000000000002E-3</v>
      </c>
      <c r="J348" s="156" t="s">
        <v>87</v>
      </c>
      <c r="K348" s="156">
        <v>5.0000000000000001E-3</v>
      </c>
      <c r="L348" s="156">
        <v>5.7999999999999996E-3</v>
      </c>
      <c r="M348" s="156">
        <v>7.0000000000000001E-3</v>
      </c>
      <c r="N348" s="138" cm="1">
        <f t="array" aca="1" ref="N348:AE348" ca="1">IF(OR(B348="",NOT($J$2)),"",GetStripDefaultProbability(A348,B348,Parameter_Date,CDSRollDate,E348:M348,SpreadCurveMaturities,D348,C348,$J$4,$J$6))</f>
        <v>0</v>
      </c>
      <c r="O348" s="163">
        <f ca="1"/>
        <v>0</v>
      </c>
      <c r="P348" s="163">
        <f ca="1"/>
        <v>4.5751143731009858E-3</v>
      </c>
      <c r="Q348" s="163">
        <f ca="1"/>
        <v>0</v>
      </c>
      <c r="R348" s="163">
        <f ca="1"/>
        <v>1.9195063286607583E-2</v>
      </c>
      <c r="S348" s="163">
        <f ca="1"/>
        <v>0</v>
      </c>
      <c r="T348" s="163">
        <f ca="1"/>
        <v>4.3005758738963284E-2</v>
      </c>
      <c r="U348" s="163">
        <f ca="1"/>
        <v>6.9389210968843429E-2</v>
      </c>
      <c r="V348" s="139">
        <f ca="1"/>
        <v>0.11937833038022039</v>
      </c>
      <c r="W348" s="138">
        <f ca="1"/>
        <v>0</v>
      </c>
      <c r="X348" s="163">
        <f ca="1"/>
        <v>0</v>
      </c>
      <c r="Y348" s="163">
        <f ca="1"/>
        <v>4.803223916927446E-3</v>
      </c>
      <c r="Z348" s="163">
        <f ca="1"/>
        <v>0</v>
      </c>
      <c r="AA348" s="163">
        <f ca="1"/>
        <v>2.0144378999117474E-2</v>
      </c>
      <c r="AB348" s="163">
        <f ca="1"/>
        <v>0</v>
      </c>
      <c r="AC348" s="163">
        <f ca="1"/>
        <v>4.5111426666492038E-2</v>
      </c>
      <c r="AD348" s="163">
        <f ca="1"/>
        <v>7.2749636407795304E-2</v>
      </c>
      <c r="AE348" s="139">
        <f ca="1"/>
        <v>0.12505343685945935</v>
      </c>
      <c r="AI348" s="136">
        <v>4.3E-3</v>
      </c>
      <c r="AK348" s="136">
        <v>1.8800000000000001E-2</v>
      </c>
      <c r="AM348" s="136">
        <v>4.2500000000000003E-2</v>
      </c>
      <c r="AN348" s="136">
        <v>6.88E-2</v>
      </c>
      <c r="AO348" s="136">
        <v>0.1187</v>
      </c>
      <c r="AR348" s="136">
        <v>4.5999999999999999E-3</v>
      </c>
      <c r="AT348" s="136">
        <v>1.9800000000000002E-2</v>
      </c>
      <c r="AV348" s="136">
        <v>4.4600000000000001E-2</v>
      </c>
      <c r="AW348" s="136">
        <v>7.22E-2</v>
      </c>
      <c r="AX348" s="136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7" t="s">
        <v>87</v>
      </c>
      <c r="F349" s="156">
        <v>1.2199999999999999E-3</v>
      </c>
      <c r="G349" s="156">
        <v>1.82E-3</v>
      </c>
      <c r="H349" s="156">
        <v>2.6700000000000001E-3</v>
      </c>
      <c r="I349" s="156">
        <v>3.4399999999999999E-3</v>
      </c>
      <c r="J349" s="156" t="s">
        <v>87</v>
      </c>
      <c r="K349" s="156">
        <v>4.7999999999999996E-3</v>
      </c>
      <c r="L349" s="156">
        <v>5.4999999999999997E-3</v>
      </c>
      <c r="M349" s="156">
        <v>6.1000000000000004E-3</v>
      </c>
      <c r="N349" s="138" cm="1">
        <f t="array" aca="1" ref="N349:AE349" ca="1">IF(OR(B349="",NOT($J$2)),"",GetStripDefaultProbability(A349,B349,Parameter_Date,CDSRollDate,E349:M349,SpreadCurveMaturities,D349,C349,$J$4,$J$6))</f>
        <v>0</v>
      </c>
      <c r="O349" s="163">
        <f ca="1"/>
        <v>9.1248122190223935E-4</v>
      </c>
      <c r="P349" s="163">
        <f ca="1"/>
        <v>2.5122744644427986E-3</v>
      </c>
      <c r="Q349" s="163">
        <f ca="1"/>
        <v>7.0797471061231354E-3</v>
      </c>
      <c r="R349" s="163">
        <f ca="1"/>
        <v>1.3528556189529861E-2</v>
      </c>
      <c r="S349" s="163">
        <f ca="1"/>
        <v>0</v>
      </c>
      <c r="T349" s="163">
        <f ca="1"/>
        <v>3.1243808286510077E-2</v>
      </c>
      <c r="U349" s="163">
        <f ca="1"/>
        <v>4.9725750422089487E-2</v>
      </c>
      <c r="V349" s="139">
        <f ca="1"/>
        <v>7.7947484636997189E-2</v>
      </c>
      <c r="W349" s="138">
        <f ca="1"/>
        <v>0</v>
      </c>
      <c r="X349" s="163">
        <f ca="1"/>
        <v>9.8723597965022503E-4</v>
      </c>
      <c r="Y349" s="163">
        <f ca="1"/>
        <v>2.6369526375911168E-3</v>
      </c>
      <c r="Z349" s="163">
        <f ca="1"/>
        <v>7.4318256383011372E-3</v>
      </c>
      <c r="AA349" s="163">
        <f ca="1"/>
        <v>1.4200327510548894E-2</v>
      </c>
      <c r="AB349" s="163">
        <f ca="1"/>
        <v>0</v>
      </c>
      <c r="AC349" s="163">
        <f ca="1"/>
        <v>3.2783041019682435E-2</v>
      </c>
      <c r="AD349" s="163">
        <f ca="1"/>
        <v>5.2156810005845711E-2</v>
      </c>
      <c r="AE349" s="139">
        <f ca="1"/>
        <v>8.1699413691908918E-2</v>
      </c>
      <c r="AH349" s="136">
        <v>8.0000000000000004E-4</v>
      </c>
      <c r="AI349" s="136">
        <v>2.3999999999999998E-3</v>
      </c>
      <c r="AJ349" s="136">
        <v>6.8999999999999999E-3</v>
      </c>
      <c r="AK349" s="136">
        <v>1.3299999999999999E-2</v>
      </c>
      <c r="AM349" s="136">
        <v>3.09E-2</v>
      </c>
      <c r="AN349" s="136">
        <v>4.9299999999999997E-2</v>
      </c>
      <c r="AO349" s="136">
        <v>7.7499999999999999E-2</v>
      </c>
      <c r="AQ349" s="136">
        <v>8.9999999999999998E-4</v>
      </c>
      <c r="AR349" s="136">
        <v>2.5000000000000001E-3</v>
      </c>
      <c r="AS349" s="136">
        <v>7.1999999999999998E-3</v>
      </c>
      <c r="AT349" s="136">
        <v>1.3899999999999999E-2</v>
      </c>
      <c r="AV349" s="136">
        <v>3.2399999999999998E-2</v>
      </c>
      <c r="AW349" s="136">
        <v>5.1700000000000003E-2</v>
      </c>
      <c r="AX349" s="136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7" t="s">
        <v>87</v>
      </c>
      <c r="F350" s="156">
        <v>1.42E-3</v>
      </c>
      <c r="G350" s="156">
        <v>1.7700000000000001E-3</v>
      </c>
      <c r="H350" s="156">
        <v>2.66E-3</v>
      </c>
      <c r="I350" s="156">
        <v>3.4199999999999999E-3</v>
      </c>
      <c r="J350" s="156" t="s">
        <v>87</v>
      </c>
      <c r="K350" s="156">
        <v>4.5999999999999999E-3</v>
      </c>
      <c r="L350" s="156">
        <v>5.2399999999999999E-3</v>
      </c>
      <c r="M350" s="156">
        <v>5.7999999999999996E-3</v>
      </c>
      <c r="N350" s="138" cm="1">
        <f t="array" aca="1" ref="N350:AE350" ca="1">IF(OR(B350="",NOT($J$2)),"",GetStripDefaultProbability(A350,B350,Parameter_Date,CDSRollDate,E350:M350,SpreadCurveMaturities,D350,C350,$J$4,$J$6))</f>
        <v>0</v>
      </c>
      <c r="O350" s="163">
        <f ca="1"/>
        <v>1.0619891151152361E-3</v>
      </c>
      <c r="P350" s="163">
        <f ca="1"/>
        <v>2.4387601282030991E-3</v>
      </c>
      <c r="Q350" s="163">
        <f ca="1"/>
        <v>7.0513575948510931E-3</v>
      </c>
      <c r="R350" s="163">
        <f ca="1"/>
        <v>1.344737497647519E-2</v>
      </c>
      <c r="S350" s="163">
        <f ca="1"/>
        <v>0</v>
      </c>
      <c r="T350" s="163">
        <f ca="1"/>
        <v>2.9899308044022854E-2</v>
      </c>
      <c r="U350" s="163">
        <f ca="1"/>
        <v>4.7334023805145065E-2</v>
      </c>
      <c r="V350" s="139">
        <f ca="1"/>
        <v>7.4124172391809462E-2</v>
      </c>
      <c r="W350" s="138">
        <f ca="1"/>
        <v>0</v>
      </c>
      <c r="X350" s="163">
        <f ca="1"/>
        <v>1.1367320278214965E-3</v>
      </c>
      <c r="Y350" s="163">
        <f ca="1"/>
        <v>2.5634474900734228E-3</v>
      </c>
      <c r="Z350" s="163">
        <f ca="1"/>
        <v>7.4020927021853922E-3</v>
      </c>
      <c r="AA350" s="163">
        <f ca="1"/>
        <v>1.4115198473249158E-2</v>
      </c>
      <c r="AB350" s="163">
        <f ca="1"/>
        <v>0</v>
      </c>
      <c r="AC350" s="163">
        <f ca="1"/>
        <v>3.1373057876714183E-2</v>
      </c>
      <c r="AD350" s="163">
        <f ca="1"/>
        <v>4.9650148100451763E-2</v>
      </c>
      <c r="AE350" s="139">
        <f ca="1"/>
        <v>7.7698219525258572E-2</v>
      </c>
      <c r="AH350" s="136">
        <v>1E-3</v>
      </c>
      <c r="AI350" s="136">
        <v>2.3E-3</v>
      </c>
      <c r="AJ350" s="136">
        <v>6.8999999999999999E-3</v>
      </c>
      <c r="AK350" s="136">
        <v>1.32E-2</v>
      </c>
      <c r="AM350" s="136">
        <v>2.9600000000000001E-2</v>
      </c>
      <c r="AN350" s="136">
        <v>4.6899999999999997E-2</v>
      </c>
      <c r="AO350" s="136">
        <v>7.3700000000000002E-2</v>
      </c>
      <c r="AQ350" s="136">
        <v>1E-3</v>
      </c>
      <c r="AR350" s="136">
        <v>2.3999999999999998E-3</v>
      </c>
      <c r="AS350" s="136">
        <v>7.1999999999999998E-3</v>
      </c>
      <c r="AT350" s="136">
        <v>1.3899999999999999E-2</v>
      </c>
      <c r="AV350" s="136">
        <v>3.1E-2</v>
      </c>
      <c r="AW350" s="136">
        <v>4.9200000000000001E-2</v>
      </c>
      <c r="AX350" s="136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7" t="s">
        <v>87</v>
      </c>
      <c r="F351" s="156">
        <v>1.8500000000000001E-3</v>
      </c>
      <c r="G351" s="156">
        <v>2.0699999999999998E-3</v>
      </c>
      <c r="H351" s="156">
        <v>2.81E-3</v>
      </c>
      <c r="I351" s="156">
        <v>3.2599999999999999E-3</v>
      </c>
      <c r="J351" s="156" t="s">
        <v>87</v>
      </c>
      <c r="K351" s="156">
        <v>4.1000000000000003E-3</v>
      </c>
      <c r="L351" s="156">
        <v>4.5999999999999999E-3</v>
      </c>
      <c r="M351" s="156">
        <v>5.0000000000000001E-3</v>
      </c>
      <c r="N351" s="138" cm="1">
        <f t="array" aca="1" ref="N351:AE351" ca="1">IF(OR(B351="",NOT($J$2)),"",GetStripDefaultProbability(A351,B351,Parameter_Date,CDSRollDate,E351:M351,SpreadCurveMaturities,D351,C351,$J$4,$J$6))</f>
        <v>0</v>
      </c>
      <c r="O351" s="163">
        <f ca="1"/>
        <v>1.844050239766637E-3</v>
      </c>
      <c r="P351" s="163">
        <f ca="1"/>
        <v>3.7954442133506516E-3</v>
      </c>
      <c r="Q351" s="163">
        <f ca="1"/>
        <v>9.8974764888682953E-3</v>
      </c>
      <c r="R351" s="163">
        <f ca="1"/>
        <v>1.6978815958761606E-2</v>
      </c>
      <c r="S351" s="163">
        <f ca="1"/>
        <v>0</v>
      </c>
      <c r="T351" s="163">
        <f ca="1"/>
        <v>3.5239059317082932E-2</v>
      </c>
      <c r="U351" s="163">
        <f ca="1"/>
        <v>5.4920367792737124E-2</v>
      </c>
      <c r="V351" s="139">
        <f ca="1"/>
        <v>8.4249917416369891E-2</v>
      </c>
      <c r="W351" s="138">
        <f ca="1"/>
        <v>0</v>
      </c>
      <c r="X351" s="163">
        <f ca="1"/>
        <v>1.9436236819484476E-3</v>
      </c>
      <c r="Y351" s="163">
        <f ca="1"/>
        <v>3.984651622563784E-3</v>
      </c>
      <c r="Z351" s="163">
        <f ca="1"/>
        <v>1.0389812244381069E-2</v>
      </c>
      <c r="AA351" s="163">
        <f ca="1"/>
        <v>1.7820960334372415E-2</v>
      </c>
      <c r="AB351" s="163">
        <f ca="1"/>
        <v>0</v>
      </c>
      <c r="AC351" s="163">
        <f ca="1"/>
        <v>3.697096471213579E-2</v>
      </c>
      <c r="AD351" s="163">
        <f ca="1"/>
        <v>5.7596433293940485E-2</v>
      </c>
      <c r="AE351" s="139">
        <f ca="1"/>
        <v>8.8287384822163695E-2</v>
      </c>
      <c r="AH351" s="136">
        <v>1.6999999999999999E-3</v>
      </c>
      <c r="AI351" s="136">
        <v>3.5999999999999999E-3</v>
      </c>
      <c r="AJ351" s="136">
        <v>9.5999999999999992E-3</v>
      </c>
      <c r="AK351" s="136">
        <v>1.67E-2</v>
      </c>
      <c r="AM351" s="136">
        <v>3.4799999999999998E-2</v>
      </c>
      <c r="AN351" s="136">
        <v>5.45E-2</v>
      </c>
      <c r="AO351" s="136">
        <v>8.3799999999999999E-2</v>
      </c>
      <c r="AQ351" s="136">
        <v>1.8E-3</v>
      </c>
      <c r="AR351" s="136">
        <v>3.8E-3</v>
      </c>
      <c r="AS351" s="136">
        <v>1.01E-2</v>
      </c>
      <c r="AT351" s="136">
        <v>1.7500000000000002E-2</v>
      </c>
      <c r="AV351" s="136">
        <v>3.6600000000000001E-2</v>
      </c>
      <c r="AW351" s="136">
        <v>5.7099999999999998E-2</v>
      </c>
      <c r="AX351" s="136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7" t="s">
        <v>87</v>
      </c>
      <c r="F352" s="156">
        <v>1.41E-3</v>
      </c>
      <c r="G352" s="156">
        <v>2.1900000000000001E-3</v>
      </c>
      <c r="H352" s="156">
        <v>3.2100000000000002E-3</v>
      </c>
      <c r="I352" s="156">
        <v>3.7299999999999998E-3</v>
      </c>
      <c r="J352" s="156" t="s">
        <v>87</v>
      </c>
      <c r="K352" s="156">
        <v>4.4999999999999997E-3</v>
      </c>
      <c r="L352" s="156">
        <v>4.8900000000000002E-3</v>
      </c>
      <c r="M352" s="156">
        <v>5.2700000000000004E-3</v>
      </c>
      <c r="N352" s="138" cm="1">
        <f t="array" aca="1" ref="N352:AE352" ca="1">IF(OR(B352="",NOT($J$2)),"",GetStripDefaultProbability(A352,B352,Parameter_Date,CDSRollDate,E352:M352,SpreadCurveMaturities,D352,C352,$J$4,$J$6))</f>
        <v>0</v>
      </c>
      <c r="O352" s="163">
        <f ca="1"/>
        <v>1.4057935809325128E-3</v>
      </c>
      <c r="P352" s="163">
        <f ca="1"/>
        <v>4.0297449452812995E-3</v>
      </c>
      <c r="Q352" s="163">
        <f ca="1"/>
        <v>1.1330688620278306E-2</v>
      </c>
      <c r="R352" s="163">
        <f ca="1"/>
        <v>1.9439504508379946E-2</v>
      </c>
      <c r="S352" s="163">
        <f ca="1"/>
        <v>0</v>
      </c>
      <c r="T352" s="163">
        <f ca="1"/>
        <v>3.8584966350715399E-2</v>
      </c>
      <c r="U352" s="163">
        <f ca="1"/>
        <v>5.8110475238948966E-2</v>
      </c>
      <c r="V352" s="139">
        <f ca="1"/>
        <v>8.8467123772992373E-2</v>
      </c>
      <c r="W352" s="138">
        <f ca="1"/>
        <v>0</v>
      </c>
      <c r="X352" s="163">
        <f ca="1"/>
        <v>1.5054155750496845E-3</v>
      </c>
      <c r="Y352" s="163">
        <f ca="1"/>
        <v>4.2300828925220246E-3</v>
      </c>
      <c r="Z352" s="163">
        <f ca="1"/>
        <v>1.1893506494935591E-2</v>
      </c>
      <c r="AA352" s="163">
        <f ca="1"/>
        <v>2.0402209769947444E-2</v>
      </c>
      <c r="AB352" s="163">
        <f ca="1"/>
        <v>0</v>
      </c>
      <c r="AC352" s="163">
        <f ca="1"/>
        <v>4.0476930392242649E-2</v>
      </c>
      <c r="AD352" s="163">
        <f ca="1"/>
        <v>6.0934775401689345E-2</v>
      </c>
      <c r="AE352" s="139">
        <f ca="1"/>
        <v>9.2692041754927068E-2</v>
      </c>
      <c r="AH352" s="136">
        <v>1.2999999999999999E-3</v>
      </c>
      <c r="AI352" s="136">
        <v>3.8E-3</v>
      </c>
      <c r="AJ352" s="136">
        <v>1.0999999999999999E-2</v>
      </c>
      <c r="AK352" s="136">
        <v>1.9099999999999999E-2</v>
      </c>
      <c r="AM352" s="136">
        <v>3.8199999999999998E-2</v>
      </c>
      <c r="AN352" s="136">
        <v>5.7599999999999998E-2</v>
      </c>
      <c r="AO352" s="136">
        <v>8.7999999999999995E-2</v>
      </c>
      <c r="AQ352" s="136">
        <v>1.4E-3</v>
      </c>
      <c r="AR352" s="136">
        <v>4.0000000000000001E-3</v>
      </c>
      <c r="AS352" s="136">
        <v>1.1599999999999999E-2</v>
      </c>
      <c r="AT352" s="136">
        <v>0.02</v>
      </c>
      <c r="AV352" s="136">
        <v>0.04</v>
      </c>
      <c r="AW352" s="136">
        <v>6.0400000000000002E-2</v>
      </c>
      <c r="AX352" s="136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7" t="s">
        <v>87</v>
      </c>
      <c r="F353" s="156">
        <v>1.0200000000000001E-3</v>
      </c>
      <c r="G353" s="156">
        <v>1.5399999999999999E-3</v>
      </c>
      <c r="H353" s="156">
        <v>2.0500000000000002E-3</v>
      </c>
      <c r="I353" s="156">
        <v>2.7599999999999999E-3</v>
      </c>
      <c r="J353" s="156" t="s">
        <v>87</v>
      </c>
      <c r="K353" s="156">
        <v>4.3E-3</v>
      </c>
      <c r="L353" s="156">
        <v>5.0000000000000001E-3</v>
      </c>
      <c r="M353" s="156">
        <v>5.4000000000000003E-3</v>
      </c>
      <c r="N353" s="138" cm="1">
        <f t="array" aca="1" ref="N353:AE353" ca="1">IF(OR(B353="",NOT($J$2)),"",GetStripDefaultProbability(A353,B353,Parameter_Date,CDSRollDate,E353:M353,SpreadCurveMaturities,D353,C353,$J$4,$J$6))</f>
        <v>0</v>
      </c>
      <c r="O353" s="163">
        <f ca="1"/>
        <v>1.0171390882612874E-3</v>
      </c>
      <c r="P353" s="163">
        <f ca="1"/>
        <v>2.8343111292314926E-3</v>
      </c>
      <c r="Q353" s="163">
        <f ca="1"/>
        <v>7.2355646038951837E-3</v>
      </c>
      <c r="R353" s="163">
        <f ca="1"/>
        <v>1.4476658161188261E-2</v>
      </c>
      <c r="S353" s="163">
        <f ca="1"/>
        <v>0</v>
      </c>
      <c r="T353" s="163">
        <f ca="1"/>
        <v>3.7437734814251611E-2</v>
      </c>
      <c r="U353" s="163">
        <f ca="1"/>
        <v>6.031736497583251E-2</v>
      </c>
      <c r="V353" s="139">
        <f ca="1"/>
        <v>9.1352939035223013E-2</v>
      </c>
      <c r="W353" s="138">
        <f ca="1"/>
        <v>0</v>
      </c>
      <c r="X353" s="163">
        <f ca="1"/>
        <v>1.1168005150720139E-3</v>
      </c>
      <c r="Y353" s="163">
        <f ca="1"/>
        <v>3.0004915619639139E-3</v>
      </c>
      <c r="Z353" s="163">
        <f ca="1"/>
        <v>7.5938929896035567E-3</v>
      </c>
      <c r="AA353" s="163">
        <f ca="1"/>
        <v>1.5193811668158141E-2</v>
      </c>
      <c r="AB353" s="163">
        <f ca="1"/>
        <v>0</v>
      </c>
      <c r="AC353" s="163">
        <f ca="1"/>
        <v>3.9276220419021124E-2</v>
      </c>
      <c r="AD353" s="163">
        <f ca="1"/>
        <v>6.3252970710042211E-2</v>
      </c>
      <c r="AE353" s="139">
        <f ca="1"/>
        <v>9.5719290004184443E-2</v>
      </c>
      <c r="AH353" s="136">
        <v>8.9999999999999998E-4</v>
      </c>
      <c r="AI353" s="136">
        <v>2.7000000000000001E-3</v>
      </c>
      <c r="AJ353" s="136">
        <v>7.0000000000000001E-3</v>
      </c>
      <c r="AK353" s="136">
        <v>1.4200000000000001E-2</v>
      </c>
      <c r="AM353" s="136">
        <v>3.6999999999999998E-2</v>
      </c>
      <c r="AN353" s="136">
        <v>5.9799999999999999E-2</v>
      </c>
      <c r="AO353" s="136">
        <v>9.0800000000000006E-2</v>
      </c>
      <c r="AQ353" s="136">
        <v>1E-3</v>
      </c>
      <c r="AR353" s="136">
        <v>2.8999999999999998E-3</v>
      </c>
      <c r="AS353" s="136">
        <v>7.4000000000000003E-3</v>
      </c>
      <c r="AT353" s="136">
        <v>1.49E-2</v>
      </c>
      <c r="AV353" s="136">
        <v>3.8800000000000001E-2</v>
      </c>
      <c r="AW353" s="136">
        <v>6.2700000000000006E-2</v>
      </c>
      <c r="AX353" s="136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7" t="s">
        <v>87</v>
      </c>
      <c r="F354" s="156">
        <v>1.65E-3</v>
      </c>
      <c r="G354" s="156">
        <v>2.5300000000000001E-3</v>
      </c>
      <c r="H354" s="156">
        <v>3.2299999999999998E-3</v>
      </c>
      <c r="I354" s="156">
        <v>3.5400000000000002E-3</v>
      </c>
      <c r="J354" s="156" t="s">
        <v>87</v>
      </c>
      <c r="K354" s="156">
        <v>4.1999999999999997E-3</v>
      </c>
      <c r="L354" s="156">
        <v>4.5999999999999999E-3</v>
      </c>
      <c r="M354" s="156">
        <v>5.0000000000000001E-3</v>
      </c>
      <c r="N354" s="138" cm="1">
        <f t="array" aca="1" ref="N354:AE354" ca="1">IF(OR(B354="",NOT($J$2)),"",GetStripDefaultProbability(A354,B354,Parameter_Date,CDSRollDate,E354:M354,SpreadCurveMaturities,D354,C354,$J$4,$J$6))</f>
        <v>0</v>
      </c>
      <c r="O354" s="163">
        <f ca="1"/>
        <v>1.6448569233522559E-3</v>
      </c>
      <c r="P354" s="163">
        <f ca="1"/>
        <v>4.6536202261334703E-3</v>
      </c>
      <c r="Q354" s="163">
        <f ca="1"/>
        <v>1.1372542480457937E-2</v>
      </c>
      <c r="R354" s="163">
        <f ca="1"/>
        <v>1.8384583914232144E-2</v>
      </c>
      <c r="S354" s="163">
        <f ca="1"/>
        <v>0</v>
      </c>
      <c r="T354" s="163">
        <f ca="1"/>
        <v>3.5918233195165961E-2</v>
      </c>
      <c r="U354" s="163">
        <f ca="1"/>
        <v>5.4606601603905403E-2</v>
      </c>
      <c r="V354" s="139">
        <f ca="1"/>
        <v>8.3939786183197973E-2</v>
      </c>
      <c r="W354" s="138">
        <f ca="1"/>
        <v>0</v>
      </c>
      <c r="X354" s="163">
        <f ca="1"/>
        <v>1.7444518775037166E-3</v>
      </c>
      <c r="Y354" s="163">
        <f ca="1"/>
        <v>4.8853462356646116E-3</v>
      </c>
      <c r="Z354" s="163">
        <f ca="1"/>
        <v>1.193762983213531E-2</v>
      </c>
      <c r="AA354" s="163">
        <f ca="1"/>
        <v>1.9295359919811128E-2</v>
      </c>
      <c r="AB354" s="163">
        <f ca="1"/>
        <v>0</v>
      </c>
      <c r="AC354" s="163">
        <f ca="1"/>
        <v>3.7681680734967138E-2</v>
      </c>
      <c r="AD354" s="163">
        <f ca="1"/>
        <v>5.7265120053859198E-2</v>
      </c>
      <c r="AE354" s="139">
        <f ca="1"/>
        <v>8.7959713006479201E-2</v>
      </c>
      <c r="AH354" s="136">
        <v>1.5E-3</v>
      </c>
      <c r="AI354" s="136">
        <v>4.4000000000000003E-3</v>
      </c>
      <c r="AJ354" s="136">
        <v>1.11E-2</v>
      </c>
      <c r="AK354" s="136">
        <v>1.8100000000000002E-2</v>
      </c>
      <c r="AM354" s="136">
        <v>3.5499999999999997E-2</v>
      </c>
      <c r="AN354" s="136">
        <v>5.4199999999999998E-2</v>
      </c>
      <c r="AO354" s="136">
        <v>8.3500000000000005E-2</v>
      </c>
      <c r="AQ354" s="136">
        <v>1.6000000000000001E-3</v>
      </c>
      <c r="AR354" s="136">
        <v>4.5999999999999999E-3</v>
      </c>
      <c r="AS354" s="136">
        <v>1.1599999999999999E-2</v>
      </c>
      <c r="AT354" s="136">
        <v>1.89E-2</v>
      </c>
      <c r="AV354" s="136">
        <v>3.73E-2</v>
      </c>
      <c r="AW354" s="136">
        <v>5.6800000000000003E-2</v>
      </c>
      <c r="AX354" s="136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7" t="s">
        <v>87</v>
      </c>
      <c r="F355" s="156">
        <v>1.06E-3</v>
      </c>
      <c r="G355" s="156">
        <v>1.6900000000000001E-3</v>
      </c>
      <c r="H355" s="156">
        <v>2.0100000000000001E-3</v>
      </c>
      <c r="I355" s="156">
        <v>2.5400000000000002E-3</v>
      </c>
      <c r="J355" s="156" t="s">
        <v>87</v>
      </c>
      <c r="K355" s="156">
        <v>3.5999999999999999E-3</v>
      </c>
      <c r="L355" s="156">
        <v>4.15E-3</v>
      </c>
      <c r="M355" s="156">
        <v>4.5999999999999999E-3</v>
      </c>
      <c r="N355" s="138" cm="1">
        <f t="array" aca="1" ref="N355:AE355" ca="1">IF(OR(B355="",NOT($J$2)),"",GetStripDefaultProbability(A355,B355,Parameter_Date,CDSRollDate,E355:M355,SpreadCurveMaturities,D355,C355,$J$4,$J$6))</f>
        <v>0</v>
      </c>
      <c r="O355" s="163">
        <f ca="1"/>
        <v>1.0570058778868185E-3</v>
      </c>
      <c r="P355" s="163">
        <f ca="1"/>
        <v>3.1115978680908984E-3</v>
      </c>
      <c r="Q355" s="163">
        <f ca="1"/>
        <v>7.0813356157816143E-3</v>
      </c>
      <c r="R355" s="163">
        <f ca="1"/>
        <v>1.3285809517949887E-2</v>
      </c>
      <c r="S355" s="163">
        <f ca="1"/>
        <v>0</v>
      </c>
      <c r="T355" s="163">
        <f ca="1"/>
        <v>3.1232441719858839E-2</v>
      </c>
      <c r="U355" s="163">
        <f ca="1"/>
        <v>5.0039834279423268E-2</v>
      </c>
      <c r="V355" s="139">
        <f ca="1"/>
        <v>7.8370550224472479E-2</v>
      </c>
      <c r="W355" s="138">
        <f ca="1"/>
        <v>0</v>
      </c>
      <c r="X355" s="163">
        <f ca="1"/>
        <v>1.1566631409403172E-3</v>
      </c>
      <c r="Y355" s="163">
        <f ca="1"/>
        <v>3.2777320902022122E-3</v>
      </c>
      <c r="Z355" s="163">
        <f ca="1"/>
        <v>7.4325160741705032E-3</v>
      </c>
      <c r="AA355" s="163">
        <f ca="1"/>
        <v>1.3944508629673003E-2</v>
      </c>
      <c r="AB355" s="163">
        <f ca="1"/>
        <v>0</v>
      </c>
      <c r="AC355" s="163">
        <f ca="1"/>
        <v>3.277003204288309E-2</v>
      </c>
      <c r="AD355" s="163">
        <f ca="1"/>
        <v>5.2485035220311116E-2</v>
      </c>
      <c r="AE355" s="139">
        <f ca="1"/>
        <v>8.2141242030826844E-2</v>
      </c>
      <c r="AH355" s="136">
        <v>1E-3</v>
      </c>
      <c r="AI355" s="136">
        <v>3.0000000000000001E-3</v>
      </c>
      <c r="AJ355" s="136">
        <v>6.8999999999999999E-3</v>
      </c>
      <c r="AK355" s="136">
        <v>1.2999999999999999E-2</v>
      </c>
      <c r="AM355" s="136">
        <v>3.09E-2</v>
      </c>
      <c r="AN355" s="136">
        <v>4.9599999999999998E-2</v>
      </c>
      <c r="AO355" s="136">
        <v>7.7899999999999997E-2</v>
      </c>
      <c r="AQ355" s="136">
        <v>1E-3</v>
      </c>
      <c r="AR355" s="136">
        <v>3.0999999999999999E-3</v>
      </c>
      <c r="AS355" s="136">
        <v>7.1999999999999998E-3</v>
      </c>
      <c r="AT355" s="136">
        <v>1.37E-2</v>
      </c>
      <c r="AV355" s="136">
        <v>3.2399999999999998E-2</v>
      </c>
      <c r="AW355" s="136">
        <v>5.21E-2</v>
      </c>
      <c r="AX355" s="136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7" t="s">
        <v>87</v>
      </c>
      <c r="F356" s="156">
        <v>1.09E-3</v>
      </c>
      <c r="G356" s="156">
        <v>1.56E-3</v>
      </c>
      <c r="H356" s="156">
        <v>2.1900000000000001E-3</v>
      </c>
      <c r="I356" s="156">
        <v>2.7299999999999998E-3</v>
      </c>
      <c r="J356" s="156" t="s">
        <v>87</v>
      </c>
      <c r="K356" s="156">
        <v>3.5000000000000001E-3</v>
      </c>
      <c r="L356" s="156">
        <v>4.0000000000000001E-3</v>
      </c>
      <c r="M356" s="156">
        <v>4.5999999999999999E-3</v>
      </c>
      <c r="N356" s="138" cm="1">
        <f t="array" aca="1" ref="N356:AE356" ca="1">IF(OR(B356="",NOT($J$2)),"",GetStripDefaultProbability(A356,B356,Parameter_Date,CDSRollDate,E356:M356,SpreadCurveMaturities,D356,C356,$J$4,$J$6))</f>
        <v>0</v>
      </c>
      <c r="O356" s="163">
        <f ca="1"/>
        <v>8.1528913366168965E-4</v>
      </c>
      <c r="P356" s="163">
        <f ca="1"/>
        <v>2.1528328904422134E-3</v>
      </c>
      <c r="Q356" s="163">
        <f ca="1"/>
        <v>5.804871766359021E-3</v>
      </c>
      <c r="R356" s="163">
        <f ca="1"/>
        <v>1.0730688412553646E-2</v>
      </c>
      <c r="S356" s="163">
        <f ca="1"/>
        <v>0</v>
      </c>
      <c r="T356" s="163">
        <f ca="1"/>
        <v>2.2742030990884454E-2</v>
      </c>
      <c r="U356" s="163">
        <f ca="1"/>
        <v>3.623708668070369E-2</v>
      </c>
      <c r="V356" s="139">
        <f ca="1"/>
        <v>5.9456549848174611E-2</v>
      </c>
      <c r="W356" s="138">
        <f ca="1"/>
        <v>0</v>
      </c>
      <c r="X356" s="163">
        <f ca="1"/>
        <v>8.9005153410270932E-4</v>
      </c>
      <c r="Y356" s="163">
        <f ca="1"/>
        <v>2.27755599096513E-3</v>
      </c>
      <c r="Z356" s="163">
        <f ca="1"/>
        <v>6.0928097414277849E-3</v>
      </c>
      <c r="AA356" s="163">
        <f ca="1"/>
        <v>1.1263183034146307E-2</v>
      </c>
      <c r="AB356" s="163">
        <f ca="1"/>
        <v>0</v>
      </c>
      <c r="AC356" s="163">
        <f ca="1"/>
        <v>2.3865520857013323E-2</v>
      </c>
      <c r="AD356" s="163">
        <f ca="1"/>
        <v>3.8017906969348814E-2</v>
      </c>
      <c r="AE356" s="139">
        <f ca="1"/>
        <v>6.234465411220147E-2</v>
      </c>
      <c r="AH356" s="136">
        <v>6.9999999999999999E-4</v>
      </c>
      <c r="AI356" s="136">
        <v>2E-3</v>
      </c>
      <c r="AJ356" s="136">
        <v>5.5999999999999999E-3</v>
      </c>
      <c r="AK356" s="136">
        <v>1.0500000000000001E-2</v>
      </c>
      <c r="AM356" s="136">
        <v>2.2499999999999999E-2</v>
      </c>
      <c r="AN356" s="136">
        <v>3.5900000000000001E-2</v>
      </c>
      <c r="AO356" s="136">
        <v>5.91E-2</v>
      </c>
      <c r="AQ356" s="136">
        <v>8.0000000000000004E-4</v>
      </c>
      <c r="AR356" s="136">
        <v>2.2000000000000001E-3</v>
      </c>
      <c r="AS356" s="136">
        <v>5.8999999999999999E-3</v>
      </c>
      <c r="AT356" s="136">
        <v>1.11E-2</v>
      </c>
      <c r="AV356" s="136">
        <v>2.3599999999999999E-2</v>
      </c>
      <c r="AW356" s="136">
        <v>3.7699999999999997E-2</v>
      </c>
      <c r="AX356" s="136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7" t="s">
        <v>87</v>
      </c>
      <c r="F357" s="156">
        <v>1.74E-3</v>
      </c>
      <c r="G357" s="156">
        <v>2.0899999999999998E-3</v>
      </c>
      <c r="H357" s="156">
        <v>2.7799999999999999E-3</v>
      </c>
      <c r="I357" s="156">
        <v>3.3300000000000001E-3</v>
      </c>
      <c r="J357" s="156" t="s">
        <v>87</v>
      </c>
      <c r="K357" s="156">
        <v>4.0000000000000001E-3</v>
      </c>
      <c r="L357" s="156">
        <v>4.45E-3</v>
      </c>
      <c r="M357" s="156">
        <v>5.0000000000000001E-3</v>
      </c>
      <c r="N357" s="138" cm="1">
        <f t="array" aca="1" ref="N357:AE357" ca="1">IF(OR(B357="",NOT($J$2)),"",GetStripDefaultProbability(A357,B357,Parameter_Date,CDSRollDate,E357:M357,SpreadCurveMaturities,D357,C357,$J$4,$J$6))</f>
        <v>0</v>
      </c>
      <c r="O357" s="163">
        <f ca="1"/>
        <v>1.734498815491814E-3</v>
      </c>
      <c r="P357" s="163">
        <f ca="1"/>
        <v>3.8354686601980159E-3</v>
      </c>
      <c r="Q357" s="163">
        <f ca="1"/>
        <v>9.7918598196428119E-3</v>
      </c>
      <c r="R357" s="163">
        <f ca="1"/>
        <v>1.7362482920215694E-2</v>
      </c>
      <c r="S357" s="163">
        <f ca="1"/>
        <v>0</v>
      </c>
      <c r="T357" s="163">
        <f ca="1"/>
        <v>3.4320226577190915E-2</v>
      </c>
      <c r="U357" s="163">
        <f ca="1"/>
        <v>5.3048786352868027E-2</v>
      </c>
      <c r="V357" s="139">
        <f ca="1"/>
        <v>8.4601567692538793E-2</v>
      </c>
      <c r="W357" s="138">
        <f ca="1"/>
        <v>0</v>
      </c>
      <c r="X357" s="163">
        <f ca="1"/>
        <v>1.8340841142395758E-3</v>
      </c>
      <c r="Y357" s="163">
        <f ca="1"/>
        <v>4.0265338993819011E-3</v>
      </c>
      <c r="Z357" s="163">
        <f ca="1"/>
        <v>1.0278815605530456E-2</v>
      </c>
      <c r="AA357" s="163">
        <f ca="1"/>
        <v>1.8223469217966914E-2</v>
      </c>
      <c r="AB357" s="163">
        <f ca="1"/>
        <v>0</v>
      </c>
      <c r="AC357" s="163">
        <f ca="1"/>
        <v>3.6007311654314811E-2</v>
      </c>
      <c r="AD357" s="163">
        <f ca="1"/>
        <v>5.563492122667546E-2</v>
      </c>
      <c r="AE357" s="139">
        <f ca="1"/>
        <v>8.8656264057987877E-2</v>
      </c>
      <c r="AH357" s="136">
        <v>1.6000000000000001E-3</v>
      </c>
      <c r="AI357" s="136">
        <v>3.5999999999999999E-3</v>
      </c>
      <c r="AJ357" s="136">
        <v>9.4999999999999998E-3</v>
      </c>
      <c r="AK357" s="136">
        <v>1.7000000000000001E-2</v>
      </c>
      <c r="AM357" s="136">
        <v>3.39E-2</v>
      </c>
      <c r="AN357" s="136">
        <v>5.2600000000000001E-2</v>
      </c>
      <c r="AO357" s="136">
        <v>8.4099999999999994E-2</v>
      </c>
      <c r="AQ357" s="136">
        <v>1.6999999999999999E-3</v>
      </c>
      <c r="AR357" s="136">
        <v>3.8E-3</v>
      </c>
      <c r="AS357" s="136">
        <v>0.01</v>
      </c>
      <c r="AT357" s="136">
        <v>1.7899999999999999E-2</v>
      </c>
      <c r="AV357" s="136">
        <v>3.56E-2</v>
      </c>
      <c r="AW357" s="136">
        <v>5.5199999999999999E-2</v>
      </c>
      <c r="AX357" s="136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7" t="s">
        <v>87</v>
      </c>
      <c r="F358" s="156">
        <v>1.42E-3</v>
      </c>
      <c r="G358" s="156">
        <v>1.8400000000000001E-3</v>
      </c>
      <c r="H358" s="156">
        <v>2.5500000000000002E-3</v>
      </c>
      <c r="I358" s="156">
        <v>3.3500000000000001E-3</v>
      </c>
      <c r="J358" s="156" t="s">
        <v>87</v>
      </c>
      <c r="K358" s="156">
        <v>4.7999999999999996E-3</v>
      </c>
      <c r="L358" s="156">
        <v>5.4999999999999997E-3</v>
      </c>
      <c r="M358" s="156">
        <v>6.0000000000000001E-3</v>
      </c>
      <c r="N358" s="138" cm="1">
        <f t="array" aca="1" ref="N358:AE358" ca="1">IF(OR(B358="",NOT($J$2)),"",GetStripDefaultProbability(A358,B358,Parameter_Date,CDSRollDate,E358:M358,SpreadCurveMaturities,D358,C358,$J$4,$J$6))</f>
        <v>0</v>
      </c>
      <c r="O358" s="163">
        <f ca="1"/>
        <v>1.0619891151152361E-3</v>
      </c>
      <c r="P358" s="163">
        <f ca="1"/>
        <v>2.536199092806779E-3</v>
      </c>
      <c r="Q358" s="163">
        <f ca="1"/>
        <v>6.7523224853230923E-3</v>
      </c>
      <c r="R358" s="163">
        <f ca="1"/>
        <v>1.3174787389251041E-2</v>
      </c>
      <c r="S358" s="163">
        <f ca="1"/>
        <v>0</v>
      </c>
      <c r="T358" s="163">
        <f ca="1"/>
        <v>3.1282005554649328E-2</v>
      </c>
      <c r="U358" s="163">
        <f ca="1"/>
        <v>4.9764023793090861E-2</v>
      </c>
      <c r="V358" s="139">
        <f ca="1"/>
        <v>7.65439090566159E-2</v>
      </c>
      <c r="W358" s="138">
        <f ca="1"/>
        <v>0</v>
      </c>
      <c r="X358" s="163">
        <f ca="1"/>
        <v>1.1367320278214965E-3</v>
      </c>
      <c r="Y358" s="163">
        <f ca="1"/>
        <v>2.660874275562386E-3</v>
      </c>
      <c r="Z358" s="163">
        <f ca="1"/>
        <v>7.0883517934428042E-3</v>
      </c>
      <c r="AA358" s="163">
        <f ca="1"/>
        <v>1.3829311553586576E-2</v>
      </c>
      <c r="AB358" s="163">
        <f ca="1"/>
        <v>0</v>
      </c>
      <c r="AC358" s="163">
        <f ca="1"/>
        <v>3.2823499156546587E-2</v>
      </c>
      <c r="AD358" s="163">
        <f ca="1"/>
        <v>5.2197490877210373E-2</v>
      </c>
      <c r="AE358" s="139">
        <f ca="1"/>
        <v>8.0230541536853162E-2</v>
      </c>
      <c r="AH358" s="136">
        <v>1E-3</v>
      </c>
      <c r="AI358" s="136">
        <v>2.3999999999999998E-3</v>
      </c>
      <c r="AJ358" s="136">
        <v>6.6E-3</v>
      </c>
      <c r="AK358" s="136">
        <v>1.29E-2</v>
      </c>
      <c r="AM358" s="136">
        <v>3.09E-2</v>
      </c>
      <c r="AN358" s="136">
        <v>4.9399999999999999E-2</v>
      </c>
      <c r="AO358" s="136">
        <v>7.6100000000000001E-2</v>
      </c>
      <c r="AQ358" s="136">
        <v>1E-3</v>
      </c>
      <c r="AR358" s="136">
        <v>2.5000000000000001E-3</v>
      </c>
      <c r="AS358" s="136">
        <v>6.8999999999999999E-3</v>
      </c>
      <c r="AT358" s="136">
        <v>1.3599999999999999E-2</v>
      </c>
      <c r="AV358" s="136">
        <v>3.2500000000000001E-2</v>
      </c>
      <c r="AW358" s="136">
        <v>5.1799999999999999E-2</v>
      </c>
      <c r="AX358" s="136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7" t="s">
        <v>87</v>
      </c>
      <c r="F359" s="156" t="s">
        <v>87</v>
      </c>
      <c r="G359" s="156">
        <v>1.4400000000000001E-3</v>
      </c>
      <c r="H359" s="156" t="s">
        <v>87</v>
      </c>
      <c r="I359" s="156">
        <v>2.2910000000000001E-3</v>
      </c>
      <c r="J359" s="156" t="s">
        <v>87</v>
      </c>
      <c r="K359" s="156">
        <v>3.5999999999999999E-3</v>
      </c>
      <c r="L359" s="156">
        <v>4.5820000000000001E-3</v>
      </c>
      <c r="M359" s="156">
        <v>5.5259999999999997E-3</v>
      </c>
      <c r="N359" s="138" cm="1">
        <f t="array" aca="1" ref="N359:AE359" ca="1">IF(OR(B359="",NOT($J$2)),"",GetStripDefaultProbability(A359,B359,Parameter_Date,CDSRollDate,E359:M359,SpreadCurveMaturities,D359,C359,$J$4,$J$6))</f>
        <v>0</v>
      </c>
      <c r="O359" s="163">
        <f ca="1"/>
        <v>0</v>
      </c>
      <c r="P359" s="163">
        <f ca="1"/>
        <v>1.9790020156850163E-3</v>
      </c>
      <c r="Q359" s="163">
        <f ca="1"/>
        <v>0</v>
      </c>
      <c r="R359" s="163">
        <f ca="1"/>
        <v>8.9653032886789497E-3</v>
      </c>
      <c r="S359" s="163">
        <f ca="1"/>
        <v>0</v>
      </c>
      <c r="T359" s="163">
        <f ca="1"/>
        <v>2.3604904474413546E-2</v>
      </c>
      <c r="U359" s="163">
        <f ca="1"/>
        <v>4.219945983902329E-2</v>
      </c>
      <c r="V359" s="139">
        <f ca="1"/>
        <v>7.2683641714616054E-2</v>
      </c>
      <c r="W359" s="138">
        <f ca="1"/>
        <v>0</v>
      </c>
      <c r="X359" s="163">
        <f ca="1"/>
        <v>0</v>
      </c>
      <c r="Y359" s="163">
        <f ca="1"/>
        <v>2.1037468437153928E-3</v>
      </c>
      <c r="Z359" s="163">
        <f ca="1"/>
        <v>0</v>
      </c>
      <c r="AA359" s="163">
        <f ca="1"/>
        <v>9.4094081467394064E-3</v>
      </c>
      <c r="AB359" s="163">
        <f ca="1"/>
        <v>0</v>
      </c>
      <c r="AC359" s="163">
        <f ca="1"/>
        <v>2.4770457495357223E-2</v>
      </c>
      <c r="AD359" s="163">
        <f ca="1"/>
        <v>4.4270427692230108E-2</v>
      </c>
      <c r="AE359" s="139">
        <f ca="1"/>
        <v>7.6197423680326559E-2</v>
      </c>
      <c r="AI359" s="136">
        <v>1.9E-3</v>
      </c>
      <c r="AK359" s="136">
        <v>8.8000000000000005E-3</v>
      </c>
      <c r="AM359" s="136">
        <v>2.3300000000000001E-2</v>
      </c>
      <c r="AN359" s="136">
        <v>4.1799999999999997E-2</v>
      </c>
      <c r="AO359" s="136">
        <v>7.22E-2</v>
      </c>
      <c r="AR359" s="136">
        <v>2E-3</v>
      </c>
      <c r="AT359" s="136">
        <v>9.1999999999999998E-3</v>
      </c>
      <c r="AV359" s="136">
        <v>2.4500000000000001E-2</v>
      </c>
      <c r="AW359" s="136">
        <v>4.3900000000000002E-2</v>
      </c>
      <c r="AX359" s="136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7" t="s">
        <v>87</v>
      </c>
      <c r="F360" s="156" t="s">
        <v>87</v>
      </c>
      <c r="G360" s="156">
        <v>3.7332999999999998E-2</v>
      </c>
      <c r="H360" s="156" t="s">
        <v>87</v>
      </c>
      <c r="I360" s="156">
        <v>3.1806000000000001E-2</v>
      </c>
      <c r="J360" s="156" t="s">
        <v>87</v>
      </c>
      <c r="K360" s="156">
        <v>2.8000000000000001E-2</v>
      </c>
      <c r="L360" s="156">
        <v>2.4181999999999999E-2</v>
      </c>
      <c r="M360" s="156">
        <v>2.0872999999999999E-2</v>
      </c>
      <c r="N360" s="138" cm="1">
        <f t="array" aca="1" ref="N360:AE360" ca="1">IF(OR(B360="",NOT($J$2)),"",GetStripDefaultProbability(A360,B360,Parameter_Date,CDSRollDate,E360:M360,SpreadCurveMaturities,D360,C360,$J$4,$J$6))</f>
        <v>0</v>
      </c>
      <c r="O360" s="163">
        <f ca="1"/>
        <v>0</v>
      </c>
      <c r="P360" s="163">
        <f ca="1"/>
        <v>6.6183077162697224E-2</v>
      </c>
      <c r="Q360" s="163">
        <f ca="1"/>
        <v>0</v>
      </c>
      <c r="R360" s="163">
        <f ca="1"/>
        <v>0.15077973365102781</v>
      </c>
      <c r="S360" s="163">
        <f ca="1"/>
        <v>0</v>
      </c>
      <c r="T360" s="163">
        <f ca="1"/>
        <v>0.20751749845529155</v>
      </c>
      <c r="U360" s="163">
        <f ca="1"/>
        <v>0.23629205022569055</v>
      </c>
      <c r="V360" s="139">
        <f ca="1"/>
        <v>0.27092372750932248</v>
      </c>
      <c r="W360" s="138">
        <f ca="1"/>
        <v>0</v>
      </c>
      <c r="X360" s="163">
        <f ca="1"/>
        <v>0</v>
      </c>
      <c r="Y360" s="163">
        <f ca="1"/>
        <v>6.9374682984994163E-2</v>
      </c>
      <c r="Z360" s="163">
        <f ca="1"/>
        <v>0</v>
      </c>
      <c r="AA360" s="163">
        <f ca="1"/>
        <v>0.15764915421810388</v>
      </c>
      <c r="AB360" s="163">
        <f ca="1"/>
        <v>0</v>
      </c>
      <c r="AC360" s="163">
        <f ca="1"/>
        <v>0.21652635616404137</v>
      </c>
      <c r="AD360" s="163">
        <f ca="1"/>
        <v>0.24613675001871793</v>
      </c>
      <c r="AE360" s="139">
        <f ca="1"/>
        <v>0.28172060005838861</v>
      </c>
      <c r="AI360" s="136">
        <v>6.3E-2</v>
      </c>
      <c r="AK360" s="136">
        <v>0.1484</v>
      </c>
      <c r="AM360" s="136">
        <v>0.20569999999999999</v>
      </c>
      <c r="AN360" s="136">
        <v>0.23499999999999999</v>
      </c>
      <c r="AO360" s="136">
        <v>0.27010000000000001</v>
      </c>
      <c r="AR360" s="136">
        <v>6.6000000000000003E-2</v>
      </c>
      <c r="AT360" s="136">
        <v>0.1552</v>
      </c>
      <c r="AV360" s="136">
        <v>0.21460000000000001</v>
      </c>
      <c r="AW360" s="136">
        <v>0.24479999999999999</v>
      </c>
      <c r="AX360" s="136">
        <v>0.28079999999999999</v>
      </c>
    </row>
    <row r="361" spans="1:50" s="79" customFormat="1" ht="10">
      <c r="A361" s="157">
        <f t="shared" ca="1" si="7"/>
        <v>350</v>
      </c>
      <c r="B361" s="158" t="s">
        <v>419</v>
      </c>
      <c r="C361" s="159">
        <v>0.4</v>
      </c>
      <c r="D361" s="160" t="s">
        <v>67</v>
      </c>
      <c r="E361" s="161" t="s">
        <v>87</v>
      </c>
      <c r="F361" s="162" t="s">
        <v>87</v>
      </c>
      <c r="G361" s="162">
        <v>1.75E-3</v>
      </c>
      <c r="H361" s="162" t="s">
        <v>87</v>
      </c>
      <c r="I361" s="162">
        <v>2.7499999999999998E-3</v>
      </c>
      <c r="J361" s="162" t="s">
        <v>87</v>
      </c>
      <c r="K361" s="162">
        <v>3.3999999999999998E-3</v>
      </c>
      <c r="L361" s="162">
        <v>3.4499999999999999E-3</v>
      </c>
      <c r="M361" s="162">
        <v>3.5999999999999999E-3</v>
      </c>
      <c r="N361" s="138" cm="1">
        <f t="array" aca="1" ref="N361:AE361" ca="1">IF(OR(B361="",NOT($J$2)),"",GetStripDefaultProbability(A361,B361,Parameter_Date,CDSRollDate,E361:M361,SpreadCurveMaturities,D361,C361,$J$4,$J$6))</f>
        <v>0</v>
      </c>
      <c r="O361" s="163">
        <f ca="1"/>
        <v>0</v>
      </c>
      <c r="P361" s="163">
        <f ca="1"/>
        <v>3.2047633264822295E-3</v>
      </c>
      <c r="Q361" s="163">
        <f ca="1"/>
        <v>0</v>
      </c>
      <c r="R361" s="163">
        <f ca="1"/>
        <v>1.4312672638058355E-2</v>
      </c>
      <c r="S361" s="163">
        <f ca="1"/>
        <v>0</v>
      </c>
      <c r="T361" s="163">
        <f ca="1"/>
        <v>2.9261593143976028E-2</v>
      </c>
      <c r="U361" s="163">
        <f ca="1"/>
        <v>4.0932780567372706E-2</v>
      </c>
      <c r="V361" s="139">
        <f ca="1"/>
        <v>6.0437313296586193E-2</v>
      </c>
      <c r="W361" s="138">
        <f ca="1"/>
        <v>0</v>
      </c>
      <c r="X361" s="163">
        <f ca="1"/>
        <v>0</v>
      </c>
      <c r="Y361" s="163">
        <f ca="1"/>
        <v>3.3708820223213865E-3</v>
      </c>
      <c r="Z361" s="163">
        <f ca="1"/>
        <v>0</v>
      </c>
      <c r="AA361" s="163">
        <f ca="1"/>
        <v>1.5022105617133352E-2</v>
      </c>
      <c r="AB361" s="163">
        <f ca="1"/>
        <v>0</v>
      </c>
      <c r="AC361" s="163">
        <f ca="1"/>
        <v>3.0703287105379284E-2</v>
      </c>
      <c r="AD361" s="163">
        <f ca="1"/>
        <v>4.2937786464934291E-2</v>
      </c>
      <c r="AE361" s="139">
        <f ca="1"/>
        <v>6.3363775659697197E-2</v>
      </c>
      <c r="AI361" s="136">
        <v>3.0000000000000001E-3</v>
      </c>
      <c r="AK361" s="136">
        <v>1.41E-2</v>
      </c>
      <c r="AM361" s="136">
        <v>2.8899999999999999E-2</v>
      </c>
      <c r="AN361" s="136">
        <v>4.0599999999999997E-2</v>
      </c>
      <c r="AO361" s="136">
        <v>6.0100000000000001E-2</v>
      </c>
      <c r="AR361" s="136">
        <v>3.2000000000000002E-3</v>
      </c>
      <c r="AT361" s="136">
        <v>1.47E-2</v>
      </c>
      <c r="AV361" s="136">
        <v>3.04E-2</v>
      </c>
      <c r="AW361" s="136">
        <v>4.2599999999999999E-2</v>
      </c>
      <c r="AX361" s="136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101600</xdr:colOff>
                    <xdr:row>3</xdr:row>
                    <xdr:rowOff>31750</xdr:rowOff>
                  </from>
                  <to>
                    <xdr:col>13</xdr:col>
                    <xdr:colOff>25400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2" zoomScale="115" zoomScaleNormal="115" workbookViewId="0">
      <selection activeCell="F14" sqref="F14"/>
    </sheetView>
  </sheetViews>
  <sheetFormatPr baseColWidth="10" defaultRowHeight="14.5"/>
  <cols>
    <col min="2" max="2" width="17.54296875" bestFit="1" customWidth="1"/>
    <col min="3" max="3" width="18.36328125" bestFit="1" customWidth="1"/>
    <col min="6" max="6" width="20" bestFit="1" customWidth="1"/>
    <col min="7" max="7" width="17.6328125" customWidth="1"/>
    <col min="8" max="9" width="20.90625" bestFit="1" customWidth="1"/>
    <col min="10" max="10" width="14.90625" bestFit="1" customWidth="1"/>
    <col min="11" max="11" width="18.36328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442" t="s">
        <v>456</v>
      </c>
      <c r="D3" s="443"/>
      <c r="E3" s="444"/>
    </row>
    <row r="4" spans="2:11">
      <c r="C4" s="445"/>
      <c r="D4" s="446"/>
      <c r="E4" s="447"/>
    </row>
    <row r="5" spans="2:11" ht="15" thickBot="1">
      <c r="C5" s="448"/>
      <c r="D5" s="449"/>
      <c r="E5" s="450"/>
    </row>
    <row r="6" spans="2:11" ht="15" thickBot="1"/>
    <row r="7" spans="2:11" ht="16" thickBot="1">
      <c r="B7" s="440" t="s">
        <v>454</v>
      </c>
      <c r="C7" s="441"/>
      <c r="D7" s="79"/>
      <c r="E7" s="440" t="s">
        <v>455</v>
      </c>
      <c r="F7" s="441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8" t="s">
        <v>431</v>
      </c>
      <c r="C9" s="222" t="str">
        <f ca="1">GetGetCDSName(C8)</f>
        <v>ABNAMRO_MMR.EUR.SU</v>
      </c>
      <c r="D9" s="79"/>
      <c r="E9" s="208" t="s">
        <v>453</v>
      </c>
      <c r="F9" s="212" t="b">
        <v>1</v>
      </c>
      <c r="I9" s="79"/>
      <c r="J9" s="79"/>
      <c r="K9" s="287"/>
    </row>
    <row r="10" spans="2:11">
      <c r="B10" s="209" t="s">
        <v>432</v>
      </c>
      <c r="C10" s="194" t="s">
        <v>57</v>
      </c>
      <c r="D10" s="79"/>
      <c r="E10" s="209" t="s">
        <v>433</v>
      </c>
      <c r="F10" s="213">
        <f ca="1">GetConvertDate(CDSRollDate,C10)</f>
        <v>47289</v>
      </c>
      <c r="I10" s="79"/>
      <c r="J10" s="79"/>
      <c r="K10" s="79"/>
    </row>
    <row r="11" spans="2:11" ht="15" thickBot="1">
      <c r="B11" s="209" t="s">
        <v>434</v>
      </c>
      <c r="C11" s="195">
        <v>0.01</v>
      </c>
      <c r="D11" s="79"/>
      <c r="E11" s="210" t="s">
        <v>425</v>
      </c>
      <c r="F11" s="214" t="str">
        <f ca="1">GetGetCDSName(C8)</f>
        <v>ABNAMRO_MMR.EUR.SU</v>
      </c>
      <c r="I11" s="79"/>
      <c r="J11" s="79"/>
      <c r="K11" s="79"/>
    </row>
    <row r="12" spans="2:11" ht="15" thickBot="1">
      <c r="B12" s="210" t="s">
        <v>85</v>
      </c>
      <c r="C12" s="196">
        <v>0.4</v>
      </c>
      <c r="D12" s="79"/>
      <c r="E12" s="204"/>
      <c r="F12" s="416"/>
      <c r="I12" s="79"/>
      <c r="J12" s="79"/>
      <c r="K12" s="79"/>
    </row>
    <row r="13" spans="2:11" ht="15" thickBot="1">
      <c r="B13" s="210" t="s">
        <v>498</v>
      </c>
      <c r="C13" s="75">
        <v>1</v>
      </c>
      <c r="D13" s="79"/>
      <c r="E13" s="79"/>
      <c r="F13" s="79"/>
      <c r="G13" s="227"/>
      <c r="H13" s="79"/>
      <c r="I13" s="79"/>
      <c r="J13" s="79"/>
      <c r="K13" s="79"/>
    </row>
    <row r="14" spans="2:11" ht="15" thickBot="1">
      <c r="B14" s="203"/>
      <c r="C14" s="79"/>
    </row>
    <row r="15" spans="2:11">
      <c r="B15" s="208" t="s">
        <v>82</v>
      </c>
      <c r="C15" s="63" t="s">
        <v>66</v>
      </c>
      <c r="E15" s="229" t="s">
        <v>435</v>
      </c>
      <c r="F15" s="282" t="str">
        <f t="array" aca="1" ref="F15:K23" ca="1">IF(NOT($F$9),"",GetCDS(C9,C10,C11,C12,C13,C19,C20,C21,C15,C16,C17,C23,C24,C26,C28:C30,C32))</f>
        <v>-0,0255369350442744</v>
      </c>
      <c r="G15" s="273" t="str">
        <f ca="1"/>
        <v/>
      </c>
      <c r="H15" s="268" t="str">
        <f ca="1"/>
        <v>0</v>
      </c>
      <c r="I15" s="272" t="str">
        <f ca="1"/>
        <v>0</v>
      </c>
      <c r="J15" s="273" t="str">
        <f ca="1"/>
        <v>0</v>
      </c>
      <c r="K15" s="268" t="str">
        <f ca="1"/>
        <v>0</v>
      </c>
    </row>
    <row r="16" spans="2:11">
      <c r="B16" s="209" t="s">
        <v>437</v>
      </c>
      <c r="C16" s="69">
        <v>0</v>
      </c>
      <c r="E16" s="230" t="s">
        <v>436</v>
      </c>
      <c r="F16" s="285" t="str">
        <f ca="1"/>
        <v>0,018150640499075</v>
      </c>
      <c r="G16" s="275" t="str">
        <f ca="1"/>
        <v/>
      </c>
      <c r="H16" s="269" t="str">
        <f ca="1"/>
        <v>0</v>
      </c>
      <c r="I16" s="274" t="str">
        <f ca="1"/>
        <v>0</v>
      </c>
      <c r="J16" s="275" t="str">
        <f ca="1"/>
        <v>0</v>
      </c>
      <c r="K16" s="269" t="str">
        <f ca="1"/>
        <v>0</v>
      </c>
    </row>
    <row r="17" spans="2:11" ht="15" thickBot="1">
      <c r="B17" s="210" t="s">
        <v>439</v>
      </c>
      <c r="C17" s="197">
        <v>0</v>
      </c>
      <c r="E17" s="230" t="s">
        <v>438</v>
      </c>
      <c r="F17" s="285" t="str">
        <f ca="1"/>
        <v>0,0436875755433494</v>
      </c>
      <c r="G17" s="275" t="str">
        <f ca="1"/>
        <v/>
      </c>
      <c r="H17" s="269" t="str">
        <f ca="1"/>
        <v>0</v>
      </c>
      <c r="I17" s="274" t="str">
        <f ca="1"/>
        <v>0</v>
      </c>
      <c r="J17" s="275" t="str">
        <f ca="1"/>
        <v>0</v>
      </c>
      <c r="K17" s="269" t="str">
        <f ca="1"/>
        <v>0</v>
      </c>
    </row>
    <row r="18" spans="2:11" ht="15" thickBot="1">
      <c r="B18" s="203"/>
      <c r="C18" s="79"/>
      <c r="E18" s="230" t="s">
        <v>440</v>
      </c>
      <c r="F18" s="285" t="str">
        <f ca="1"/>
        <v>0,00415464586288723</v>
      </c>
      <c r="G18" s="275" t="str">
        <f ca="1"/>
        <v/>
      </c>
      <c r="H18" s="269" t="str">
        <f ca="1"/>
        <v>0</v>
      </c>
      <c r="I18" s="274" t="str">
        <f ca="1"/>
        <v>0</v>
      </c>
      <c r="J18" s="275" t="str">
        <f ca="1"/>
        <v>0</v>
      </c>
      <c r="K18" s="269" t="str">
        <f ca="1"/>
        <v>0</v>
      </c>
    </row>
    <row r="19" spans="2:11">
      <c r="B19" s="208" t="s">
        <v>442</v>
      </c>
      <c r="C19" s="63" t="s">
        <v>83</v>
      </c>
      <c r="E19" s="230" t="s">
        <v>441</v>
      </c>
      <c r="F19" s="285" t="str">
        <f ca="1"/>
        <v>4,36875755433494</v>
      </c>
      <c r="G19" s="277" t="str">
        <f ca="1"/>
        <v/>
      </c>
      <c r="H19" s="269" t="str">
        <f ca="1"/>
        <v>0</v>
      </c>
      <c r="I19" s="276" t="str">
        <f ca="1"/>
        <v>0</v>
      </c>
      <c r="J19" s="277" t="str">
        <f ca="1"/>
        <v>0</v>
      </c>
      <c r="K19" s="269" t="str">
        <f ca="1"/>
        <v>0</v>
      </c>
    </row>
    <row r="20" spans="2:11" ht="15" thickBot="1">
      <c r="B20" s="209" t="s">
        <v>444</v>
      </c>
      <c r="C20" s="69" t="s">
        <v>445</v>
      </c>
      <c r="E20" s="230" t="s">
        <v>443</v>
      </c>
      <c r="F20" s="286" t="str">
        <f ca="1"/>
        <v>00:00:00.0040423</v>
      </c>
      <c r="G20" s="279" t="str">
        <f ca="1"/>
        <v/>
      </c>
      <c r="H20" s="269" t="str">
        <f ca="1"/>
        <v>0</v>
      </c>
      <c r="I20" s="278" t="str">
        <f ca="1"/>
        <v>0</v>
      </c>
      <c r="J20" s="279" t="str">
        <f ca="1"/>
        <v>0</v>
      </c>
      <c r="K20" s="269" t="str">
        <f ca="1"/>
        <v>0</v>
      </c>
    </row>
    <row r="21" spans="2:11" ht="15" thickBot="1">
      <c r="B21" s="210" t="s">
        <v>446</v>
      </c>
      <c r="C21" s="221"/>
      <c r="E21" s="231"/>
      <c r="F21" s="270" t="str">
        <f ca="1"/>
        <v>dPV</v>
      </c>
      <c r="G21" s="270" t="str">
        <f ca="1"/>
        <v>dHedge</v>
      </c>
      <c r="H21" s="271" t="str">
        <f ca="1"/>
        <v>delta not. (Hedge Crncy)</v>
      </c>
      <c r="I21" s="270" t="str">
        <f ca="1"/>
        <v>delta not. (Product CCY)</v>
      </c>
      <c r="J21" s="270" t="str">
        <f ca="1"/>
        <v>dPV(dBeta)</v>
      </c>
      <c r="K21" s="271" t="str">
        <f ca="1"/>
        <v>Name</v>
      </c>
    </row>
    <row r="22" spans="2:11" ht="15" thickBot="1">
      <c r="B22" s="203"/>
      <c r="C22" s="79"/>
      <c r="E22" s="232"/>
      <c r="F22" s="280" t="str">
        <f ca="1"/>
        <v>0,000920551655870005</v>
      </c>
      <c r="G22" s="280" t="str">
        <f ca="1"/>
        <v>0,000904558033235289</v>
      </c>
      <c r="H22" s="281" t="str">
        <f ca="1"/>
        <v>1,01768114598188</v>
      </c>
      <c r="I22" s="280" t="str">
        <f ca="1"/>
        <v>1,01768114598188</v>
      </c>
      <c r="J22" s="280" t="str">
        <f ca="1"/>
        <v>-0,018150640499075</v>
      </c>
      <c r="K22" s="281" t="str">
        <f ca="1"/>
        <v>ABNAMRO_MMR.EUR.SU</v>
      </c>
    </row>
    <row r="23" spans="2:11">
      <c r="B23" s="211" t="s">
        <v>447</v>
      </c>
      <c r="C23" s="198" t="b">
        <v>1</v>
      </c>
      <c r="F23" t="e">
        <f ca="1"/>
        <v>#N/A</v>
      </c>
      <c r="G23" t="e">
        <f ca="1"/>
        <v>#N/A</v>
      </c>
      <c r="H23" t="e">
        <f ca="1"/>
        <v>#N/A</v>
      </c>
      <c r="I23" t="e">
        <f ca="1"/>
        <v>#N/A</v>
      </c>
      <c r="J23" t="e">
        <f ca="1"/>
        <v>#N/A</v>
      </c>
      <c r="K23" t="e">
        <f ca="1"/>
        <v>#N/A</v>
      </c>
    </row>
    <row r="24" spans="2:11" ht="15" thickBot="1">
      <c r="B24" s="210" t="s">
        <v>448</v>
      </c>
      <c r="C24" s="199" t="b">
        <v>1</v>
      </c>
    </row>
    <row r="25" spans="2:11" ht="15" thickBot="1">
      <c r="B25" s="204"/>
      <c r="C25" s="85"/>
      <c r="D25" s="200"/>
      <c r="H25" s="283"/>
    </row>
    <row r="26" spans="2:11" ht="15" thickBot="1">
      <c r="B26" s="180" t="s">
        <v>449</v>
      </c>
      <c r="C26" s="198" t="b">
        <v>1</v>
      </c>
      <c r="D26" s="85"/>
    </row>
    <row r="27" spans="2:11" ht="15" thickBot="1">
      <c r="B27" s="206" t="s">
        <v>450</v>
      </c>
      <c r="C27" s="220"/>
      <c r="D27" s="85"/>
    </row>
    <row r="28" spans="2:11">
      <c r="B28" s="206" t="s">
        <v>434</v>
      </c>
      <c r="C28" s="228"/>
      <c r="D28" s="85"/>
    </row>
    <row r="29" spans="2:11">
      <c r="B29" s="206" t="s">
        <v>447</v>
      </c>
      <c r="C29" s="201" t="b">
        <v>1</v>
      </c>
      <c r="D29" s="85"/>
    </row>
    <row r="30" spans="2:11" ht="15" thickBot="1">
      <c r="B30" s="207" t="s">
        <v>448</v>
      </c>
      <c r="C30" s="202" t="b">
        <v>1</v>
      </c>
      <c r="D30" s="85"/>
    </row>
    <row r="31" spans="2:11" ht="15" thickBot="1">
      <c r="B31" s="205"/>
      <c r="C31" s="79"/>
      <c r="D31" s="85"/>
    </row>
    <row r="32" spans="2:11" ht="15" thickBot="1">
      <c r="B32" s="180" t="s">
        <v>451</v>
      </c>
      <c r="C32" s="186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5" stopIfTrue="1" operator="equal">
      <formula>#N/A</formula>
    </cfRule>
  </conditionalFormatting>
  <conditionalFormatting sqref="F21 I21">
    <cfRule type="cellIs" dxfId="0" priority="6" stopIfTrue="1" operator="equal">
      <formula>"""#N/A"""</formula>
    </cfRule>
  </conditionalFormatting>
  <dataValidations disablePrompts="1"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203200</xdr:colOff>
                    <xdr:row>6</xdr:row>
                    <xdr:rowOff>12700</xdr:rowOff>
                  </from>
                  <to>
                    <xdr:col>8</xdr:col>
                    <xdr:colOff>577850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1:K130"/>
  <sheetViews>
    <sheetView showGridLines="0" zoomScale="99" zoomScaleNormal="99" workbookViewId="0">
      <selection activeCell="Q13" sqref="Q13"/>
    </sheetView>
  </sheetViews>
  <sheetFormatPr baseColWidth="10" defaultRowHeight="14.5"/>
  <sheetData>
    <row r="1" spans="2:11">
      <c r="E1">
        <v>2</v>
      </c>
      <c r="F1">
        <v>3</v>
      </c>
    </row>
    <row r="2" spans="2:11">
      <c r="I2" t="s">
        <v>475</v>
      </c>
      <c r="J2" s="284">
        <f ca="1">CDSRollDate</f>
        <v>45463</v>
      </c>
      <c r="K2" s="176">
        <f ca="1">DATE(YEAR(CDSRollDate),MONTH(CDSRollDate),DAY(CDSRollDate))</f>
        <v>45463</v>
      </c>
    </row>
    <row r="3" spans="2:11">
      <c r="C3" cm="1">
        <f t="array" aca="1" ref="C3:D3" ca="1">testfr(E1:F1)</f>
        <v>2</v>
      </c>
      <c r="D3">
        <f ca="1"/>
        <v>3</v>
      </c>
      <c r="I3" t="s">
        <v>476</v>
      </c>
      <c r="J3" s="284">
        <f ca="1">Parameter_Date</f>
        <v>45407</v>
      </c>
      <c r="K3">
        <f ca="1">K2-J3</f>
        <v>56</v>
      </c>
    </row>
    <row r="4" spans="2:11">
      <c r="K4">
        <f ca="1">K3/365</f>
        <v>0.15342465753424658</v>
      </c>
    </row>
    <row r="5" spans="2:11" ht="15" thickBot="1"/>
    <row r="6" spans="2:11" ht="15" thickBot="1">
      <c r="B6" s="180" t="s">
        <v>423</v>
      </c>
      <c r="C6" s="186" t="b">
        <v>1</v>
      </c>
      <c r="H6" s="181" t="s">
        <v>424</v>
      </c>
      <c r="I6" s="451">
        <v>1</v>
      </c>
      <c r="J6" s="452"/>
      <c r="K6" s="453"/>
    </row>
    <row r="7" spans="2:11" ht="15" thickBot="1">
      <c r="D7" s="170"/>
      <c r="H7" s="182" t="s">
        <v>425</v>
      </c>
      <c r="I7" s="454" t="str" cm="1">
        <f t="array" aca="1" ref="I7" ca="1">GetGetCDSName(I6)</f>
        <v>ABNAMRO_MMR.EUR.SU</v>
      </c>
      <c r="J7" s="455"/>
      <c r="K7" s="456"/>
    </row>
    <row r="8" spans="2:11" ht="15" thickBot="1"/>
    <row r="9" spans="2:11" ht="15" thickBot="1">
      <c r="B9" s="173"/>
      <c r="C9" s="174" t="s">
        <v>426</v>
      </c>
      <c r="D9" s="175" t="s">
        <v>427</v>
      </c>
      <c r="E9" s="172" t="s">
        <v>428</v>
      </c>
    </row>
    <row r="10" spans="2:11">
      <c r="B10" s="183" t="str">
        <f ca="1">ROW()-ROW($B$9)&amp;"M"</f>
        <v>1M</v>
      </c>
      <c r="C10" s="215">
        <f ca="1">MAX(0,(DATE(YEAR(CDSRollDate),MONTH(CDSRollDate)+ROW()-ROW($B$9),DAY(CDSRollDate))-Parameter_Date)/365)</f>
        <v>0.23561643835616439</v>
      </c>
      <c r="D10" s="177">
        <f ca="1">IF(NOT($C$6),"",IF(GetConvertDate(CDSRollDate,B10)&lt;Parameter_Date,0,GetGetDefaultprob($I$6,B10)))</f>
        <v>5.2939593036493982E-4</v>
      </c>
      <c r="E10" s="216">
        <f ca="1">IF(NOT($C$6),"",IF(C11=0,0,-LN(1-D11)/$C11))</f>
        <v>2.2474497686183611E-3</v>
      </c>
    </row>
    <row r="11" spans="2:11">
      <c r="B11" s="184" t="str">
        <f t="shared" ref="B11:B74" ca="1" si="0">ROW()-ROW($B$9)&amp;"M"</f>
        <v>2M</v>
      </c>
      <c r="C11" s="217">
        <f ca="1">MAX(0,(DATE(YEAR(CDSRollDate),MONTH(CDSRollDate)+ROW()-ROW($B$9),DAY(CDSRollDate))-Parameter_Date)/365)</f>
        <v>0.32054794520547947</v>
      </c>
      <c r="D11" s="169">
        <f ca="1">IF(NOT($C$6),"",IF(GetConvertDate(CDSRollDate,B11)&lt;Parameter_Date,0,GetGetDefaultprob($I$6,B11)))</f>
        <v>7.2015596840957485E-4</v>
      </c>
      <c r="E11" s="178">
        <f ca="1">IF(NOT($C$6),"",IF(C11=0,0,-LN((1-D11)/(1-D10))/($C11-$C10)))</f>
        <v>2.2474497686170701E-3</v>
      </c>
      <c r="F11" s="164"/>
      <c r="G11" s="165"/>
    </row>
    <row r="12" spans="2:11">
      <c r="B12" s="184" t="str">
        <f t="shared" ca="1" si="0"/>
        <v>3M</v>
      </c>
      <c r="C12" s="217">
        <f ca="1">MAX(0,(DATE(YEAR(CDSRollDate),MONTH(CDSRollDate)+ROW()-ROW($B$9),DAY(CDSRollDate))-Parameter_Date)/365)</f>
        <v>0.40547945205479452</v>
      </c>
      <c r="D12" s="169">
        <f ca="1">IF(NOT($C$6),"",IF(GetConvertDate(CDSRollDate,B12)&lt;Parameter_Date,0,GetGetDefaultprob($I$6,B12)))</f>
        <v>9.1087959778757277E-4</v>
      </c>
      <c r="E12" s="178">
        <f ca="1">IF(NOT($C$6),"",IF(C12=0,0,-LN((1-D12)/(1-D11))/($C12-$C11)))</f>
        <v>2.2474497686183785E-3</v>
      </c>
      <c r="F12" s="164"/>
      <c r="G12" s="165"/>
    </row>
    <row r="13" spans="2:11">
      <c r="B13" s="184" t="str">
        <f t="shared" ca="1" si="0"/>
        <v>4M</v>
      </c>
      <c r="C13" s="217">
        <f t="shared" ref="C13:C41" ca="1" si="1">MAX(0,(DATE(YEAR(CDSRollDate),MONTH(CDSRollDate)+ROW()-ROW($B$9),DAY(CDSRollDate))-Parameter_Date)/365)</f>
        <v>0.48767123287671232</v>
      </c>
      <c r="D13" s="169">
        <f ca="1">IF(NOT($C$6),"",IF(GetConvertDate(CDSRollDate,B13)&lt;Parameter_Date,0,GetGetDefaultprob($I$6,B13)))</f>
        <v>1.0954161926695072E-3</v>
      </c>
      <c r="E13" s="178">
        <f t="shared" ref="E13:E75" ca="1" si="2">IF(NOT($C$6),"",IF(C13=0,0,-LN((1-D13)/(1-D12))/($C13-$C12)))</f>
        <v>2.247449768620075E-3</v>
      </c>
      <c r="F13" s="164"/>
      <c r="G13" s="165"/>
    </row>
    <row r="14" spans="2:11">
      <c r="B14" s="184" t="str">
        <f t="shared" ca="1" si="0"/>
        <v>5M</v>
      </c>
      <c r="C14" s="217">
        <f t="shared" ca="1" si="1"/>
        <v>0.57260273972602738</v>
      </c>
      <c r="D14" s="169">
        <f ca="1">IF(NOT($C$6),"",IF(GetConvertDate(CDSRollDate,B14)&lt;Parameter_Date,0,GetGetDefaultprob($I$6,B14)))</f>
        <v>1.2860681994760759E-3</v>
      </c>
      <c r="E14" s="178">
        <f t="shared" ca="1" si="2"/>
        <v>2.2474497686170709E-3</v>
      </c>
      <c r="F14" s="164"/>
      <c r="G14" s="165"/>
    </row>
    <row r="15" spans="2:11">
      <c r="B15" s="184" t="str">
        <f t="shared" ca="1" si="0"/>
        <v>6M</v>
      </c>
      <c r="C15" s="217">
        <f t="shared" ca="1" si="1"/>
        <v>0.65479452054794518</v>
      </c>
      <c r="D15" s="169">
        <f ca="1">IF(NOT($C$6),"",IF(GetConvertDate(CDSRollDate,B15)&lt;Parameter_Date,0,GetGetDefaultprob($I$6,B15)))</f>
        <v>1.4705354952078142E-3</v>
      </c>
      <c r="E15" s="178">
        <f t="shared" ca="1" si="2"/>
        <v>2.2474497686187241E-3</v>
      </c>
      <c r="F15" s="164"/>
      <c r="G15" s="165"/>
    </row>
    <row r="16" spans="2:11">
      <c r="B16" s="184" t="str">
        <f t="shared" ca="1" si="0"/>
        <v>7M</v>
      </c>
      <c r="C16" s="217">
        <f t="shared" ca="1" si="1"/>
        <v>0.73972602739726023</v>
      </c>
      <c r="D16" s="169">
        <f ca="1">IF(NOT($C$6),"",IF(GetConvertDate(CDSRollDate,B16)&lt;Parameter_Date,0,GetGetDefaultprob($I$6,B16)))</f>
        <v>1.8829400379222205E-3</v>
      </c>
      <c r="E16" s="178">
        <f t="shared" ca="1" si="2"/>
        <v>4.8638864372870178E-3</v>
      </c>
      <c r="F16" s="164"/>
      <c r="G16" s="165"/>
    </row>
    <row r="17" spans="2:7">
      <c r="B17" s="184" t="str">
        <f t="shared" ca="1" si="0"/>
        <v>8M</v>
      </c>
      <c r="C17" s="217">
        <f t="shared" ca="1" si="1"/>
        <v>0.8246575342465754</v>
      </c>
      <c r="D17" s="169">
        <f ca="1">IF(NOT($C$6),"",IF(GetConvertDate(CDSRollDate,B17)&lt;Parameter_Date,0,GetGetDefaultprob($I$6,B17)))</f>
        <v>2.2951742526563512E-3</v>
      </c>
      <c r="E17" s="178">
        <f t="shared" ca="1" si="2"/>
        <v>4.8638864372870117E-3</v>
      </c>
      <c r="F17" s="164"/>
      <c r="G17" s="165"/>
    </row>
    <row r="18" spans="2:7">
      <c r="B18" s="184" t="str">
        <f t="shared" ca="1" si="0"/>
        <v>9M</v>
      </c>
      <c r="C18" s="217">
        <f t="shared" ca="1" si="1"/>
        <v>0.90136986301369859</v>
      </c>
      <c r="D18" s="169">
        <f ca="1">IF(NOT($C$6),"",IF(GetConvertDate(CDSRollDate,B18)&lt;Parameter_Date,0,GetGetDefaultprob($I$6,B18)))</f>
        <v>2.6673684916893592E-3</v>
      </c>
      <c r="E18" s="178">
        <f t="shared" ca="1" si="2"/>
        <v>4.8638864372853611E-3</v>
      </c>
      <c r="F18" s="164"/>
      <c r="G18" s="165"/>
    </row>
    <row r="19" spans="2:7">
      <c r="B19" s="184" t="str">
        <f t="shared" ca="1" si="0"/>
        <v>10M</v>
      </c>
      <c r="C19" s="217">
        <f t="shared" ca="1" si="1"/>
        <v>0.98630136986301364</v>
      </c>
      <c r="D19" s="169">
        <f ca="1">IF(NOT($C$6),"",IF(GetConvertDate(CDSRollDate,B19)&lt;Parameter_Date,0,GetGetDefaultprob($I$6,B19)))</f>
        <v>3.0792787281442857E-3</v>
      </c>
      <c r="E19" s="178">
        <f t="shared" ca="1" si="2"/>
        <v>4.8638864372883258E-3</v>
      </c>
      <c r="F19" s="164"/>
      <c r="G19" s="165"/>
    </row>
    <row r="20" spans="2:7">
      <c r="B20" s="184" t="str">
        <f t="shared" ca="1" si="0"/>
        <v>11M</v>
      </c>
      <c r="C20" s="217">
        <f t="shared" ca="1" si="1"/>
        <v>1.0684931506849316</v>
      </c>
      <c r="D20" s="169">
        <f ca="1">IF(NOT($C$6),"",IF(GetConvertDate(CDSRollDate,B20)&lt;Parameter_Date,0,GetGetDefaultprob($I$6,B20)))</f>
        <v>3.4777395563554414E-3</v>
      </c>
      <c r="E20" s="178">
        <f t="shared" ca="1" si="2"/>
        <v>4.8638864372865208E-3</v>
      </c>
      <c r="F20" s="164"/>
      <c r="G20" s="165"/>
    </row>
    <row r="21" spans="2:7">
      <c r="B21" s="184" t="str">
        <f t="shared" ca="1" si="0"/>
        <v>12M</v>
      </c>
      <c r="C21" s="217">
        <f t="shared" ca="1" si="1"/>
        <v>1.1534246575342466</v>
      </c>
      <c r="D21" s="169">
        <f ca="1">IF(NOT($C$6),"",IF(GetConvertDate(CDSRollDate,B21)&lt;Parameter_Date,0,GetGetDefaultprob($I$6,B21)))</f>
        <v>3.8893150999241843E-3</v>
      </c>
      <c r="E21" s="178">
        <f t="shared" ca="1" si="2"/>
        <v>4.8638864372870178E-3</v>
      </c>
      <c r="F21" s="164"/>
      <c r="G21" s="165"/>
    </row>
    <row r="22" spans="2:7">
      <c r="B22" s="184" t="str">
        <f t="shared" ca="1" si="0"/>
        <v>13M</v>
      </c>
      <c r="C22" s="217">
        <f t="shared" ca="1" si="1"/>
        <v>1.2356164383561643</v>
      </c>
      <c r="D22" s="169">
        <f ca="1">IF(NOT($C$6),"",IF(GetConvertDate(CDSRollDate,B22)&lt;Parameter_Date,0,GetGetDefaultprob($I$6,B22)))</f>
        <v>4.3447277274482055E-3</v>
      </c>
      <c r="E22" s="178">
        <f t="shared" ca="1" si="2"/>
        <v>5.5637598498762602E-3</v>
      </c>
      <c r="F22" s="164"/>
      <c r="G22" s="165"/>
    </row>
    <row r="23" spans="2:7">
      <c r="B23" s="184" t="str">
        <f t="shared" ca="1" si="0"/>
        <v>14M</v>
      </c>
      <c r="C23" s="217">
        <f t="shared" ca="1" si="1"/>
        <v>1.3205479452054794</v>
      </c>
      <c r="D23" s="169">
        <f ca="1">IF(NOT($C$6),"",IF(GetConvertDate(CDSRollDate,B23)&lt;Parameter_Date,0,GetGetDefaultprob($I$6,B23)))</f>
        <v>4.8151020403482958E-3</v>
      </c>
      <c r="E23" s="178">
        <f t="shared" ca="1" si="2"/>
        <v>5.5637598498762394E-3</v>
      </c>
      <c r="F23" s="164"/>
      <c r="G23" s="165"/>
    </row>
    <row r="24" spans="2:7">
      <c r="B24" s="184" t="str">
        <f t="shared" ca="1" si="0"/>
        <v>15M</v>
      </c>
      <c r="C24" s="217">
        <f t="shared" ca="1" si="1"/>
        <v>1.4054794520547946</v>
      </c>
      <c r="D24" s="169">
        <f ca="1">IF(NOT($C$6),"",IF(GetConvertDate(CDSRollDate,B24)&lt;Parameter_Date,0,GetGetDefaultprob($I$6,B24)))</f>
        <v>5.2852541357797378E-3</v>
      </c>
      <c r="E24" s="178">
        <f t="shared" ca="1" si="2"/>
        <v>5.5637598498762247E-3</v>
      </c>
      <c r="F24" s="164"/>
      <c r="G24" s="165"/>
    </row>
    <row r="25" spans="2:7">
      <c r="B25" s="184" t="str">
        <f t="shared" ca="1" si="0"/>
        <v>16M</v>
      </c>
      <c r="C25" s="217">
        <f t="shared" ca="1" si="1"/>
        <v>1.4876712328767123</v>
      </c>
      <c r="D25" s="169">
        <f ca="1">IF(NOT($C$6),"",IF(GetConvertDate(CDSRollDate,B25)&lt;Parameter_Date,0,GetGetDefaultprob($I$6,B25)))</f>
        <v>5.7400285528380612E-3</v>
      </c>
      <c r="E25" s="178">
        <f t="shared" ca="1" si="2"/>
        <v>5.5637598498776116E-3</v>
      </c>
      <c r="F25" s="164"/>
      <c r="G25" s="165"/>
    </row>
    <row r="26" spans="2:7">
      <c r="B26" s="184" t="str">
        <f t="shared" ca="1" si="0"/>
        <v>17M</v>
      </c>
      <c r="C26" s="217">
        <f t="shared" ca="1" si="1"/>
        <v>1.5726027397260274</v>
      </c>
      <c r="D26" s="169">
        <f ca="1">IF(NOT($C$6),"",IF(GetConvertDate(CDSRollDate,B26)&lt;Parameter_Date,0,GetGetDefaultprob($I$6,B26)))</f>
        <v>6.20974368812377E-3</v>
      </c>
      <c r="E26" s="178">
        <f t="shared" ca="1" si="2"/>
        <v>5.5637598498762394E-3</v>
      </c>
      <c r="F26" s="164"/>
      <c r="G26" s="165"/>
    </row>
    <row r="27" spans="2:7">
      <c r="B27" s="184" t="str">
        <f t="shared" ca="1" si="0"/>
        <v>18M</v>
      </c>
      <c r="C27" s="217">
        <f t="shared" ca="1" si="1"/>
        <v>1.6547945205479453</v>
      </c>
      <c r="D27" s="169">
        <f ca="1">IF(NOT($C$6),"",IF(GetConvertDate(CDSRollDate,B27)&lt;Parameter_Date,0,GetGetDefaultprob($I$6,B27)))</f>
        <v>6.6640954370763561E-3</v>
      </c>
      <c r="E27" s="178">
        <f t="shared" ca="1" si="2"/>
        <v>5.5637598498762455E-3</v>
      </c>
      <c r="F27" s="164"/>
      <c r="G27" s="165"/>
    </row>
    <row r="28" spans="2:7">
      <c r="B28" s="184" t="str">
        <f t="shared" ca="1" si="0"/>
        <v>19M</v>
      </c>
      <c r="C28" s="217">
        <f t="shared" ca="1" si="1"/>
        <v>1.7397260273972603</v>
      </c>
      <c r="D28" s="169">
        <f ca="1">IF(NOT($C$6),"",IF(GetConvertDate(CDSRollDate,B28)&lt;Parameter_Date,0,GetGetDefaultprob($I$6,B28)))</f>
        <v>7.1333740183280314E-3</v>
      </c>
      <c r="E28" s="178">
        <f t="shared" ca="1" si="2"/>
        <v>5.5637598498775474E-3</v>
      </c>
      <c r="F28" s="164"/>
      <c r="G28" s="165"/>
    </row>
    <row r="29" spans="2:7">
      <c r="B29" s="184" t="str">
        <f t="shared" ca="1" si="0"/>
        <v>20M</v>
      </c>
      <c r="C29" s="217">
        <f t="shared" ca="1" si="1"/>
        <v>1.8246575342465754</v>
      </c>
      <c r="D29" s="169">
        <f ca="1">IF(NOT($C$6),"",IF(GetConvertDate(CDSRollDate,B29)&lt;Parameter_Date,0,GetGetDefaultprob($I$6,B29)))</f>
        <v>7.6024308997640899E-3</v>
      </c>
      <c r="E29" s="178">
        <f t="shared" ca="1" si="2"/>
        <v>5.5637598498762394E-3</v>
      </c>
      <c r="F29" s="164"/>
      <c r="G29" s="165"/>
    </row>
    <row r="30" spans="2:7">
      <c r="B30" s="184" t="str">
        <f t="shared" ca="1" si="0"/>
        <v>21M</v>
      </c>
      <c r="C30" s="217">
        <f t="shared" ca="1" si="1"/>
        <v>1.9013698630136986</v>
      </c>
      <c r="D30" s="169">
        <f ca="1">IF(NOT($C$6),"",IF(GetConvertDate(CDSRollDate,B30)&lt;Parameter_Date,0,GetGetDefaultprob($I$6,B30)))</f>
        <v>8.025904711170706E-3</v>
      </c>
      <c r="E30" s="178">
        <f t="shared" ca="1" si="2"/>
        <v>5.5637598498766982E-3</v>
      </c>
      <c r="F30" s="164"/>
      <c r="G30" s="165"/>
    </row>
    <row r="31" spans="2:7">
      <c r="B31" s="184" t="str">
        <f t="shared" ca="1" si="0"/>
        <v>22M</v>
      </c>
      <c r="C31" s="217">
        <f t="shared" ca="1" si="1"/>
        <v>1.9863013698630136</v>
      </c>
      <c r="D31" s="169">
        <f ca="1">IF(NOT($C$6),"",IF(GetConvertDate(CDSRollDate,B31)&lt;Parameter_Date,0,GetGetDefaultprob($I$6,B31)))</f>
        <v>8.4945399371171293E-3</v>
      </c>
      <c r="E31" s="178">
        <f t="shared" ca="1" si="2"/>
        <v>5.5637598498775474E-3</v>
      </c>
      <c r="F31" s="164"/>
      <c r="G31" s="165"/>
    </row>
    <row r="32" spans="2:7">
      <c r="B32" s="184" t="str">
        <f t="shared" ca="1" si="0"/>
        <v>23M</v>
      </c>
      <c r="C32" s="217">
        <f t="shared" ca="1" si="1"/>
        <v>2.0684931506849313</v>
      </c>
      <c r="D32" s="169">
        <f ca="1">IF(NOT($C$6),"",IF(GetConvertDate(CDSRollDate,B32)&lt;Parameter_Date,0,GetGetDefaultprob($I$6,B32)))</f>
        <v>8.9478470982755631E-3</v>
      </c>
      <c r="E32" s="178">
        <f t="shared" ca="1" si="2"/>
        <v>5.5637598498762602E-3</v>
      </c>
      <c r="F32" s="164"/>
      <c r="G32" s="165"/>
    </row>
    <row r="33" spans="2:7">
      <c r="B33" s="184" t="str">
        <f t="shared" ca="1" si="0"/>
        <v>24M</v>
      </c>
      <c r="C33" s="217">
        <f t="shared" ca="1" si="1"/>
        <v>2.1534246575342464</v>
      </c>
      <c r="D33" s="169">
        <f ca="1">IF(NOT($C$6),"",IF(GetConvertDate(CDSRollDate,B33)&lt;Parameter_Date,0,GetGetDefaultprob($I$6,B33)))</f>
        <v>9.4160467738574338E-3</v>
      </c>
      <c r="E33" s="178">
        <f t="shared" ca="1" si="2"/>
        <v>5.5637598498775474E-3</v>
      </c>
      <c r="F33" s="164"/>
      <c r="G33" s="165"/>
    </row>
    <row r="34" spans="2:7">
      <c r="B34" s="184" t="str">
        <f t="shared" ca="1" si="0"/>
        <v>25M</v>
      </c>
      <c r="C34" s="217">
        <f t="shared" ca="1" si="1"/>
        <v>2.2356164383561645</v>
      </c>
      <c r="D34" s="169">
        <f ca="1">IF(NOT($C$6),"",IF(GetConvertDate(CDSRollDate,B34)&lt;Parameter_Date,0,GetGetDefaultprob($I$6,B34)))</f>
        <v>1.0024647482486326E-2</v>
      </c>
      <c r="E34" s="178">
        <f t="shared" ca="1" si="2"/>
        <v>7.4773243765774286E-3</v>
      </c>
      <c r="F34" s="164"/>
      <c r="G34" s="165"/>
    </row>
    <row r="35" spans="2:7">
      <c r="B35" s="184" t="str">
        <f t="shared" ca="1" si="0"/>
        <v>26M</v>
      </c>
      <c r="C35" s="217">
        <f t="shared" ca="1" si="1"/>
        <v>2.3205479452054796</v>
      </c>
      <c r="D35" s="169">
        <f ca="1">IF(NOT($C$6),"",IF(GetConvertDate(CDSRollDate,B35)&lt;Parameter_Date,0,GetGetDefaultprob($I$6,B35)))</f>
        <v>1.0653142064942944E-2</v>
      </c>
      <c r="E35" s="178">
        <f t="shared" ca="1" si="2"/>
        <v>7.4773243765791364E-3</v>
      </c>
      <c r="F35" s="164"/>
      <c r="G35" s="165"/>
    </row>
    <row r="36" spans="2:7">
      <c r="B36" s="184" t="str">
        <f t="shared" ca="1" si="0"/>
        <v>27M</v>
      </c>
      <c r="C36" s="217">
        <f t="shared" ca="1" si="1"/>
        <v>2.4054794520547946</v>
      </c>
      <c r="D36" s="169">
        <f ca="1">IF(NOT($C$6),"",IF(GetConvertDate(CDSRollDate,B36)&lt;Parameter_Date,0,GetGetDefaultprob($I$6,B36)))</f>
        <v>1.128123764207134E-2</v>
      </c>
      <c r="E36" s="178">
        <f t="shared" ca="1" si="2"/>
        <v>7.4773243765752125E-3</v>
      </c>
      <c r="F36" s="164"/>
      <c r="G36" s="165"/>
    </row>
    <row r="37" spans="2:7">
      <c r="B37" s="184" t="str">
        <f t="shared" ca="1" si="0"/>
        <v>28M</v>
      </c>
      <c r="C37" s="217">
        <f t="shared" ca="1" si="1"/>
        <v>2.4876712328767123</v>
      </c>
      <c r="D37" s="169">
        <f ca="1">IF(NOT($C$6),"",IF(GetConvertDate(CDSRollDate,B37)&lt;Parameter_Date,0,GetGetDefaultprob($I$6,B37)))</f>
        <v>1.1888692403927759E-2</v>
      </c>
      <c r="E37" s="178">
        <f t="shared" ca="1" si="2"/>
        <v>7.4773243765788207E-3</v>
      </c>
      <c r="F37" s="164"/>
      <c r="G37" s="165"/>
    </row>
    <row r="38" spans="2:7">
      <c r="B38" s="184" t="str">
        <f t="shared" ca="1" si="0"/>
        <v>29M</v>
      </c>
      <c r="C38" s="217">
        <f t="shared" ca="1" si="1"/>
        <v>2.5726027397260274</v>
      </c>
      <c r="D38" s="169">
        <f ca="1">IF(NOT($C$6),"",IF(GetConvertDate(CDSRollDate,B38)&lt;Parameter_Date,0,GetGetDefaultprob($I$6,B38)))</f>
        <v>1.2516003581028223E-2</v>
      </c>
      <c r="E38" s="178">
        <f t="shared" ca="1" si="2"/>
        <v>7.4773243765778284E-3</v>
      </c>
      <c r="F38" s="164"/>
      <c r="G38" s="165"/>
    </row>
    <row r="39" spans="2:7">
      <c r="B39" s="184" t="str">
        <f t="shared" ca="1" si="0"/>
        <v>30M</v>
      </c>
      <c r="C39" s="217">
        <f t="shared" ca="1" si="1"/>
        <v>2.6547945205479451</v>
      </c>
      <c r="D39" s="169">
        <f ca="1">IF(NOT($C$6),"",IF(GetConvertDate(CDSRollDate,B39)&lt;Parameter_Date,0,GetGetDefaultprob($I$6,B39)))</f>
        <v>1.3122699720232722E-2</v>
      </c>
      <c r="E39" s="178">
        <f t="shared" ca="1" si="2"/>
        <v>7.4773243765774685E-3</v>
      </c>
      <c r="F39" s="164"/>
      <c r="G39" s="165"/>
    </row>
    <row r="40" spans="2:7">
      <c r="B40" s="184" t="str">
        <f t="shared" ca="1" si="0"/>
        <v>31M</v>
      </c>
      <c r="C40" s="217">
        <f t="shared" ca="1" si="1"/>
        <v>2.7397260273972601</v>
      </c>
      <c r="D40" s="169">
        <f ca="1">IF(NOT($C$6),"",IF(GetConvertDate(CDSRollDate,B40)&lt;Parameter_Date,0,GetGetDefaultprob($I$6,B40)))</f>
        <v>1.3749227476906545E-2</v>
      </c>
      <c r="E40" s="178">
        <f t="shared" ca="1" si="2"/>
        <v>7.4773243765778284E-3</v>
      </c>
      <c r="F40" s="164"/>
      <c r="G40" s="165"/>
    </row>
    <row r="41" spans="2:7">
      <c r="B41" s="184" t="str">
        <f t="shared" ca="1" si="0"/>
        <v>32M</v>
      </c>
      <c r="C41" s="217">
        <f t="shared" ca="1" si="1"/>
        <v>2.8246575342465752</v>
      </c>
      <c r="D41" s="169">
        <f ca="1">IF(NOT($C$6),"",IF(GetConvertDate(CDSRollDate,B41)&lt;Parameter_Date,0,GetGetDefaultprob($I$6,B41)))</f>
        <v>1.437535747690899E-2</v>
      </c>
      <c r="E41" s="178">
        <f t="shared" ca="1" si="2"/>
        <v>7.4773243765765204E-3</v>
      </c>
      <c r="F41" s="164"/>
      <c r="G41" s="165"/>
    </row>
    <row r="42" spans="2:7">
      <c r="B42" s="184" t="str">
        <f t="shared" ca="1" si="0"/>
        <v>33M</v>
      </c>
      <c r="C42" s="217">
        <f t="shared" ref="C42:C73" ca="1" si="3">MAX(0,(DATE(YEAR(CDSRollDate),MONTH(CDSRollDate)+ROW()-ROW($B$9),DAY(CDSRollDate))-Parameter_Date)/365)</f>
        <v>2.9013698630136986</v>
      </c>
      <c r="D42" s="169">
        <f ca="1">IF(NOT($C$6),"",IF(GetConvertDate(CDSRollDate,B42)&lt;Parameter_Date,0,GetGetDefaultprob($I$6,B42)))</f>
        <v>1.4940552580808508E-2</v>
      </c>
      <c r="E42" s="178">
        <f t="shared" ca="1" si="2"/>
        <v>7.4773243765773401E-3</v>
      </c>
      <c r="F42" s="164"/>
      <c r="G42" s="165"/>
    </row>
    <row r="43" spans="2:7">
      <c r="B43" s="184" t="str">
        <f t="shared" ca="1" si="0"/>
        <v>34M</v>
      </c>
      <c r="C43" s="217">
        <f t="shared" ca="1" si="3"/>
        <v>2.9863013698630136</v>
      </c>
      <c r="D43" s="169">
        <f ca="1">IF(NOT($C$6),"",IF(GetConvertDate(CDSRollDate,B43)&lt;Parameter_Date,0,GetGetDefaultprob($I$6,B43)))</f>
        <v>1.5565926257563478E-2</v>
      </c>
      <c r="E43" s="178">
        <f t="shared" ca="1" si="2"/>
        <v>7.4773243765791364E-3</v>
      </c>
      <c r="F43" s="164"/>
      <c r="G43" s="165"/>
    </row>
    <row r="44" spans="2:7">
      <c r="B44" s="184" t="str">
        <f t="shared" ca="1" si="0"/>
        <v>35M</v>
      </c>
      <c r="C44" s="217">
        <f t="shared" ca="1" si="3"/>
        <v>3.0684931506849313</v>
      </c>
      <c r="D44" s="169">
        <f ca="1">IF(NOT($C$6),"",IF(GetConvertDate(CDSRollDate,B44)&lt;Parameter_Date,0,GetGetDefaultprob($I$6,B44)))</f>
        <v>1.61707485676027E-2</v>
      </c>
      <c r="E44" s="178">
        <f t="shared" ca="1" si="2"/>
        <v>7.477324376576118E-3</v>
      </c>
      <c r="F44" s="164"/>
      <c r="G44" s="165"/>
    </row>
    <row r="45" spans="2:7">
      <c r="B45" s="184" t="str">
        <f t="shared" ca="1" si="0"/>
        <v>36M</v>
      </c>
      <c r="C45" s="217">
        <f t="shared" ca="1" si="3"/>
        <v>3.1534246575342464</v>
      </c>
      <c r="D45" s="169">
        <f ca="1">IF(NOT($C$6),"",IF(GetConvertDate(CDSRollDate,B45)&lt;Parameter_Date,0,GetGetDefaultprob($I$6,B45)))</f>
        <v>1.6795341243587059E-2</v>
      </c>
      <c r="E45" s="178">
        <f t="shared" ca="1" si="2"/>
        <v>7.4773243765765204E-3</v>
      </c>
      <c r="F45" s="164"/>
      <c r="G45" s="165"/>
    </row>
    <row r="46" spans="2:7">
      <c r="B46" s="184" t="str">
        <f t="shared" ca="1" si="0"/>
        <v>37M</v>
      </c>
      <c r="C46" s="217">
        <f t="shared" ca="1" si="3"/>
        <v>3.2356164383561645</v>
      </c>
      <c r="D46" s="169">
        <f ca="1">IF(NOT($C$6),"",IF(GetConvertDate(CDSRollDate,B46)&lt;Parameter_Date,0,GetGetDefaultprob($I$6,B46)))</f>
        <v>1.7541454429198078E-2</v>
      </c>
      <c r="E46" s="178">
        <f t="shared" ca="1" si="2"/>
        <v>9.2362830427000948E-3</v>
      </c>
      <c r="F46" s="164"/>
      <c r="G46" s="165"/>
    </row>
    <row r="47" spans="2:7">
      <c r="B47" s="184" t="str">
        <f t="shared" ca="1" si="0"/>
        <v>38M</v>
      </c>
      <c r="C47" s="217">
        <f t="shared" ca="1" si="3"/>
        <v>3.3205479452054796</v>
      </c>
      <c r="D47" s="169">
        <f ca="1">IF(NOT($C$6),"",IF(GetConvertDate(CDSRollDate,B47)&lt;Parameter_Date,0,GetGetDefaultprob($I$6,B47)))</f>
        <v>1.831184324076518E-2</v>
      </c>
      <c r="E47" s="178">
        <f t="shared" ca="1" si="2"/>
        <v>9.2362830426993333E-3</v>
      </c>
      <c r="F47" s="164"/>
      <c r="G47" s="165"/>
    </row>
    <row r="48" spans="2:7">
      <c r="B48" s="184" t="str">
        <f t="shared" ca="1" si="0"/>
        <v>39M</v>
      </c>
      <c r="C48" s="217">
        <f t="shared" ca="1" si="3"/>
        <v>3.4054794520547946</v>
      </c>
      <c r="D48" s="169">
        <f ca="1">IF(NOT($C$6),"",IF(GetConvertDate(CDSRollDate,B48)&lt;Parameter_Date,0,GetGetDefaultprob($I$6,B48)))</f>
        <v>1.9081627956695213E-2</v>
      </c>
      <c r="E48" s="178">
        <f t="shared" ca="1" si="2"/>
        <v>9.2362830426993333E-3</v>
      </c>
      <c r="F48" s="164"/>
      <c r="G48" s="165"/>
    </row>
    <row r="49" spans="2:7">
      <c r="B49" s="184" t="str">
        <f t="shared" ca="1" si="0"/>
        <v>40M</v>
      </c>
      <c r="C49" s="217">
        <f t="shared" ca="1" si="3"/>
        <v>3.4876712328767123</v>
      </c>
      <c r="D49" s="169">
        <f ca="1">IF(NOT($C$6),"",IF(GetConvertDate(CDSRollDate,B49)&lt;Parameter_Date,0,GetGetDefaultprob($I$6,B49)))</f>
        <v>1.9826006174263111E-2</v>
      </c>
      <c r="E49" s="178">
        <f t="shared" ca="1" si="2"/>
        <v>9.2362830427001451E-3</v>
      </c>
      <c r="F49" s="164"/>
      <c r="G49" s="165"/>
    </row>
    <row r="50" spans="2:7">
      <c r="B50" s="184" t="str">
        <f t="shared" ca="1" si="0"/>
        <v>41M</v>
      </c>
      <c r="C50" s="217">
        <f t="shared" ca="1" si="3"/>
        <v>3.5726027397260274</v>
      </c>
      <c r="D50" s="169">
        <f ca="1">IF(NOT($C$6),"",IF(GetConvertDate(CDSRollDate,B50)&lt;Parameter_Date,0,GetGetDefaultprob($I$6,B50)))</f>
        <v>2.0594603568663827E-2</v>
      </c>
      <c r="E50" s="178">
        <f t="shared" ca="1" si="2"/>
        <v>9.2362830426993333E-3</v>
      </c>
      <c r="F50" s="164"/>
      <c r="G50" s="165"/>
    </row>
    <row r="51" spans="2:7">
      <c r="B51" s="184" t="str">
        <f t="shared" ca="1" si="0"/>
        <v>42M</v>
      </c>
      <c r="C51" s="217">
        <f t="shared" ca="1" si="3"/>
        <v>3.6547945205479451</v>
      </c>
      <c r="D51" s="169">
        <f ca="1">IF(NOT($C$6),"",IF(GetConvertDate(CDSRollDate,B51)&lt;Parameter_Date,0,GetGetDefaultprob($I$6,B51)))</f>
        <v>2.1337833651869698E-2</v>
      </c>
      <c r="E51" s="178">
        <f t="shared" ca="1" si="2"/>
        <v>9.2362830426987921E-3</v>
      </c>
      <c r="F51" s="164"/>
      <c r="G51" s="165"/>
    </row>
    <row r="52" spans="2:7">
      <c r="B52" s="184" t="str">
        <f t="shared" ca="1" si="0"/>
        <v>43M</v>
      </c>
      <c r="C52" s="217">
        <f t="shared" ca="1" si="3"/>
        <v>3.7397260273972601</v>
      </c>
      <c r="D52" s="169">
        <f ca="1">IF(NOT($C$6),"",IF(GetConvertDate(CDSRollDate,B52)&lt;Parameter_Date,0,GetGetDefaultprob($I$6,B52)))</f>
        <v>2.2105245556074515E-2</v>
      </c>
      <c r="E52" s="178">
        <f t="shared" ca="1" si="2"/>
        <v>9.236283042700643E-3</v>
      </c>
      <c r="F52" s="164"/>
      <c r="G52" s="165"/>
    </row>
    <row r="53" spans="2:7">
      <c r="B53" s="184" t="str">
        <f t="shared" ca="1" si="0"/>
        <v>44M</v>
      </c>
      <c r="C53" s="217">
        <f t="shared" ca="1" si="3"/>
        <v>3.8246575342465752</v>
      </c>
      <c r="D53" s="169">
        <f ca="1">IF(NOT($C$6),"",IF(GetConvertDate(CDSRollDate,B53)&lt;Parameter_Date,0,GetGetDefaultprob($I$6,B53)))</f>
        <v>2.2872055698965665E-2</v>
      </c>
      <c r="E53" s="178">
        <f t="shared" ca="1" si="2"/>
        <v>9.2362830426993333E-3</v>
      </c>
      <c r="F53" s="164"/>
      <c r="G53" s="165"/>
    </row>
    <row r="54" spans="2:7">
      <c r="B54" s="184" t="str">
        <f t="shared" ca="1" si="0"/>
        <v>45M</v>
      </c>
      <c r="C54" s="217">
        <f t="shared" ca="1" si="3"/>
        <v>3.904109589041096</v>
      </c>
      <c r="D54" s="169">
        <f ca="1">IF(NOT($C$6),"",IF(GetConvertDate(CDSRollDate,B54)&lt;Parameter_Date,0,GetGetDefaultprob($I$6,B54)))</f>
        <v>2.3588849859025762E-2</v>
      </c>
      <c r="E54" s="178">
        <f t="shared" ca="1" si="2"/>
        <v>9.2362830427009466E-3</v>
      </c>
      <c r="F54" s="164"/>
      <c r="G54" s="165"/>
    </row>
    <row r="55" spans="2:7">
      <c r="B55" s="184" t="str">
        <f t="shared" ca="1" si="0"/>
        <v>46M</v>
      </c>
      <c r="C55" s="217">
        <f t="shared" ca="1" si="3"/>
        <v>3.989041095890411</v>
      </c>
      <c r="D55" s="169">
        <f ca="1">IF(NOT($C$6),"",IF(GetConvertDate(CDSRollDate,B55)&lt;Parameter_Date,0,GetGetDefaultprob($I$6,B55)))</f>
        <v>2.4354496642749246E-2</v>
      </c>
      <c r="E55" s="178">
        <f t="shared" ca="1" si="2"/>
        <v>9.2362830426980253E-3</v>
      </c>
      <c r="F55" s="164"/>
      <c r="G55" s="165"/>
    </row>
    <row r="56" spans="2:7">
      <c r="B56" s="184" t="str">
        <f t="shared" ca="1" si="0"/>
        <v>47M</v>
      </c>
      <c r="C56" s="217">
        <f t="shared" ca="1" si="3"/>
        <v>4.0712328767123287</v>
      </c>
      <c r="D56" s="169">
        <f ca="1">IF(NOT($C$6),"",IF(GetConvertDate(CDSRollDate,B56)&lt;Parameter_Date,0,GetGetDefaultprob($I$6,B56)))</f>
        <v>2.5094873499239778E-2</v>
      </c>
      <c r="E56" s="178">
        <f t="shared" ca="1" si="2"/>
        <v>9.2362830427001451E-3</v>
      </c>
      <c r="F56" s="164"/>
      <c r="G56" s="165"/>
    </row>
    <row r="57" spans="2:7">
      <c r="B57" s="184" t="str">
        <f t="shared" ca="1" si="0"/>
        <v>48M</v>
      </c>
      <c r="C57" s="217">
        <f t="shared" ca="1" si="3"/>
        <v>4.1561643835616442</v>
      </c>
      <c r="D57" s="169">
        <f ca="1">IF(NOT($C$6),"",IF(GetConvertDate(CDSRollDate,B57)&lt;Parameter_Date,0,GetGetDefaultprob($I$6,B57)))</f>
        <v>2.5859339343810572E-2</v>
      </c>
      <c r="E57" s="178">
        <f t="shared" ca="1" si="2"/>
        <v>9.2362830426979767E-3</v>
      </c>
      <c r="F57" s="164"/>
      <c r="G57" s="165"/>
    </row>
    <row r="58" spans="2:7">
      <c r="B58" s="184" t="str">
        <f t="shared" ca="1" si="0"/>
        <v>49M</v>
      </c>
      <c r="C58" s="217">
        <f t="shared" ca="1" si="3"/>
        <v>4.2383561643835614</v>
      </c>
      <c r="D58" s="169">
        <f ca="1">IF(NOT($C$6),"",IF(GetConvertDate(CDSRollDate,B58)&lt;Parameter_Date,0,GetGetDefaultprob($I$6,B58)))</f>
        <v>2.6598574237667538E-2</v>
      </c>
      <c r="E58" s="178">
        <f t="shared" ca="1" si="2"/>
        <v>9.2362830427015468E-3</v>
      </c>
      <c r="F58" s="164"/>
      <c r="G58" s="165"/>
    </row>
    <row r="59" spans="2:7">
      <c r="B59" s="184" t="str">
        <f t="shared" ca="1" si="0"/>
        <v>50M</v>
      </c>
      <c r="C59" s="217">
        <f t="shared" ca="1" si="3"/>
        <v>4.3232876712328769</v>
      </c>
      <c r="D59" s="169">
        <f ca="1">IF(NOT($C$6),"",IF(GetConvertDate(CDSRollDate,B59)&lt;Parameter_Date,0,GetGetDefaultprob($I$6,B59)))</f>
        <v>2.7361860964574825E-2</v>
      </c>
      <c r="E59" s="178">
        <f t="shared" ca="1" si="2"/>
        <v>9.2362830426992847E-3</v>
      </c>
      <c r="F59" s="164"/>
      <c r="G59" s="165"/>
    </row>
    <row r="60" spans="2:7">
      <c r="B60" s="184" t="str">
        <f t="shared" ca="1" si="0"/>
        <v>51M</v>
      </c>
      <c r="C60" s="217">
        <f t="shared" ca="1" si="3"/>
        <v>4.4082191780821915</v>
      </c>
      <c r="D60" s="169">
        <f ca="1">IF(NOT($C$6),"",IF(GetConvertDate(CDSRollDate,B60)&lt;Parameter_Date,0,GetGetDefaultprob($I$6,B60)))</f>
        <v>2.8124549164900925E-2</v>
      </c>
      <c r="E60" s="178">
        <f t="shared" ca="1" si="2"/>
        <v>9.2362830426993819E-3</v>
      </c>
      <c r="F60" s="164"/>
      <c r="G60" s="165"/>
    </row>
    <row r="61" spans="2:7">
      <c r="B61" s="184" t="str">
        <f t="shared" ca="1" si="0"/>
        <v>52M</v>
      </c>
      <c r="C61" s="217">
        <f t="shared" ca="1" si="3"/>
        <v>4.4904109589041097</v>
      </c>
      <c r="D61" s="169">
        <f ca="1">IF(NOT($C$6),"",IF(GetConvertDate(CDSRollDate,B61)&lt;Parameter_Date,0,GetGetDefaultprob($I$6,B61)))</f>
        <v>2.8862065085092703E-2</v>
      </c>
      <c r="E61" s="178">
        <f t="shared" ca="1" si="2"/>
        <v>9.2362830426987435E-3</v>
      </c>
      <c r="F61" s="164"/>
      <c r="G61" s="165"/>
    </row>
    <row r="62" spans="2:7">
      <c r="B62" s="184" t="str">
        <f t="shared" ca="1" si="0"/>
        <v>53M</v>
      </c>
      <c r="C62" s="217">
        <f t="shared" ca="1" si="3"/>
        <v>4.5753424657534243</v>
      </c>
      <c r="D62" s="169">
        <f ca="1">IF(NOT($C$6),"",IF(GetConvertDate(CDSRollDate,B62)&lt;Parameter_Date,0,GetGetDefaultprob($I$6,B62)))</f>
        <v>2.9623576909606597E-2</v>
      </c>
      <c r="E62" s="178">
        <f t="shared" ca="1" si="2"/>
        <v>9.2362830426993819E-3</v>
      </c>
      <c r="F62" s="164"/>
      <c r="G62" s="165"/>
    </row>
    <row r="63" spans="2:7">
      <c r="B63" s="184" t="str">
        <f t="shared" ca="1" si="0"/>
        <v>54M</v>
      </c>
      <c r="C63" s="217">
        <f t="shared" ca="1" si="3"/>
        <v>4.6575342465753424</v>
      </c>
      <c r="D63" s="169">
        <f ca="1">IF(NOT($C$6),"",IF(GetConvertDate(CDSRollDate,B63)&lt;Parameter_Date,0,GetGetDefaultprob($I$6,B63)))</f>
        <v>3.0359955279893769E-2</v>
      </c>
      <c r="E63" s="178">
        <f t="shared" ca="1" si="2"/>
        <v>9.2362830427000948E-3</v>
      </c>
      <c r="F63" s="164"/>
      <c r="G63" s="165"/>
    </row>
    <row r="64" spans="2:7">
      <c r="B64" s="184" t="str">
        <f t="shared" ca="1" si="0"/>
        <v>55M</v>
      </c>
      <c r="C64" s="217">
        <f t="shared" ca="1" si="3"/>
        <v>4.7424657534246579</v>
      </c>
      <c r="D64" s="169">
        <f ca="1">IF(NOT($C$6),"",IF(GetConvertDate(CDSRollDate,B64)&lt;Parameter_Date,0,GetGetDefaultprob($I$6,B64)))</f>
        <v>3.1120292543046046E-2</v>
      </c>
      <c r="E64" s="178">
        <f t="shared" ca="1" si="2"/>
        <v>9.2362830426992847E-3</v>
      </c>
      <c r="F64" s="164"/>
      <c r="G64" s="165"/>
    </row>
    <row r="65" spans="2:7">
      <c r="B65" s="184" t="str">
        <f t="shared" ca="1" si="0"/>
        <v>56M</v>
      </c>
      <c r="C65" s="217">
        <f t="shared" ca="1" si="3"/>
        <v>4.8273972602739725</v>
      </c>
      <c r="D65" s="169">
        <f ca="1">IF(NOT($C$6),"",IF(GetConvertDate(CDSRollDate,B65)&lt;Parameter_Date,0,GetGetDefaultprob($I$6,B65)))</f>
        <v>3.1880033592420864E-2</v>
      </c>
      <c r="E65" s="178">
        <f t="shared" ca="1" si="2"/>
        <v>9.2362830426980739E-3</v>
      </c>
      <c r="F65" s="164"/>
      <c r="G65" s="165"/>
    </row>
    <row r="66" spans="2:7">
      <c r="B66" s="184" t="str">
        <f t="shared" ca="1" si="0"/>
        <v>57M</v>
      </c>
      <c r="C66" s="217">
        <f t="shared" ca="1" si="3"/>
        <v>4.904109589041096</v>
      </c>
      <c r="D66" s="169">
        <f ca="1">IF(NOT($C$6),"",IF(GetConvertDate(CDSRollDate,B66)&lt;Parameter_Date,0,GetGetDefaultprob($I$6,B66)))</f>
        <v>3.2565739244862835E-2</v>
      </c>
      <c r="E66" s="178">
        <f t="shared" ca="1" si="2"/>
        <v>9.236283042700166E-3</v>
      </c>
      <c r="F66" s="164"/>
      <c r="G66" s="165"/>
    </row>
    <row r="67" spans="2:7">
      <c r="B67" s="184" t="str">
        <f t="shared" ca="1" si="0"/>
        <v>58M</v>
      </c>
      <c r="C67" s="217">
        <f t="shared" ca="1" si="3"/>
        <v>4.9890410958904106</v>
      </c>
      <c r="D67" s="169">
        <f ca="1">IF(NOT($C$6),"",IF(GetConvertDate(CDSRollDate,B67)&lt;Parameter_Date,0,GetGetDefaultprob($I$6,B67)))</f>
        <v>3.3324346856117737E-2</v>
      </c>
      <c r="E67" s="178">
        <f t="shared" ca="1" si="2"/>
        <v>9.2362830426980739E-3</v>
      </c>
      <c r="F67" s="164"/>
      <c r="G67" s="165"/>
    </row>
    <row r="68" spans="2:7">
      <c r="B68" s="184" t="str">
        <f t="shared" ca="1" si="0"/>
        <v>59M</v>
      </c>
      <c r="C68" s="217">
        <f t="shared" ca="1" si="3"/>
        <v>5.0712328767123287</v>
      </c>
      <c r="D68" s="169">
        <f ca="1">IF(NOT($C$6),"",IF(GetConvertDate(CDSRollDate,B68)&lt;Parameter_Date,0,GetGetDefaultprob($I$6,B68)))</f>
        <v>3.405791686577575E-2</v>
      </c>
      <c r="E68" s="178">
        <f t="shared" ca="1" si="2"/>
        <v>9.2362830427000948E-3</v>
      </c>
      <c r="F68" s="164"/>
      <c r="G68" s="165"/>
    </row>
    <row r="69" spans="2:7">
      <c r="B69" s="184" t="str">
        <f t="shared" ca="1" si="0"/>
        <v>60M</v>
      </c>
      <c r="C69" s="217">
        <f t="shared" ca="1" si="3"/>
        <v>5.1561643835616442</v>
      </c>
      <c r="D69" s="169">
        <f ca="1">IF(NOT($C$6),"",IF(GetConvertDate(CDSRollDate,B69)&lt;Parameter_Date,0,GetGetDefaultprob($I$6,B69)))</f>
        <v>3.4815354395148712E-2</v>
      </c>
      <c r="E69" s="178">
        <f t="shared" ca="1" si="2"/>
        <v>9.2362830426992847E-3</v>
      </c>
      <c r="F69" s="164"/>
      <c r="G69" s="165"/>
    </row>
    <row r="70" spans="2:7">
      <c r="B70" s="184" t="str">
        <f t="shared" ca="1" si="0"/>
        <v>61M</v>
      </c>
      <c r="C70" s="217">
        <f t="shared" ca="1" si="3"/>
        <v>5.2383561643835614</v>
      </c>
      <c r="D70" s="169">
        <f ca="1">IF(NOT($C$6),"",IF(GetConvertDate(CDSRollDate,B70)&lt;Parameter_Date,0,GetGetDefaultprob($I$6,B70)))</f>
        <v>3.5566463109599877E-2</v>
      </c>
      <c r="E70" s="178">
        <f t="shared" ca="1" si="2"/>
        <v>9.4718114740038866E-3</v>
      </c>
      <c r="F70" s="164"/>
      <c r="G70" s="165"/>
    </row>
    <row r="71" spans="2:7">
      <c r="B71" s="184" t="str">
        <f t="shared" ca="1" si="0"/>
        <v>62M</v>
      </c>
      <c r="C71" s="217">
        <f t="shared" ca="1" si="3"/>
        <v>5.3232876712328769</v>
      </c>
      <c r="D71" s="169">
        <f ca="1">IF(NOT($C$6),"",IF(GetConvertDate(CDSRollDate,B71)&lt;Parameter_Date,0,GetGetDefaultprob($I$6,B71)))</f>
        <v>3.6341994721684756E-2</v>
      </c>
      <c r="E71" s="178">
        <f t="shared" ca="1" si="2"/>
        <v>9.4718114740014684E-3</v>
      </c>
      <c r="F71" s="164"/>
      <c r="G71" s="165"/>
    </row>
    <row r="72" spans="2:7">
      <c r="B72" s="184" t="str">
        <f t="shared" ca="1" si="0"/>
        <v>63M</v>
      </c>
      <c r="C72" s="217">
        <f t="shared" ca="1" si="3"/>
        <v>5.4082191780821915</v>
      </c>
      <c r="D72" s="169">
        <f ca="1">IF(NOT($C$6),"",IF(GetConvertDate(CDSRollDate,B72)&lt;Parameter_Date,0,GetGetDefaultprob($I$6,B72)))</f>
        <v>3.7116902704189991E-2</v>
      </c>
      <c r="E72" s="178">
        <f t="shared" ca="1" si="2"/>
        <v>9.4718114740041832E-3</v>
      </c>
      <c r="F72" s="164"/>
      <c r="G72" s="165"/>
    </row>
    <row r="73" spans="2:7">
      <c r="B73" s="184" t="str">
        <f t="shared" ca="1" si="0"/>
        <v>64M</v>
      </c>
      <c r="C73" s="217">
        <f t="shared" ca="1" si="3"/>
        <v>5.4904109589041097</v>
      </c>
      <c r="D73" s="169">
        <f ca="1">IF(NOT($C$6),"",IF(GetConvertDate(CDSRollDate,B73)&lt;Parameter_Date,0,GetGetDefaultprob($I$6,B73)))</f>
        <v>3.7866220348922397E-2</v>
      </c>
      <c r="E73" s="178">
        <f t="shared" ca="1" si="2"/>
        <v>9.4718114740024346E-3</v>
      </c>
      <c r="F73" s="164"/>
      <c r="G73" s="165"/>
    </row>
    <row r="74" spans="2:7">
      <c r="B74" s="184" t="str">
        <f t="shared" ca="1" si="0"/>
        <v>65M</v>
      </c>
      <c r="C74" s="217">
        <f t="shared" ref="C74:C105" ca="1" si="4">MAX(0,(DATE(YEAR(CDSRollDate),MONTH(CDSRollDate)+ROW()-ROW($B$9),DAY(CDSRollDate))-Parameter_Date)/365)</f>
        <v>5.5753424657534243</v>
      </c>
      <c r="D74" s="169">
        <f ca="1">IF(NOT($C$6),"",IF(GetConvertDate(CDSRollDate,B74)&lt;Parameter_Date,0,GetGetDefaultprob($I$6,B74)))</f>
        <v>3.8639902653231473E-2</v>
      </c>
      <c r="E74" s="178">
        <f t="shared" ca="1" si="2"/>
        <v>9.4718114740041832E-3</v>
      </c>
      <c r="F74" s="164"/>
      <c r="G74" s="165"/>
    </row>
    <row r="75" spans="2:7">
      <c r="B75" s="184" t="str">
        <f t="shared" ref="B75:B129" ca="1" si="5">ROW()-ROW($B$9)&amp;"M"</f>
        <v>66M</v>
      </c>
      <c r="C75" s="217">
        <f t="shared" ca="1" si="4"/>
        <v>5.6575342465753424</v>
      </c>
      <c r="D75" s="169">
        <f ca="1">IF(NOT($C$6),"",IF(GetConvertDate(CDSRollDate,B75)&lt;Parameter_Date,0,GetGetDefaultprob($I$6,B75)))</f>
        <v>3.9388035096210916E-2</v>
      </c>
      <c r="E75" s="178">
        <f t="shared" ca="1" si="2"/>
        <v>9.4718114740024346E-3</v>
      </c>
      <c r="F75" s="164"/>
      <c r="G75" s="165"/>
    </row>
    <row r="76" spans="2:7">
      <c r="B76" s="184" t="str">
        <f t="shared" ca="1" si="5"/>
        <v>67M</v>
      </c>
      <c r="C76" s="217">
        <f t="shared" ca="1" si="4"/>
        <v>5.7424657534246579</v>
      </c>
      <c r="D76" s="169">
        <f ca="1">IF(NOT($C$6),"",IF(GetConvertDate(CDSRollDate,B76)&lt;Parameter_Date,0,GetGetDefaultprob($I$6,B76)))</f>
        <v>4.0160493660988728E-2</v>
      </c>
      <c r="E76" s="178">
        <f t="shared" ref="E76:E129" ca="1" si="6">IF(NOT($C$6),"",IF(C76=0,0,-LN((1-D76)/(1-D75))/($C76-$C75)))</f>
        <v>9.4718114740027764E-3</v>
      </c>
      <c r="F76" s="164"/>
      <c r="G76" s="165"/>
    </row>
    <row r="77" spans="2:7">
      <c r="B77" s="184" t="str">
        <f t="shared" ca="1" si="5"/>
        <v>68M</v>
      </c>
      <c r="C77" s="217">
        <f t="shared" ca="1" si="4"/>
        <v>5.8273972602739725</v>
      </c>
      <c r="D77" s="169">
        <f ca="1">IF(NOT($C$6),"",IF(GetConvertDate(CDSRollDate,B77)&lt;Parameter_Date,0,GetGetDefaultprob($I$6,B77)))</f>
        <v>4.0932331067321637E-2</v>
      </c>
      <c r="E77" s="178">
        <f t="shared" ca="1" si="6"/>
        <v>9.4718114740028753E-3</v>
      </c>
      <c r="F77" s="164"/>
      <c r="G77" s="165"/>
    </row>
    <row r="78" spans="2:7">
      <c r="B78" s="184" t="str">
        <f t="shared" ca="1" si="5"/>
        <v>69M</v>
      </c>
      <c r="C78" s="217">
        <f t="shared" ca="1" si="4"/>
        <v>5.904109589041096</v>
      </c>
      <c r="D78" s="169">
        <f ca="1">IF(NOT($C$6),"",IF(GetConvertDate(CDSRollDate,B78)&lt;Parameter_Date,0,GetGetDefaultprob($I$6,B78)))</f>
        <v>4.1628941047656243E-2</v>
      </c>
      <c r="E78" s="178">
        <f t="shared" ca="1" si="6"/>
        <v>9.471811474003557E-3</v>
      </c>
      <c r="F78" s="164"/>
      <c r="G78" s="165"/>
    </row>
    <row r="79" spans="2:7">
      <c r="B79" s="184" t="str">
        <f t="shared" ca="1" si="5"/>
        <v>70M</v>
      </c>
      <c r="C79" s="217">
        <f t="shared" ca="1" si="4"/>
        <v>5.9890410958904106</v>
      </c>
      <c r="D79" s="169">
        <f ca="1">IF(NOT($C$6),"",IF(GetConvertDate(CDSRollDate,B79)&lt;Parameter_Date,0,GetGetDefaultprob($I$6,B79)))</f>
        <v>4.2399597628846153E-2</v>
      </c>
      <c r="E79" s="178">
        <f t="shared" ca="1" si="6"/>
        <v>9.4718114740028753E-3</v>
      </c>
      <c r="F79" s="164"/>
      <c r="G79" s="165"/>
    </row>
    <row r="80" spans="2:7">
      <c r="B80" s="184" t="str">
        <f t="shared" ca="1" si="5"/>
        <v>71M</v>
      </c>
      <c r="C80" s="217">
        <f t="shared" ca="1" si="4"/>
        <v>6.0712328767123287</v>
      </c>
      <c r="D80" s="169">
        <f ca="1">IF(NOT($C$6),"",IF(GetConvertDate(CDSRollDate,B80)&lt;Parameter_Date,0,GetGetDefaultprob($I$6,B80)))</f>
        <v>4.3144804269314552E-2</v>
      </c>
      <c r="E80" s="178">
        <f t="shared" ca="1" si="6"/>
        <v>9.4718114740037843E-3</v>
      </c>
      <c r="F80" s="164"/>
      <c r="G80" s="165"/>
    </row>
    <row r="81" spans="2:7">
      <c r="B81" s="184" t="str">
        <f t="shared" ca="1" si="5"/>
        <v>72M</v>
      </c>
      <c r="C81" s="217">
        <f t="shared" ca="1" si="4"/>
        <v>6.1561643835616442</v>
      </c>
      <c r="D81" s="169">
        <f ca="1">IF(NOT($C$6),"",IF(GetConvertDate(CDSRollDate,B81)&lt;Parameter_Date,0,GetGetDefaultprob($I$6,B81)))</f>
        <v>4.3914241896783945E-2</v>
      </c>
      <c r="E81" s="178">
        <f t="shared" ca="1" si="6"/>
        <v>9.4718114740027764E-3</v>
      </c>
      <c r="F81" s="164"/>
      <c r="G81" s="165"/>
    </row>
    <row r="82" spans="2:7">
      <c r="B82" s="184" t="str">
        <f t="shared" ca="1" si="5"/>
        <v>73M</v>
      </c>
      <c r="C82" s="217">
        <f t="shared" ca="1" si="4"/>
        <v>6.2383561643835614</v>
      </c>
      <c r="D82" s="169">
        <f ca="1">IF(NOT($C$6),"",IF(GetConvertDate(CDSRollDate,B82)&lt;Parameter_Date,0,GetGetDefaultprob($I$6,B82)))</f>
        <v>4.4658269837907993E-2</v>
      </c>
      <c r="E82" s="178">
        <f t="shared" ca="1" si="6"/>
        <v>9.4718114740038866E-3</v>
      </c>
      <c r="F82" s="164"/>
      <c r="G82" s="165"/>
    </row>
    <row r="83" spans="2:7">
      <c r="B83" s="184" t="str">
        <f t="shared" ca="1" si="5"/>
        <v>74M</v>
      </c>
      <c r="C83" s="217">
        <f t="shared" ca="1" si="4"/>
        <v>6.3232876712328769</v>
      </c>
      <c r="D83" s="169">
        <f ca="1">IF(NOT($C$6),"",IF(GetConvertDate(CDSRollDate,B83)&lt;Parameter_Date,0,GetGetDefaultprob($I$6,B83)))</f>
        <v>4.5426490439685829E-2</v>
      </c>
      <c r="E83" s="178">
        <f t="shared" ca="1" si="6"/>
        <v>9.4718114740027764E-3</v>
      </c>
      <c r="F83" s="164"/>
      <c r="G83" s="165"/>
    </row>
    <row r="84" spans="2:7">
      <c r="B84" s="184" t="str">
        <f t="shared" ca="1" si="5"/>
        <v>75M</v>
      </c>
      <c r="C84" s="217">
        <f t="shared" ca="1" si="4"/>
        <v>6.4082191780821915</v>
      </c>
      <c r="D84" s="169">
        <f ca="1">IF(NOT($C$6),"",IF(GetConvertDate(CDSRollDate,B84)&lt;Parameter_Date,0,GetGetDefaultprob($I$6,B84)))</f>
        <v>4.6194093290899185E-2</v>
      </c>
      <c r="E84" s="178">
        <f t="shared" ca="1" si="6"/>
        <v>9.4718114740028753E-3</v>
      </c>
      <c r="F84" s="164"/>
      <c r="G84" s="165"/>
    </row>
    <row r="85" spans="2:7">
      <c r="B85" s="184" t="str">
        <f t="shared" ca="1" si="5"/>
        <v>76M</v>
      </c>
      <c r="C85" s="217">
        <f t="shared" ca="1" si="4"/>
        <v>6.4904109589041097</v>
      </c>
      <c r="D85" s="169">
        <f ca="1">IF(NOT($C$6),"",IF(GetConvertDate(CDSRollDate,B85)&lt;Parameter_Date,0,GetGetDefaultprob($I$6,B85)))</f>
        <v>4.6936347046889315E-2</v>
      </c>
      <c r="E85" s="178">
        <f t="shared" ca="1" si="6"/>
        <v>9.4718114740037843E-3</v>
      </c>
      <c r="F85" s="164"/>
      <c r="G85" s="165"/>
    </row>
    <row r="86" spans="2:7">
      <c r="B86" s="184" t="str">
        <f t="shared" ca="1" si="5"/>
        <v>77M</v>
      </c>
      <c r="C86" s="217">
        <f t="shared" ca="1" si="4"/>
        <v>6.5753424657534243</v>
      </c>
      <c r="D86" s="169">
        <f ca="1">IF(NOT($C$6),"",IF(GetConvertDate(CDSRollDate,B86)&lt;Parameter_Date,0,GetGetDefaultprob($I$6,B86)))</f>
        <v>4.7702735774491578E-2</v>
      </c>
      <c r="E86" s="178">
        <f t="shared" ca="1" si="6"/>
        <v>9.4718114740041832E-3</v>
      </c>
      <c r="F86" s="164"/>
      <c r="G86" s="165"/>
    </row>
    <row r="87" spans="2:7">
      <c r="B87" s="184" t="str">
        <f t="shared" ca="1" si="5"/>
        <v>78M</v>
      </c>
      <c r="C87" s="217">
        <f t="shared" ca="1" si="4"/>
        <v>6.6575342465753424</v>
      </c>
      <c r="D87" s="169">
        <f ca="1">IF(NOT($C$6),"",IF(GetConvertDate(CDSRollDate,B87)&lt;Parameter_Date,0,GetGetDefaultprob($I$6,B87)))</f>
        <v>4.8443815501738374E-2</v>
      </c>
      <c r="E87" s="178">
        <f t="shared" ca="1" si="6"/>
        <v>9.4718114740024346E-3</v>
      </c>
      <c r="F87" s="164"/>
      <c r="G87" s="165"/>
    </row>
    <row r="88" spans="2:7">
      <c r="B88" s="184" t="str">
        <f t="shared" ca="1" si="5"/>
        <v>79M</v>
      </c>
      <c r="C88" s="217">
        <f t="shared" ca="1" si="4"/>
        <v>6.7424657534246579</v>
      </c>
      <c r="D88" s="169">
        <f ca="1">IF(NOT($C$6),"",IF(GetConvertDate(CDSRollDate,B88)&lt;Parameter_Date,0,GetGetDefaultprob($I$6,B88)))</f>
        <v>4.9208992026118392E-2</v>
      </c>
      <c r="E88" s="178">
        <f t="shared" ca="1" si="6"/>
        <v>9.4718114740027764E-3</v>
      </c>
      <c r="F88" s="164"/>
      <c r="G88" s="165"/>
    </row>
    <row r="89" spans="2:7">
      <c r="B89" s="184" t="str">
        <f t="shared" ca="1" si="5"/>
        <v>80M</v>
      </c>
      <c r="C89" s="217">
        <f t="shared" ca="1" si="4"/>
        <v>6.8273972602739725</v>
      </c>
      <c r="D89" s="169">
        <f ca="1">IF(NOT($C$6),"",IF(GetConvertDate(CDSRollDate,B89)&lt;Parameter_Date,0,GetGetDefaultprob($I$6,B89)))</f>
        <v>4.9973553247773417E-2</v>
      </c>
      <c r="E89" s="178">
        <f t="shared" ca="1" si="6"/>
        <v>9.4718114740041832E-3</v>
      </c>
      <c r="F89" s="164"/>
      <c r="G89" s="165"/>
    </row>
    <row r="90" spans="2:7">
      <c r="B90" s="184" t="str">
        <f t="shared" ca="1" si="5"/>
        <v>81M</v>
      </c>
      <c r="C90" s="217">
        <f t="shared" ca="1" si="4"/>
        <v>6.904109589041096</v>
      </c>
      <c r="D90" s="169">
        <f ca="1">IF(NOT($C$6),"",IF(GetConvertDate(CDSRollDate,B90)&lt;Parameter_Date,0,GetGetDefaultprob($I$6,B90)))</f>
        <v>5.0663596219533535E-2</v>
      </c>
      <c r="E90" s="178">
        <f t="shared" ca="1" si="6"/>
        <v>9.4718114740021085E-3</v>
      </c>
      <c r="F90" s="164"/>
      <c r="G90" s="165"/>
    </row>
    <row r="91" spans="2:7">
      <c r="B91" s="184" t="str">
        <f t="shared" ca="1" si="5"/>
        <v>82M</v>
      </c>
      <c r="C91" s="217">
        <f t="shared" ca="1" si="4"/>
        <v>6.9890410958904106</v>
      </c>
      <c r="D91" s="169">
        <f ca="1">IF(NOT($C$6),"",IF(GetConvertDate(CDSRollDate,B91)&lt;Parameter_Date,0,GetGetDefaultprob($I$6,B91)))</f>
        <v>5.1426987747796526E-2</v>
      </c>
      <c r="E91" s="178">
        <f t="shared" ca="1" si="6"/>
        <v>9.4718114740028753E-3</v>
      </c>
      <c r="F91" s="164"/>
      <c r="G91" s="165"/>
    </row>
    <row r="92" spans="2:7">
      <c r="B92" s="184" t="str">
        <f t="shared" ca="1" si="5"/>
        <v>83M</v>
      </c>
      <c r="C92" s="217">
        <f t="shared" ca="1" si="4"/>
        <v>7.0712328767123287</v>
      </c>
      <c r="D92" s="169">
        <f ca="1">IF(NOT($C$6),"",IF(GetConvertDate(CDSRollDate,B92)&lt;Parameter_Date,0,GetGetDefaultprob($I$6,B92)))</f>
        <v>5.2165169254350885E-2</v>
      </c>
      <c r="E92" s="178">
        <f t="shared" ca="1" si="6"/>
        <v>9.4718114740024346E-3</v>
      </c>
      <c r="F92" s="164"/>
      <c r="G92" s="165"/>
    </row>
    <row r="93" spans="2:7">
      <c r="B93" s="184" t="str">
        <f t="shared" ca="1" si="5"/>
        <v>84M</v>
      </c>
      <c r="C93" s="217">
        <f t="shared" ca="1" si="4"/>
        <v>7.1561643835616442</v>
      </c>
      <c r="D93" s="169">
        <f ca="1">IF(NOT($C$6),"",IF(GetConvertDate(CDSRollDate,B93)&lt;Parameter_Date,0,GetGetDefaultprob($I$6,B93)))</f>
        <v>5.2927353320086024E-2</v>
      </c>
      <c r="E93" s="178">
        <f t="shared" ca="1" si="6"/>
        <v>9.4718114740027764E-3</v>
      </c>
      <c r="F93" s="164"/>
      <c r="G93" s="165"/>
    </row>
    <row r="94" spans="2:7">
      <c r="B94" s="184" t="str">
        <f t="shared" ca="1" si="5"/>
        <v>85M</v>
      </c>
      <c r="C94" s="217">
        <f t="shared" ca="1" si="4"/>
        <v>7.2383561643835614</v>
      </c>
      <c r="D94" s="169">
        <f ca="1">IF(NOT($C$6),"",IF(GetConvertDate(CDSRollDate,B94)&lt;Parameter_Date,0,GetGetDefaultprob($I$6,B94)))</f>
        <v>5.3718828087422898E-2</v>
      </c>
      <c r="E94" s="178">
        <f t="shared" ca="1" si="6"/>
        <v>1.0172013424664367E-2</v>
      </c>
      <c r="F94" s="164"/>
      <c r="G94" s="165"/>
    </row>
    <row r="95" spans="2:7">
      <c r="B95" s="184" t="str">
        <f t="shared" ca="1" si="5"/>
        <v>86M</v>
      </c>
      <c r="C95" s="217">
        <f t="shared" ca="1" si="4"/>
        <v>7.3232876712328769</v>
      </c>
      <c r="D95" s="169">
        <f ca="1">IF(NOT($C$6),"",IF(GetConvertDate(CDSRollDate,B95)&lt;Parameter_Date,0,GetGetDefaultprob($I$6,B95)))</f>
        <v>5.4535990473352447E-2</v>
      </c>
      <c r="E95" s="178">
        <f t="shared" ca="1" si="6"/>
        <v>1.0172013424663661E-2</v>
      </c>
      <c r="F95" s="164"/>
      <c r="G95" s="165"/>
    </row>
    <row r="96" spans="2:7">
      <c r="B96" s="184" t="str">
        <f t="shared" ca="1" si="5"/>
        <v>87M</v>
      </c>
      <c r="C96" s="217">
        <f t="shared" ca="1" si="4"/>
        <v>7.4082191780821915</v>
      </c>
      <c r="D96" s="169">
        <f ca="1">IF(NOT($C$6),"",IF(GetConvertDate(CDSRollDate,B96)&lt;Parameter_Date,0,GetGetDefaultprob($I$6,B96)))</f>
        <v>5.5352447197598242E-2</v>
      </c>
      <c r="E96" s="178">
        <f t="shared" ca="1" si="6"/>
        <v>1.0172013424662459E-2</v>
      </c>
      <c r="F96" s="164"/>
      <c r="G96" s="165"/>
    </row>
    <row r="97" spans="2:7">
      <c r="B97" s="184" t="str">
        <f t="shared" ca="1" si="5"/>
        <v>88M</v>
      </c>
      <c r="C97" s="217">
        <f t="shared" ca="1" si="4"/>
        <v>7.4904109589041097</v>
      </c>
      <c r="D97" s="169">
        <f ca="1">IF(NOT($C$6),"",IF(GetConvertDate(CDSRollDate,B97)&lt;Parameter_Date,0,GetGetDefaultprob($I$6,B97)))</f>
        <v>5.6141895298217115E-2</v>
      </c>
      <c r="E97" s="178">
        <f t="shared" ca="1" si="6"/>
        <v>1.0172013424664256E-2</v>
      </c>
      <c r="F97" s="164"/>
      <c r="G97" s="165"/>
    </row>
    <row r="98" spans="2:7">
      <c r="B98" s="184" t="str">
        <f t="shared" ca="1" si="5"/>
        <v>89M</v>
      </c>
      <c r="C98" s="217">
        <f t="shared" ca="1" si="4"/>
        <v>7.5753424657534243</v>
      </c>
      <c r="D98" s="169">
        <f ca="1">IF(NOT($C$6),"",IF(GetConvertDate(CDSRollDate,B98)&lt;Parameter_Date,0,GetGetDefaultprob($I$6,B98)))</f>
        <v>5.6956965241179436E-2</v>
      </c>
      <c r="E98" s="178">
        <f t="shared" ca="1" si="6"/>
        <v>1.0172013424665075E-2</v>
      </c>
      <c r="F98" s="164"/>
      <c r="G98" s="165"/>
    </row>
    <row r="99" spans="2:7">
      <c r="B99" s="184" t="str">
        <f t="shared" ca="1" si="5"/>
        <v>90M</v>
      </c>
      <c r="C99" s="217">
        <f t="shared" ca="1" si="4"/>
        <v>7.6575342465753424</v>
      </c>
      <c r="D99" s="169">
        <f ca="1">IF(NOT($C$6),"",IF(GetConvertDate(CDSRollDate,B99)&lt;Parameter_Date,0,GetGetDefaultprob($I$6,B99)))</f>
        <v>5.7745072435638978E-2</v>
      </c>
      <c r="E99" s="178">
        <f t="shared" ca="1" si="6"/>
        <v>1.0172013424662906E-2</v>
      </c>
      <c r="F99" s="164"/>
      <c r="G99" s="165"/>
    </row>
    <row r="100" spans="2:7">
      <c r="B100" s="184" t="str">
        <f t="shared" ca="1" si="5"/>
        <v>91M</v>
      </c>
      <c r="C100" s="217">
        <f t="shared" ca="1" si="4"/>
        <v>7.7424657534246579</v>
      </c>
      <c r="D100" s="169">
        <f ca="1">IF(NOT($C$6),"",IF(GetConvertDate(CDSRollDate,B100)&lt;Parameter_Date,0,GetGetDefaultprob($I$6,B100)))</f>
        <v>5.8558757952815732E-2</v>
      </c>
      <c r="E100" s="178">
        <f t="shared" ca="1" si="6"/>
        <v>1.0172013424662353E-2</v>
      </c>
      <c r="F100" s="164"/>
      <c r="G100" s="165"/>
    </row>
    <row r="101" spans="2:7">
      <c r="B101" s="184" t="str">
        <f t="shared" ca="1" si="5"/>
        <v>92M</v>
      </c>
      <c r="C101" s="217">
        <f t="shared" ca="1" si="4"/>
        <v>7.8273972602739725</v>
      </c>
      <c r="D101" s="169">
        <f ca="1">IF(NOT($C$6),"",IF(GetConvertDate(CDSRollDate,B101)&lt;Parameter_Date,0,GetGetDefaultprob($I$6,B101)))</f>
        <v>5.9371740810763685E-2</v>
      </c>
      <c r="E101" s="178">
        <f t="shared" ca="1" si="6"/>
        <v>1.0172013424665075E-2</v>
      </c>
      <c r="F101" s="164"/>
      <c r="G101" s="165"/>
    </row>
    <row r="102" spans="2:7">
      <c r="B102" s="184" t="str">
        <f t="shared" ca="1" si="5"/>
        <v>93M</v>
      </c>
      <c r="C102" s="217">
        <f t="shared" ca="1" si="4"/>
        <v>7.9068493150684933</v>
      </c>
      <c r="D102" s="169">
        <f ca="1">IF(NOT($C$6),"",IF(GetConvertDate(CDSRollDate,B102)&lt;Parameter_Date,0,GetGetDefaultprob($I$6,B102)))</f>
        <v>6.0131637576966712E-2</v>
      </c>
      <c r="E102" s="178">
        <f t="shared" ca="1" si="6"/>
        <v>1.0172013424664627E-2</v>
      </c>
      <c r="F102" s="164"/>
      <c r="G102" s="165"/>
    </row>
    <row r="103" spans="2:7">
      <c r="B103" s="184" t="str">
        <f t="shared" ca="1" si="5"/>
        <v>94M</v>
      </c>
      <c r="C103" s="217">
        <f t="shared" ca="1" si="4"/>
        <v>7.9917808219178079</v>
      </c>
      <c r="D103" s="169">
        <f ca="1">IF(NOT($C$6),"",IF(GetConvertDate(CDSRollDate,B103)&lt;Parameter_Date,0,GetGetDefaultprob($I$6,B103)))</f>
        <v>6.094326217258772E-2</v>
      </c>
      <c r="E103" s="178">
        <f t="shared" ca="1" si="6"/>
        <v>1.0172013424663767E-2</v>
      </c>
      <c r="F103" s="164"/>
      <c r="G103" s="165"/>
    </row>
    <row r="104" spans="2:7">
      <c r="B104" s="184" t="str">
        <f t="shared" ca="1" si="5"/>
        <v>95M</v>
      </c>
      <c r="C104" s="217">
        <f t="shared" ca="1" si="4"/>
        <v>8.0739726027397261</v>
      </c>
      <c r="D104" s="169">
        <f ca="1">IF(NOT($C$6),"",IF(GetConvertDate(CDSRollDate,B104)&lt;Parameter_Date,0,GetGetDefaultprob($I$6,B104)))</f>
        <v>6.1728037992788587E-2</v>
      </c>
      <c r="E104" s="178">
        <f t="shared" ca="1" si="6"/>
        <v>1.0172013424664256E-2</v>
      </c>
      <c r="F104" s="164"/>
      <c r="G104" s="165"/>
    </row>
    <row r="105" spans="2:7">
      <c r="B105" s="184" t="str">
        <f t="shared" ca="1" si="5"/>
        <v>96M</v>
      </c>
      <c r="C105" s="217">
        <f t="shared" ca="1" si="4"/>
        <v>8.1589041095890416</v>
      </c>
      <c r="D105" s="169">
        <f ca="1">IF(NOT($C$6),"",IF(GetConvertDate(CDSRollDate,B105)&lt;Parameter_Date,0,GetGetDefaultprob($I$6,B105)))</f>
        <v>6.2538284014671208E-2</v>
      </c>
      <c r="E105" s="178">
        <f t="shared" ca="1" si="6"/>
        <v>1.0172013424663661E-2</v>
      </c>
      <c r="F105" s="164"/>
      <c r="G105" s="165"/>
    </row>
    <row r="106" spans="2:7">
      <c r="B106" s="184" t="str">
        <f t="shared" ca="1" si="5"/>
        <v>97M</v>
      </c>
      <c r="C106" s="217">
        <f t="shared" ref="C106:C129" ca="1" si="7">MAX(0,(DATE(YEAR(CDSRollDate),MONTH(CDSRollDate)+ROW()-ROW($B$9),DAY(CDSRollDate))-Parameter_Date)/365)</f>
        <v>8.2410958904109588</v>
      </c>
      <c r="D106" s="169">
        <f ca="1">IF(NOT($C$6),"",IF(GetConvertDate(CDSRollDate,B106)&lt;Parameter_Date,0,GetGetDefaultprob($I$6,B106)))</f>
        <v>6.3321726864750016E-2</v>
      </c>
      <c r="E106" s="178">
        <f t="shared" ca="1" si="6"/>
        <v>1.0172013424663015E-2</v>
      </c>
      <c r="F106" s="164"/>
      <c r="G106" s="165"/>
    </row>
    <row r="107" spans="2:7">
      <c r="B107" s="184" t="str">
        <f t="shared" ca="1" si="5"/>
        <v>98M</v>
      </c>
      <c r="C107" s="217">
        <f t="shared" ca="1" si="7"/>
        <v>8.3260273972602743</v>
      </c>
      <c r="D107" s="169">
        <f ca="1">IF(NOT($C$6),"",IF(GetConvertDate(CDSRollDate,B107)&lt;Parameter_Date,0,GetGetDefaultprob($I$6,B107)))</f>
        <v>6.4130596654451644E-2</v>
      </c>
      <c r="E107" s="178">
        <f t="shared" ca="1" si="6"/>
        <v>1.0172013424663661E-2</v>
      </c>
      <c r="F107" s="164"/>
      <c r="G107" s="165"/>
    </row>
    <row r="108" spans="2:7">
      <c r="B108" s="184" t="str">
        <f t="shared" ca="1" si="5"/>
        <v>99M</v>
      </c>
      <c r="C108" s="217">
        <f t="shared" ca="1" si="7"/>
        <v>8.4109589041095898</v>
      </c>
      <c r="D108" s="169">
        <f ca="1">IF(NOT($C$6),"",IF(GetConvertDate(CDSRollDate,B108)&lt;Parameter_Date,0,GetGetDefaultprob($I$6,B108)))</f>
        <v>6.4938767943552356E-2</v>
      </c>
      <c r="E108" s="178">
        <f t="shared" ca="1" si="6"/>
        <v>1.0172013424663661E-2</v>
      </c>
      <c r="F108" s="164"/>
      <c r="G108" s="165"/>
    </row>
    <row r="109" spans="2:7">
      <c r="B109" s="184" t="str">
        <f t="shared" ca="1" si="5"/>
        <v>100M</v>
      </c>
      <c r="C109" s="217">
        <f t="shared" ca="1" si="7"/>
        <v>8.493150684931507</v>
      </c>
      <c r="D109" s="169">
        <f ca="1">IF(NOT($C$6),"",IF(GetConvertDate(CDSRollDate,B109)&lt;Parameter_Date,0,GetGetDefaultprob($I$6,B109)))</f>
        <v>6.5720204693607398E-2</v>
      </c>
      <c r="E109" s="178">
        <f t="shared" ca="1" si="6"/>
        <v>1.0172013424664367E-2</v>
      </c>
      <c r="F109" s="164"/>
      <c r="G109" s="165"/>
    </row>
    <row r="110" spans="2:7">
      <c r="B110" s="184" t="str">
        <f t="shared" ca="1" si="5"/>
        <v>101M</v>
      </c>
      <c r="C110" s="217">
        <f t="shared" ca="1" si="7"/>
        <v>8.5780821917808225</v>
      </c>
      <c r="D110" s="169">
        <f ca="1">IF(NOT($C$6),"",IF(GetConvertDate(CDSRollDate,B110)&lt;Parameter_Date,0,GetGetDefaultprob($I$6,B110)))</f>
        <v>6.6527003274535867E-2</v>
      </c>
      <c r="E110" s="178">
        <f t="shared" ca="1" si="6"/>
        <v>1.0172013424664969E-2</v>
      </c>
      <c r="F110" s="164"/>
      <c r="G110" s="165"/>
    </row>
    <row r="111" spans="2:7">
      <c r="B111" s="184" t="str">
        <f t="shared" ca="1" si="5"/>
        <v>102M</v>
      </c>
      <c r="C111" s="217">
        <f t="shared" ca="1" si="7"/>
        <v>8.6602739726027398</v>
      </c>
      <c r="D111" s="169">
        <f ca="1">IF(NOT($C$6),"",IF(GetConvertDate(CDSRollDate,B111)&lt;Parameter_Date,0,GetGetDefaultprob($I$6,B111)))</f>
        <v>6.7307112726000207E-2</v>
      </c>
      <c r="E111" s="178">
        <f t="shared" ca="1" si="6"/>
        <v>1.0172013424661664E-2</v>
      </c>
      <c r="F111" s="164"/>
      <c r="G111" s="165"/>
    </row>
    <row r="112" spans="2:7">
      <c r="B112" s="184" t="str">
        <f t="shared" ca="1" si="5"/>
        <v>103M</v>
      </c>
      <c r="C112" s="217">
        <f t="shared" ca="1" si="7"/>
        <v>8.7452054794520553</v>
      </c>
      <c r="D112" s="169">
        <f ca="1">IF(NOT($C$6),"",IF(GetConvertDate(CDSRollDate,B112)&lt;Parameter_Date,0,GetGetDefaultprob($I$6,B112)))</f>
        <v>6.8112540930350907E-2</v>
      </c>
      <c r="E112" s="178">
        <f t="shared" ca="1" si="6"/>
        <v>1.0172013424664969E-2</v>
      </c>
      <c r="F112" s="164"/>
      <c r="G112" s="165"/>
    </row>
    <row r="113" spans="2:7">
      <c r="B113" s="184" t="str">
        <f t="shared" ca="1" si="5"/>
        <v>104M</v>
      </c>
      <c r="C113" s="217">
        <f t="shared" ca="1" si="7"/>
        <v>8.830136986301369</v>
      </c>
      <c r="D113" s="169">
        <f ca="1">IF(NOT($C$6),"",IF(GetConvertDate(CDSRollDate,B113)&lt;Parameter_Date,0,GetGetDefaultprob($I$6,B113)))</f>
        <v>6.8917273606086238E-2</v>
      </c>
      <c r="E113" s="178">
        <f t="shared" ca="1" si="6"/>
        <v>1.0172013424663872E-2</v>
      </c>
      <c r="F113" s="164"/>
      <c r="G113" s="165"/>
    </row>
    <row r="114" spans="2:7">
      <c r="B114" s="184" t="str">
        <f t="shared" ca="1" si="5"/>
        <v>105M</v>
      </c>
      <c r="C114" s="217">
        <f t="shared" ca="1" si="7"/>
        <v>8.9068493150684933</v>
      </c>
      <c r="D114" s="169">
        <f ca="1">IF(NOT($C$6),"",IF(GetConvertDate(CDSRollDate,B114)&lt;Parameter_Date,0,GetGetDefaultprob($I$6,B114)))</f>
        <v>6.9643531604030362E-2</v>
      </c>
      <c r="E114" s="178">
        <f t="shared" ca="1" si="6"/>
        <v>1.0172013424662882E-2</v>
      </c>
      <c r="F114" s="164"/>
      <c r="G114" s="165"/>
    </row>
    <row r="115" spans="2:7">
      <c r="B115" s="184" t="str">
        <f t="shared" ca="1" si="5"/>
        <v>106M</v>
      </c>
      <c r="C115" s="217">
        <f t="shared" ca="1" si="7"/>
        <v>8.9917808219178088</v>
      </c>
      <c r="D115" s="169">
        <f ca="1">IF(NOT($C$6),"",IF(GetConvertDate(CDSRollDate,B115)&lt;Parameter_Date,0,GetGetDefaultprob($I$6,B115)))</f>
        <v>7.0446942190698691E-2</v>
      </c>
      <c r="E115" s="178">
        <f t="shared" ca="1" si="6"/>
        <v>1.0172013424663661E-2</v>
      </c>
      <c r="F115" s="164"/>
      <c r="G115" s="165"/>
    </row>
    <row r="116" spans="2:7">
      <c r="B116" s="184" t="str">
        <f t="shared" ca="1" si="5"/>
        <v>107M</v>
      </c>
      <c r="C116" s="217">
        <f t="shared" ca="1" si="7"/>
        <v>9.0739726027397261</v>
      </c>
      <c r="D116" s="169">
        <f ca="1">IF(NOT($C$6),"",IF(GetConvertDate(CDSRollDate,B116)&lt;Parameter_Date,0,GetGetDefaultprob($I$6,B116)))</f>
        <v>7.1223775723729066E-2</v>
      </c>
      <c r="E116" s="178">
        <f t="shared" ca="1" si="6"/>
        <v>1.0172013424663015E-2</v>
      </c>
      <c r="F116" s="164"/>
      <c r="G116" s="165"/>
    </row>
    <row r="117" spans="2:7">
      <c r="B117" s="184" t="str">
        <f t="shared" ca="1" si="5"/>
        <v>108M</v>
      </c>
      <c r="C117" s="217">
        <f t="shared" ca="1" si="7"/>
        <v>9.1589041095890416</v>
      </c>
      <c r="D117" s="169">
        <f ca="1">IF(NOT($C$6),"",IF(GetConvertDate(CDSRollDate,B117)&lt;Parameter_Date,0,GetGetDefaultprob($I$6,B117)))</f>
        <v>7.2025821688450398E-2</v>
      </c>
      <c r="E117" s="178">
        <f t="shared" ca="1" si="6"/>
        <v>1.0172013424663661E-2</v>
      </c>
      <c r="F117" s="164"/>
      <c r="G117" s="165"/>
    </row>
    <row r="118" spans="2:7">
      <c r="B118" s="184" t="str">
        <f t="shared" ca="1" si="5"/>
        <v>109M</v>
      </c>
      <c r="C118" s="217">
        <f t="shared" ca="1" si="7"/>
        <v>9.2410958904109588</v>
      </c>
      <c r="D118" s="169">
        <f ca="1">IF(NOT($C$6),"",IF(GetConvertDate(CDSRollDate,B118)&lt;Parameter_Date,0,GetGetDefaultprob($I$6,B118)))</f>
        <v>7.2801335741620843E-2</v>
      </c>
      <c r="E118" s="178">
        <f t="shared" ca="1" si="6"/>
        <v>1.0172013424663015E-2</v>
      </c>
      <c r="F118" s="164"/>
      <c r="G118" s="165"/>
    </row>
    <row r="119" spans="2:7">
      <c r="B119" s="184" t="str">
        <f t="shared" ca="1" si="5"/>
        <v>110M</v>
      </c>
      <c r="C119" s="217">
        <f t="shared" ca="1" si="7"/>
        <v>9.3260273972602743</v>
      </c>
      <c r="D119" s="169">
        <f ca="1">IF(NOT($C$6),"",IF(GetConvertDate(CDSRollDate,B119)&lt;Parameter_Date,0,GetGetDefaultprob($I$6,B119)))</f>
        <v>7.360201940225497E-2</v>
      </c>
      <c r="E119" s="178">
        <f t="shared" ca="1" si="6"/>
        <v>1.0172013424664969E-2</v>
      </c>
      <c r="F119" s="164"/>
      <c r="G119" s="165"/>
    </row>
    <row r="120" spans="2:7">
      <c r="B120" s="184" t="str">
        <f t="shared" ca="1" si="5"/>
        <v>111M</v>
      </c>
      <c r="C120" s="217">
        <f t="shared" ca="1" si="7"/>
        <v>9.4109589041095898</v>
      </c>
      <c r="D120" s="169">
        <f ca="1">IF(NOT($C$6),"",IF(GetConvertDate(CDSRollDate,B120)&lt;Parameter_Date,0,GetGetDefaultprob($I$6,B120)))</f>
        <v>7.4402011631431009E-2</v>
      </c>
      <c r="E120" s="178">
        <f t="shared" ca="1" si="6"/>
        <v>1.0172013424664969E-2</v>
      </c>
      <c r="F120" s="164"/>
      <c r="G120" s="165"/>
    </row>
    <row r="121" spans="2:7">
      <c r="B121" s="184" t="str">
        <f t="shared" ca="1" si="5"/>
        <v>112M</v>
      </c>
      <c r="C121" s="217">
        <f t="shared" ca="1" si="7"/>
        <v>9.493150684931507</v>
      </c>
      <c r="D121" s="169">
        <f ca="1">IF(NOT($C$6),"",IF(GetConvertDate(CDSRollDate,B121)&lt;Parameter_Date,0,GetGetDefaultprob($I$6,B121)))</f>
        <v>7.5175539887219589E-2</v>
      </c>
      <c r="E121" s="178">
        <f t="shared" ca="1" si="6"/>
        <v>1.0172013424663015E-2</v>
      </c>
      <c r="F121" s="164"/>
      <c r="G121" s="165"/>
    </row>
    <row r="122" spans="2:7">
      <c r="B122" s="184" t="str">
        <f t="shared" ca="1" si="5"/>
        <v>113M</v>
      </c>
      <c r="C122" s="217">
        <f t="shared" ca="1" si="7"/>
        <v>9.5780821917808225</v>
      </c>
      <c r="D122" s="169">
        <f ca="1">IF(NOT($C$6),"",IF(GetConvertDate(CDSRollDate,B122)&lt;Parameter_Date,0,GetGetDefaultprob($I$6,B122)))</f>
        <v>7.5974173300652481E-2</v>
      </c>
      <c r="E122" s="178">
        <f t="shared" ca="1" si="6"/>
        <v>1.0172013424664969E-2</v>
      </c>
      <c r="F122" s="164"/>
      <c r="G122" s="165"/>
    </row>
    <row r="123" spans="2:7">
      <c r="B123" s="184" t="str">
        <f t="shared" ca="1" si="5"/>
        <v>114M</v>
      </c>
      <c r="C123" s="217">
        <f t="shared" ca="1" si="7"/>
        <v>9.6602739726027398</v>
      </c>
      <c r="D123" s="169">
        <f ca="1">IF(NOT($C$6),"",IF(GetConvertDate(CDSRollDate,B123)&lt;Parameter_Date,0,GetGetDefaultprob($I$6,B123)))</f>
        <v>7.6746387690714069E-2</v>
      </c>
      <c r="E123" s="178">
        <f t="shared" ca="1" si="6"/>
        <v>1.0172013424661664E-2</v>
      </c>
      <c r="F123" s="164"/>
      <c r="G123" s="165"/>
    </row>
    <row r="124" spans="2:7">
      <c r="B124" s="184" t="str">
        <f t="shared" ca="1" si="5"/>
        <v>115M</v>
      </c>
      <c r="C124" s="217">
        <f t="shared" ca="1" si="7"/>
        <v>9.7452054794520553</v>
      </c>
      <c r="D124" s="169">
        <f ca="1">IF(NOT($C$6),"",IF(GetConvertDate(CDSRollDate,B124)&lt;Parameter_Date,0,GetGetDefaultprob($I$6,B124)))</f>
        <v>7.7543664596401607E-2</v>
      </c>
      <c r="E124" s="178">
        <f t="shared" ca="1" si="6"/>
        <v>1.0172013424664969E-2</v>
      </c>
      <c r="F124" s="164"/>
      <c r="G124" s="165"/>
    </row>
    <row r="125" spans="2:7">
      <c r="B125" s="184" t="str">
        <f t="shared" ca="1" si="5"/>
        <v>116M</v>
      </c>
      <c r="C125" s="217">
        <f t="shared" ca="1" si="7"/>
        <v>9.830136986301369</v>
      </c>
      <c r="D125" s="169">
        <f ca="1">IF(NOT($C$6),"",IF(GetConvertDate(CDSRollDate,B125)&lt;Parameter_Date,0,GetGetDefaultprob($I$6,B125)))</f>
        <v>7.8340253012538663E-2</v>
      </c>
      <c r="E125" s="178">
        <f t="shared" ca="1" si="6"/>
        <v>1.0172013424662564E-2</v>
      </c>
      <c r="F125" s="164"/>
      <c r="G125" s="165"/>
    </row>
    <row r="126" spans="2:7">
      <c r="B126" s="184" t="str">
        <f t="shared" ca="1" si="5"/>
        <v>117M</v>
      </c>
      <c r="C126" s="217">
        <f t="shared" ca="1" si="7"/>
        <v>9.9068493150684933</v>
      </c>
      <c r="D126" s="169">
        <f ca="1">IF(NOT($C$6),"",IF(GetConvertDate(CDSRollDate,B126)&lt;Parameter_Date,0,GetGetDefaultprob($I$6,B126)))</f>
        <v>7.9059160950209595E-2</v>
      </c>
      <c r="E126" s="178">
        <f t="shared" ca="1" si="6"/>
        <v>1.017201342466433E-2</v>
      </c>
      <c r="F126" s="164"/>
      <c r="G126" s="165"/>
    </row>
    <row r="127" spans="2:7">
      <c r="B127" s="184" t="str">
        <f t="shared" ca="1" si="5"/>
        <v>118M</v>
      </c>
      <c r="C127" s="217">
        <f t="shared" ca="1" si="7"/>
        <v>9.9917808219178088</v>
      </c>
      <c r="D127" s="169">
        <f ca="1">IF(NOT($C$6),"",IF(GetConvertDate(CDSRollDate,B127)&lt;Parameter_Date,0,GetGetDefaultprob($I$6,B127)))</f>
        <v>7.9854440657420533E-2</v>
      </c>
      <c r="E127" s="178">
        <f t="shared" ca="1" si="6"/>
        <v>1.0172013424663661E-2</v>
      </c>
      <c r="F127" s="164"/>
      <c r="G127" s="165"/>
    </row>
    <row r="128" spans="2:7">
      <c r="B128" s="184" t="str">
        <f t="shared" ca="1" si="5"/>
        <v>119M</v>
      </c>
      <c r="C128" s="217">
        <f t="shared" ca="1" si="7"/>
        <v>10.073972602739726</v>
      </c>
      <c r="D128" s="169">
        <f ca="1">IF(NOT($C$6),"",IF(GetConvertDate(CDSRollDate,B128)&lt;Parameter_Date,0,GetGetDefaultprob($I$6,B128)))</f>
        <v>8.0623412282828211E-2</v>
      </c>
      <c r="E128" s="178">
        <f t="shared" ca="1" si="6"/>
        <v>1.0172013424663015E-2</v>
      </c>
      <c r="F128" s="164"/>
      <c r="G128" s="165"/>
    </row>
    <row r="129" spans="2:7" ht="15" thickBot="1">
      <c r="B129" s="185" t="str">
        <f t="shared" ca="1" si="5"/>
        <v>120M</v>
      </c>
      <c r="C129" s="218">
        <f t="shared" ca="1" si="7"/>
        <v>10.158904109589042</v>
      </c>
      <c r="D129" s="179">
        <f ca="1">IF(NOT($C$6),"",IF(GetConvertDate(CDSRollDate,B129)&lt;Parameter_Date,0,GetGetDefaultprob($I$6,B129)))</f>
        <v>8.1417341178685043E-2</v>
      </c>
      <c r="E129" s="219">
        <f t="shared" ca="1" si="6"/>
        <v>1.0172013424662353E-2</v>
      </c>
      <c r="F129" s="164"/>
      <c r="G129" s="165"/>
    </row>
    <row r="130" spans="2:7">
      <c r="B130" s="176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603250</xdr:colOff>
                    <xdr:row>3</xdr:row>
                    <xdr:rowOff>31750</xdr:rowOff>
                  </from>
                  <to>
                    <xdr:col>6</xdr:col>
                    <xdr:colOff>190500</xdr:colOff>
                    <xdr:row>5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N338"/>
  <sheetViews>
    <sheetView showGridLines="0" tabSelected="1" topLeftCell="A4" zoomScaleNormal="100" workbookViewId="0">
      <selection activeCell="E8" sqref="E8"/>
    </sheetView>
  </sheetViews>
  <sheetFormatPr baseColWidth="10" defaultColWidth="11.453125" defaultRowHeight="10"/>
  <cols>
    <col min="1" max="1" width="3.08984375" style="233" customWidth="1"/>
    <col min="2" max="2" width="17.1796875" style="233" customWidth="1"/>
    <col min="3" max="3" width="20" style="234" customWidth="1"/>
    <col min="4" max="4" width="10.453125" style="234" bestFit="1" customWidth="1"/>
    <col min="5" max="5" width="10" style="234" bestFit="1" customWidth="1"/>
    <col min="6" max="6" width="7.36328125" style="234" customWidth="1"/>
    <col min="7" max="7" width="8.6328125" style="234" customWidth="1"/>
    <col min="8" max="8" width="8.54296875" style="234" customWidth="1"/>
    <col min="9" max="14" width="24.1796875" style="233" customWidth="1"/>
    <col min="15" max="15" width="4.08984375" style="233" customWidth="1"/>
    <col min="16" max="16" width="10.81640625" style="233" customWidth="1"/>
    <col min="17" max="20" width="8.81640625" style="233" customWidth="1"/>
    <col min="21" max="21" width="13.08984375" style="233" bestFit="1" customWidth="1"/>
    <col min="22" max="23" width="11.453125" style="233" customWidth="1"/>
    <col min="24" max="24" width="13.08984375" style="233" customWidth="1"/>
    <col min="25" max="16384" width="11.453125" style="233"/>
  </cols>
  <sheetData>
    <row r="4" spans="1:14" ht="10.5" thickBot="1"/>
    <row r="5" spans="1:14" ht="11" thickBot="1">
      <c r="H5" s="288" t="s">
        <v>423</v>
      </c>
      <c r="I5" s="235" t="b">
        <v>1</v>
      </c>
    </row>
    <row r="6" spans="1:14" ht="11" thickBot="1">
      <c r="B6" s="289" t="s">
        <v>432</v>
      </c>
      <c r="C6" s="236" t="s">
        <v>57</v>
      </c>
    </row>
    <row r="7" spans="1:14" customFormat="1" ht="15" thickBot="1">
      <c r="A7" s="233"/>
      <c r="B7" s="289" t="s">
        <v>457</v>
      </c>
      <c r="C7" s="237" cm="1">
        <f t="array" aca="1" ref="C7" ca="1">GetConvertDate([0]!CDSRollDate,C6)</f>
        <v>47289</v>
      </c>
      <c r="D7" s="234"/>
      <c r="E7" s="238"/>
      <c r="F7" s="234"/>
      <c r="G7" s="234"/>
      <c r="I7" s="418"/>
      <c r="J7" s="417"/>
      <c r="K7" s="417"/>
      <c r="L7" s="417"/>
      <c r="M7" s="417"/>
      <c r="N7" s="417"/>
    </row>
    <row r="8" spans="1:14" customFormat="1" ht="14.5">
      <c r="A8" s="233"/>
      <c r="B8" s="290" t="s">
        <v>82</v>
      </c>
      <c r="C8" s="239" t="s">
        <v>66</v>
      </c>
      <c r="D8" s="234"/>
      <c r="E8" s="415"/>
      <c r="F8" s="234"/>
      <c r="G8" s="234"/>
      <c r="H8" s="332" t="s">
        <v>435</v>
      </c>
      <c r="I8" s="463" t="str" cm="1">
        <f t="array" aca="1" ref="I8:N114" ca="1">IF(NOT($I$5),"",GETCDO(C6,C19:C20,C21:C22,C8,C17,C39:C338,D39:D338,C12,C13,C14,C15,C9,C10,E39:E338,F39:F338,C24,C25,C27,C29:C31,C36,C33,,C34))</f>
        <v>0,178428326186171</v>
      </c>
      <c r="J8" s="464" t="str">
        <f ca="1"/>
        <v/>
      </c>
      <c r="K8" s="473" t="str">
        <f ca="1"/>
        <v>0</v>
      </c>
      <c r="L8" s="473" t="str">
        <f ca="1"/>
        <v>0</v>
      </c>
      <c r="M8" s="474" t="str">
        <f ca="1"/>
        <v>0</v>
      </c>
      <c r="N8" s="475" t="str">
        <f ca="1"/>
        <v>0</v>
      </c>
    </row>
    <row r="9" spans="1:14" customFormat="1" ht="14.5">
      <c r="A9" s="233"/>
      <c r="B9" s="290" t="s">
        <v>437</v>
      </c>
      <c r="C9" s="240">
        <v>-0.05</v>
      </c>
      <c r="D9" s="234"/>
      <c r="E9" s="234"/>
      <c r="F9" s="234"/>
      <c r="G9" s="234"/>
      <c r="H9" s="406" t="s">
        <v>436</v>
      </c>
      <c r="I9" s="465" t="str">
        <f ca="1"/>
        <v>0,766709052682946</v>
      </c>
      <c r="J9" s="466" t="str">
        <f ca="1"/>
        <v/>
      </c>
      <c r="K9" s="476" t="str">
        <f ca="1"/>
        <v>0</v>
      </c>
      <c r="L9" s="476" t="str">
        <f ca="1"/>
        <v>0</v>
      </c>
      <c r="M9" s="352" t="str">
        <f ca="1"/>
        <v>0</v>
      </c>
      <c r="N9" s="477" t="str">
        <f ca="1"/>
        <v>0</v>
      </c>
    </row>
    <row r="10" spans="1:14" customFormat="1" ht="15" thickBot="1">
      <c r="A10" s="233"/>
      <c r="B10" s="291" t="s">
        <v>439</v>
      </c>
      <c r="C10" s="241">
        <v>0.1</v>
      </c>
      <c r="D10" s="234"/>
      <c r="E10" s="233"/>
      <c r="F10" s="234"/>
      <c r="G10" s="234"/>
      <c r="H10" s="406" t="s">
        <v>438</v>
      </c>
      <c r="I10" s="467" t="str">
        <f ca="1"/>
        <v>0,588280726496775</v>
      </c>
      <c r="J10" s="466" t="str">
        <f ca="1"/>
        <v/>
      </c>
      <c r="K10" s="476" t="str">
        <f ca="1"/>
        <v>0</v>
      </c>
      <c r="L10" s="476" t="str">
        <f ca="1"/>
        <v>0</v>
      </c>
      <c r="M10" s="352" t="str">
        <f ca="1"/>
        <v>0</v>
      </c>
      <c r="N10" s="477" t="str">
        <f ca="1"/>
        <v>0</v>
      </c>
    </row>
    <row r="11" spans="1:14" customFormat="1" ht="15" thickBot="1">
      <c r="A11" s="233"/>
      <c r="B11" s="233"/>
      <c r="C11" s="233"/>
      <c r="D11" s="234"/>
      <c r="E11" s="234"/>
      <c r="F11" s="234"/>
      <c r="H11" s="406" t="s">
        <v>440</v>
      </c>
      <c r="I11" s="468" t="str">
        <f ca="1"/>
        <v>0,0651652364381131</v>
      </c>
      <c r="J11" s="468" t="str">
        <f ca="1"/>
        <v/>
      </c>
      <c r="K11" s="476" t="str">
        <f ca="1"/>
        <v>0</v>
      </c>
      <c r="L11" s="476" t="str">
        <f ca="1"/>
        <v>0</v>
      </c>
      <c r="M11" s="352" t="str">
        <f ca="1"/>
        <v>0</v>
      </c>
      <c r="N11" s="477" t="str">
        <f ca="1"/>
        <v>0</v>
      </c>
    </row>
    <row r="12" spans="1:14" customFormat="1" ht="14.5">
      <c r="A12" s="233"/>
      <c r="B12" s="289" t="s">
        <v>434</v>
      </c>
      <c r="C12" s="242">
        <v>0.05</v>
      </c>
      <c r="D12" s="234"/>
      <c r="E12" s="234"/>
      <c r="F12" s="234"/>
      <c r="G12" s="234"/>
      <c r="H12" s="406" t="s">
        <v>499</v>
      </c>
      <c r="I12" s="469" t="str">
        <f ca="1"/>
        <v>3,9218715099785</v>
      </c>
      <c r="J12" s="469" t="str">
        <f ca="1"/>
        <v/>
      </c>
      <c r="K12" s="476" t="str">
        <f ca="1"/>
        <v>0</v>
      </c>
      <c r="L12" s="476" t="str">
        <f ca="1"/>
        <v>0</v>
      </c>
      <c r="M12" s="352" t="str">
        <f ca="1"/>
        <v>0</v>
      </c>
      <c r="N12" s="477" t="str">
        <f ca="1"/>
        <v>0</v>
      </c>
    </row>
    <row r="13" spans="1:14" customFormat="1" ht="14.5">
      <c r="A13" s="233"/>
      <c r="B13" s="290" t="s">
        <v>458</v>
      </c>
      <c r="C13" s="239" t="s">
        <v>459</v>
      </c>
      <c r="D13" s="234"/>
      <c r="E13" s="234" t="s">
        <v>75</v>
      </c>
      <c r="F13" s="234"/>
      <c r="G13" s="234"/>
      <c r="H13" s="406" t="s">
        <v>443</v>
      </c>
      <c r="I13" s="470" t="str">
        <f ca="1"/>
        <v>00:00:00.5098056</v>
      </c>
      <c r="J13" s="470" t="str">
        <f ca="1"/>
        <v/>
      </c>
      <c r="K13" s="478" t="str">
        <f ca="1"/>
        <v>Leverage=</v>
      </c>
      <c r="L13" s="479" t="str">
        <f ca="1"/>
        <v>12236,6515869692</v>
      </c>
      <c r="M13" s="352" t="str">
        <f ca="1"/>
        <v>0</v>
      </c>
      <c r="N13" s="477" t="str">
        <f ca="1"/>
        <v>0</v>
      </c>
    </row>
    <row r="14" spans="1:14" customFormat="1" ht="14.5">
      <c r="A14" s="233"/>
      <c r="B14" s="290" t="s">
        <v>461</v>
      </c>
      <c r="C14" s="239" t="s">
        <v>445</v>
      </c>
      <c r="D14" s="234"/>
      <c r="E14" s="234"/>
      <c r="F14" s="234"/>
      <c r="G14" s="234"/>
      <c r="H14" s="406" t="s">
        <v>460</v>
      </c>
      <c r="I14" s="471" t="str">
        <f ca="1"/>
        <v>dPV</v>
      </c>
      <c r="J14" s="472" t="str">
        <f ca="1"/>
        <v>dHedge</v>
      </c>
      <c r="K14" s="472" t="str">
        <f ca="1"/>
        <v>delta not. (Hedge Crncy)</v>
      </c>
      <c r="L14" s="471" t="str">
        <f ca="1"/>
        <v>delta not. (Product CCY)</v>
      </c>
      <c r="M14" s="471" t="str">
        <f ca="1"/>
        <v>dPV(dBeta)</v>
      </c>
      <c r="N14" s="480" t="str">
        <f ca="1"/>
        <v>Name</v>
      </c>
    </row>
    <row r="15" spans="1:14" customFormat="1" ht="15" thickBot="1">
      <c r="A15" s="233"/>
      <c r="B15" s="291" t="s">
        <v>462</v>
      </c>
      <c r="C15" s="243"/>
      <c r="D15" s="234"/>
      <c r="E15" s="234"/>
      <c r="F15" s="234"/>
      <c r="G15" s="234"/>
      <c r="H15" s="406">
        <v>1</v>
      </c>
      <c r="I15" s="469" t="str">
        <f ca="1"/>
        <v>0,301354064122578</v>
      </c>
      <c r="J15" s="469" t="str">
        <f ca="1"/>
        <v>0,000904558033235289</v>
      </c>
      <c r="K15" s="481" t="str">
        <f ca="1"/>
        <v>333,150613946503</v>
      </c>
      <c r="L15" s="481" t="str">
        <f ca="1"/>
        <v>333,150613946503</v>
      </c>
      <c r="M15" s="481" t="str">
        <f ca="1"/>
        <v>-0,00021816793178493</v>
      </c>
      <c r="N15" s="482" t="str">
        <f ca="1"/>
        <v>ABNAMRO_MMR.EUR.SU</v>
      </c>
    </row>
    <row r="16" spans="1:14" customFormat="1" ht="15" thickBot="1">
      <c r="A16" s="233"/>
      <c r="B16" s="233"/>
      <c r="C16" s="234"/>
      <c r="D16" s="234"/>
      <c r="E16" s="234"/>
      <c r="F16" s="234"/>
      <c r="G16" s="234"/>
      <c r="H16" s="406">
        <v>2</v>
      </c>
      <c r="I16" s="469" t="str">
        <f ca="1"/>
        <v>0,283317372319112</v>
      </c>
      <c r="J16" s="469" t="str">
        <f ca="1"/>
        <v>0,00081622577106229</v>
      </c>
      <c r="K16" s="481" t="str">
        <f ca="1"/>
        <v>347,106624617334</v>
      </c>
      <c r="L16" s="481" t="str">
        <f ca="1"/>
        <v>347,106624617334</v>
      </c>
      <c r="M16" s="481" t="str">
        <f ca="1"/>
        <v>-0,000193729484154015</v>
      </c>
      <c r="N16" s="482" t="str">
        <f ca="1"/>
        <v>ACCOR_MMR.EUR.SU</v>
      </c>
    </row>
    <row r="17" spans="1:14" customFormat="1" ht="14.5">
      <c r="A17" s="233"/>
      <c r="B17" s="289" t="s">
        <v>463</v>
      </c>
      <c r="C17" s="244">
        <f>COUNTA(C39:C338)</f>
        <v>100</v>
      </c>
      <c r="D17" s="234"/>
      <c r="E17" s="233"/>
      <c r="F17" s="234"/>
      <c r="G17" s="234"/>
      <c r="H17" s="406">
        <v>3</v>
      </c>
      <c r="I17" s="469" t="str">
        <f ca="1"/>
        <v>0,293174415758326</v>
      </c>
      <c r="J17" s="469" t="str">
        <f ca="1"/>
        <v>0,000905483829689809</v>
      </c>
      <c r="K17" s="481" t="str">
        <f ca="1"/>
        <v>323,776533766217</v>
      </c>
      <c r="L17" s="481" t="str">
        <f ca="1"/>
        <v>323,776533766217</v>
      </c>
      <c r="M17" s="481" t="str">
        <f ca="1"/>
        <v>-0,00021591910660963</v>
      </c>
      <c r="N17" s="482" t="str">
        <f ca="1"/>
        <v>ADECCO_MMR.EUR.SU</v>
      </c>
    </row>
    <row r="18" spans="1:14" customFormat="1" ht="14.5">
      <c r="A18" s="233"/>
      <c r="B18" s="290" t="s">
        <v>464</v>
      </c>
      <c r="C18" s="245">
        <f ca="1">SUM(OFFSET(D38,1,0,C17))</f>
        <v>100</v>
      </c>
      <c r="D18" s="234"/>
      <c r="E18" s="234"/>
      <c r="F18" s="234"/>
      <c r="G18" s="246"/>
      <c r="H18" s="406">
        <v>4</v>
      </c>
      <c r="I18" s="469" t="str">
        <f ca="1"/>
        <v>0,295181593916277</v>
      </c>
      <c r="J18" s="469" t="str">
        <f ca="1"/>
        <v>0,000860163117973276</v>
      </c>
      <c r="K18" s="481" t="str">
        <f ca="1"/>
        <v>343,169321897673</v>
      </c>
      <c r="L18" s="481" t="str">
        <f ca="1"/>
        <v>343,169321897673</v>
      </c>
      <c r="M18" s="481" t="str">
        <f ca="1"/>
        <v>-0,000206897052493038</v>
      </c>
      <c r="N18" s="482" t="str">
        <f ca="1"/>
        <v>AEGON_MMR.EUR.SU</v>
      </c>
    </row>
    <row r="19" spans="1:14" customFormat="1" ht="14.5">
      <c r="A19" s="233"/>
      <c r="B19" s="290" t="s">
        <v>465</v>
      </c>
      <c r="C19" s="247">
        <v>0</v>
      </c>
      <c r="D19" s="248"/>
      <c r="E19" s="234"/>
      <c r="F19" s="234"/>
      <c r="G19" s="249"/>
      <c r="H19" s="406">
        <v>5</v>
      </c>
      <c r="I19" s="469" t="str">
        <f ca="1"/>
        <v>0,24558638796961</v>
      </c>
      <c r="J19" s="469" t="str">
        <f ca="1"/>
        <v>0,000569356243195339</v>
      </c>
      <c r="K19" s="481" t="str">
        <f ca="1"/>
        <v>431,340467246536</v>
      </c>
      <c r="L19" s="481" t="str">
        <f ca="1"/>
        <v>431,340467246536</v>
      </c>
      <c r="M19" s="481" t="str">
        <f ca="1"/>
        <v>-0,000131055406172687</v>
      </c>
      <c r="N19" s="482" t="str">
        <f ca="1"/>
        <v>AKZONOBEL_MMR.EUR.SU</v>
      </c>
    </row>
    <row r="20" spans="1:14" customFormat="1" ht="14.5">
      <c r="A20" s="233"/>
      <c r="B20" s="290" t="s">
        <v>466</v>
      </c>
      <c r="C20" s="247">
        <v>3</v>
      </c>
      <c r="D20" s="248"/>
      <c r="E20" s="234"/>
      <c r="F20" s="234"/>
      <c r="G20" s="249"/>
      <c r="H20" s="406">
        <v>6</v>
      </c>
      <c r="I20" s="469" t="str">
        <f ca="1"/>
        <v>0,27874414399845</v>
      </c>
      <c r="J20" s="469" t="str">
        <f ca="1"/>
        <v>0,000726030419860274</v>
      </c>
      <c r="K20" s="481" t="str">
        <f ca="1"/>
        <v>383,929015057103</v>
      </c>
      <c r="L20" s="481" t="str">
        <f ca="1"/>
        <v>383,929015057103</v>
      </c>
      <c r="M20" s="481" t="str">
        <f ca="1"/>
        <v>-0,000173785323244191</v>
      </c>
      <c r="N20" s="482" t="str">
        <f ca="1"/>
        <v>ALLIANZ_MMR.EUR.SU</v>
      </c>
    </row>
    <row r="21" spans="1:14" customFormat="1" ht="14.5">
      <c r="A21" s="233"/>
      <c r="B21" s="290" t="s">
        <v>467</v>
      </c>
      <c r="C21" s="250">
        <v>0.4</v>
      </c>
      <c r="D21" s="234"/>
      <c r="E21" s="234"/>
      <c r="F21" s="234"/>
      <c r="G21" s="251"/>
      <c r="H21" s="406">
        <v>7</v>
      </c>
      <c r="I21" s="469" t="str">
        <f ca="1"/>
        <v>0,331129062638068</v>
      </c>
      <c r="J21" s="469" t="str">
        <f ca="1"/>
        <v>0,00128179768598483</v>
      </c>
      <c r="K21" s="481" t="str">
        <f ca="1"/>
        <v>258,331768155483</v>
      </c>
      <c r="L21" s="481" t="str">
        <f ca="1"/>
        <v>258,331768155483</v>
      </c>
      <c r="M21" s="481" t="str">
        <f ca="1"/>
        <v>-0,000303049561205215</v>
      </c>
      <c r="N21" s="482" t="str">
        <f ca="1"/>
        <v>ALTADIS_MMR.EUR.SU</v>
      </c>
    </row>
    <row r="22" spans="1:14" customFormat="1" ht="15" thickBot="1">
      <c r="A22" s="233"/>
      <c r="B22" s="291" t="s">
        <v>468</v>
      </c>
      <c r="C22" s="252">
        <v>0.5</v>
      </c>
      <c r="D22" s="234"/>
      <c r="E22" s="234"/>
      <c r="F22" s="234"/>
      <c r="G22" s="251"/>
      <c r="H22" s="406">
        <v>8</v>
      </c>
      <c r="I22" s="469" t="str">
        <f ca="1"/>
        <v>0,324808579829277</v>
      </c>
      <c r="J22" s="469" t="str">
        <f ca="1"/>
        <v>0,00117124882035511</v>
      </c>
      <c r="K22" s="481" t="str">
        <f ca="1"/>
        <v>277,318170302019</v>
      </c>
      <c r="L22" s="481" t="str">
        <f ca="1"/>
        <v>277,318170302019</v>
      </c>
      <c r="M22" s="481" t="str">
        <f ca="1"/>
        <v>-0,000278869770812151</v>
      </c>
      <c r="N22" s="482" t="str">
        <f ca="1"/>
        <v>ARCELORFINANCESCA_MMR.EUR.SU</v>
      </c>
    </row>
    <row r="23" spans="1:14" customFormat="1" ht="15" thickBot="1">
      <c r="A23" s="233"/>
      <c r="B23" s="233"/>
      <c r="C23" s="234"/>
      <c r="D23" s="234"/>
      <c r="E23" s="234"/>
      <c r="F23" s="234"/>
      <c r="G23" s="234"/>
      <c r="H23" s="406">
        <v>9</v>
      </c>
      <c r="I23" s="469" t="str">
        <f ca="1"/>
        <v>0,238411150204828</v>
      </c>
      <c r="J23" s="469" t="str">
        <f ca="1"/>
        <v>0,000524145912308389</v>
      </c>
      <c r="K23" s="481" t="str">
        <f ca="1"/>
        <v>454,856452385257</v>
      </c>
      <c r="L23" s="481" t="str">
        <f ca="1"/>
        <v>454,856452385257</v>
      </c>
      <c r="M23" s="481" t="str">
        <f ca="1"/>
        <v>-0,000120307286658061</v>
      </c>
      <c r="N23" s="482" t="str">
        <f ca="1"/>
        <v>AUCHAN_MMR.EUR.SU</v>
      </c>
    </row>
    <row r="24" spans="1:14" customFormat="1" ht="14.5">
      <c r="A24" s="253"/>
      <c r="B24" s="292" t="s">
        <v>447</v>
      </c>
      <c r="C24" s="254" t="b">
        <v>1</v>
      </c>
      <c r="D24" s="234"/>
      <c r="E24" s="234"/>
      <c r="F24" s="234"/>
      <c r="G24" s="234"/>
      <c r="H24" s="406">
        <v>10</v>
      </c>
      <c r="I24" s="469" t="str">
        <f ca="1"/>
        <v>0,274215767440249</v>
      </c>
      <c r="J24" s="469" t="str">
        <f ca="1"/>
        <v>0,000703807247530457</v>
      </c>
      <c r="K24" s="481" t="str">
        <f ca="1"/>
        <v>389,617709113435</v>
      </c>
      <c r="L24" s="481" t="str">
        <f ca="1"/>
        <v>389,617709113435</v>
      </c>
      <c r="M24" s="481" t="str">
        <f ca="1"/>
        <v>-0,000167508246655234</v>
      </c>
      <c r="N24" s="482" t="str">
        <f ca="1"/>
        <v>AVIVA_MMR.EUR.SU</v>
      </c>
    </row>
    <row r="25" spans="1:14" customFormat="1" ht="15" thickBot="1">
      <c r="A25" s="253"/>
      <c r="B25" s="291" t="s">
        <v>448</v>
      </c>
      <c r="C25" s="255" t="b">
        <v>1</v>
      </c>
      <c r="D25" s="234"/>
      <c r="E25" s="234"/>
      <c r="F25" s="234"/>
      <c r="G25" s="234"/>
      <c r="H25" s="406">
        <v>11</v>
      </c>
      <c r="I25" s="469" t="str">
        <f ca="1"/>
        <v>0,284331827549729</v>
      </c>
      <c r="J25" s="469" t="str">
        <f ca="1"/>
        <v>0,000770825749582358</v>
      </c>
      <c r="K25" s="481" t="str">
        <f ca="1"/>
        <v>368,866540464928</v>
      </c>
      <c r="L25" s="481" t="str">
        <f ca="1"/>
        <v>368,866540464928</v>
      </c>
      <c r="M25" s="481" t="str">
        <f ca="1"/>
        <v>-0,000184874609605567</v>
      </c>
      <c r="N25" s="482" t="str">
        <f ca="1"/>
        <v>AXA_MMR.EUR.SU</v>
      </c>
    </row>
    <row r="26" spans="1:14" customFormat="1" ht="15" thickBot="1">
      <c r="A26" s="233"/>
      <c r="B26" s="233"/>
      <c r="C26" s="234"/>
      <c r="D26" s="234"/>
      <c r="E26" s="234"/>
      <c r="F26" s="234"/>
      <c r="G26" s="234"/>
      <c r="H26" s="406">
        <v>12</v>
      </c>
      <c r="I26" s="469" t="str">
        <f ca="1"/>
        <v>0,313755420232553</v>
      </c>
      <c r="J26" s="469" t="str">
        <f ca="1"/>
        <v>0,00101537656877648</v>
      </c>
      <c r="K26" s="481" t="str">
        <f ca="1"/>
        <v>309,003998989878</v>
      </c>
      <c r="L26" s="481" t="str">
        <f ca="1"/>
        <v>309,003998989878</v>
      </c>
      <c r="M26" s="481" t="str">
        <f ca="1"/>
        <v>-0,000245417112799528</v>
      </c>
      <c r="N26" s="482" t="str">
        <f ca="1"/>
        <v>BANCOESPIRITOSANTO_MMR.EUR.SU</v>
      </c>
    </row>
    <row r="27" spans="1:14" customFormat="1" ht="15" thickBot="1">
      <c r="A27" s="233"/>
      <c r="B27" s="289" t="s">
        <v>449</v>
      </c>
      <c r="C27" s="244" t="b">
        <v>1</v>
      </c>
      <c r="D27" s="234"/>
      <c r="E27" s="234"/>
      <c r="F27" s="234"/>
      <c r="G27" s="234"/>
      <c r="H27" s="406">
        <v>13</v>
      </c>
      <c r="I27" s="469" t="str">
        <f ca="1"/>
        <v>0,303827525259482</v>
      </c>
      <c r="J27" s="469" t="str">
        <f ca="1"/>
        <v>0,000904075218762548</v>
      </c>
      <c r="K27" s="481" t="str">
        <f ca="1"/>
        <v>336,064432421171</v>
      </c>
      <c r="L27" s="481" t="str">
        <f ca="1"/>
        <v>336,064432421171</v>
      </c>
      <c r="M27" s="481" t="str">
        <f ca="1"/>
        <v>-0,000219119428028547</v>
      </c>
      <c r="N27" s="482" t="str">
        <f ca="1"/>
        <v>BARCLAYS_MMR.EUR.SU</v>
      </c>
    </row>
    <row r="28" spans="1:14" customFormat="1" ht="15" thickBot="1">
      <c r="A28" s="233"/>
      <c r="B28" s="293" t="s">
        <v>450</v>
      </c>
      <c r="C28" s="256"/>
      <c r="D28" s="234"/>
      <c r="E28" s="234"/>
      <c r="F28" s="234"/>
      <c r="G28" s="234"/>
      <c r="H28" s="406">
        <v>14</v>
      </c>
      <c r="I28" s="469" t="str">
        <f ca="1"/>
        <v>0,223215650696687</v>
      </c>
      <c r="J28" s="469" t="str">
        <f ca="1"/>
        <v>0,000456547241029709</v>
      </c>
      <c r="K28" s="481" t="str">
        <f ca="1"/>
        <v>488,921256414211</v>
      </c>
      <c r="L28" s="481" t="str">
        <f ca="1"/>
        <v>488,921256414211</v>
      </c>
      <c r="M28" s="481" t="str">
        <f ca="1"/>
        <v>-9,663469092418E-05</v>
      </c>
      <c r="N28" s="482" t="str">
        <f ca="1"/>
        <v>BASF_MMR.EUR.SU</v>
      </c>
    </row>
    <row r="29" spans="1:14" customFormat="1" ht="14.5">
      <c r="A29" s="233"/>
      <c r="B29" s="290" t="s">
        <v>469</v>
      </c>
      <c r="C29" s="257"/>
      <c r="D29" s="234"/>
      <c r="E29" s="234"/>
      <c r="F29" s="234"/>
      <c r="G29" s="234"/>
      <c r="H29" s="406">
        <v>15</v>
      </c>
      <c r="I29" s="469" t="str">
        <f ca="1"/>
        <v>0,270978399915248</v>
      </c>
      <c r="J29" s="469" t="str">
        <f ca="1"/>
        <v>0,000749164655201392</v>
      </c>
      <c r="K29" s="481" t="str">
        <f ca="1"/>
        <v>361,707400414403</v>
      </c>
      <c r="L29" s="481" t="str">
        <f ca="1"/>
        <v>361,707400414403</v>
      </c>
      <c r="M29" s="481" t="str">
        <f ca="1"/>
        <v>-0,000176655625477817</v>
      </c>
      <c r="N29" s="482" t="str">
        <f ca="1"/>
        <v>BAT_MMR.EUR.SU</v>
      </c>
    </row>
    <row r="30" spans="1:14" customFormat="1" ht="14.5">
      <c r="A30" s="233"/>
      <c r="B30" s="290" t="s">
        <v>447</v>
      </c>
      <c r="C30" s="258" t="b">
        <v>1</v>
      </c>
      <c r="D30" s="234"/>
      <c r="E30" s="234"/>
      <c r="F30" s="234"/>
      <c r="G30" s="234"/>
      <c r="H30" s="406">
        <v>16</v>
      </c>
      <c r="I30" s="469" t="str">
        <f ca="1"/>
        <v>0,246162160160351</v>
      </c>
      <c r="J30" s="469" t="str">
        <f ca="1"/>
        <v>0,000569350806515913</v>
      </c>
      <c r="K30" s="481" t="str">
        <f ca="1"/>
        <v>432,355864509469</v>
      </c>
      <c r="L30" s="481" t="str">
        <f ca="1"/>
        <v>432,355864509469</v>
      </c>
      <c r="M30" s="481" t="str">
        <f ca="1"/>
        <v>-0,000131068843282423</v>
      </c>
      <c r="N30" s="482" t="str">
        <f ca="1"/>
        <v>BAYER_MMR.EUR.SU</v>
      </c>
    </row>
    <row r="31" spans="1:14" customFormat="1" ht="15" thickBot="1">
      <c r="A31" s="233"/>
      <c r="B31" s="291" t="s">
        <v>448</v>
      </c>
      <c r="C31" s="255" t="b">
        <v>1</v>
      </c>
      <c r="D31" s="234"/>
      <c r="E31" s="234"/>
      <c r="F31" s="234"/>
      <c r="G31" s="234"/>
      <c r="H31" s="406">
        <v>17</v>
      </c>
      <c r="I31" s="469" t="str">
        <f ca="1"/>
        <v>0,283625514008988</v>
      </c>
      <c r="J31" s="469" t="str">
        <f ca="1"/>
        <v>0,000748077293065267</v>
      </c>
      <c r="K31" s="481" t="str">
        <f ca="1"/>
        <v>379,139317070867</v>
      </c>
      <c r="L31" s="481" t="str">
        <f ca="1"/>
        <v>379,139317070867</v>
      </c>
      <c r="M31" s="481" t="str">
        <f ca="1"/>
        <v>-0,000180541794555378</v>
      </c>
      <c r="N31" s="482" t="str">
        <f ca="1"/>
        <v>BBVA_MMR.EUR.SU</v>
      </c>
    </row>
    <row r="32" spans="1:14" customFormat="1" ht="15" thickBot="1">
      <c r="A32" s="233"/>
      <c r="B32" s="233"/>
      <c r="C32" s="234"/>
      <c r="D32" s="234"/>
      <c r="E32" s="234"/>
      <c r="F32" s="234"/>
      <c r="G32" s="234"/>
      <c r="H32" s="406">
        <v>18</v>
      </c>
      <c r="I32" s="469" t="str">
        <f ca="1"/>
        <v>0,267256096535126</v>
      </c>
      <c r="J32" s="469" t="str">
        <f ca="1"/>
        <v>0,000704297383405974</v>
      </c>
      <c r="K32" s="481" t="str">
        <f ca="1"/>
        <v>379,464843732173</v>
      </c>
      <c r="L32" s="481" t="str">
        <f ca="1"/>
        <v>379,464843732173</v>
      </c>
      <c r="M32" s="481" t="str">
        <f ca="1"/>
        <v>-0,000165478893337001</v>
      </c>
      <c r="N32" s="482" t="str">
        <f ca="1"/>
        <v>BERTELSMANNAG_MMR.EUR.SU</v>
      </c>
    </row>
    <row r="33" spans="1:14" customFormat="1" ht="14.5">
      <c r="A33" s="233"/>
      <c r="B33" s="289" t="s">
        <v>451</v>
      </c>
      <c r="C33" s="259" t="s">
        <v>452</v>
      </c>
      <c r="D33" s="260"/>
      <c r="E33" s="260"/>
      <c r="F33" s="260"/>
      <c r="G33" s="234"/>
      <c r="H33" s="406">
        <v>19</v>
      </c>
      <c r="I33" s="469" t="str">
        <f ca="1"/>
        <v>0,250502369425555</v>
      </c>
      <c r="J33" s="469" t="str">
        <f ca="1"/>
        <v>0,000591844627175197</v>
      </c>
      <c r="K33" s="481" t="str">
        <f ca="1"/>
        <v>423,25697982792</v>
      </c>
      <c r="L33" s="481" t="str">
        <f ca="1"/>
        <v>423,25697982792</v>
      </c>
      <c r="M33" s="481" t="str">
        <f ca="1"/>
        <v>-0,000137090579663024</v>
      </c>
      <c r="N33" s="482" t="str">
        <f ca="1"/>
        <v>BMW_MMR.EUR.SU</v>
      </c>
    </row>
    <row r="34" spans="1:14" customFormat="1" ht="14.5">
      <c r="A34" s="233"/>
      <c r="B34" s="290" t="s">
        <v>470</v>
      </c>
      <c r="C34" s="261">
        <v>0.01</v>
      </c>
      <c r="D34" s="260"/>
      <c r="E34" s="260"/>
      <c r="F34" s="260"/>
      <c r="G34" s="234"/>
      <c r="H34" s="406">
        <v>20</v>
      </c>
      <c r="I34" s="469" t="str">
        <f ca="1"/>
        <v>0,267612472567108</v>
      </c>
      <c r="J34" s="469" t="str">
        <f ca="1"/>
        <v>0,000681580220065884</v>
      </c>
      <c r="K34" s="481" t="str">
        <f ca="1"/>
        <v>392,63532697771</v>
      </c>
      <c r="L34" s="481" t="str">
        <f ca="1"/>
        <v>392,63532697771</v>
      </c>
      <c r="M34" s="481" t="str">
        <f ca="1"/>
        <v>-0,000161123337674951</v>
      </c>
      <c r="N34" s="482" t="str">
        <f ca="1"/>
        <v>BNPPARIBAS_MMR.EUR.SU</v>
      </c>
    </row>
    <row r="35" spans="1:14" customFormat="1" ht="14.5">
      <c r="A35" s="233"/>
      <c r="B35" s="290" t="s">
        <v>471</v>
      </c>
      <c r="C35" s="261">
        <v>1</v>
      </c>
      <c r="D35" s="234"/>
      <c r="E35" s="234"/>
      <c r="F35" s="234"/>
      <c r="G35" s="234"/>
      <c r="H35" s="406">
        <v>21</v>
      </c>
      <c r="I35" s="469" t="str">
        <f ca="1"/>
        <v>0,296125433412835</v>
      </c>
      <c r="J35" s="469" t="str">
        <f ca="1"/>
        <v>0,000882690562712399</v>
      </c>
      <c r="K35" s="481" t="str">
        <f ca="1"/>
        <v>335,480457050405</v>
      </c>
      <c r="L35" s="481" t="str">
        <f ca="1"/>
        <v>335,480457050405</v>
      </c>
      <c r="M35" s="481" t="str">
        <f ca="1"/>
        <v>-0,000211988165261312</v>
      </c>
      <c r="N35" s="482" t="str">
        <f ca="1"/>
        <v>BRITISHTELECOM_MMR.EUR.SU</v>
      </c>
    </row>
    <row r="36" spans="1:14" customFormat="1" ht="15" thickBot="1">
      <c r="A36" s="233"/>
      <c r="B36" s="291" t="s">
        <v>472</v>
      </c>
      <c r="C36" s="262"/>
      <c r="D36" s="234"/>
      <c r="E36" s="234"/>
      <c r="F36" s="234"/>
      <c r="G36" s="234"/>
      <c r="H36" s="406">
        <v>22</v>
      </c>
      <c r="I36" s="469" t="str">
        <f ca="1"/>
        <v>0,280234272696108</v>
      </c>
      <c r="J36" s="469" t="str">
        <f ca="1"/>
        <v>0,000748434265138161</v>
      </c>
      <c r="K36" s="481" t="str">
        <f ca="1"/>
        <v>374,427368907778</v>
      </c>
      <c r="L36" s="481" t="str">
        <f ca="1"/>
        <v>374,427368907778</v>
      </c>
      <c r="M36" s="481" t="str">
        <f ca="1"/>
        <v>-0,000179597713063928</v>
      </c>
      <c r="N36" s="482" t="str">
        <f ca="1"/>
        <v>BSCH_MMR.EUR.SU</v>
      </c>
    </row>
    <row r="37" spans="1:14" customFormat="1" ht="15" thickBot="1">
      <c r="A37" s="233"/>
      <c r="B37" s="233"/>
      <c r="C37" s="234"/>
      <c r="D37" s="234"/>
      <c r="E37" s="234"/>
      <c r="F37" s="234"/>
      <c r="G37" s="234"/>
      <c r="H37" s="406">
        <v>23</v>
      </c>
      <c r="I37" s="469" t="str">
        <f ca="1"/>
        <v>0,281500371966065</v>
      </c>
      <c r="J37" s="469" t="str">
        <f ca="1"/>
        <v>0,000816261264647086</v>
      </c>
      <c r="K37" s="481" t="str">
        <f ca="1"/>
        <v>344,865527935805</v>
      </c>
      <c r="L37" s="481" t="str">
        <f ca="1"/>
        <v>344,865527935805</v>
      </c>
      <c r="M37" s="481" t="str">
        <f ca="1"/>
        <v>-0,000193859415186593</v>
      </c>
      <c r="N37" s="482" t="str">
        <f ca="1"/>
        <v>CADBURYSCHWEPPES_MMR.EUR.SU</v>
      </c>
    </row>
    <row r="38" spans="1:14" customFormat="1" ht="15" thickBot="1">
      <c r="A38" s="233"/>
      <c r="B38" s="294" t="s">
        <v>460</v>
      </c>
      <c r="C38" s="263" t="s">
        <v>80</v>
      </c>
      <c r="D38" s="263" t="s">
        <v>473</v>
      </c>
      <c r="E38" s="263" t="s">
        <v>474</v>
      </c>
      <c r="F38" s="263" t="s">
        <v>85</v>
      </c>
      <c r="G38" s="234"/>
      <c r="H38" s="406">
        <v>24</v>
      </c>
      <c r="I38" s="469" t="str">
        <f ca="1"/>
        <v>0,314558349158672</v>
      </c>
      <c r="J38" s="469" t="str">
        <f ca="1"/>
        <v>0,00103794875610176</v>
      </c>
      <c r="K38" s="481" t="str">
        <f ca="1"/>
        <v>303,057686913238</v>
      </c>
      <c r="L38" s="481" t="str">
        <f ca="1"/>
        <v>303,057686913238</v>
      </c>
      <c r="M38" s="481" t="str">
        <f ca="1"/>
        <v>-0,000249788849594856</v>
      </c>
      <c r="N38" s="482" t="str">
        <f ca="1"/>
        <v>CAPITALIA_MMR.EUR.SU</v>
      </c>
    </row>
    <row r="39" spans="1:14" customFormat="1" ht="14.5">
      <c r="A39" s="233"/>
      <c r="B39" s="295">
        <v>1</v>
      </c>
      <c r="C39" s="264" t="s">
        <v>86</v>
      </c>
      <c r="D39" s="265">
        <v>1</v>
      </c>
      <c r="E39" s="257"/>
      <c r="F39" s="240">
        <v>0.4</v>
      </c>
      <c r="G39" s="234"/>
      <c r="H39" s="406">
        <v>25</v>
      </c>
      <c r="I39" s="469" t="str">
        <f ca="1"/>
        <v>0,240578888702754</v>
      </c>
      <c r="J39" s="469" t="str">
        <f ca="1"/>
        <v>0,000524122968968599</v>
      </c>
      <c r="K39" s="481" t="str">
        <f ca="1"/>
        <v>459,012298537841</v>
      </c>
      <c r="L39" s="481" t="str">
        <f ca="1"/>
        <v>459,012298537841</v>
      </c>
      <c r="M39" s="481" t="str">
        <f ca="1"/>
        <v>-0,000120398028756496</v>
      </c>
      <c r="N39" s="482" t="str">
        <f ca="1"/>
        <v>CARREFOUR_MMR.EUR.SU</v>
      </c>
    </row>
    <row r="40" spans="1:14" customFormat="1" ht="14.5">
      <c r="A40" s="233"/>
      <c r="B40" s="296">
        <v>2</v>
      </c>
      <c r="C40" s="266" t="s">
        <v>88</v>
      </c>
      <c r="D40" s="267">
        <v>1</v>
      </c>
      <c r="E40" s="257"/>
      <c r="F40" s="240">
        <v>0.4</v>
      </c>
      <c r="G40" s="234"/>
      <c r="H40" s="406">
        <v>26</v>
      </c>
      <c r="I40" s="469" t="str">
        <f ca="1"/>
        <v>0,356642371932059</v>
      </c>
      <c r="J40" s="469" t="str">
        <f ca="1"/>
        <v>0,00152160715373198</v>
      </c>
      <c r="K40" s="481" t="str">
        <f ca="1"/>
        <v>234,385314933186</v>
      </c>
      <c r="L40" s="481" t="str">
        <f ca="1"/>
        <v>234,385314933186</v>
      </c>
      <c r="M40" s="481" t="str">
        <f ca="1"/>
        <v>-0,000356193615814604</v>
      </c>
      <c r="N40" s="482" t="str">
        <f ca="1"/>
        <v>CASINOGUICHARD_MMR.EUR.SU</v>
      </c>
    </row>
    <row r="41" spans="1:14" customFormat="1" ht="12.75" customHeight="1">
      <c r="A41" s="233"/>
      <c r="B41" s="296">
        <v>3</v>
      </c>
      <c r="C41" s="266" t="s">
        <v>89</v>
      </c>
      <c r="D41" s="267">
        <v>1</v>
      </c>
      <c r="E41" s="257"/>
      <c r="F41" s="240">
        <v>0.4</v>
      </c>
      <c r="G41" s="234"/>
      <c r="H41" s="406">
        <v>27</v>
      </c>
      <c r="I41" s="469" t="str">
        <f ca="1"/>
        <v>0,240582303619527</v>
      </c>
      <c r="J41" s="469" t="str">
        <f ca="1"/>
        <v>0,000524102184123564</v>
      </c>
      <c r="K41" s="481" t="str">
        <f ca="1"/>
        <v>459,037017794237</v>
      </c>
      <c r="L41" s="481" t="str">
        <f ca="1"/>
        <v>459,037017794237</v>
      </c>
      <c r="M41" s="481" t="str">
        <f ca="1"/>
        <v>-0,000120490624756742</v>
      </c>
      <c r="N41" s="482" t="str">
        <f ca="1"/>
        <v>CENTRICA_MMR.EUR.SU</v>
      </c>
    </row>
    <row r="42" spans="1:14" customFormat="1" ht="14.5">
      <c r="A42" s="233"/>
      <c r="B42" s="296">
        <v>4</v>
      </c>
      <c r="C42" s="266" t="s">
        <v>90</v>
      </c>
      <c r="D42" s="267">
        <v>1</v>
      </c>
      <c r="E42" s="257"/>
      <c r="F42" s="240">
        <v>0.4</v>
      </c>
      <c r="G42" s="234"/>
      <c r="H42" s="406">
        <v>28</v>
      </c>
      <c r="I42" s="469" t="str">
        <f ca="1"/>
        <v>0,321366593125984</v>
      </c>
      <c r="J42" s="469" t="str">
        <f ca="1"/>
        <v>0,00114937723666145</v>
      </c>
      <c r="K42" s="481" t="str">
        <f ca="1"/>
        <v>279,600624473341</v>
      </c>
      <c r="L42" s="481" t="str">
        <f ca="1"/>
        <v>279,600624473341</v>
      </c>
      <c r="M42" s="481" t="str">
        <f ca="1"/>
        <v>-0,000273841099747841</v>
      </c>
      <c r="N42" s="482" t="str">
        <f ca="1"/>
        <v>CIBASC_MMR.EUR.SU</v>
      </c>
    </row>
    <row r="43" spans="1:14" customFormat="1" ht="14.5">
      <c r="A43" s="233"/>
      <c r="B43" s="296">
        <v>5</v>
      </c>
      <c r="C43" s="266" t="s">
        <v>93</v>
      </c>
      <c r="D43" s="267">
        <v>1</v>
      </c>
      <c r="E43" s="257"/>
      <c r="F43" s="240">
        <v>0.4</v>
      </c>
      <c r="G43" s="234"/>
      <c r="H43" s="406">
        <v>29</v>
      </c>
      <c r="I43" s="469" t="str">
        <f ca="1"/>
        <v>0,310459446356606</v>
      </c>
      <c r="J43" s="469" t="str">
        <f ca="1"/>
        <v>0,000971000191935179</v>
      </c>
      <c r="K43" s="481" t="str">
        <f ca="1"/>
        <v>319,731601430344</v>
      </c>
      <c r="L43" s="481" t="str">
        <f ca="1"/>
        <v>319,731601430344</v>
      </c>
      <c r="M43" s="481" t="str">
        <f ca="1"/>
        <v>-0,000234661505561773</v>
      </c>
      <c r="N43" s="482" t="str">
        <f ca="1"/>
        <v>COMMERZBANK_MMR.EUR.SU</v>
      </c>
    </row>
    <row r="44" spans="1:14" customFormat="1" ht="14.5">
      <c r="A44" s="233"/>
      <c r="B44" s="296">
        <v>6</v>
      </c>
      <c r="C44" s="266" t="s">
        <v>94</v>
      </c>
      <c r="D44" s="267">
        <v>1</v>
      </c>
      <c r="E44" s="257"/>
      <c r="F44" s="240">
        <v>0.4</v>
      </c>
      <c r="G44" s="234"/>
      <c r="H44" s="406">
        <v>30</v>
      </c>
      <c r="I44" s="469" t="str">
        <f ca="1"/>
        <v>0,256106953170369</v>
      </c>
      <c r="J44" s="469" t="str">
        <f ca="1"/>
        <v>0,000636896886907379</v>
      </c>
      <c r="K44" s="481" t="str">
        <f ca="1"/>
        <v>402,116823672924</v>
      </c>
      <c r="L44" s="481" t="str">
        <f ca="1"/>
        <v>402,116823672924</v>
      </c>
      <c r="M44" s="481" t="str">
        <f ca="1"/>
        <v>-0,000148803230854089</v>
      </c>
      <c r="N44" s="482" t="str">
        <f ca="1"/>
        <v>COMPASS_MMR.EUR.SU</v>
      </c>
    </row>
    <row r="45" spans="1:14" customFormat="1" ht="14.5">
      <c r="A45" s="233"/>
      <c r="B45" s="296">
        <v>7</v>
      </c>
      <c r="C45" s="266" t="s">
        <v>95</v>
      </c>
      <c r="D45" s="267">
        <v>1</v>
      </c>
      <c r="E45" s="257"/>
      <c r="F45" s="240">
        <v>0.4</v>
      </c>
      <c r="G45" s="234"/>
      <c r="H45" s="406">
        <v>31</v>
      </c>
      <c r="I45" s="469" t="str">
        <f ca="1"/>
        <v>0,340788869382058</v>
      </c>
      <c r="J45" s="469" t="str">
        <f ca="1"/>
        <v>0,00132453100141577</v>
      </c>
      <c r="K45" s="481" t="str">
        <f ca="1"/>
        <v>257,290217456439</v>
      </c>
      <c r="L45" s="481" t="str">
        <f ca="1"/>
        <v>257,290217456439</v>
      </c>
      <c r="M45" s="481" t="str">
        <f ca="1"/>
        <v>-0,000314708278370013</v>
      </c>
      <c r="N45" s="482" t="str">
        <f ca="1"/>
        <v>CONTINENTAL_MMR.EUR.SU</v>
      </c>
    </row>
    <row r="46" spans="1:14" customFormat="1" ht="14.5">
      <c r="A46" s="233"/>
      <c r="B46" s="296">
        <v>8</v>
      </c>
      <c r="C46" s="266" t="s">
        <v>96</v>
      </c>
      <c r="D46" s="267">
        <v>1</v>
      </c>
      <c r="E46" s="257"/>
      <c r="F46" s="240">
        <v>0.4</v>
      </c>
      <c r="G46" s="234"/>
      <c r="H46" s="406">
        <v>32</v>
      </c>
      <c r="I46" s="469" t="str">
        <f ca="1"/>
        <v>0,264823220820318</v>
      </c>
      <c r="J46" s="469" t="str">
        <f ca="1"/>
        <v>0,000681633147790216</v>
      </c>
      <c r="K46" s="481" t="str">
        <f ca="1"/>
        <v>388,512826406473</v>
      </c>
      <c r="L46" s="481" t="str">
        <f ca="1"/>
        <v>388,512826406473</v>
      </c>
      <c r="M46" s="481" t="str">
        <f ca="1"/>
        <v>-0,000161122014425352</v>
      </c>
      <c r="N46" s="482" t="str">
        <f ca="1"/>
        <v>CREDITAGRICOLE_MMR.EUR.SU</v>
      </c>
    </row>
    <row r="47" spans="1:14" customFormat="1" ht="14.5">
      <c r="A47" s="233"/>
      <c r="B47" s="296">
        <v>9</v>
      </c>
      <c r="C47" s="266" t="s">
        <v>97</v>
      </c>
      <c r="D47" s="267">
        <v>1</v>
      </c>
      <c r="E47" s="257"/>
      <c r="F47" s="240">
        <v>0.4</v>
      </c>
      <c r="G47" s="234"/>
      <c r="H47" s="406">
        <v>33</v>
      </c>
      <c r="I47" s="469" t="str">
        <f ca="1"/>
        <v>0,317673207058358</v>
      </c>
      <c r="J47" s="469" t="str">
        <f ca="1"/>
        <v>0,0010823697138772</v>
      </c>
      <c r="K47" s="481" t="str">
        <f ca="1"/>
        <v>293,49787137004</v>
      </c>
      <c r="L47" s="481" t="str">
        <f ca="1"/>
        <v>293,49787137004</v>
      </c>
      <c r="M47" s="481" t="str">
        <f ca="1"/>
        <v>-0,000259846913769856</v>
      </c>
      <c r="N47" s="482" t="str">
        <f ca="1"/>
        <v>CREDITSUISSEGROUP_MMR.EUR.SU</v>
      </c>
    </row>
    <row r="48" spans="1:14" customFormat="1" ht="14.5">
      <c r="A48" s="233"/>
      <c r="B48" s="296">
        <v>10</v>
      </c>
      <c r="C48" s="266" t="s">
        <v>98</v>
      </c>
      <c r="D48" s="267">
        <v>1</v>
      </c>
      <c r="E48" s="257"/>
      <c r="F48" s="240">
        <v>0.4</v>
      </c>
      <c r="G48" s="234"/>
      <c r="H48" s="406">
        <v>34</v>
      </c>
      <c r="I48" s="469" t="str">
        <f ca="1"/>
        <v>0,262971153314462</v>
      </c>
      <c r="J48" s="469" t="str">
        <f ca="1"/>
        <v>0,000613833524182837</v>
      </c>
      <c r="K48" s="481" t="str">
        <f ca="1"/>
        <v>428,407936279696</v>
      </c>
      <c r="L48" s="481" t="str">
        <f ca="1"/>
        <v>428,407936279696</v>
      </c>
      <c r="M48" s="481" t="str">
        <f ca="1"/>
        <v>-0,00014557098899377</v>
      </c>
      <c r="N48" s="482" t="str">
        <f ca="1"/>
        <v>DAIMLERCHRYSLER_MMR.EUR.SU</v>
      </c>
    </row>
    <row r="49" spans="1:14" customFormat="1" ht="14.5">
      <c r="A49" s="233"/>
      <c r="B49" s="296">
        <v>11</v>
      </c>
      <c r="C49" s="266" t="s">
        <v>99</v>
      </c>
      <c r="D49" s="267">
        <v>1</v>
      </c>
      <c r="E49" s="257"/>
      <c r="F49" s="240">
        <v>0.4</v>
      </c>
      <c r="G49" s="234"/>
      <c r="H49" s="406">
        <v>35</v>
      </c>
      <c r="I49" s="469" t="str">
        <f ca="1"/>
        <v>0,254871449513496</v>
      </c>
      <c r="J49" s="469" t="str">
        <f ca="1"/>
        <v>0,000614269647669435</v>
      </c>
      <c r="K49" s="481" t="str">
        <f ca="1"/>
        <v>414,917862994678</v>
      </c>
      <c r="L49" s="481" t="str">
        <f ca="1"/>
        <v>414,917862994678</v>
      </c>
      <c r="M49" s="481" t="str">
        <f ca="1"/>
        <v>-0,000143447043484613</v>
      </c>
      <c r="N49" s="482" t="str">
        <f ca="1"/>
        <v>DANONE_MMR.EUR.SU</v>
      </c>
    </row>
    <row r="50" spans="1:14" customFormat="1" ht="14.5">
      <c r="A50" s="233"/>
      <c r="B50" s="296">
        <v>12</v>
      </c>
      <c r="C50" s="266" t="s">
        <v>100</v>
      </c>
      <c r="D50" s="267">
        <v>1</v>
      </c>
      <c r="E50" s="257"/>
      <c r="F50" s="240">
        <v>0.4</v>
      </c>
      <c r="G50" s="234"/>
      <c r="H50" s="406">
        <v>36</v>
      </c>
      <c r="I50" s="469" t="str">
        <f ca="1"/>
        <v>0,30520874366537</v>
      </c>
      <c r="J50" s="469" t="str">
        <f ca="1"/>
        <v>0,000926635611573517</v>
      </c>
      <c r="K50" s="481" t="str">
        <f ca="1"/>
        <v>329,372991770839</v>
      </c>
      <c r="L50" s="481" t="str">
        <f ca="1"/>
        <v>329,372991770839</v>
      </c>
      <c r="M50" s="481" t="str">
        <f ca="1"/>
        <v>-0,00022378014161899</v>
      </c>
      <c r="N50" s="482" t="str">
        <f ca="1"/>
        <v>DEUTSCHEBANK_MMR.EUR.SU</v>
      </c>
    </row>
    <row r="51" spans="1:14" customFormat="1" ht="14.5">
      <c r="A51" s="233"/>
      <c r="B51" s="296">
        <v>13</v>
      </c>
      <c r="C51" s="266" t="s">
        <v>101</v>
      </c>
      <c r="D51" s="267">
        <v>1</v>
      </c>
      <c r="E51" s="257"/>
      <c r="F51" s="240">
        <v>0.4</v>
      </c>
      <c r="G51" s="234"/>
      <c r="H51" s="406">
        <v>37</v>
      </c>
      <c r="I51" s="469" t="str">
        <f ca="1"/>
        <v>0,243175277891296</v>
      </c>
      <c r="J51" s="469" t="str">
        <f ca="1"/>
        <v>0,000546751915412442</v>
      </c>
      <c r="K51" s="481" t="str">
        <f ca="1"/>
        <v>444,763467738118</v>
      </c>
      <c r="L51" s="481" t="str">
        <f ca="1"/>
        <v>444,763467738118</v>
      </c>
      <c r="M51" s="481" t="str">
        <f ca="1"/>
        <v>-0,000125612816390119</v>
      </c>
      <c r="N51" s="482" t="str">
        <f ca="1"/>
        <v>DEUTSCHEPOSTAG_MMR.EUR.SU</v>
      </c>
    </row>
    <row r="52" spans="1:14" customFormat="1" ht="14.5">
      <c r="A52" s="233"/>
      <c r="B52" s="296">
        <v>14</v>
      </c>
      <c r="C52" s="266" t="s">
        <v>102</v>
      </c>
      <c r="D52" s="267">
        <v>1</v>
      </c>
      <c r="E52" s="257"/>
      <c r="F52" s="240">
        <v>0.4</v>
      </c>
      <c r="G52" s="234"/>
      <c r="H52" s="406">
        <v>38</v>
      </c>
      <c r="I52" s="469" t="str">
        <f ca="1"/>
        <v>0,295312227205853</v>
      </c>
      <c r="J52" s="469" t="str">
        <f ca="1"/>
        <v>0,000882825388765363</v>
      </c>
      <c r="K52" s="481" t="str">
        <f ca="1"/>
        <v>334,508081625121</v>
      </c>
      <c r="L52" s="481" t="str">
        <f ca="1"/>
        <v>334,508081625121</v>
      </c>
      <c r="M52" s="481" t="str">
        <f ca="1"/>
        <v>-0,000211420933570161</v>
      </c>
      <c r="N52" s="482" t="str">
        <f ca="1"/>
        <v>DEUTSCHETELEKOM_MMR.EUR.SU</v>
      </c>
    </row>
    <row r="53" spans="1:14" customFormat="1" ht="14.5">
      <c r="A53" s="233"/>
      <c r="B53" s="296">
        <v>15</v>
      </c>
      <c r="C53" s="266" t="s">
        <v>103</v>
      </c>
      <c r="D53" s="267">
        <v>1</v>
      </c>
      <c r="E53" s="257"/>
      <c r="F53" s="240">
        <v>0.4</v>
      </c>
      <c r="G53" s="234"/>
      <c r="H53" s="406">
        <v>39</v>
      </c>
      <c r="I53" s="469" t="str">
        <f ca="1"/>
        <v>0,261570325921491</v>
      </c>
      <c r="J53" s="469" t="str">
        <f ca="1"/>
        <v>0,000659352505401216</v>
      </c>
      <c r="K53" s="481" t="str">
        <f ca="1"/>
        <v>396,707866852383</v>
      </c>
      <c r="L53" s="481" t="str">
        <f ca="1"/>
        <v>396,707866852383</v>
      </c>
      <c r="M53" s="481" t="str">
        <f ca="1"/>
        <v>-0,00015426257358575</v>
      </c>
      <c r="N53" s="482" t="str">
        <f ca="1"/>
        <v>DIAGEO_MMR.EUR.SU</v>
      </c>
    </row>
    <row r="54" spans="1:14" customFormat="1" ht="14.5">
      <c r="A54" s="233"/>
      <c r="B54" s="296">
        <v>16</v>
      </c>
      <c r="C54" s="266" t="s">
        <v>104</v>
      </c>
      <c r="D54" s="267">
        <v>1</v>
      </c>
      <c r="E54" s="257"/>
      <c r="F54" s="240">
        <v>0.4</v>
      </c>
      <c r="G54" s="234"/>
      <c r="H54" s="406">
        <v>40</v>
      </c>
      <c r="I54" s="469" t="str">
        <f ca="1"/>
        <v>0,377777148748043</v>
      </c>
      <c r="J54" s="469" t="str">
        <f ca="1"/>
        <v>0,00178135054728493</v>
      </c>
      <c r="K54" s="481" t="str">
        <f ca="1"/>
        <v>212,073445804273</v>
      </c>
      <c r="L54" s="481" t="str">
        <f ca="1"/>
        <v>212,073445804273</v>
      </c>
      <c r="M54" s="481" t="str">
        <f ca="1"/>
        <v>-0,000408688713481231</v>
      </c>
      <c r="N54" s="482" t="str">
        <f ca="1"/>
        <v>DIXONSGROUPPLC_MMR.EUR.SU</v>
      </c>
    </row>
    <row r="55" spans="1:14" customFormat="1" ht="14.5">
      <c r="A55" s="233"/>
      <c r="B55" s="296">
        <v>17</v>
      </c>
      <c r="C55" s="266" t="s">
        <v>105</v>
      </c>
      <c r="D55" s="267">
        <v>1</v>
      </c>
      <c r="E55" s="257"/>
      <c r="F55" s="240">
        <v>0.4</v>
      </c>
      <c r="G55" s="234"/>
      <c r="H55" s="406">
        <v>41</v>
      </c>
      <c r="I55" s="469" t="str">
        <f ca="1"/>
        <v>0,256985245230526</v>
      </c>
      <c r="J55" s="469" t="str">
        <f ca="1"/>
        <v>0,000636908859259168</v>
      </c>
      <c r="K55" s="481" t="str">
        <f ca="1"/>
        <v>403,48825659207</v>
      </c>
      <c r="L55" s="481" t="str">
        <f ca="1"/>
        <v>403,48825659207</v>
      </c>
      <c r="M55" s="481" t="str">
        <f ca="1"/>
        <v>-0,000148556205595063</v>
      </c>
      <c r="N55" s="482" t="str">
        <f ca="1"/>
        <v>DSM_MMR.EUR.SU</v>
      </c>
    </row>
    <row r="56" spans="1:14" customFormat="1" ht="14.5">
      <c r="A56" s="233"/>
      <c r="B56" s="296">
        <v>18</v>
      </c>
      <c r="C56" s="266" t="s">
        <v>106</v>
      </c>
      <c r="D56" s="267">
        <v>1</v>
      </c>
      <c r="E56" s="257"/>
      <c r="F56" s="240">
        <v>0.4</v>
      </c>
      <c r="G56" s="234"/>
      <c r="H56" s="406">
        <v>42</v>
      </c>
      <c r="I56" s="469" t="str">
        <f ca="1"/>
        <v>0,25700182931229</v>
      </c>
      <c r="J56" s="469" t="str">
        <f ca="1"/>
        <v>0,000636949413493535</v>
      </c>
      <c r="K56" s="481" t="str">
        <f ca="1"/>
        <v>403,488603439775</v>
      </c>
      <c r="L56" s="481" t="str">
        <f ca="1"/>
        <v>403,488603439775</v>
      </c>
      <c r="M56" s="481" t="str">
        <f ca="1"/>
        <v>-0,000148195374159888</v>
      </c>
      <c r="N56" s="482" t="str">
        <f ca="1"/>
        <v>EADS_MMR.EUR.SU</v>
      </c>
    </row>
    <row r="57" spans="1:14" customFormat="1" ht="14.5">
      <c r="A57" s="233"/>
      <c r="B57" s="296">
        <v>19</v>
      </c>
      <c r="C57" s="266" t="s">
        <v>107</v>
      </c>
      <c r="D57" s="267">
        <v>1</v>
      </c>
      <c r="E57" s="257"/>
      <c r="F57" s="240">
        <v>0.4</v>
      </c>
      <c r="G57" s="234"/>
      <c r="H57" s="406">
        <v>43</v>
      </c>
      <c r="I57" s="469" t="str">
        <f ca="1"/>
        <v>0,231524045006193</v>
      </c>
      <c r="J57" s="469" t="str">
        <f ca="1"/>
        <v>0,000478949382124931</v>
      </c>
      <c r="K57" s="481" t="str">
        <f ca="1"/>
        <v>483,399819786805</v>
      </c>
      <c r="L57" s="481" t="str">
        <f ca="1"/>
        <v>483,399819786805</v>
      </c>
      <c r="M57" s="481" t="str">
        <f ca="1"/>
        <v>-0,000108565343423161</v>
      </c>
      <c r="N57" s="482" t="str">
        <f ca="1"/>
        <v>EDF_MMR.EUR.SU</v>
      </c>
    </row>
    <row r="58" spans="1:14" customFormat="1" ht="14.5">
      <c r="A58" s="233"/>
      <c r="B58" s="296">
        <v>20</v>
      </c>
      <c r="C58" s="266" t="s">
        <v>108</v>
      </c>
      <c r="D58" s="267">
        <v>1</v>
      </c>
      <c r="E58" s="257"/>
      <c r="F58" s="240">
        <v>0.4</v>
      </c>
      <c r="G58" s="234"/>
      <c r="H58" s="406">
        <v>44</v>
      </c>
      <c r="I58" s="469" t="str">
        <f ca="1"/>
        <v>0,279030455519905</v>
      </c>
      <c r="J58" s="469" t="str">
        <f ca="1"/>
        <v>0,000771253083177367</v>
      </c>
      <c r="K58" s="481" t="str">
        <f ca="1"/>
        <v>361,788447406097</v>
      </c>
      <c r="L58" s="481" t="str">
        <f ca="1"/>
        <v>361,788447406097</v>
      </c>
      <c r="M58" s="481" t="str">
        <f ca="1"/>
        <v>-0,000183799793392936</v>
      </c>
      <c r="N58" s="482" t="str">
        <f ca="1"/>
        <v>EDISON_MMR.EUR.SU</v>
      </c>
    </row>
    <row r="59" spans="1:14" customFormat="1" ht="14.5">
      <c r="A59" s="233"/>
      <c r="B59" s="296">
        <v>21</v>
      </c>
      <c r="C59" s="266" t="s">
        <v>109</v>
      </c>
      <c r="D59" s="267">
        <v>1</v>
      </c>
      <c r="E59" s="257"/>
      <c r="F59" s="240">
        <v>0.4</v>
      </c>
      <c r="G59" s="234"/>
      <c r="H59" s="406">
        <v>45</v>
      </c>
      <c r="I59" s="469" t="str">
        <f ca="1"/>
        <v>0,286261924548222</v>
      </c>
      <c r="J59" s="469" t="str">
        <f ca="1"/>
        <v>0,000815790527669449</v>
      </c>
      <c r="K59" s="481" t="str">
        <f ca="1"/>
        <v>350,901260604257</v>
      </c>
      <c r="L59" s="481" t="str">
        <f ca="1"/>
        <v>350,901260604257</v>
      </c>
      <c r="M59" s="481" t="str">
        <f ca="1"/>
        <v>-0,000195387363089949</v>
      </c>
      <c r="N59" s="482" t="str">
        <f ca="1"/>
        <v>ELECTRICITEDEPORTUGAL_MMR.EUR.SU</v>
      </c>
    </row>
    <row r="60" spans="1:14" customFormat="1" ht="14.5">
      <c r="A60" s="233"/>
      <c r="B60" s="296">
        <v>22</v>
      </c>
      <c r="C60" s="266" t="s">
        <v>110</v>
      </c>
      <c r="D60" s="267">
        <v>1</v>
      </c>
      <c r="E60" s="257"/>
      <c r="F60" s="240">
        <v>0.4</v>
      </c>
      <c r="G60" s="234"/>
      <c r="H60" s="406">
        <v>46</v>
      </c>
      <c r="I60" s="469" t="str">
        <f ca="1"/>
        <v>0,277211240641158</v>
      </c>
      <c r="J60" s="469" t="str">
        <f ca="1"/>
        <v>0,000794032293737974</v>
      </c>
      <c r="K60" s="481" t="str">
        <f ca="1"/>
        <v>349,118345472024</v>
      </c>
      <c r="L60" s="481" t="str">
        <f ca="1"/>
        <v>349,118345472024</v>
      </c>
      <c r="M60" s="481" t="str">
        <f ca="1"/>
        <v>-0,000187726965149526</v>
      </c>
      <c r="N60" s="482" t="str">
        <f ca="1"/>
        <v>ELECTROLUX_MMR.EUR.SU</v>
      </c>
    </row>
    <row r="61" spans="1:14" customFormat="1" ht="14.5">
      <c r="A61" s="233"/>
      <c r="B61" s="296">
        <v>23</v>
      </c>
      <c r="C61" s="266" t="s">
        <v>111</v>
      </c>
      <c r="D61" s="267">
        <v>1</v>
      </c>
      <c r="E61" s="257"/>
      <c r="F61" s="240">
        <v>0.4</v>
      </c>
      <c r="G61" s="234"/>
      <c r="H61" s="406">
        <v>47</v>
      </c>
      <c r="I61" s="469" t="str">
        <f ca="1"/>
        <v>0,31241276454661</v>
      </c>
      <c r="J61" s="469" t="str">
        <f ca="1"/>
        <v>0,00101574508108852</v>
      </c>
      <c r="K61" s="481" t="str">
        <f ca="1"/>
        <v>307,570049181842</v>
      </c>
      <c r="L61" s="481" t="str">
        <f ca="1"/>
        <v>307,570049181842</v>
      </c>
      <c r="M61" s="481" t="str">
        <f ca="1"/>
        <v>-0,000244699504542867</v>
      </c>
      <c r="N61" s="482" t="str">
        <f ca="1"/>
        <v>ENDESA_MMR.EUR.SU</v>
      </c>
    </row>
    <row r="62" spans="1:14" customFormat="1" ht="14.5">
      <c r="A62" s="233"/>
      <c r="B62" s="296">
        <v>24</v>
      </c>
      <c r="C62" s="266" t="s">
        <v>112</v>
      </c>
      <c r="D62" s="267">
        <v>1</v>
      </c>
      <c r="E62" s="257"/>
      <c r="F62" s="240">
        <v>0.4</v>
      </c>
      <c r="G62" s="234"/>
      <c r="H62" s="406">
        <v>48</v>
      </c>
      <c r="I62" s="469" t="str">
        <f ca="1"/>
        <v>0,292558261287179</v>
      </c>
      <c r="J62" s="469" t="str">
        <f ca="1"/>
        <v>0,000860359220249254</v>
      </c>
      <c r="K62" s="481" t="str">
        <f ca="1"/>
        <v>340,041989905591</v>
      </c>
      <c r="L62" s="481" t="str">
        <f ca="1"/>
        <v>340,041989905591</v>
      </c>
      <c r="M62" s="481" t="str">
        <f ca="1"/>
        <v>-0,000206606792957542</v>
      </c>
      <c r="N62" s="482" t="str">
        <f ca="1"/>
        <v>ENEL_MMR.EUR.SU</v>
      </c>
    </row>
    <row r="63" spans="1:14" customFormat="1" ht="14.5">
      <c r="A63" s="233"/>
      <c r="B63" s="296">
        <v>25</v>
      </c>
      <c r="C63" s="266" t="s">
        <v>113</v>
      </c>
      <c r="D63" s="267">
        <v>1</v>
      </c>
      <c r="E63" s="257"/>
      <c r="F63" s="240">
        <v>0.4</v>
      </c>
      <c r="G63" s="234"/>
      <c r="H63" s="406">
        <v>49</v>
      </c>
      <c r="I63" s="469" t="str">
        <f ca="1"/>
        <v>0,240394396364454</v>
      </c>
      <c r="J63" s="469" t="str">
        <f ca="1"/>
        <v>0,000501378501453293</v>
      </c>
      <c r="K63" s="481" t="str">
        <f ca="1"/>
        <v>479,466901088994</v>
      </c>
      <c r="L63" s="481" t="str">
        <f ca="1"/>
        <v>479,466901088994</v>
      </c>
      <c r="M63" s="481" t="str">
        <f ca="1"/>
        <v>-0,000115588598006866</v>
      </c>
      <c r="N63" s="482" t="str">
        <f ca="1"/>
        <v>ENERGIEBADENWUERTTEMBERG_MMR.EUR.SU</v>
      </c>
    </row>
    <row r="64" spans="1:14" customFormat="1" ht="14.5">
      <c r="A64" s="233"/>
      <c r="B64" s="296">
        <v>26</v>
      </c>
      <c r="C64" s="266" t="s">
        <v>114</v>
      </c>
      <c r="D64" s="267">
        <v>1</v>
      </c>
      <c r="E64" s="257"/>
      <c r="F64" s="240">
        <v>0.4</v>
      </c>
      <c r="G64" s="234"/>
      <c r="H64" s="406">
        <v>50</v>
      </c>
      <c r="I64" s="469" t="str">
        <f ca="1"/>
        <v>0,249814125847372</v>
      </c>
      <c r="J64" s="469" t="str">
        <f ca="1"/>
        <v>0,000546436312282639</v>
      </c>
      <c r="K64" s="481" t="str">
        <f ca="1"/>
        <v>457,169701632416</v>
      </c>
      <c r="L64" s="481" t="str">
        <f ca="1"/>
        <v>457,169701632416</v>
      </c>
      <c r="M64" s="481" t="str">
        <f ca="1"/>
        <v>-0,000127392391089965</v>
      </c>
      <c r="N64" s="482" t="str">
        <f ca="1"/>
        <v>EON_MMR.EUR.SU</v>
      </c>
    </row>
    <row r="65" spans="1:14" customFormat="1" ht="14.5">
      <c r="A65" s="233"/>
      <c r="B65" s="296">
        <v>27</v>
      </c>
      <c r="C65" s="266" t="s">
        <v>115</v>
      </c>
      <c r="D65" s="267">
        <v>1</v>
      </c>
      <c r="E65" s="257"/>
      <c r="F65" s="240">
        <v>0.4</v>
      </c>
      <c r="G65" s="234"/>
      <c r="H65" s="406">
        <v>51</v>
      </c>
      <c r="I65" s="469" t="str">
        <f ca="1"/>
        <v>0,252713961059169</v>
      </c>
      <c r="J65" s="469" t="str">
        <f ca="1"/>
        <v>0,000614410792562793</v>
      </c>
      <c r="K65" s="481" t="str">
        <f ca="1"/>
        <v>411,311070896173</v>
      </c>
      <c r="L65" s="481" t="str">
        <f ca="1"/>
        <v>411,311070896173</v>
      </c>
      <c r="M65" s="481" t="str">
        <f ca="1"/>
        <v>-0,000142743133216472</v>
      </c>
      <c r="N65" s="482" t="str">
        <f ca="1"/>
        <v>FORTUMOYJ_MMR.EUR.SU</v>
      </c>
    </row>
    <row r="66" spans="1:14" customFormat="1" ht="14.5">
      <c r="A66" s="233"/>
      <c r="B66" s="296">
        <v>28</v>
      </c>
      <c r="C66" s="266" t="s">
        <v>116</v>
      </c>
      <c r="D66" s="267">
        <v>1</v>
      </c>
      <c r="E66" s="257"/>
      <c r="F66" s="240">
        <v>0.4</v>
      </c>
      <c r="G66" s="234"/>
      <c r="H66" s="406">
        <v>52</v>
      </c>
      <c r="I66" s="469" t="str">
        <f ca="1"/>
        <v>0,26862302677524</v>
      </c>
      <c r="J66" s="469" t="str">
        <f ca="1"/>
        <v>0,000681595872067297</v>
      </c>
      <c r="K66" s="481" t="str">
        <f ca="1"/>
        <v>394,108940185479</v>
      </c>
      <c r="L66" s="481" t="str">
        <f ca="1"/>
        <v>394,108940185479</v>
      </c>
      <c r="M66" s="481" t="str">
        <f ca="1"/>
        <v>-0,000161192498439866</v>
      </c>
      <c r="N66" s="482" t="str">
        <f ca="1"/>
        <v>FRANCETELECOM_MMR.EUR.SU</v>
      </c>
    </row>
    <row r="67" spans="1:14" customFormat="1" ht="14.5">
      <c r="A67" s="233"/>
      <c r="B67" s="296">
        <v>29</v>
      </c>
      <c r="C67" s="266" t="s">
        <v>117</v>
      </c>
      <c r="D67" s="267">
        <v>1</v>
      </c>
      <c r="E67" s="257"/>
      <c r="F67" s="240">
        <v>0.4</v>
      </c>
      <c r="G67" s="234"/>
      <c r="H67" s="406">
        <v>53</v>
      </c>
      <c r="I67" s="469" t="str">
        <f ca="1"/>
        <v>0,236710993348868</v>
      </c>
      <c r="J67" s="469" t="str">
        <f ca="1"/>
        <v>0,000524214450026355</v>
      </c>
      <c r="K67" s="481" t="str">
        <f ca="1"/>
        <v>451,55373595094</v>
      </c>
      <c r="L67" s="481" t="str">
        <f ca="1"/>
        <v>451,55373595094</v>
      </c>
      <c r="M67" s="481" t="str">
        <f ca="1"/>
        <v>-0,000119801828260457</v>
      </c>
      <c r="N67" s="482" t="str">
        <f ca="1"/>
        <v>GALLAHERGROUPPLC_MMR.EUR.SU</v>
      </c>
    </row>
    <row r="68" spans="1:14" customFormat="1" ht="14.5">
      <c r="A68" s="233"/>
      <c r="B68" s="296">
        <v>30</v>
      </c>
      <c r="C68" s="266" t="s">
        <v>118</v>
      </c>
      <c r="D68" s="267">
        <v>1</v>
      </c>
      <c r="E68" s="257"/>
      <c r="F68" s="240">
        <v>0.4</v>
      </c>
      <c r="G68" s="234"/>
      <c r="H68" s="406">
        <v>54</v>
      </c>
      <c r="I68" s="469" t="str">
        <f ca="1"/>
        <v>0,226182262963073</v>
      </c>
      <c r="J68" s="469" t="str">
        <f ca="1"/>
        <v>0,000456326684980305</v>
      </c>
      <c r="K68" s="481" t="str">
        <f ca="1"/>
        <v>495,65863756759</v>
      </c>
      <c r="L68" s="481" t="str">
        <f ca="1"/>
        <v>495,65863756759</v>
      </c>
      <c r="M68" s="481" t="str">
        <f ca="1"/>
        <v>-0,000102674828629934</v>
      </c>
      <c r="N68" s="482" t="str">
        <f ca="1"/>
        <v>GASNATURALSDGSA_MMR.EUR.SU</v>
      </c>
    </row>
    <row r="69" spans="1:14" customFormat="1" ht="14.5">
      <c r="A69" s="233"/>
      <c r="B69" s="296">
        <v>31</v>
      </c>
      <c r="C69" s="266" t="s">
        <v>119</v>
      </c>
      <c r="D69" s="267">
        <v>1</v>
      </c>
      <c r="E69" s="257"/>
      <c r="F69" s="240">
        <v>0.4</v>
      </c>
      <c r="G69" s="234"/>
      <c r="H69" s="406">
        <v>55</v>
      </c>
      <c r="I69" s="469" t="str">
        <f ca="1"/>
        <v>0,229254335544767</v>
      </c>
      <c r="J69" s="469" t="str">
        <f ca="1"/>
        <v>0,000478939538226146</v>
      </c>
      <c r="K69" s="481" t="str">
        <f ca="1"/>
        <v>478,670724062288</v>
      </c>
      <c r="L69" s="481" t="str">
        <f ca="1"/>
        <v>478,670724062288</v>
      </c>
      <c r="M69" s="481" t="str">
        <f ca="1"/>
        <v>-0,000108618872244404</v>
      </c>
      <c r="N69" s="482" t="str">
        <f ca="1"/>
        <v>GAZDEFRANCE_MMR.EUR.SU</v>
      </c>
    </row>
    <row r="70" spans="1:14" customFormat="1" ht="14.5">
      <c r="A70" s="233"/>
      <c r="B70" s="296">
        <v>32</v>
      </c>
      <c r="C70" s="266" t="s">
        <v>120</v>
      </c>
      <c r="D70" s="267">
        <v>1</v>
      </c>
      <c r="E70" s="257"/>
      <c r="F70" s="240">
        <v>0.4</v>
      </c>
      <c r="G70" s="234"/>
      <c r="H70" s="406">
        <v>56</v>
      </c>
      <c r="I70" s="469" t="str">
        <f ca="1"/>
        <v>0,273477570688586</v>
      </c>
      <c r="J70" s="469" t="str">
        <f ca="1"/>
        <v>0,000703788581193665</v>
      </c>
      <c r="K70" s="481" t="str">
        <f ca="1"/>
        <v>388,579152882465</v>
      </c>
      <c r="L70" s="481" t="str">
        <f ca="1"/>
        <v>388,579152882465</v>
      </c>
      <c r="M70" s="481" t="str">
        <f ca="1"/>
        <v>-0,000167753156787454</v>
      </c>
      <c r="N70" s="482" t="str">
        <f ca="1"/>
        <v>GENERALI_MMR.EUR.SU</v>
      </c>
    </row>
    <row r="71" spans="1:14" customFormat="1" ht="14.5">
      <c r="A71" s="233"/>
      <c r="B71" s="296">
        <v>33</v>
      </c>
      <c r="C71" s="266" t="s">
        <v>121</v>
      </c>
      <c r="D71" s="267">
        <v>1</v>
      </c>
      <c r="E71" s="257"/>
      <c r="F71" s="240">
        <v>0.4</v>
      </c>
      <c r="G71" s="234"/>
      <c r="H71" s="406">
        <v>57</v>
      </c>
      <c r="I71" s="469" t="str">
        <f ca="1"/>
        <v>0,331097252139176</v>
      </c>
      <c r="J71" s="469" t="str">
        <f ca="1"/>
        <v>0,00123738009145918</v>
      </c>
      <c r="K71" s="481" t="str">
        <f ca="1"/>
        <v>267,579262366125</v>
      </c>
      <c r="L71" s="481" t="str">
        <f ca="1"/>
        <v>267,579262366125</v>
      </c>
      <c r="M71" s="481" t="str">
        <f ca="1"/>
        <v>-0,000294198935369083</v>
      </c>
      <c r="N71" s="482" t="str">
        <f ca="1"/>
        <v>GKN HOLDINGS  PLC_MMR.EUR.SU</v>
      </c>
    </row>
    <row r="72" spans="1:14" customFormat="1" ht="14.5">
      <c r="A72" s="233"/>
      <c r="B72" s="296">
        <v>34</v>
      </c>
      <c r="C72" s="266" t="s">
        <v>122</v>
      </c>
      <c r="D72" s="267">
        <v>1</v>
      </c>
      <c r="E72" s="257"/>
      <c r="F72" s="240">
        <v>0.4</v>
      </c>
      <c r="G72" s="234"/>
      <c r="H72" s="406">
        <v>58</v>
      </c>
      <c r="I72" s="469" t="str">
        <f ca="1"/>
        <v>0,344043849918138</v>
      </c>
      <c r="J72" s="469" t="str">
        <f ca="1"/>
        <v>0,00134669782942523</v>
      </c>
      <c r="K72" s="481" t="str">
        <f ca="1"/>
        <v>255,472194579073</v>
      </c>
      <c r="L72" s="481" t="str">
        <f ca="1"/>
        <v>255,472194579073</v>
      </c>
      <c r="M72" s="481" t="str">
        <f ca="1"/>
        <v>-0,000319533019785445</v>
      </c>
      <c r="N72" s="482" t="str">
        <f ca="1"/>
        <v>GLENCOREINTAG_MMR.EUR.SU</v>
      </c>
    </row>
    <row r="73" spans="1:14" customFormat="1" ht="14.5">
      <c r="A73" s="233"/>
      <c r="B73" s="296">
        <v>35</v>
      </c>
      <c r="C73" s="266" t="s">
        <v>123</v>
      </c>
      <c r="D73" s="267">
        <v>1</v>
      </c>
      <c r="E73" s="257"/>
      <c r="F73" s="240">
        <v>0.4</v>
      </c>
      <c r="G73" s="234"/>
      <c r="H73" s="406">
        <v>59</v>
      </c>
      <c r="I73" s="469" t="str">
        <f ca="1"/>
        <v>0,27740692879757</v>
      </c>
      <c r="J73" s="469" t="str">
        <f ca="1"/>
        <v>0,000793969363110965</v>
      </c>
      <c r="K73" s="481" t="str">
        <f ca="1"/>
        <v>349,392485008014</v>
      </c>
      <c r="L73" s="481" t="str">
        <f ca="1"/>
        <v>349,392485008014</v>
      </c>
      <c r="M73" s="481" t="str">
        <f ca="1"/>
        <v>-0,000187893950362073</v>
      </c>
      <c r="N73" s="482" t="str">
        <f ca="1"/>
        <v>GREATUNIVERSALSTORES_MMR.EUR.SU</v>
      </c>
    </row>
    <row r="74" spans="1:14" customFormat="1" ht="14.5">
      <c r="A74" s="233"/>
      <c r="B74" s="296">
        <v>36</v>
      </c>
      <c r="C74" s="266" t="s">
        <v>124</v>
      </c>
      <c r="D74" s="267">
        <v>1</v>
      </c>
      <c r="E74" s="257"/>
      <c r="F74" s="240">
        <v>0.4</v>
      </c>
      <c r="G74" s="234"/>
      <c r="H74" s="406">
        <v>60</v>
      </c>
      <c r="I74" s="469" t="str">
        <f ca="1"/>
        <v>0,271978943509593</v>
      </c>
      <c r="J74" s="469" t="str">
        <f ca="1"/>
        <v>0,000681268186282699</v>
      </c>
      <c r="K74" s="481" t="str">
        <f ca="1"/>
        <v>399,224488954388</v>
      </c>
      <c r="L74" s="481" t="str">
        <f ca="1"/>
        <v>399,224488954388</v>
      </c>
      <c r="M74" s="481" t="str">
        <f ca="1"/>
        <v>-0,000162310657510445</v>
      </c>
      <c r="N74" s="482" t="str">
        <f ca="1"/>
        <v>HANNOVERRUECK_MMR.EUR.SU</v>
      </c>
    </row>
    <row r="75" spans="1:14" customFormat="1" ht="14.5">
      <c r="A75" s="233"/>
      <c r="B75" s="296">
        <v>37</v>
      </c>
      <c r="C75" s="266" t="s">
        <v>125</v>
      </c>
      <c r="D75" s="267">
        <v>1</v>
      </c>
      <c r="E75" s="257"/>
      <c r="F75" s="240">
        <v>0.4</v>
      </c>
      <c r="G75" s="234"/>
      <c r="H75" s="406">
        <v>61</v>
      </c>
      <c r="I75" s="469" t="str">
        <f ca="1"/>
        <v>0,312105441117575</v>
      </c>
      <c r="J75" s="469" t="str">
        <f ca="1"/>
        <v>0,00106075037935436</v>
      </c>
      <c r="K75" s="481" t="str">
        <f ca="1"/>
        <v>294,23080791877</v>
      </c>
      <c r="L75" s="481" t="str">
        <f ca="1"/>
        <v>294,23080791877</v>
      </c>
      <c r="M75" s="481" t="str">
        <f ca="1"/>
        <v>-0,000253602917256912</v>
      </c>
      <c r="N75" s="482" t="str">
        <f ca="1"/>
        <v>HELLENIC TELCOM_MMR.EUR.SU</v>
      </c>
    </row>
    <row r="76" spans="1:14" customFormat="1" ht="14.5">
      <c r="A76" s="233"/>
      <c r="B76" s="296">
        <v>38</v>
      </c>
      <c r="C76" s="266" t="s">
        <v>126</v>
      </c>
      <c r="D76" s="267">
        <v>1</v>
      </c>
      <c r="E76" s="257"/>
      <c r="F76" s="240">
        <v>0.4</v>
      </c>
      <c r="G76" s="234"/>
      <c r="H76" s="406">
        <v>62</v>
      </c>
      <c r="I76" s="469" t="str">
        <f ca="1"/>
        <v>0,241462678432999</v>
      </c>
      <c r="J76" s="469" t="str">
        <f ca="1"/>
        <v>0,000546788705512041</v>
      </c>
      <c r="K76" s="481" t="str">
        <f ca="1"/>
        <v>441,601437628235</v>
      </c>
      <c r="L76" s="481" t="str">
        <f ca="1"/>
        <v>441,601437628235</v>
      </c>
      <c r="M76" s="481" t="str">
        <f ca="1"/>
        <v>-0,00012524876596951</v>
      </c>
      <c r="N76" s="482" t="str">
        <f ca="1"/>
        <v>HENKELKG_MMR.EUR.SU</v>
      </c>
    </row>
    <row r="77" spans="1:14" customFormat="1" ht="14.5">
      <c r="A77" s="233"/>
      <c r="B77" s="296">
        <v>39</v>
      </c>
      <c r="C77" s="266" t="s">
        <v>127</v>
      </c>
      <c r="D77" s="267">
        <v>1</v>
      </c>
      <c r="E77" s="257"/>
      <c r="F77" s="240">
        <v>0.4</v>
      </c>
      <c r="G77" s="234"/>
      <c r="H77" s="406">
        <v>63</v>
      </c>
      <c r="I77" s="469" t="str">
        <f ca="1"/>
        <v>0,279991735520532</v>
      </c>
      <c r="J77" s="469" t="str">
        <f ca="1"/>
        <v>0,000771117679080448</v>
      </c>
      <c r="K77" s="481" t="str">
        <f ca="1"/>
        <v>363,098581599659</v>
      </c>
      <c r="L77" s="481" t="str">
        <f ca="1"/>
        <v>363,098581599659</v>
      </c>
      <c r="M77" s="481" t="str">
        <f ca="1"/>
        <v>-0,000184275041934567</v>
      </c>
      <c r="N77" s="482" t="str">
        <f ca="1"/>
        <v>IBERDROLA_MMR.EUR.SU</v>
      </c>
    </row>
    <row r="78" spans="1:14" customFormat="1" ht="14.5">
      <c r="A78" s="233"/>
      <c r="B78" s="296">
        <v>40</v>
      </c>
      <c r="C78" s="266" t="s">
        <v>128</v>
      </c>
      <c r="D78" s="267">
        <v>1</v>
      </c>
      <c r="E78" s="257"/>
      <c r="F78" s="240">
        <v>0.4</v>
      </c>
      <c r="G78" s="234"/>
      <c r="H78" s="406">
        <v>64</v>
      </c>
      <c r="I78" s="469" t="str">
        <f ca="1"/>
        <v>0,191506613483697</v>
      </c>
      <c r="J78" s="469" t="str">
        <f ca="1"/>
        <v>0,00045762148999992</v>
      </c>
      <c r="K78" s="481" t="str">
        <f ca="1"/>
        <v>418,48256183015</v>
      </c>
      <c r="L78" s="481" t="str">
        <f ca="1"/>
        <v>418,48256183015</v>
      </c>
      <c r="M78" s="481" t="str">
        <f ca="1"/>
        <v>-6,23520905885577E-05</v>
      </c>
      <c r="N78" s="482" t="str">
        <f ca="1"/>
        <v>ICI_MMR.EUR.SU</v>
      </c>
    </row>
    <row r="79" spans="1:14" customFormat="1" ht="14.5">
      <c r="A79" s="233"/>
      <c r="B79" s="296">
        <v>41</v>
      </c>
      <c r="C79" s="266" t="s">
        <v>129</v>
      </c>
      <c r="D79" s="267">
        <v>1</v>
      </c>
      <c r="E79" s="257"/>
      <c r="F79" s="240">
        <v>0.4</v>
      </c>
      <c r="G79" s="234"/>
      <c r="H79" s="406">
        <v>65</v>
      </c>
      <c r="I79" s="469" t="str">
        <f ca="1"/>
        <v>0,271841240859864</v>
      </c>
      <c r="J79" s="469" t="str">
        <f ca="1"/>
        <v>0,00068121140864947</v>
      </c>
      <c r="K79" s="481" t="str">
        <f ca="1"/>
        <v>399,055619750703</v>
      </c>
      <c r="L79" s="481" t="str">
        <f ca="1"/>
        <v>399,055619750703</v>
      </c>
      <c r="M79" s="481" t="str">
        <f ca="1"/>
        <v>-0,000162686862658146</v>
      </c>
      <c r="N79" s="482" t="str">
        <f ca="1"/>
        <v>INTESA_MMR.EUR.SU</v>
      </c>
    </row>
    <row r="80" spans="1:14" customFormat="1" ht="14.5">
      <c r="A80" s="233"/>
      <c r="B80" s="296">
        <v>42</v>
      </c>
      <c r="C80" s="266" t="s">
        <v>130</v>
      </c>
      <c r="D80" s="267">
        <v>1</v>
      </c>
      <c r="E80" s="257"/>
      <c r="F80" s="240">
        <v>0.4</v>
      </c>
      <c r="G80" s="234"/>
      <c r="H80" s="406">
        <v>66</v>
      </c>
      <c r="I80" s="469" t="str">
        <f ca="1"/>
        <v>0,413021067601135</v>
      </c>
      <c r="J80" s="469" t="str">
        <f ca="1"/>
        <v>0,0022863764313347</v>
      </c>
      <c r="K80" s="481" t="str">
        <f ca="1"/>
        <v>180,644386436414</v>
      </c>
      <c r="L80" s="481" t="str">
        <f ca="1"/>
        <v>180,644386436414</v>
      </c>
      <c r="M80" s="481" t="str">
        <f ca="1"/>
        <v>-0,000496436007295898</v>
      </c>
      <c r="N80" s="482" t="str">
        <f ca="1"/>
        <v>KINGFISHER_MMR.EUR.SU</v>
      </c>
    </row>
    <row r="81" spans="1:14" customFormat="1" ht="14.5">
      <c r="A81" s="233"/>
      <c r="B81" s="296">
        <v>43</v>
      </c>
      <c r="C81" s="266" t="s">
        <v>131</v>
      </c>
      <c r="D81" s="267">
        <v>1</v>
      </c>
      <c r="E81" s="257"/>
      <c r="F81" s="240">
        <v>0.4</v>
      </c>
      <c r="G81" s="234"/>
      <c r="H81" s="406">
        <v>67</v>
      </c>
      <c r="I81" s="469" t="str">
        <f ca="1"/>
        <v>0,294782695841907</v>
      </c>
      <c r="J81" s="469" t="str">
        <f ca="1"/>
        <v>0,000905254125934774</v>
      </c>
      <c r="K81" s="481" t="str">
        <f ca="1"/>
        <v>325,635296649448</v>
      </c>
      <c r="L81" s="481" t="str">
        <f ca="1"/>
        <v>325,635296649448</v>
      </c>
      <c r="M81" s="481" t="str">
        <f ca="1"/>
        <v>-0,000216535987429101</v>
      </c>
      <c r="N81" s="482" t="str">
        <f ca="1"/>
        <v>KPN_MMR.EUR.SU</v>
      </c>
    </row>
    <row r="82" spans="1:14" customFormat="1" ht="14.5">
      <c r="A82" s="233"/>
      <c r="B82" s="296">
        <v>44</v>
      </c>
      <c r="C82" s="266" t="s">
        <v>132</v>
      </c>
      <c r="D82" s="267">
        <v>1</v>
      </c>
      <c r="E82" s="257"/>
      <c r="F82" s="240">
        <v>0.4</v>
      </c>
      <c r="G82" s="234"/>
      <c r="H82" s="406">
        <v>68</v>
      </c>
      <c r="I82" s="469" t="str">
        <f ca="1"/>
        <v>0,321117548778741</v>
      </c>
      <c r="J82" s="469" t="str">
        <f ca="1"/>
        <v>0,00114945453352373</v>
      </c>
      <c r="K82" s="481" t="str">
        <f ca="1"/>
        <v>279,365159224118</v>
      </c>
      <c r="L82" s="481" t="str">
        <f ca="1"/>
        <v>279,365159224118</v>
      </c>
      <c r="M82" s="481" t="str">
        <f ca="1"/>
        <v>-0,000273563348527462</v>
      </c>
      <c r="N82" s="482" t="str">
        <f ca="1"/>
        <v>LAFARGE_MMR.EUR.SU</v>
      </c>
    </row>
    <row r="83" spans="1:14" customFormat="1" ht="14.5">
      <c r="A83" s="233"/>
      <c r="B83" s="296">
        <v>45</v>
      </c>
      <c r="C83" s="266" t="s">
        <v>133</v>
      </c>
      <c r="D83" s="267">
        <v>1</v>
      </c>
      <c r="E83" s="257"/>
      <c r="F83" s="240">
        <v>0.4</v>
      </c>
      <c r="G83" s="234"/>
      <c r="H83" s="406">
        <v>69</v>
      </c>
      <c r="I83" s="469" t="str">
        <f ca="1"/>
        <v>0,251339350358337</v>
      </c>
      <c r="J83" s="469" t="str">
        <f ca="1"/>
        <v>0,000614482277527196</v>
      </c>
      <c r="K83" s="481" t="str">
        <f ca="1"/>
        <v>409,026199046421</v>
      </c>
      <c r="L83" s="481" t="str">
        <f ca="1"/>
        <v>409,026199046421</v>
      </c>
      <c r="M83" s="481" t="str">
        <f ca="1"/>
        <v>-0,000142663847469548</v>
      </c>
      <c r="N83" s="482" t="str">
        <f ca="1"/>
        <v>LINDE_MMR.EUR.SU</v>
      </c>
    </row>
    <row r="84" spans="1:14" customFormat="1" ht="14.5">
      <c r="A84" s="233"/>
      <c r="B84" s="296">
        <v>46</v>
      </c>
      <c r="C84" s="266" t="s">
        <v>134</v>
      </c>
      <c r="D84" s="267">
        <v>1</v>
      </c>
      <c r="E84" s="257"/>
      <c r="F84" s="240">
        <v>0.4</v>
      </c>
      <c r="G84" s="234"/>
      <c r="H84" s="406">
        <v>70</v>
      </c>
      <c r="I84" s="469" t="str">
        <f ca="1"/>
        <v>0,301691355580087</v>
      </c>
      <c r="J84" s="469" t="str">
        <f ca="1"/>
        <v>0,000972295884799539</v>
      </c>
      <c r="K84" s="481" t="str">
        <f ca="1"/>
        <v>310,287598967147</v>
      </c>
      <c r="L84" s="481" t="str">
        <f ca="1"/>
        <v>310,287598967147</v>
      </c>
      <c r="M84" s="481" t="str">
        <f ca="1"/>
        <v>-0,000231926768143742</v>
      </c>
      <c r="N84" s="482" t="str">
        <f ca="1"/>
        <v>LUFTHANSA_MMR.EUR.SU</v>
      </c>
    </row>
    <row r="85" spans="1:14" customFormat="1" ht="14.5">
      <c r="A85" s="233"/>
      <c r="B85" s="296">
        <v>47</v>
      </c>
      <c r="C85" s="266" t="s">
        <v>135</v>
      </c>
      <c r="D85" s="267">
        <v>1</v>
      </c>
      <c r="E85" s="257"/>
      <c r="F85" s="240">
        <v>0.4</v>
      </c>
      <c r="G85" s="234"/>
      <c r="H85" s="406">
        <v>71</v>
      </c>
      <c r="I85" s="469" t="str">
        <f ca="1"/>
        <v>0,257176951287636</v>
      </c>
      <c r="J85" s="469" t="str">
        <f ca="1"/>
        <v>0,000636848716459045</v>
      </c>
      <c r="K85" s="481" t="str">
        <f ca="1"/>
        <v>403,827384182496</v>
      </c>
      <c r="L85" s="481" t="str">
        <f ca="1"/>
        <v>403,827384182496</v>
      </c>
      <c r="M85" s="481" t="str">
        <f ca="1"/>
        <v>-0,000148773840114247</v>
      </c>
      <c r="N85" s="482" t="str">
        <f ca="1"/>
        <v>LVMH_MMR.EUR.SU</v>
      </c>
    </row>
    <row r="86" spans="1:14" customFormat="1" ht="14.5">
      <c r="A86" s="233"/>
      <c r="B86" s="296">
        <v>48</v>
      </c>
      <c r="C86" s="266" t="s">
        <v>136</v>
      </c>
      <c r="D86" s="267">
        <v>1</v>
      </c>
      <c r="E86" s="257"/>
      <c r="F86" s="240">
        <v>0.4</v>
      </c>
      <c r="G86" s="234"/>
      <c r="H86" s="406">
        <v>72</v>
      </c>
      <c r="I86" s="469" t="str">
        <f ca="1"/>
        <v>0,293926784117331</v>
      </c>
      <c r="J86" s="469" t="str">
        <f ca="1"/>
        <v>0,000905417157820317</v>
      </c>
      <c r="K86" s="481" t="str">
        <f ca="1"/>
        <v>324,631338801801</v>
      </c>
      <c r="L86" s="481" t="str">
        <f ca="1"/>
        <v>324,631338801801</v>
      </c>
      <c r="M86" s="481" t="str">
        <f ca="1"/>
        <v>-0,000215679210848174</v>
      </c>
      <c r="N86" s="482" t="str">
        <f ca="1"/>
        <v>MARKSANDSPENCERPLC_MMR.EUR.SU</v>
      </c>
    </row>
    <row r="87" spans="1:14" customFormat="1" ht="14.5">
      <c r="A87" s="233"/>
      <c r="B87" s="296">
        <v>49</v>
      </c>
      <c r="C87" s="266" t="s">
        <v>137</v>
      </c>
      <c r="D87" s="267">
        <v>1</v>
      </c>
      <c r="E87" s="257"/>
      <c r="F87" s="240">
        <v>0.4</v>
      </c>
      <c r="G87" s="234"/>
      <c r="H87" s="406">
        <v>73</v>
      </c>
      <c r="I87" s="469" t="str">
        <f ca="1"/>
        <v>0,26659314954225</v>
      </c>
      <c r="J87" s="469" t="str">
        <f ca="1"/>
        <v>0,000704182907293793</v>
      </c>
      <c r="K87" s="481" t="str">
        <f ca="1"/>
        <v>378,585090295332</v>
      </c>
      <c r="L87" s="481" t="str">
        <f ca="1"/>
        <v>378,585090295332</v>
      </c>
      <c r="M87" s="481" t="str">
        <f ca="1"/>
        <v>-0,000166400227602281</v>
      </c>
      <c r="N87" s="482" t="str">
        <f ca="1"/>
        <v>METRO_MMR.EUR.SU</v>
      </c>
    </row>
    <row r="88" spans="1:14" customFormat="1" ht="14.5">
      <c r="A88" s="233"/>
      <c r="B88" s="296">
        <v>50</v>
      </c>
      <c r="C88" s="266" t="s">
        <v>138</v>
      </c>
      <c r="D88" s="267">
        <v>1</v>
      </c>
      <c r="E88" s="257"/>
      <c r="F88" s="240">
        <v>0.4</v>
      </c>
      <c r="G88" s="234"/>
      <c r="H88" s="406">
        <v>74</v>
      </c>
      <c r="I88" s="469" t="str">
        <f ca="1"/>
        <v>0,294791464416046</v>
      </c>
      <c r="J88" s="469" t="str">
        <f ca="1"/>
        <v>0,000905427166627998</v>
      </c>
      <c r="K88" s="481" t="str">
        <f ca="1"/>
        <v>325,582747327885</v>
      </c>
      <c r="L88" s="481" t="str">
        <f ca="1"/>
        <v>325,582747327885</v>
      </c>
      <c r="M88" s="481" t="str">
        <f ca="1"/>
        <v>-0,000215634438432799</v>
      </c>
      <c r="N88" s="482" t="str">
        <f ca="1"/>
        <v>MICHELIN_MMR.EUR.SU</v>
      </c>
    </row>
    <row r="89" spans="1:14" customFormat="1" ht="14.5">
      <c r="A89" s="233"/>
      <c r="B89" s="296">
        <v>51</v>
      </c>
      <c r="C89" s="266" t="s">
        <v>139</v>
      </c>
      <c r="D89" s="267">
        <v>1</v>
      </c>
      <c r="E89" s="257"/>
      <c r="F89" s="240">
        <v>0.4</v>
      </c>
      <c r="G89" s="234"/>
      <c r="H89" s="406">
        <v>75</v>
      </c>
      <c r="I89" s="469" t="str">
        <f ca="1"/>
        <v>0,295558775489838</v>
      </c>
      <c r="J89" s="469" t="str">
        <f ca="1"/>
        <v>0,000837432823374509</v>
      </c>
      <c r="K89" s="481" t="str">
        <f ca="1"/>
        <v>352,934309762135</v>
      </c>
      <c r="L89" s="481" t="str">
        <f ca="1"/>
        <v>352,934309762135</v>
      </c>
      <c r="M89" s="481" t="str">
        <f ca="1"/>
        <v>-0,000202441911657725</v>
      </c>
      <c r="N89" s="482" t="str">
        <f ca="1"/>
        <v>MONTEDEIPASCHI_MMR.EUR.SU</v>
      </c>
    </row>
    <row r="90" spans="1:14" customFormat="1" ht="14.5">
      <c r="A90" s="233"/>
      <c r="B90" s="296">
        <v>52</v>
      </c>
      <c r="C90" s="266" t="s">
        <v>140</v>
      </c>
      <c r="D90" s="267">
        <v>1</v>
      </c>
      <c r="E90" s="257"/>
      <c r="F90" s="240">
        <v>0.4</v>
      </c>
      <c r="G90" s="234"/>
      <c r="H90" s="406">
        <v>76</v>
      </c>
      <c r="I90" s="469" t="str">
        <f ca="1"/>
        <v>0,269628959178133</v>
      </c>
      <c r="J90" s="469" t="str">
        <f ca="1"/>
        <v>0,000658742319780566</v>
      </c>
      <c r="K90" s="481" t="str">
        <f ca="1"/>
        <v>409,308694889907</v>
      </c>
      <c r="L90" s="481" t="str">
        <f ca="1"/>
        <v>409,308694889907</v>
      </c>
      <c r="M90" s="481" t="str">
        <f ca="1"/>
        <v>-0,000156977175394224</v>
      </c>
      <c r="N90" s="482" t="str">
        <f ca="1"/>
        <v>MUNICHRE_MMR.EUR.SU</v>
      </c>
    </row>
    <row r="91" spans="1:14" customFormat="1" ht="14.5">
      <c r="A91" s="233"/>
      <c r="B91" s="296">
        <v>53</v>
      </c>
      <c r="C91" s="266" t="s">
        <v>141</v>
      </c>
      <c r="D91" s="267">
        <v>1</v>
      </c>
      <c r="E91" s="257"/>
      <c r="F91" s="240">
        <v>0.4</v>
      </c>
      <c r="G91" s="234"/>
      <c r="H91" s="406">
        <v>77</v>
      </c>
      <c r="I91" s="469" t="str">
        <f ca="1"/>
        <v>0,274670680254353</v>
      </c>
      <c r="J91" s="469" t="str">
        <f ca="1"/>
        <v>0,000749045704367767</v>
      </c>
      <c r="K91" s="481" t="str">
        <f ca="1"/>
        <v>366,694153177461</v>
      </c>
      <c r="L91" s="481" t="str">
        <f ca="1"/>
        <v>366,694153177461</v>
      </c>
      <c r="M91" s="481" t="str">
        <f ca="1"/>
        <v>-0,000177147832780134</v>
      </c>
      <c r="N91" s="482" t="str">
        <f ca="1"/>
        <v>NATIONALGRIDTRANSCOPLC_MMR.EUR.SU</v>
      </c>
    </row>
    <row r="92" spans="1:14" customFormat="1" ht="14.5">
      <c r="A92" s="233"/>
      <c r="B92" s="296">
        <v>54</v>
      </c>
      <c r="C92" s="266" t="s">
        <v>142</v>
      </c>
      <c r="D92" s="267">
        <v>1</v>
      </c>
      <c r="E92" s="257"/>
      <c r="F92" s="240">
        <v>0.4</v>
      </c>
      <c r="G92" s="234"/>
      <c r="H92" s="406">
        <v>78</v>
      </c>
      <c r="I92" s="469" t="str">
        <f ca="1"/>
        <v>0,342159799813251</v>
      </c>
      <c r="J92" s="469" t="str">
        <f ca="1"/>
        <v>0,00134716084176154</v>
      </c>
      <c r="K92" s="481" t="str">
        <f ca="1"/>
        <v>253,985856184659</v>
      </c>
      <c r="L92" s="481" t="str">
        <f ca="1"/>
        <v>253,985856184659</v>
      </c>
      <c r="M92" s="481" t="str">
        <f ca="1"/>
        <v>-0,000318370915713984</v>
      </c>
      <c r="N92" s="482" t="str">
        <f ca="1"/>
        <v>NEXTPLC_MMR.EUR.SU</v>
      </c>
    </row>
    <row r="93" spans="1:14" customFormat="1" ht="14.5">
      <c r="A93" s="233"/>
      <c r="B93" s="296">
        <v>55</v>
      </c>
      <c r="C93" s="266" t="s">
        <v>143</v>
      </c>
      <c r="D93" s="267">
        <v>1</v>
      </c>
      <c r="E93" s="257"/>
      <c r="F93" s="240">
        <v>0.4</v>
      </c>
      <c r="G93" s="234"/>
      <c r="H93" s="406">
        <v>79</v>
      </c>
      <c r="I93" s="469" t="str">
        <f ca="1"/>
        <v>0,274070247601456</v>
      </c>
      <c r="J93" s="469" t="str">
        <f ca="1"/>
        <v>0,000771584785102184</v>
      </c>
      <c r="K93" s="481" t="str">
        <f ca="1"/>
        <v>355,204318298163</v>
      </c>
      <c r="L93" s="481" t="str">
        <f ca="1"/>
        <v>355,204318298163</v>
      </c>
      <c r="M93" s="481" t="str">
        <f ca="1"/>
        <v>-0,000182454519985509</v>
      </c>
      <c r="N93" s="482" t="str">
        <f ca="1"/>
        <v>PEARSON_MMR.EUR.SU</v>
      </c>
    </row>
    <row r="94" spans="1:14" customFormat="1" ht="14.5">
      <c r="A94" s="233"/>
      <c r="B94" s="296">
        <v>56</v>
      </c>
      <c r="C94" s="266" t="s">
        <v>144</v>
      </c>
      <c r="D94" s="267">
        <v>1</v>
      </c>
      <c r="E94" s="257"/>
      <c r="F94" s="240">
        <v>0.4</v>
      </c>
      <c r="G94" s="234"/>
      <c r="H94" s="406">
        <v>80</v>
      </c>
      <c r="I94" s="469" t="str">
        <f ca="1"/>
        <v>0,28656874545742</v>
      </c>
      <c r="J94" s="469" t="str">
        <f ca="1"/>
        <v>0,000838587830231224</v>
      </c>
      <c r="K94" s="481" t="str">
        <f ca="1"/>
        <v>341,727765567984</v>
      </c>
      <c r="L94" s="481" t="str">
        <f ca="1"/>
        <v>341,727765567984</v>
      </c>
      <c r="M94" s="481" t="str">
        <f ca="1"/>
        <v>-0,000199043119196052</v>
      </c>
      <c r="N94" s="482" t="str">
        <f ca="1"/>
        <v>PEUGEOT_MMR.EUR.SU</v>
      </c>
    </row>
    <row r="95" spans="1:14" customFormat="1" ht="14.5">
      <c r="A95" s="233"/>
      <c r="B95" s="296">
        <v>57</v>
      </c>
      <c r="C95" s="266" t="s">
        <v>145</v>
      </c>
      <c r="D95" s="267">
        <v>1</v>
      </c>
      <c r="E95" s="257"/>
      <c r="F95" s="240">
        <v>0.4</v>
      </c>
      <c r="G95" s="234"/>
      <c r="H95" s="406">
        <v>81</v>
      </c>
      <c r="I95" s="469" t="str">
        <f ca="1"/>
        <v>0,253820761209259</v>
      </c>
      <c r="J95" s="469" t="str">
        <f ca="1"/>
        <v>0,000614389786171712</v>
      </c>
      <c r="K95" s="481" t="str">
        <f ca="1"/>
        <v>413,126596375937</v>
      </c>
      <c r="L95" s="481" t="str">
        <f ca="1"/>
        <v>413,126596375937</v>
      </c>
      <c r="M95" s="481" t="str">
        <f ca="1"/>
        <v>-0,000142811904705286</v>
      </c>
      <c r="N95" s="482" t="str">
        <f ca="1"/>
        <v>PHILIPSELEC_MMR.EUR.SU</v>
      </c>
    </row>
    <row r="96" spans="1:14" customFormat="1" ht="14.5">
      <c r="A96" s="233"/>
      <c r="B96" s="296">
        <v>58</v>
      </c>
      <c r="C96" s="266" t="s">
        <v>146</v>
      </c>
      <c r="D96" s="267">
        <v>1</v>
      </c>
      <c r="E96" s="257"/>
      <c r="F96" s="240">
        <v>0.4</v>
      </c>
      <c r="G96" s="234"/>
      <c r="H96" s="406">
        <v>82</v>
      </c>
      <c r="I96" s="469" t="str">
        <f ca="1"/>
        <v>0,357320944522586</v>
      </c>
      <c r="J96" s="469" t="str">
        <f ca="1"/>
        <v>0,00152133867141362</v>
      </c>
      <c r="K96" s="481" t="str">
        <f ca="1"/>
        <v>234,872715219002</v>
      </c>
      <c r="L96" s="481" t="str">
        <f ca="1"/>
        <v>234,872715219002</v>
      </c>
      <c r="M96" s="481" t="str">
        <f ca="1"/>
        <v>-0,000356385544739957</v>
      </c>
      <c r="N96" s="482" t="str">
        <f ca="1"/>
        <v>PINAULTPRINTEMPS_MMR.EUR.SU</v>
      </c>
    </row>
    <row r="97" spans="1:14" customFormat="1" ht="14.5">
      <c r="A97" s="233"/>
      <c r="B97" s="296">
        <v>59</v>
      </c>
      <c r="C97" s="266" t="s">
        <v>147</v>
      </c>
      <c r="D97" s="267">
        <v>1</v>
      </c>
      <c r="E97" s="257"/>
      <c r="F97" s="240">
        <v>0.4</v>
      </c>
      <c r="G97" s="234"/>
      <c r="H97" s="406">
        <v>83</v>
      </c>
      <c r="I97" s="469" t="str">
        <f ca="1"/>
        <v>0,312024930850754</v>
      </c>
      <c r="J97" s="469" t="str">
        <f ca="1"/>
        <v>0,001083307850163</v>
      </c>
      <c r="K97" s="481" t="str">
        <f ca="1"/>
        <v>288,029788396535</v>
      </c>
      <c r="L97" s="481" t="str">
        <f ca="1"/>
        <v>288,029788396535</v>
      </c>
      <c r="M97" s="481" t="str">
        <f ca="1"/>
        <v>-0,000257888360708658</v>
      </c>
      <c r="N97" s="482" t="str">
        <f ca="1"/>
        <v>PORTUGALTELECOM_MMR.EUR.SU</v>
      </c>
    </row>
    <row r="98" spans="1:14" customFormat="1" ht="14.5">
      <c r="A98" s="233"/>
      <c r="B98" s="296">
        <v>60</v>
      </c>
      <c r="C98" s="266" t="s">
        <v>148</v>
      </c>
      <c r="D98" s="267">
        <v>1</v>
      </c>
      <c r="E98" s="257"/>
      <c r="F98" s="240">
        <v>0.4</v>
      </c>
      <c r="G98" s="234"/>
      <c r="H98" s="406">
        <v>84</v>
      </c>
      <c r="I98" s="469" t="str">
        <f ca="1"/>
        <v>0,262627315525528</v>
      </c>
      <c r="J98" s="469" t="str">
        <f ca="1"/>
        <v>0,000681855561240321</v>
      </c>
      <c r="K98" s="481" t="str">
        <f ca="1"/>
        <v>385,165613444289</v>
      </c>
      <c r="L98" s="481" t="str">
        <f ca="1"/>
        <v>385,165613444289</v>
      </c>
      <c r="M98" s="481" t="str">
        <f ca="1"/>
        <v>-0,000159930682477061</v>
      </c>
      <c r="N98" s="482" t="str">
        <f ca="1"/>
        <v>REEDELSEVIER_MMR.EUR.SU</v>
      </c>
    </row>
    <row r="99" spans="1:14" customFormat="1" ht="14.5">
      <c r="A99" s="233"/>
      <c r="B99" s="296">
        <v>61</v>
      </c>
      <c r="C99" s="266" t="s">
        <v>149</v>
      </c>
      <c r="D99" s="267">
        <v>1</v>
      </c>
      <c r="E99" s="257"/>
      <c r="F99" s="240">
        <v>0.4</v>
      </c>
      <c r="G99" s="234"/>
      <c r="H99" s="406">
        <v>85</v>
      </c>
      <c r="I99" s="469" t="str">
        <f ca="1"/>
        <v>0,286062578419866</v>
      </c>
      <c r="J99" s="469" t="str">
        <f ca="1"/>
        <v>0,000838537441625882</v>
      </c>
      <c r="K99" s="481" t="str">
        <f ca="1"/>
        <v>341,144669539389</v>
      </c>
      <c r="L99" s="481" t="str">
        <f ca="1"/>
        <v>341,144669539389</v>
      </c>
      <c r="M99" s="481" t="str">
        <f ca="1"/>
        <v>-0,000199192113992242</v>
      </c>
      <c r="N99" s="482" t="str">
        <f ca="1"/>
        <v>RENAULT_MMR.EUR.SU</v>
      </c>
    </row>
    <row r="100" spans="1:14" customFormat="1" ht="14.5">
      <c r="A100" s="233"/>
      <c r="B100" s="296">
        <v>62</v>
      </c>
      <c r="C100" s="266" t="s">
        <v>150</v>
      </c>
      <c r="D100" s="267">
        <v>1</v>
      </c>
      <c r="E100" s="257"/>
      <c r="F100" s="240">
        <v>0.4</v>
      </c>
      <c r="G100" s="234"/>
      <c r="H100" s="406">
        <v>86</v>
      </c>
      <c r="I100" s="469" t="str">
        <f ca="1"/>
        <v>0,316759765351908</v>
      </c>
      <c r="J100" s="469" t="str">
        <f ca="1"/>
        <v>0,00108249313324088</v>
      </c>
      <c r="K100" s="481" t="str">
        <f ca="1"/>
        <v>292,620577096466</v>
      </c>
      <c r="L100" s="481" t="str">
        <f ca="1"/>
        <v>292,620577096466</v>
      </c>
      <c r="M100" s="481" t="str">
        <f ca="1"/>
        <v>-0,00025968543394097</v>
      </c>
      <c r="N100" s="482" t="str">
        <f ca="1"/>
        <v>REPSOL_MMR.EUR.SU</v>
      </c>
    </row>
    <row r="101" spans="1:14" customFormat="1" ht="14.5">
      <c r="A101" s="233"/>
      <c r="B101" s="296">
        <v>63</v>
      </c>
      <c r="C101" s="266" t="s">
        <v>151</v>
      </c>
      <c r="D101" s="267">
        <v>1</v>
      </c>
      <c r="E101" s="257"/>
      <c r="F101" s="240">
        <v>0.4</v>
      </c>
      <c r="G101" s="234"/>
      <c r="H101" s="406">
        <v>87</v>
      </c>
      <c r="I101" s="469" t="str">
        <f ca="1"/>
        <v>0,228799962303331</v>
      </c>
      <c r="J101" s="469" t="str">
        <f ca="1"/>
        <v>0,000479015315240578</v>
      </c>
      <c r="K101" s="481" t="str">
        <f ca="1"/>
        <v>477,64644474555</v>
      </c>
      <c r="L101" s="481" t="str">
        <f ca="1"/>
        <v>477,64644474555</v>
      </c>
      <c r="M101" s="481" t="str">
        <f ca="1"/>
        <v>-0,000108026105403658</v>
      </c>
      <c r="N101" s="482" t="str">
        <f ca="1"/>
        <v>REUTERS_MMR.EUR.SU</v>
      </c>
    </row>
    <row r="102" spans="1:14" customFormat="1" ht="14.5">
      <c r="A102" s="233"/>
      <c r="B102" s="296">
        <v>64</v>
      </c>
      <c r="C102" s="266" t="s">
        <v>152</v>
      </c>
      <c r="D102" s="267">
        <v>1</v>
      </c>
      <c r="E102" s="257"/>
      <c r="F102" s="240">
        <v>0.4</v>
      </c>
      <c r="G102" s="234"/>
      <c r="H102" s="406">
        <v>88</v>
      </c>
      <c r="I102" s="469" t="str">
        <f ca="1"/>
        <v>0,309230213440561</v>
      </c>
      <c r="J102" s="469" t="str">
        <f ca="1"/>
        <v>0,000948443128459771</v>
      </c>
      <c r="K102" s="481" t="str">
        <f ca="1"/>
        <v>326,039805826562</v>
      </c>
      <c r="L102" s="481" t="str">
        <f ca="1"/>
        <v>326,039805826562</v>
      </c>
      <c r="M102" s="481" t="str">
        <f ca="1"/>
        <v>-0,00022995584671468</v>
      </c>
      <c r="N102" s="482" t="str">
        <f ca="1"/>
        <v>ROYALBANKSCOTLAND_MMR.EUR.SU</v>
      </c>
    </row>
    <row r="103" spans="1:14" customFormat="1" ht="14.5">
      <c r="A103" s="233"/>
      <c r="B103" s="296">
        <v>65</v>
      </c>
      <c r="C103" s="266" t="s">
        <v>153</v>
      </c>
      <c r="D103" s="267">
        <v>1</v>
      </c>
      <c r="E103" s="257"/>
      <c r="F103" s="240">
        <v>0.4</v>
      </c>
      <c r="G103" s="234"/>
      <c r="H103" s="406">
        <v>89</v>
      </c>
      <c r="I103" s="469" t="str">
        <f ca="1"/>
        <v>0,233233410845007</v>
      </c>
      <c r="J103" s="469" t="str">
        <f ca="1"/>
        <v>0,000478875955005624</v>
      </c>
      <c r="K103" s="481" t="str">
        <f ca="1"/>
        <v>487,043478393623</v>
      </c>
      <c r="L103" s="481" t="str">
        <f ca="1"/>
        <v>487,043478393623</v>
      </c>
      <c r="M103" s="481" t="str">
        <f ca="1"/>
        <v>-0,000108928297599009</v>
      </c>
      <c r="N103" s="482" t="str">
        <f ca="1"/>
        <v>RWE_MMR.EUR.SU</v>
      </c>
    </row>
    <row r="104" spans="1:14" customFormat="1" ht="14.5">
      <c r="A104" s="233"/>
      <c r="B104" s="296">
        <v>66</v>
      </c>
      <c r="C104" s="266" t="s">
        <v>154</v>
      </c>
      <c r="D104" s="267">
        <v>1</v>
      </c>
      <c r="E104" s="257"/>
      <c r="F104" s="240">
        <v>0.4</v>
      </c>
      <c r="G104" s="234"/>
      <c r="H104" s="406">
        <v>90</v>
      </c>
      <c r="I104" s="469" t="str">
        <f ca="1"/>
        <v>0,32418827410552</v>
      </c>
      <c r="J104" s="469" t="str">
        <f ca="1"/>
        <v>0,00119360202735572</v>
      </c>
      <c r="K104" s="481" t="str">
        <f ca="1"/>
        <v>271,604996201053</v>
      </c>
      <c r="L104" s="481" t="str">
        <f ca="1"/>
        <v>271,604996201053</v>
      </c>
      <c r="M104" s="481" t="str">
        <f ca="1"/>
        <v>-0,000283632360470198</v>
      </c>
      <c r="N104" s="482" t="str">
        <f ca="1"/>
        <v>SAFEWAYPLC_MMR.EUR.SU</v>
      </c>
    </row>
    <row r="105" spans="1:14" customFormat="1" ht="14.5">
      <c r="A105" s="233"/>
      <c r="B105" s="296">
        <v>67</v>
      </c>
      <c r="C105" s="266" t="s">
        <v>155</v>
      </c>
      <c r="D105" s="267">
        <v>1</v>
      </c>
      <c r="E105" s="257"/>
      <c r="F105" s="240">
        <v>0.4</v>
      </c>
      <c r="G105" s="234"/>
      <c r="H105" s="406">
        <v>91</v>
      </c>
      <c r="I105" s="469" t="str">
        <f ca="1"/>
        <v>0,225932452645987</v>
      </c>
      <c r="J105" s="469" t="str">
        <f ca="1"/>
        <v>0,000456368796322873</v>
      </c>
      <c r="K105" s="481" t="str">
        <f ca="1"/>
        <v>495,065513826549</v>
      </c>
      <c r="L105" s="481" t="str">
        <f ca="1"/>
        <v>495,065513826549</v>
      </c>
      <c r="M105" s="481" t="str">
        <f ca="1"/>
        <v>-0,000102229425690381</v>
      </c>
      <c r="N105" s="482" t="str">
        <f ca="1"/>
        <v>SANOFIAVENTIS_MMR.EUR.SU</v>
      </c>
    </row>
    <row r="106" spans="1:14" customFormat="1" ht="14.5">
      <c r="A106" s="233"/>
      <c r="B106" s="296">
        <v>68</v>
      </c>
      <c r="C106" s="266" t="s">
        <v>156</v>
      </c>
      <c r="D106" s="267">
        <v>1</v>
      </c>
      <c r="E106" s="257"/>
      <c r="F106" s="240">
        <v>0.4</v>
      </c>
      <c r="G106" s="234"/>
      <c r="H106" s="406">
        <v>92</v>
      </c>
      <c r="I106" s="469" t="str">
        <f ca="1"/>
        <v>0,227170753996783</v>
      </c>
      <c r="J106" s="469" t="str">
        <f ca="1"/>
        <v>0,000456347320023498</v>
      </c>
      <c r="K106" s="481" t="str">
        <f ca="1"/>
        <v>497,802318604798</v>
      </c>
      <c r="L106" s="481" t="str">
        <f ca="1"/>
        <v>497,802318604798</v>
      </c>
      <c r="M106" s="481" t="str">
        <f ca="1"/>
        <v>-0,000102549194361923</v>
      </c>
      <c r="N106" s="482" t="str">
        <f ca="1"/>
        <v>SIEMENS_MMR.EUR.SU</v>
      </c>
    </row>
    <row r="107" spans="1:14" customFormat="1" ht="14.5">
      <c r="A107" s="233"/>
      <c r="B107" s="296">
        <v>69</v>
      </c>
      <c r="C107" s="266" t="s">
        <v>157</v>
      </c>
      <c r="D107" s="267">
        <v>1</v>
      </c>
      <c r="E107" s="257"/>
      <c r="F107" s="240">
        <v>0.4</v>
      </c>
      <c r="G107" s="234"/>
      <c r="H107" s="406">
        <v>93</v>
      </c>
      <c r="I107" s="469" t="str">
        <f ca="1"/>
        <v>0,261444500509292</v>
      </c>
      <c r="J107" s="469" t="str">
        <f ca="1"/>
        <v>0,000659212027416993</v>
      </c>
      <c r="K107" s="481" t="str">
        <f ca="1"/>
        <v>396,601532793199</v>
      </c>
      <c r="L107" s="481" t="str">
        <f ca="1"/>
        <v>396,601532793199</v>
      </c>
      <c r="M107" s="481" t="str">
        <f ca="1"/>
        <v>-0,000155114424273206</v>
      </c>
      <c r="N107" s="482" t="str">
        <f ca="1"/>
        <v>SODEXHOALLIANCE_MMR.EUR.SU</v>
      </c>
    </row>
    <row r="108" spans="1:14" customFormat="1" ht="14.5">
      <c r="A108" s="233"/>
      <c r="B108" s="296">
        <v>70</v>
      </c>
      <c r="C108" s="266" t="s">
        <v>158</v>
      </c>
      <c r="D108" s="267">
        <v>1</v>
      </c>
      <c r="E108" s="257"/>
      <c r="F108" s="240">
        <v>0.4</v>
      </c>
      <c r="G108" s="234"/>
      <c r="H108" s="406">
        <v>94</v>
      </c>
      <c r="I108" s="469" t="str">
        <f ca="1"/>
        <v>0,228799962303331</v>
      </c>
      <c r="J108" s="469" t="str">
        <f ca="1"/>
        <v>0,000479015315240578</v>
      </c>
      <c r="K108" s="481" t="str">
        <f ca="1"/>
        <v>477,64644474555</v>
      </c>
      <c r="L108" s="481" t="str">
        <f ca="1"/>
        <v>477,64644474555</v>
      </c>
      <c r="M108" s="481" t="str">
        <f ca="1"/>
        <v>-0,000108026105403658</v>
      </c>
      <c r="N108" s="482" t="str">
        <f ca="1"/>
        <v>SOLVAY_MMR.EUR.SU</v>
      </c>
    </row>
    <row r="109" spans="1:14" customFormat="1" ht="14.5">
      <c r="A109" s="233"/>
      <c r="B109" s="296">
        <v>71</v>
      </c>
      <c r="C109" s="266" t="s">
        <v>159</v>
      </c>
      <c r="D109" s="267">
        <v>1</v>
      </c>
      <c r="E109" s="257"/>
      <c r="F109" s="240">
        <v>0.4</v>
      </c>
      <c r="G109" s="234"/>
      <c r="H109" s="406">
        <v>95</v>
      </c>
      <c r="I109" s="469" t="str">
        <f ca="1"/>
        <v>0,300219762197582</v>
      </c>
      <c r="J109" s="469" t="str">
        <f ca="1"/>
        <v>0,000972414740532117</v>
      </c>
      <c r="K109" s="481" t="str">
        <f ca="1"/>
        <v>308,736334080352</v>
      </c>
      <c r="L109" s="481" t="str">
        <f ca="1"/>
        <v>308,736334080352</v>
      </c>
      <c r="M109" s="481" t="str">
        <f ca="1"/>
        <v>-0,000231176751848894</v>
      </c>
      <c r="N109" s="482" t="str">
        <f ca="1"/>
        <v>STGOBAIN_MMR.EUR.SU</v>
      </c>
    </row>
    <row r="110" spans="1:14" customFormat="1" ht="14.5">
      <c r="A110" s="233"/>
      <c r="B110" s="296">
        <v>72</v>
      </c>
      <c r="C110" s="266" t="s">
        <v>160</v>
      </c>
      <c r="D110" s="267">
        <v>1</v>
      </c>
      <c r="E110" s="257"/>
      <c r="F110" s="240">
        <v>0.4</v>
      </c>
      <c r="G110" s="234"/>
      <c r="H110" s="406">
        <v>96</v>
      </c>
      <c r="I110" s="469" t="str">
        <f ca="1"/>
        <v>0,247209812293542</v>
      </c>
      <c r="J110" s="469" t="str">
        <f ca="1"/>
        <v>0,000591899687885764</v>
      </c>
      <c r="K110" s="481" t="str">
        <f ca="1"/>
        <v>417,654912400044</v>
      </c>
      <c r="L110" s="481" t="str">
        <f ca="1"/>
        <v>417,654912400044</v>
      </c>
      <c r="M110" s="481" t="str">
        <f ca="1"/>
        <v>-0,000136888387239576</v>
      </c>
      <c r="N110" s="482" t="str">
        <f ca="1"/>
        <v>STMICRO_MMR.EUR.SU</v>
      </c>
    </row>
    <row r="111" spans="1:14" customFormat="1" ht="14.5">
      <c r="A111" s="233"/>
      <c r="B111" s="296">
        <v>73</v>
      </c>
      <c r="C111" s="266" t="s">
        <v>161</v>
      </c>
      <c r="D111" s="267">
        <v>1</v>
      </c>
      <c r="E111" s="257"/>
      <c r="F111" s="240">
        <v>0.4</v>
      </c>
      <c r="G111" s="234"/>
      <c r="H111" s="406">
        <v>97</v>
      </c>
      <c r="I111" s="469" t="str">
        <f ca="1"/>
        <v>0,313823644009085</v>
      </c>
      <c r="J111" s="469" t="str">
        <f ca="1"/>
        <v>0,00110551425532113</v>
      </c>
      <c r="K111" s="481" t="str">
        <f ca="1"/>
        <v>283,871187095571</v>
      </c>
      <c r="L111" s="481" t="str">
        <f ca="1"/>
        <v>283,871187095571</v>
      </c>
      <c r="M111" s="481" t="str">
        <f ca="1"/>
        <v>-0,000262465347098039</v>
      </c>
      <c r="N111" s="482" t="str">
        <f ca="1"/>
        <v>SUEDZUCKERAG_MMR.EUR.SU</v>
      </c>
    </row>
    <row r="112" spans="1:14" customFormat="1" ht="14.5">
      <c r="A112" s="233"/>
      <c r="B112" s="296">
        <v>74</v>
      </c>
      <c r="C112" s="266" t="s">
        <v>162</v>
      </c>
      <c r="D112" s="267">
        <v>1</v>
      </c>
      <c r="E112" s="257"/>
      <c r="F112" s="240">
        <v>0.4</v>
      </c>
      <c r="G112" s="234"/>
      <c r="H112" s="406">
        <v>98</v>
      </c>
      <c r="I112" s="469" t="str">
        <f ca="1"/>
        <v>0,248753304553306</v>
      </c>
      <c r="J112" s="469" t="str">
        <f ca="1"/>
        <v>0,000569167871545414</v>
      </c>
      <c r="K112" s="481" t="str">
        <f ca="1"/>
        <v>437,047340493565</v>
      </c>
      <c r="L112" s="481" t="str">
        <f ca="1"/>
        <v>437,047340493565</v>
      </c>
      <c r="M112" s="481" t="str">
        <f ca="1"/>
        <v>-0,000132203448748869</v>
      </c>
      <c r="N112" s="482" t="str">
        <f ca="1"/>
        <v>SUEZLYONNAISE_MMR.EUR.SU</v>
      </c>
    </row>
    <row r="113" spans="1:14" customFormat="1" ht="14.5">
      <c r="A113" s="233"/>
      <c r="B113" s="296">
        <v>75</v>
      </c>
      <c r="C113" s="266" t="s">
        <v>163</v>
      </c>
      <c r="D113" s="267">
        <v>1</v>
      </c>
      <c r="E113" s="257"/>
      <c r="F113" s="240">
        <v>0.4</v>
      </c>
      <c r="G113" s="234"/>
      <c r="H113" s="406">
        <v>99</v>
      </c>
      <c r="I113" s="469" t="str">
        <f ca="1"/>
        <v>0,296086911904707</v>
      </c>
      <c r="J113" s="469" t="str">
        <f ca="1"/>
        <v>0,000950288992851661</v>
      </c>
      <c r="K113" s="481" t="str">
        <f ca="1"/>
        <v>311,575651335494</v>
      </c>
      <c r="L113" s="481" t="str">
        <f ca="1"/>
        <v>311,575651335494</v>
      </c>
      <c r="M113" s="481" t="str">
        <f ca="1"/>
        <v>-0,000225126351539684</v>
      </c>
      <c r="N113" s="482" t="str">
        <f ca="1"/>
        <v>SVENSKACELLULOSAAB_MMR.EUR.SU</v>
      </c>
    </row>
    <row r="114" spans="1:14" customFormat="1" ht="14.5">
      <c r="A114" s="233"/>
      <c r="B114" s="296">
        <v>76</v>
      </c>
      <c r="C114" s="266" t="s">
        <v>164</v>
      </c>
      <c r="D114" s="267">
        <v>1</v>
      </c>
      <c r="E114" s="257"/>
      <c r="F114" s="240">
        <v>0.4</v>
      </c>
      <c r="G114" s="234"/>
      <c r="H114" s="406">
        <v>100</v>
      </c>
      <c r="I114" s="469" t="str">
        <f ca="1"/>
        <v>0,283568527564806</v>
      </c>
      <c r="J114" s="469" t="str">
        <f ca="1"/>
        <v>0,000748230471035102</v>
      </c>
      <c r="K114" s="481" t="str">
        <f ca="1"/>
        <v>378,98553793528</v>
      </c>
      <c r="L114" s="481" t="str">
        <f ca="1"/>
        <v>378,98553793528</v>
      </c>
      <c r="M114" s="481" t="str">
        <f ca="1"/>
        <v>-0,000179878999676819</v>
      </c>
      <c r="N114" s="482" t="str">
        <f ca="1"/>
        <v>SWISSRE_MMR.EUR.SU</v>
      </c>
    </row>
    <row r="115" spans="1:14" customFormat="1" ht="14.5">
      <c r="A115" s="233"/>
      <c r="B115" s="296">
        <v>77</v>
      </c>
      <c r="C115" s="266" t="s">
        <v>165</v>
      </c>
      <c r="D115" s="267">
        <v>1</v>
      </c>
      <c r="E115" s="257"/>
      <c r="F115" s="240">
        <v>0.4</v>
      </c>
      <c r="G115" s="234"/>
      <c r="H115" s="406">
        <v>101</v>
      </c>
      <c r="I115" s="469"/>
      <c r="J115" s="469"/>
      <c r="K115" s="481"/>
      <c r="L115" s="481"/>
      <c r="M115" s="481"/>
      <c r="N115" s="482"/>
    </row>
    <row r="116" spans="1:14" customFormat="1" ht="14.5">
      <c r="A116" s="233"/>
      <c r="B116" s="296">
        <v>78</v>
      </c>
      <c r="C116" s="266" t="s">
        <v>166</v>
      </c>
      <c r="D116" s="267">
        <v>1</v>
      </c>
      <c r="E116" s="257"/>
      <c r="F116" s="240">
        <v>0.4</v>
      </c>
      <c r="G116" s="234"/>
      <c r="H116" s="406">
        <v>102</v>
      </c>
      <c r="I116" s="469"/>
      <c r="J116" s="469"/>
      <c r="K116" s="481"/>
      <c r="L116" s="481"/>
      <c r="M116" s="481"/>
      <c r="N116" s="482"/>
    </row>
    <row r="117" spans="1:14" customFormat="1" ht="14.5">
      <c r="A117" s="233"/>
      <c r="B117" s="296">
        <v>79</v>
      </c>
      <c r="C117" s="266" t="s">
        <v>167</v>
      </c>
      <c r="D117" s="267">
        <v>1</v>
      </c>
      <c r="E117" s="257"/>
      <c r="F117" s="240">
        <v>0.4</v>
      </c>
      <c r="G117" s="234"/>
      <c r="H117" s="406">
        <v>103</v>
      </c>
      <c r="I117" s="469"/>
      <c r="J117" s="469"/>
      <c r="K117" s="481"/>
      <c r="L117" s="481"/>
      <c r="M117" s="481"/>
      <c r="N117" s="482"/>
    </row>
    <row r="118" spans="1:14" customFormat="1" ht="14.5">
      <c r="A118" s="233"/>
      <c r="B118" s="296">
        <v>80</v>
      </c>
      <c r="C118" s="266" t="s">
        <v>168</v>
      </c>
      <c r="D118" s="267">
        <v>1</v>
      </c>
      <c r="E118" s="257"/>
      <c r="F118" s="240">
        <v>0.4</v>
      </c>
      <c r="G118" s="234"/>
      <c r="H118" s="406">
        <v>104</v>
      </c>
      <c r="I118" s="469"/>
      <c r="J118" s="469"/>
      <c r="K118" s="481"/>
      <c r="L118" s="481"/>
      <c r="M118" s="481"/>
      <c r="N118" s="482"/>
    </row>
    <row r="119" spans="1:14" customFormat="1" ht="14.5">
      <c r="A119" s="233"/>
      <c r="B119" s="296">
        <v>81</v>
      </c>
      <c r="C119" s="266" t="s">
        <v>169</v>
      </c>
      <c r="D119" s="267">
        <v>1</v>
      </c>
      <c r="E119" s="257"/>
      <c r="F119" s="240">
        <v>0.4</v>
      </c>
      <c r="G119" s="234"/>
      <c r="H119" s="406">
        <v>105</v>
      </c>
      <c r="I119" s="469"/>
      <c r="J119" s="469"/>
      <c r="K119" s="481"/>
      <c r="L119" s="481"/>
      <c r="M119" s="481"/>
      <c r="N119" s="482"/>
    </row>
    <row r="120" spans="1:14" customFormat="1" ht="14.5">
      <c r="A120" s="233"/>
      <c r="B120" s="296">
        <v>82</v>
      </c>
      <c r="C120" s="266" t="s">
        <v>170</v>
      </c>
      <c r="D120" s="267">
        <v>1</v>
      </c>
      <c r="E120" s="257"/>
      <c r="F120" s="240">
        <v>0.4</v>
      </c>
      <c r="G120" s="234"/>
      <c r="H120" s="406">
        <v>106</v>
      </c>
      <c r="I120" s="469"/>
      <c r="J120" s="469"/>
      <c r="K120" s="481"/>
      <c r="L120" s="481"/>
      <c r="M120" s="481"/>
      <c r="N120" s="482"/>
    </row>
    <row r="121" spans="1:14" customFormat="1" ht="14.5">
      <c r="A121" s="233"/>
      <c r="B121" s="296">
        <v>83</v>
      </c>
      <c r="C121" s="266" t="s">
        <v>171</v>
      </c>
      <c r="D121" s="267">
        <v>1</v>
      </c>
      <c r="E121" s="257"/>
      <c r="F121" s="240">
        <v>0.4</v>
      </c>
      <c r="G121" s="234"/>
      <c r="H121" s="406">
        <v>107</v>
      </c>
      <c r="I121" s="469"/>
      <c r="J121" s="469"/>
      <c r="K121" s="481"/>
      <c r="L121" s="481"/>
      <c r="M121" s="481"/>
      <c r="N121" s="482"/>
    </row>
    <row r="122" spans="1:14" customFormat="1" ht="14.5">
      <c r="A122" s="233"/>
      <c r="B122" s="296">
        <v>84</v>
      </c>
      <c r="C122" s="266" t="s">
        <v>172</v>
      </c>
      <c r="D122" s="267">
        <v>1</v>
      </c>
      <c r="E122" s="257"/>
      <c r="F122" s="240">
        <v>0.4</v>
      </c>
      <c r="G122" s="234"/>
      <c r="H122" s="406">
        <v>108</v>
      </c>
      <c r="I122" s="469"/>
      <c r="J122" s="469"/>
      <c r="K122" s="481"/>
      <c r="L122" s="481"/>
      <c r="M122" s="481"/>
      <c r="N122" s="482"/>
    </row>
    <row r="123" spans="1:14" customFormat="1" ht="14.5">
      <c r="A123" s="233"/>
      <c r="B123" s="296">
        <v>85</v>
      </c>
      <c r="C123" s="266" t="s">
        <v>173</v>
      </c>
      <c r="D123" s="267">
        <v>1</v>
      </c>
      <c r="E123" s="257"/>
      <c r="F123" s="240">
        <v>0.4</v>
      </c>
      <c r="G123" s="234"/>
      <c r="H123" s="406">
        <v>109</v>
      </c>
      <c r="I123" s="469"/>
      <c r="J123" s="469"/>
      <c r="K123" s="481"/>
      <c r="L123" s="481"/>
      <c r="M123" s="481"/>
      <c r="N123" s="482"/>
    </row>
    <row r="124" spans="1:14" customFormat="1" ht="14.5">
      <c r="A124" s="233"/>
      <c r="B124" s="296">
        <v>86</v>
      </c>
      <c r="C124" s="266" t="s">
        <v>174</v>
      </c>
      <c r="D124" s="267">
        <v>1</v>
      </c>
      <c r="E124" s="257"/>
      <c r="F124" s="240">
        <v>0.4</v>
      </c>
      <c r="G124" s="234"/>
      <c r="H124" s="406">
        <v>110</v>
      </c>
      <c r="I124" s="469"/>
      <c r="J124" s="469"/>
      <c r="K124" s="481"/>
      <c r="L124" s="481"/>
      <c r="M124" s="481"/>
      <c r="N124" s="482"/>
    </row>
    <row r="125" spans="1:14" customFormat="1" ht="14.5">
      <c r="A125" s="233"/>
      <c r="B125" s="296">
        <v>87</v>
      </c>
      <c r="C125" s="266" t="s">
        <v>175</v>
      </c>
      <c r="D125" s="267">
        <v>1</v>
      </c>
      <c r="E125" s="257"/>
      <c r="F125" s="240">
        <v>0.4</v>
      </c>
      <c r="G125" s="234"/>
      <c r="H125" s="406">
        <v>111</v>
      </c>
      <c r="I125" s="469"/>
      <c r="J125" s="469"/>
      <c r="K125" s="481"/>
      <c r="L125" s="481"/>
      <c r="M125" s="481"/>
      <c r="N125" s="482"/>
    </row>
    <row r="126" spans="1:14" customFormat="1" ht="14.5">
      <c r="A126" s="233"/>
      <c r="B126" s="296">
        <v>88</v>
      </c>
      <c r="C126" s="266" t="s">
        <v>176</v>
      </c>
      <c r="D126" s="267">
        <v>1</v>
      </c>
      <c r="E126" s="257"/>
      <c r="F126" s="240">
        <v>0.4</v>
      </c>
      <c r="G126" s="234"/>
      <c r="H126" s="406">
        <v>112</v>
      </c>
      <c r="I126" s="469"/>
      <c r="J126" s="469"/>
      <c r="K126" s="481"/>
      <c r="L126" s="481"/>
      <c r="M126" s="481"/>
      <c r="N126" s="482"/>
    </row>
    <row r="127" spans="1:14" customFormat="1" ht="14.5">
      <c r="A127" s="233"/>
      <c r="B127" s="296">
        <v>89</v>
      </c>
      <c r="C127" s="266" t="s">
        <v>177</v>
      </c>
      <c r="D127" s="267">
        <v>1</v>
      </c>
      <c r="E127" s="257"/>
      <c r="F127" s="240">
        <v>0.4</v>
      </c>
      <c r="G127" s="234"/>
      <c r="H127" s="406">
        <v>113</v>
      </c>
      <c r="I127" s="469"/>
      <c r="J127" s="469"/>
      <c r="K127" s="481"/>
      <c r="L127" s="481"/>
      <c r="M127" s="481"/>
      <c r="N127" s="482"/>
    </row>
    <row r="128" spans="1:14" customFormat="1" ht="14.5">
      <c r="A128" s="233"/>
      <c r="B128" s="296">
        <v>90</v>
      </c>
      <c r="C128" s="266" t="s">
        <v>178</v>
      </c>
      <c r="D128" s="267">
        <v>1</v>
      </c>
      <c r="E128" s="257"/>
      <c r="F128" s="240">
        <v>0.4</v>
      </c>
      <c r="G128" s="234"/>
      <c r="H128" s="406">
        <v>114</v>
      </c>
      <c r="I128" s="469"/>
      <c r="J128" s="469"/>
      <c r="K128" s="481"/>
      <c r="L128" s="481"/>
      <c r="M128" s="481"/>
      <c r="N128" s="482"/>
    </row>
    <row r="129" spans="1:14" customFormat="1" ht="14.5">
      <c r="A129" s="233"/>
      <c r="B129" s="296">
        <v>91</v>
      </c>
      <c r="C129" s="266" t="s">
        <v>179</v>
      </c>
      <c r="D129" s="267">
        <v>1</v>
      </c>
      <c r="E129" s="257"/>
      <c r="F129" s="240">
        <v>0.4</v>
      </c>
      <c r="G129" s="234"/>
      <c r="H129" s="406">
        <v>115</v>
      </c>
      <c r="I129" s="469"/>
      <c r="J129" s="469"/>
      <c r="K129" s="481"/>
      <c r="L129" s="481"/>
      <c r="M129" s="481"/>
      <c r="N129" s="482"/>
    </row>
    <row r="130" spans="1:14" customFormat="1" ht="14.5">
      <c r="A130" s="233"/>
      <c r="B130" s="296">
        <v>92</v>
      </c>
      <c r="C130" s="266" t="s">
        <v>180</v>
      </c>
      <c r="D130" s="267">
        <v>1</v>
      </c>
      <c r="E130" s="257"/>
      <c r="F130" s="240">
        <v>0.4</v>
      </c>
      <c r="G130" s="234"/>
      <c r="H130" s="406">
        <v>116</v>
      </c>
      <c r="I130" s="469"/>
      <c r="J130" s="469"/>
      <c r="K130" s="481"/>
      <c r="L130" s="481"/>
      <c r="M130" s="481"/>
      <c r="N130" s="482"/>
    </row>
    <row r="131" spans="1:14" customFormat="1" ht="14.5">
      <c r="A131" s="233"/>
      <c r="B131" s="296">
        <v>93</v>
      </c>
      <c r="C131" s="266" t="s">
        <v>181</v>
      </c>
      <c r="D131" s="267">
        <v>1</v>
      </c>
      <c r="E131" s="257"/>
      <c r="F131" s="240">
        <v>0.4</v>
      </c>
      <c r="G131" s="234"/>
      <c r="H131" s="406">
        <v>117</v>
      </c>
      <c r="I131" s="469"/>
      <c r="J131" s="469"/>
      <c r="K131" s="481"/>
      <c r="L131" s="481"/>
      <c r="M131" s="481"/>
      <c r="N131" s="482"/>
    </row>
    <row r="132" spans="1:14" customFormat="1" ht="14.5">
      <c r="A132" s="233"/>
      <c r="B132" s="296">
        <v>94</v>
      </c>
      <c r="C132" s="266" t="s">
        <v>182</v>
      </c>
      <c r="D132" s="267">
        <v>1</v>
      </c>
      <c r="E132" s="257"/>
      <c r="F132" s="240">
        <v>0.4</v>
      </c>
      <c r="G132" s="234"/>
      <c r="H132" s="406">
        <v>118</v>
      </c>
      <c r="I132" s="469"/>
      <c r="J132" s="469"/>
      <c r="K132" s="481"/>
      <c r="L132" s="481"/>
      <c r="M132" s="481"/>
      <c r="N132" s="482"/>
    </row>
    <row r="133" spans="1:14" customFormat="1" ht="14.5">
      <c r="A133" s="233"/>
      <c r="B133" s="296">
        <v>95</v>
      </c>
      <c r="C133" s="266" t="s">
        <v>183</v>
      </c>
      <c r="D133" s="267">
        <v>1</v>
      </c>
      <c r="E133" s="257"/>
      <c r="F133" s="240">
        <v>0.4</v>
      </c>
      <c r="G133" s="234"/>
      <c r="H133" s="406">
        <v>119</v>
      </c>
      <c r="I133" s="469"/>
      <c r="J133" s="469"/>
      <c r="K133" s="481"/>
      <c r="L133" s="481"/>
      <c r="M133" s="481"/>
      <c r="N133" s="482"/>
    </row>
    <row r="134" spans="1:14" customFormat="1" ht="14.5">
      <c r="A134" s="233"/>
      <c r="B134" s="296">
        <v>96</v>
      </c>
      <c r="C134" s="266" t="s">
        <v>184</v>
      </c>
      <c r="D134" s="267">
        <v>1</v>
      </c>
      <c r="E134" s="257"/>
      <c r="F134" s="240">
        <v>0.4</v>
      </c>
      <c r="G134" s="234"/>
      <c r="H134" s="406">
        <v>120</v>
      </c>
      <c r="I134" s="469"/>
      <c r="J134" s="469"/>
      <c r="K134" s="481"/>
      <c r="L134" s="481"/>
      <c r="M134" s="481"/>
      <c r="N134" s="482"/>
    </row>
    <row r="135" spans="1:14" customFormat="1" ht="14.5">
      <c r="A135" s="233"/>
      <c r="B135" s="296">
        <v>97</v>
      </c>
      <c r="C135" s="266" t="s">
        <v>185</v>
      </c>
      <c r="D135" s="267">
        <v>1</v>
      </c>
      <c r="E135" s="257"/>
      <c r="F135" s="240">
        <v>0.4</v>
      </c>
      <c r="G135" s="234"/>
      <c r="H135" s="406">
        <v>121</v>
      </c>
      <c r="I135" s="469"/>
      <c r="J135" s="469"/>
      <c r="K135" s="481"/>
      <c r="L135" s="481"/>
      <c r="M135" s="481"/>
      <c r="N135" s="482"/>
    </row>
    <row r="136" spans="1:14" customFormat="1" ht="14.5">
      <c r="A136" s="233"/>
      <c r="B136" s="296">
        <v>98</v>
      </c>
      <c r="C136" s="266" t="s">
        <v>186</v>
      </c>
      <c r="D136" s="267">
        <v>1</v>
      </c>
      <c r="E136" s="257"/>
      <c r="F136" s="240">
        <v>0.4</v>
      </c>
      <c r="G136" s="234"/>
      <c r="H136" s="406">
        <v>122</v>
      </c>
      <c r="I136" s="469"/>
      <c r="J136" s="469"/>
      <c r="K136" s="481"/>
      <c r="L136" s="481"/>
      <c r="M136" s="481"/>
      <c r="N136" s="482"/>
    </row>
    <row r="137" spans="1:14" customFormat="1" ht="14.5">
      <c r="A137" s="233"/>
      <c r="B137" s="296">
        <v>99</v>
      </c>
      <c r="C137" s="266" t="s">
        <v>187</v>
      </c>
      <c r="D137" s="267">
        <v>1</v>
      </c>
      <c r="E137" s="257"/>
      <c r="F137" s="240">
        <v>0.4</v>
      </c>
      <c r="G137" s="234"/>
      <c r="H137" s="406">
        <v>123</v>
      </c>
      <c r="I137" s="469"/>
      <c r="J137" s="469"/>
      <c r="K137" s="481"/>
      <c r="L137" s="481"/>
      <c r="M137" s="481"/>
      <c r="N137" s="482"/>
    </row>
    <row r="138" spans="1:14" customFormat="1" ht="14.5">
      <c r="A138" s="233"/>
      <c r="B138" s="296">
        <v>100</v>
      </c>
      <c r="C138" s="266" t="s">
        <v>188</v>
      </c>
      <c r="D138" s="267">
        <v>1</v>
      </c>
      <c r="E138" s="257"/>
      <c r="F138" s="240">
        <v>0.4</v>
      </c>
      <c r="G138" s="234"/>
      <c r="H138" s="406">
        <v>124</v>
      </c>
      <c r="I138" s="469"/>
      <c r="J138" s="469"/>
      <c r="K138" s="481"/>
      <c r="L138" s="481"/>
      <c r="M138" s="481"/>
      <c r="N138" s="482"/>
    </row>
    <row r="139" spans="1:14" customFormat="1" ht="14.5">
      <c r="A139" s="233"/>
      <c r="B139" s="296">
        <v>101</v>
      </c>
      <c r="C139" s="266"/>
      <c r="D139" s="267"/>
      <c r="E139" s="257"/>
      <c r="F139" s="240"/>
      <c r="H139" s="406">
        <v>125</v>
      </c>
      <c r="I139" s="469"/>
      <c r="J139" s="469"/>
      <c r="K139" s="481"/>
      <c r="L139" s="481"/>
      <c r="M139" s="481"/>
      <c r="N139" s="482"/>
    </row>
    <row r="140" spans="1:14" customFormat="1" ht="14.5">
      <c r="A140" s="233"/>
      <c r="B140" s="296">
        <v>102</v>
      </c>
      <c r="C140" s="266"/>
      <c r="D140" s="267"/>
      <c r="E140" s="257"/>
      <c r="F140" s="240"/>
      <c r="H140" s="406">
        <v>126</v>
      </c>
      <c r="I140" s="469"/>
      <c r="J140" s="469"/>
      <c r="K140" s="481"/>
      <c r="L140" s="481"/>
      <c r="M140" s="469"/>
      <c r="N140" s="483"/>
    </row>
    <row r="141" spans="1:14" customFormat="1" ht="14.5">
      <c r="A141" s="233"/>
      <c r="B141" s="296">
        <v>103</v>
      </c>
      <c r="C141" s="266"/>
      <c r="D141" s="267"/>
      <c r="E141" s="257"/>
      <c r="F141" s="240"/>
      <c r="H141" s="406">
        <v>127</v>
      </c>
      <c r="I141" s="469"/>
      <c r="J141" s="469"/>
      <c r="K141" s="481"/>
      <c r="L141" s="481"/>
      <c r="M141" s="469"/>
      <c r="N141" s="483"/>
    </row>
    <row r="142" spans="1:14" customFormat="1" ht="14.5">
      <c r="A142" s="233"/>
      <c r="B142" s="296">
        <v>104</v>
      </c>
      <c r="C142" s="266"/>
      <c r="D142" s="267"/>
      <c r="E142" s="257"/>
      <c r="F142" s="240"/>
      <c r="H142" s="406">
        <v>128</v>
      </c>
      <c r="I142" s="469"/>
      <c r="J142" s="469"/>
      <c r="K142" s="481"/>
      <c r="L142" s="481"/>
      <c r="M142" s="469"/>
      <c r="N142" s="483"/>
    </row>
    <row r="143" spans="1:14" customFormat="1" ht="14.5">
      <c r="A143" s="233"/>
      <c r="B143" s="296">
        <v>105</v>
      </c>
      <c r="C143" s="266"/>
      <c r="D143" s="267"/>
      <c r="E143" s="257"/>
      <c r="F143" s="240"/>
      <c r="H143" s="406">
        <v>129</v>
      </c>
      <c r="I143" s="469"/>
      <c r="J143" s="469"/>
      <c r="K143" s="481"/>
      <c r="L143" s="481"/>
      <c r="M143" s="469"/>
      <c r="N143" s="483"/>
    </row>
    <row r="144" spans="1:14" customFormat="1" ht="14.5">
      <c r="A144" s="233"/>
      <c r="B144" s="296">
        <v>106</v>
      </c>
      <c r="C144" s="266"/>
      <c r="D144" s="267"/>
      <c r="E144" s="257"/>
      <c r="F144" s="240"/>
      <c r="H144" s="406">
        <v>130</v>
      </c>
      <c r="I144" s="469"/>
      <c r="J144" s="469"/>
      <c r="K144" s="481"/>
      <c r="L144" s="481"/>
      <c r="M144" s="469"/>
      <c r="N144" s="483"/>
    </row>
    <row r="145" spans="1:14" customFormat="1" ht="14.5">
      <c r="A145" s="233"/>
      <c r="B145" s="296">
        <v>107</v>
      </c>
      <c r="C145" s="266"/>
      <c r="D145" s="267"/>
      <c r="E145" s="257"/>
      <c r="F145" s="240"/>
      <c r="H145" s="406">
        <v>131</v>
      </c>
      <c r="I145" s="469"/>
      <c r="J145" s="469"/>
      <c r="K145" s="481"/>
      <c r="L145" s="481"/>
      <c r="M145" s="469"/>
      <c r="N145" s="483"/>
    </row>
    <row r="146" spans="1:14" customFormat="1" ht="14.5">
      <c r="A146" s="233"/>
      <c r="B146" s="296">
        <v>108</v>
      </c>
      <c r="C146" s="266"/>
      <c r="D146" s="267"/>
      <c r="E146" s="257"/>
      <c r="F146" s="240"/>
      <c r="H146" s="406">
        <v>132</v>
      </c>
      <c r="I146" s="469"/>
      <c r="J146" s="469"/>
      <c r="K146" s="481"/>
      <c r="L146" s="481"/>
      <c r="M146" s="469"/>
      <c r="N146" s="483"/>
    </row>
    <row r="147" spans="1:14" customFormat="1" ht="14.5">
      <c r="A147" s="233"/>
      <c r="B147" s="296">
        <v>109</v>
      </c>
      <c r="C147" s="266"/>
      <c r="D147" s="267"/>
      <c r="E147" s="257"/>
      <c r="F147" s="240"/>
      <c r="H147" s="406">
        <v>133</v>
      </c>
      <c r="I147" s="469"/>
      <c r="J147" s="469"/>
      <c r="K147" s="481"/>
      <c r="L147" s="481"/>
      <c r="M147" s="469"/>
      <c r="N147" s="483"/>
    </row>
    <row r="148" spans="1:14" customFormat="1" ht="14.5">
      <c r="A148" s="233"/>
      <c r="B148" s="296">
        <v>110</v>
      </c>
      <c r="C148" s="266"/>
      <c r="D148" s="267"/>
      <c r="E148" s="257"/>
      <c r="F148" s="240"/>
      <c r="H148" s="406">
        <v>134</v>
      </c>
      <c r="I148" s="469"/>
      <c r="J148" s="469"/>
      <c r="K148" s="481"/>
      <c r="L148" s="481"/>
      <c r="M148" s="469"/>
      <c r="N148" s="483"/>
    </row>
    <row r="149" spans="1:14" customFormat="1" ht="14.5">
      <c r="A149" s="233"/>
      <c r="B149" s="296">
        <v>111</v>
      </c>
      <c r="C149" s="266"/>
      <c r="D149" s="267"/>
      <c r="E149" s="257"/>
      <c r="F149" s="240"/>
      <c r="H149" s="406">
        <v>135</v>
      </c>
      <c r="I149" s="469"/>
      <c r="J149" s="469"/>
      <c r="K149" s="481"/>
      <c r="L149" s="481"/>
      <c r="M149" s="469"/>
      <c r="N149" s="483"/>
    </row>
    <row r="150" spans="1:14" customFormat="1" ht="14.5">
      <c r="A150" s="233"/>
      <c r="B150" s="296">
        <v>112</v>
      </c>
      <c r="C150" s="266"/>
      <c r="D150" s="267"/>
      <c r="E150" s="257"/>
      <c r="F150" s="240"/>
      <c r="H150" s="406">
        <v>136</v>
      </c>
      <c r="I150" s="469"/>
      <c r="J150" s="469"/>
      <c r="K150" s="481"/>
      <c r="L150" s="481"/>
      <c r="M150" s="469"/>
      <c r="N150" s="483"/>
    </row>
    <row r="151" spans="1:14" customFormat="1" ht="14.5">
      <c r="A151" s="233"/>
      <c r="B151" s="296">
        <v>113</v>
      </c>
      <c r="C151" s="266"/>
      <c r="D151" s="267"/>
      <c r="E151" s="257"/>
      <c r="F151" s="240"/>
      <c r="H151" s="406">
        <v>137</v>
      </c>
      <c r="I151" s="469"/>
      <c r="J151" s="469"/>
      <c r="K151" s="481"/>
      <c r="L151" s="481"/>
      <c r="M151" s="469"/>
      <c r="N151" s="483"/>
    </row>
    <row r="152" spans="1:14" customFormat="1" ht="14.5">
      <c r="A152" s="233"/>
      <c r="B152" s="296">
        <v>114</v>
      </c>
      <c r="C152" s="266"/>
      <c r="D152" s="267"/>
      <c r="E152" s="257"/>
      <c r="F152" s="240"/>
      <c r="H152" s="406">
        <v>138</v>
      </c>
      <c r="I152" s="469"/>
      <c r="J152" s="469"/>
      <c r="K152" s="481"/>
      <c r="L152" s="481"/>
      <c r="M152" s="469"/>
      <c r="N152" s="483"/>
    </row>
    <row r="153" spans="1:14" customFormat="1" ht="14.5">
      <c r="A153" s="233"/>
      <c r="B153" s="296">
        <v>115</v>
      </c>
      <c r="C153" s="266"/>
      <c r="D153" s="267"/>
      <c r="E153" s="257"/>
      <c r="F153" s="240"/>
      <c r="H153" s="406">
        <v>139</v>
      </c>
      <c r="I153" s="469"/>
      <c r="J153" s="469"/>
      <c r="K153" s="481"/>
      <c r="L153" s="481"/>
      <c r="M153" s="469"/>
      <c r="N153" s="483"/>
    </row>
    <row r="154" spans="1:14" customFormat="1" ht="14.5">
      <c r="A154" s="233"/>
      <c r="B154" s="296">
        <v>116</v>
      </c>
      <c r="C154" s="266"/>
      <c r="D154" s="267"/>
      <c r="E154" s="257"/>
      <c r="F154" s="240"/>
      <c r="H154" s="406">
        <v>140</v>
      </c>
      <c r="I154" s="469"/>
      <c r="J154" s="469"/>
      <c r="K154" s="481"/>
      <c r="L154" s="481"/>
      <c r="M154" s="469"/>
      <c r="N154" s="483"/>
    </row>
    <row r="155" spans="1:14" customFormat="1" ht="14.5">
      <c r="A155" s="233"/>
      <c r="B155" s="296">
        <v>117</v>
      </c>
      <c r="C155" s="266"/>
      <c r="D155" s="267"/>
      <c r="E155" s="257"/>
      <c r="F155" s="240"/>
      <c r="H155" s="406">
        <v>141</v>
      </c>
      <c r="I155" s="469"/>
      <c r="J155" s="469"/>
      <c r="K155" s="481"/>
      <c r="L155" s="481"/>
      <c r="M155" s="469"/>
      <c r="N155" s="483"/>
    </row>
    <row r="156" spans="1:14" customFormat="1" ht="14.5">
      <c r="A156" s="233"/>
      <c r="B156" s="296">
        <v>118</v>
      </c>
      <c r="C156" s="266"/>
      <c r="D156" s="267"/>
      <c r="E156" s="257"/>
      <c r="F156" s="240"/>
      <c r="H156" s="406">
        <v>142</v>
      </c>
      <c r="I156" s="469"/>
      <c r="J156" s="469"/>
      <c r="K156" s="481"/>
      <c r="L156" s="481"/>
      <c r="M156" s="469"/>
      <c r="N156" s="483"/>
    </row>
    <row r="157" spans="1:14" customFormat="1" ht="14.5">
      <c r="A157" s="233"/>
      <c r="B157" s="296">
        <v>119</v>
      </c>
      <c r="C157" s="266"/>
      <c r="D157" s="267"/>
      <c r="E157" s="257"/>
      <c r="F157" s="240"/>
      <c r="H157" s="406">
        <v>143</v>
      </c>
      <c r="I157" s="469"/>
      <c r="J157" s="469"/>
      <c r="K157" s="481"/>
      <c r="L157" s="481"/>
      <c r="M157" s="469"/>
      <c r="N157" s="483"/>
    </row>
    <row r="158" spans="1:14" customFormat="1" ht="14.5">
      <c r="A158" s="233"/>
      <c r="B158" s="296">
        <v>120</v>
      </c>
      <c r="C158" s="266"/>
      <c r="D158" s="267"/>
      <c r="E158" s="257"/>
      <c r="F158" s="240"/>
      <c r="H158" s="406">
        <v>144</v>
      </c>
      <c r="I158" s="469"/>
      <c r="J158" s="469"/>
      <c r="K158" s="481"/>
      <c r="L158" s="481"/>
      <c r="M158" s="469"/>
      <c r="N158" s="483"/>
    </row>
    <row r="159" spans="1:14" customFormat="1" ht="14.5">
      <c r="A159" s="233"/>
      <c r="B159" s="296">
        <v>121</v>
      </c>
      <c r="C159" s="266"/>
      <c r="D159" s="267"/>
      <c r="E159" s="257"/>
      <c r="F159" s="240"/>
      <c r="H159" s="406">
        <v>145</v>
      </c>
      <c r="I159" s="469"/>
      <c r="J159" s="469"/>
      <c r="K159" s="481"/>
      <c r="L159" s="481"/>
      <c r="M159" s="469"/>
      <c r="N159" s="483"/>
    </row>
    <row r="160" spans="1:14" customFormat="1" ht="14.5">
      <c r="A160" s="233"/>
      <c r="B160" s="296">
        <v>122</v>
      </c>
      <c r="C160" s="266"/>
      <c r="D160" s="267"/>
      <c r="E160" s="257"/>
      <c r="F160" s="240"/>
      <c r="H160" s="406">
        <v>146</v>
      </c>
      <c r="I160" s="469"/>
      <c r="J160" s="469"/>
      <c r="K160" s="481"/>
      <c r="L160" s="481"/>
      <c r="M160" s="469"/>
      <c r="N160" s="483"/>
    </row>
    <row r="161" spans="1:14" customFormat="1" ht="14.5">
      <c r="A161" s="233"/>
      <c r="B161" s="296">
        <v>123</v>
      </c>
      <c r="C161" s="266"/>
      <c r="D161" s="267"/>
      <c r="E161" s="257"/>
      <c r="F161" s="240"/>
      <c r="H161" s="406">
        <v>147</v>
      </c>
      <c r="I161" s="469"/>
      <c r="J161" s="469"/>
      <c r="K161" s="481"/>
      <c r="L161" s="481"/>
      <c r="M161" s="469"/>
      <c r="N161" s="483"/>
    </row>
    <row r="162" spans="1:14" customFormat="1" ht="14.5">
      <c r="A162" s="233"/>
      <c r="B162" s="296">
        <v>124</v>
      </c>
      <c r="C162" s="266"/>
      <c r="D162" s="267"/>
      <c r="E162" s="257"/>
      <c r="F162" s="240"/>
      <c r="H162" s="406">
        <v>148</v>
      </c>
      <c r="I162" s="469"/>
      <c r="J162" s="469"/>
      <c r="K162" s="481"/>
      <c r="L162" s="481"/>
      <c r="M162" s="469"/>
      <c r="N162" s="483"/>
    </row>
    <row r="163" spans="1:14" customFormat="1" ht="14.5">
      <c r="A163" s="233"/>
      <c r="B163" s="296">
        <v>125</v>
      </c>
      <c r="C163" s="266"/>
      <c r="D163" s="267"/>
      <c r="E163" s="257"/>
      <c r="F163" s="240"/>
      <c r="H163" s="406">
        <v>149</v>
      </c>
      <c r="I163" s="469"/>
      <c r="J163" s="469"/>
      <c r="K163" s="481"/>
      <c r="L163" s="481"/>
      <c r="M163" s="481"/>
      <c r="N163" s="482"/>
    </row>
    <row r="164" spans="1:14" customFormat="1" ht="14.5">
      <c r="A164" s="233"/>
      <c r="B164" s="296">
        <v>126</v>
      </c>
      <c r="C164" s="266"/>
      <c r="D164" s="267"/>
      <c r="E164" s="257"/>
      <c r="F164" s="240"/>
      <c r="H164" s="406">
        <v>150</v>
      </c>
      <c r="I164" s="469"/>
      <c r="J164" s="469"/>
      <c r="K164" s="481"/>
      <c r="L164" s="481"/>
      <c r="M164" s="481"/>
      <c r="N164" s="482"/>
    </row>
    <row r="165" spans="1:14" customFormat="1" ht="14.5">
      <c r="A165" s="233"/>
      <c r="B165" s="296">
        <v>127</v>
      </c>
      <c r="C165" s="266"/>
      <c r="D165" s="267"/>
      <c r="E165" s="257"/>
      <c r="F165" s="240"/>
      <c r="H165" s="406">
        <v>151</v>
      </c>
      <c r="I165" s="469"/>
      <c r="J165" s="469"/>
      <c r="K165" s="481"/>
      <c r="L165" s="481"/>
      <c r="M165" s="481"/>
      <c r="N165" s="482"/>
    </row>
    <row r="166" spans="1:14" customFormat="1" ht="14.5">
      <c r="A166" s="233"/>
      <c r="B166" s="296">
        <v>128</v>
      </c>
      <c r="C166" s="266"/>
      <c r="D166" s="267"/>
      <c r="E166" s="257"/>
      <c r="F166" s="240"/>
      <c r="H166" s="406">
        <v>152</v>
      </c>
      <c r="I166" s="469"/>
      <c r="J166" s="469"/>
      <c r="K166" s="481"/>
      <c r="L166" s="481"/>
      <c r="M166" s="481"/>
      <c r="N166" s="482"/>
    </row>
    <row r="167" spans="1:14" customFormat="1" ht="14.5">
      <c r="A167" s="233"/>
      <c r="B167" s="296">
        <v>129</v>
      </c>
      <c r="C167" s="266"/>
      <c r="D167" s="267"/>
      <c r="E167" s="257"/>
      <c r="F167" s="240"/>
      <c r="H167" s="406">
        <v>153</v>
      </c>
      <c r="I167" s="469"/>
      <c r="J167" s="469"/>
      <c r="K167" s="481"/>
      <c r="L167" s="481"/>
      <c r="M167" s="481"/>
      <c r="N167" s="482"/>
    </row>
    <row r="168" spans="1:14" customFormat="1" ht="14.5">
      <c r="A168" s="233"/>
      <c r="B168" s="296">
        <v>130</v>
      </c>
      <c r="C168" s="266"/>
      <c r="D168" s="267"/>
      <c r="E168" s="257"/>
      <c r="F168" s="240"/>
      <c r="H168" s="406">
        <v>154</v>
      </c>
      <c r="I168" s="469"/>
      <c r="J168" s="469"/>
      <c r="K168" s="481"/>
      <c r="L168" s="481"/>
      <c r="M168" s="481"/>
      <c r="N168" s="482"/>
    </row>
    <row r="169" spans="1:14" customFormat="1" ht="14.5">
      <c r="A169" s="233"/>
      <c r="B169" s="296">
        <v>131</v>
      </c>
      <c r="C169" s="266"/>
      <c r="D169" s="267"/>
      <c r="E169" s="257"/>
      <c r="F169" s="240"/>
      <c r="H169" s="406">
        <v>155</v>
      </c>
      <c r="I169" s="469"/>
      <c r="J169" s="469"/>
      <c r="K169" s="481"/>
      <c r="L169" s="481"/>
      <c r="M169" s="481"/>
      <c r="N169" s="482"/>
    </row>
    <row r="170" spans="1:14" customFormat="1" ht="14.5">
      <c r="A170" s="233"/>
      <c r="B170" s="296">
        <v>132</v>
      </c>
      <c r="C170" s="266"/>
      <c r="D170" s="267"/>
      <c r="E170" s="257"/>
      <c r="F170" s="240"/>
      <c r="H170" s="406">
        <v>156</v>
      </c>
      <c r="I170" s="469"/>
      <c r="J170" s="469"/>
      <c r="K170" s="481"/>
      <c r="L170" s="481"/>
      <c r="M170" s="481"/>
      <c r="N170" s="482"/>
    </row>
    <row r="171" spans="1:14" customFormat="1" ht="14.5">
      <c r="A171" s="233"/>
      <c r="B171" s="296">
        <v>133</v>
      </c>
      <c r="C171" s="266"/>
      <c r="D171" s="267"/>
      <c r="E171" s="257"/>
      <c r="F171" s="240"/>
      <c r="H171" s="406">
        <v>157</v>
      </c>
      <c r="I171" s="469"/>
      <c r="J171" s="469"/>
      <c r="K171" s="481"/>
      <c r="L171" s="481"/>
      <c r="M171" s="481"/>
      <c r="N171" s="482"/>
    </row>
    <row r="172" spans="1:14" customFormat="1" ht="14.5">
      <c r="A172" s="233"/>
      <c r="B172" s="296">
        <v>134</v>
      </c>
      <c r="C172" s="266"/>
      <c r="D172" s="267"/>
      <c r="E172" s="257"/>
      <c r="F172" s="240"/>
      <c r="H172" s="406">
        <v>158</v>
      </c>
      <c r="I172" s="469"/>
      <c r="J172" s="469"/>
      <c r="K172" s="481"/>
      <c r="L172" s="481"/>
      <c r="M172" s="481"/>
      <c r="N172" s="482"/>
    </row>
    <row r="173" spans="1:14" customFormat="1" ht="14.5">
      <c r="A173" s="233"/>
      <c r="B173" s="296">
        <v>135</v>
      </c>
      <c r="C173" s="266"/>
      <c r="D173" s="267"/>
      <c r="E173" s="257"/>
      <c r="F173" s="240"/>
      <c r="H173" s="406">
        <v>159</v>
      </c>
      <c r="I173" s="469"/>
      <c r="J173" s="469"/>
      <c r="K173" s="481"/>
      <c r="L173" s="481"/>
      <c r="M173" s="481"/>
      <c r="N173" s="482"/>
    </row>
    <row r="174" spans="1:14" customFormat="1" ht="14.5">
      <c r="A174" s="233"/>
      <c r="B174" s="296">
        <v>136</v>
      </c>
      <c r="C174" s="266"/>
      <c r="D174" s="267"/>
      <c r="E174" s="257"/>
      <c r="F174" s="240"/>
      <c r="H174" s="406">
        <v>160</v>
      </c>
      <c r="I174" s="469"/>
      <c r="J174" s="469"/>
      <c r="K174" s="481"/>
      <c r="L174" s="481"/>
      <c r="M174" s="481"/>
      <c r="N174" s="482"/>
    </row>
    <row r="175" spans="1:14" customFormat="1" ht="14.5">
      <c r="A175" s="233"/>
      <c r="B175" s="296">
        <v>137</v>
      </c>
      <c r="C175" s="266"/>
      <c r="D175" s="267"/>
      <c r="E175" s="257"/>
      <c r="F175" s="240"/>
      <c r="H175" s="406">
        <v>161</v>
      </c>
      <c r="I175" s="469"/>
      <c r="J175" s="469"/>
      <c r="K175" s="481"/>
      <c r="L175" s="481"/>
      <c r="M175" s="481"/>
      <c r="N175" s="482"/>
    </row>
    <row r="176" spans="1:14" customFormat="1" ht="14.5">
      <c r="A176" s="233"/>
      <c r="B176" s="296">
        <v>138</v>
      </c>
      <c r="C176" s="266"/>
      <c r="D176" s="267"/>
      <c r="E176" s="257"/>
      <c r="F176" s="240"/>
      <c r="H176" s="406">
        <v>162</v>
      </c>
      <c r="I176" s="469"/>
      <c r="J176" s="469"/>
      <c r="K176" s="481"/>
      <c r="L176" s="481"/>
      <c r="M176" s="481"/>
      <c r="N176" s="482"/>
    </row>
    <row r="177" spans="1:14" customFormat="1" ht="14.5">
      <c r="A177" s="233"/>
      <c r="B177" s="296">
        <v>139</v>
      </c>
      <c r="C177" s="266"/>
      <c r="D177" s="267"/>
      <c r="E177" s="257"/>
      <c r="F177" s="240"/>
      <c r="H177" s="406">
        <v>163</v>
      </c>
      <c r="I177" s="469"/>
      <c r="J177" s="469"/>
      <c r="K177" s="481"/>
      <c r="L177" s="481"/>
      <c r="M177" s="481"/>
      <c r="N177" s="482"/>
    </row>
    <row r="178" spans="1:14" customFormat="1" ht="14.5">
      <c r="A178" s="233"/>
      <c r="B178" s="296">
        <v>140</v>
      </c>
      <c r="C178" s="266"/>
      <c r="D178" s="267"/>
      <c r="E178" s="257"/>
      <c r="F178" s="240"/>
      <c r="H178" s="406">
        <v>164</v>
      </c>
      <c r="I178" s="469"/>
      <c r="J178" s="469"/>
      <c r="K178" s="481"/>
      <c r="L178" s="481"/>
      <c r="M178" s="481"/>
      <c r="N178" s="482"/>
    </row>
    <row r="179" spans="1:14" customFormat="1" ht="14.5">
      <c r="A179" s="233"/>
      <c r="B179" s="296">
        <v>141</v>
      </c>
      <c r="C179" s="266"/>
      <c r="D179" s="267"/>
      <c r="E179" s="257"/>
      <c r="F179" s="240"/>
      <c r="H179" s="406">
        <v>165</v>
      </c>
      <c r="I179" s="469"/>
      <c r="J179" s="469"/>
      <c r="K179" s="481"/>
      <c r="L179" s="481"/>
      <c r="M179" s="481"/>
      <c r="N179" s="482"/>
    </row>
    <row r="180" spans="1:14" customFormat="1" ht="14.5">
      <c r="A180" s="233"/>
      <c r="B180" s="296">
        <v>142</v>
      </c>
      <c r="C180" s="266"/>
      <c r="D180" s="267"/>
      <c r="E180" s="257"/>
      <c r="F180" s="240"/>
      <c r="H180" s="406">
        <v>166</v>
      </c>
      <c r="I180" s="469"/>
      <c r="J180" s="469"/>
      <c r="K180" s="481"/>
      <c r="L180" s="481"/>
      <c r="M180" s="481"/>
      <c r="N180" s="482"/>
    </row>
    <row r="181" spans="1:14" customFormat="1" ht="14.5">
      <c r="A181" s="233"/>
      <c r="B181" s="296">
        <v>143</v>
      </c>
      <c r="C181" s="266"/>
      <c r="D181" s="267"/>
      <c r="E181" s="257"/>
      <c r="F181" s="240"/>
      <c r="H181" s="406">
        <v>167</v>
      </c>
      <c r="I181" s="469"/>
      <c r="J181" s="469"/>
      <c r="K181" s="481"/>
      <c r="L181" s="481"/>
      <c r="M181" s="481"/>
      <c r="N181" s="482"/>
    </row>
    <row r="182" spans="1:14" customFormat="1" ht="14.5">
      <c r="A182" s="233"/>
      <c r="B182" s="296">
        <v>144</v>
      </c>
      <c r="C182" s="266"/>
      <c r="D182" s="267"/>
      <c r="E182" s="257"/>
      <c r="F182" s="240"/>
      <c r="H182" s="406">
        <v>168</v>
      </c>
      <c r="I182" s="469"/>
      <c r="J182" s="469"/>
      <c r="K182" s="481"/>
      <c r="L182" s="481"/>
      <c r="M182" s="481"/>
      <c r="N182" s="482"/>
    </row>
    <row r="183" spans="1:14" customFormat="1" ht="14.5">
      <c r="A183" s="233"/>
      <c r="B183" s="296">
        <v>145</v>
      </c>
      <c r="C183" s="266"/>
      <c r="D183" s="267"/>
      <c r="E183" s="257"/>
      <c r="F183" s="240"/>
      <c r="H183" s="406">
        <v>169</v>
      </c>
      <c r="I183" s="469"/>
      <c r="J183" s="469"/>
      <c r="K183" s="481"/>
      <c r="L183" s="481"/>
      <c r="M183" s="481"/>
      <c r="N183" s="482"/>
    </row>
    <row r="184" spans="1:14" customFormat="1" ht="14.5">
      <c r="A184" s="233"/>
      <c r="B184" s="296">
        <v>146</v>
      </c>
      <c r="C184" s="266"/>
      <c r="D184" s="267"/>
      <c r="E184" s="257"/>
      <c r="F184" s="240"/>
      <c r="H184" s="406">
        <v>170</v>
      </c>
      <c r="I184" s="469"/>
      <c r="J184" s="469"/>
      <c r="K184" s="481"/>
      <c r="L184" s="481"/>
      <c r="M184" s="481"/>
      <c r="N184" s="482"/>
    </row>
    <row r="185" spans="1:14" customFormat="1" ht="14.5">
      <c r="A185" s="233"/>
      <c r="B185" s="296">
        <v>147</v>
      </c>
      <c r="C185" s="266"/>
      <c r="D185" s="267"/>
      <c r="E185" s="257"/>
      <c r="F185" s="240"/>
      <c r="H185" s="406">
        <v>171</v>
      </c>
      <c r="I185" s="469"/>
      <c r="J185" s="469"/>
      <c r="K185" s="481"/>
      <c r="L185" s="481"/>
      <c r="M185" s="481"/>
      <c r="N185" s="482"/>
    </row>
    <row r="186" spans="1:14" customFormat="1" ht="14.5">
      <c r="A186" s="233"/>
      <c r="B186" s="296">
        <v>148</v>
      </c>
      <c r="C186" s="266"/>
      <c r="D186" s="267"/>
      <c r="E186" s="257"/>
      <c r="F186" s="240"/>
      <c r="H186" s="406">
        <v>172</v>
      </c>
      <c r="I186" s="469"/>
      <c r="J186" s="469"/>
      <c r="K186" s="481"/>
      <c r="L186" s="481"/>
      <c r="M186" s="481"/>
      <c r="N186" s="482"/>
    </row>
    <row r="187" spans="1:14" customFormat="1" ht="14.5">
      <c r="A187" s="233"/>
      <c r="B187" s="296">
        <v>149</v>
      </c>
      <c r="C187" s="266"/>
      <c r="D187" s="267"/>
      <c r="E187" s="257"/>
      <c r="F187" s="240"/>
      <c r="H187" s="406">
        <v>173</v>
      </c>
      <c r="I187" s="469"/>
      <c r="J187" s="469"/>
      <c r="K187" s="481"/>
      <c r="L187" s="481"/>
      <c r="M187" s="481"/>
      <c r="N187" s="482"/>
    </row>
    <row r="188" spans="1:14" customFormat="1" ht="14.5">
      <c r="A188" s="233"/>
      <c r="B188" s="296">
        <v>150</v>
      </c>
      <c r="C188" s="266"/>
      <c r="D188" s="267"/>
      <c r="E188" s="257"/>
      <c r="F188" s="240"/>
      <c r="H188" s="406">
        <v>174</v>
      </c>
      <c r="I188" s="469"/>
      <c r="J188" s="469"/>
      <c r="K188" s="481"/>
      <c r="L188" s="481"/>
      <c r="M188" s="481"/>
      <c r="N188" s="482"/>
    </row>
    <row r="189" spans="1:14" customFormat="1" ht="14.5">
      <c r="A189" s="233"/>
      <c r="B189" s="296">
        <v>151</v>
      </c>
      <c r="C189" s="266"/>
      <c r="D189" s="267"/>
      <c r="E189" s="257"/>
      <c r="F189" s="240"/>
      <c r="H189" s="406">
        <v>175</v>
      </c>
      <c r="I189" s="469"/>
      <c r="J189" s="469"/>
      <c r="K189" s="481"/>
      <c r="L189" s="481"/>
      <c r="M189" s="481"/>
      <c r="N189" s="482"/>
    </row>
    <row r="190" spans="1:14" customFormat="1" ht="14.5">
      <c r="A190" s="233"/>
      <c r="B190" s="296">
        <v>152</v>
      </c>
      <c r="C190" s="266"/>
      <c r="D190" s="267"/>
      <c r="E190" s="257"/>
      <c r="F190" s="240"/>
      <c r="H190" s="406">
        <v>176</v>
      </c>
      <c r="I190" s="469"/>
      <c r="J190" s="469"/>
      <c r="K190" s="481"/>
      <c r="L190" s="481"/>
      <c r="M190" s="481"/>
      <c r="N190" s="482"/>
    </row>
    <row r="191" spans="1:14" customFormat="1" ht="14.5">
      <c r="A191" s="233"/>
      <c r="B191" s="296">
        <v>153</v>
      </c>
      <c r="C191" s="266"/>
      <c r="D191" s="267"/>
      <c r="E191" s="257"/>
      <c r="F191" s="240"/>
      <c r="H191" s="406">
        <v>177</v>
      </c>
      <c r="I191" s="469"/>
      <c r="J191" s="469"/>
      <c r="K191" s="481"/>
      <c r="L191" s="481"/>
      <c r="M191" s="481"/>
      <c r="N191" s="482"/>
    </row>
    <row r="192" spans="1:14" customFormat="1" ht="14.5">
      <c r="A192" s="233"/>
      <c r="B192" s="296">
        <v>154</v>
      </c>
      <c r="C192" s="266"/>
      <c r="D192" s="267"/>
      <c r="E192" s="257"/>
      <c r="F192" s="240"/>
      <c r="H192" s="406">
        <v>178</v>
      </c>
      <c r="I192" s="469"/>
      <c r="J192" s="469"/>
      <c r="K192" s="481"/>
      <c r="L192" s="481"/>
      <c r="M192" s="481"/>
      <c r="N192" s="482"/>
    </row>
    <row r="193" spans="1:14" customFormat="1" ht="14.5">
      <c r="A193" s="233"/>
      <c r="B193" s="296">
        <v>155</v>
      </c>
      <c r="C193" s="266"/>
      <c r="D193" s="267"/>
      <c r="E193" s="257"/>
      <c r="F193" s="240"/>
      <c r="H193" s="406">
        <v>179</v>
      </c>
      <c r="I193" s="469"/>
      <c r="J193" s="469"/>
      <c r="K193" s="481"/>
      <c r="L193" s="481"/>
      <c r="M193" s="481"/>
      <c r="N193" s="482"/>
    </row>
    <row r="194" spans="1:14" customFormat="1" ht="14.5">
      <c r="A194" s="233"/>
      <c r="B194" s="296">
        <v>156</v>
      </c>
      <c r="C194" s="266"/>
      <c r="D194" s="267"/>
      <c r="E194" s="257"/>
      <c r="F194" s="240"/>
      <c r="H194" s="406">
        <v>180</v>
      </c>
      <c r="I194" s="469"/>
      <c r="J194" s="469"/>
      <c r="K194" s="481"/>
      <c r="L194" s="481"/>
      <c r="M194" s="481"/>
      <c r="N194" s="482"/>
    </row>
    <row r="195" spans="1:14" customFormat="1" ht="14.5">
      <c r="A195" s="233"/>
      <c r="B195" s="296">
        <v>157</v>
      </c>
      <c r="C195" s="266"/>
      <c r="D195" s="267"/>
      <c r="E195" s="257"/>
      <c r="F195" s="240"/>
      <c r="H195" s="406">
        <v>181</v>
      </c>
      <c r="I195" s="469"/>
      <c r="J195" s="469"/>
      <c r="K195" s="481"/>
      <c r="L195" s="481"/>
      <c r="M195" s="481"/>
      <c r="N195" s="482"/>
    </row>
    <row r="196" spans="1:14" customFormat="1" ht="14.5">
      <c r="A196" s="233"/>
      <c r="B196" s="296">
        <v>158</v>
      </c>
      <c r="C196" s="266"/>
      <c r="D196" s="267"/>
      <c r="E196" s="257"/>
      <c r="F196" s="240"/>
      <c r="H196" s="406">
        <v>182</v>
      </c>
      <c r="I196" s="469"/>
      <c r="J196" s="469"/>
      <c r="K196" s="481"/>
      <c r="L196" s="481"/>
      <c r="M196" s="481"/>
      <c r="N196" s="482"/>
    </row>
    <row r="197" spans="1:14" customFormat="1" ht="14.5">
      <c r="A197" s="233"/>
      <c r="B197" s="296">
        <v>159</v>
      </c>
      <c r="C197" s="266"/>
      <c r="D197" s="267"/>
      <c r="E197" s="257"/>
      <c r="F197" s="240"/>
      <c r="H197" s="406">
        <v>183</v>
      </c>
      <c r="I197" s="469"/>
      <c r="J197" s="469"/>
      <c r="K197" s="481"/>
      <c r="L197" s="481"/>
      <c r="M197" s="481"/>
      <c r="N197" s="482"/>
    </row>
    <row r="198" spans="1:14" customFormat="1" ht="14.5">
      <c r="A198" s="233"/>
      <c r="B198" s="296">
        <v>160</v>
      </c>
      <c r="C198" s="266"/>
      <c r="D198" s="267"/>
      <c r="E198" s="257"/>
      <c r="F198" s="240"/>
      <c r="H198" s="406">
        <v>184</v>
      </c>
      <c r="I198" s="469"/>
      <c r="J198" s="469"/>
      <c r="K198" s="481"/>
      <c r="L198" s="481"/>
      <c r="M198" s="481"/>
      <c r="N198" s="482"/>
    </row>
    <row r="199" spans="1:14" customFormat="1" ht="14.5">
      <c r="A199" s="233"/>
      <c r="B199" s="296">
        <v>161</v>
      </c>
      <c r="C199" s="266"/>
      <c r="D199" s="267"/>
      <c r="E199" s="257"/>
      <c r="F199" s="240"/>
      <c r="H199" s="406">
        <v>185</v>
      </c>
      <c r="I199" s="469"/>
      <c r="J199" s="469"/>
      <c r="K199" s="481"/>
      <c r="L199" s="481"/>
      <c r="M199" s="481"/>
      <c r="N199" s="482"/>
    </row>
    <row r="200" spans="1:14" customFormat="1" ht="14.5">
      <c r="A200" s="233"/>
      <c r="B200" s="296">
        <v>162</v>
      </c>
      <c r="C200" s="266"/>
      <c r="D200" s="267"/>
      <c r="E200" s="257"/>
      <c r="F200" s="240"/>
      <c r="H200" s="406">
        <v>186</v>
      </c>
      <c r="I200" s="469"/>
      <c r="J200" s="469"/>
      <c r="K200" s="481"/>
      <c r="L200" s="481"/>
      <c r="M200" s="481"/>
      <c r="N200" s="482"/>
    </row>
    <row r="201" spans="1:14" customFormat="1" ht="14.5">
      <c r="A201" s="233"/>
      <c r="B201" s="296">
        <v>163</v>
      </c>
      <c r="C201" s="266"/>
      <c r="D201" s="267"/>
      <c r="E201" s="257"/>
      <c r="F201" s="240"/>
      <c r="H201" s="406">
        <v>187</v>
      </c>
      <c r="I201" s="469"/>
      <c r="J201" s="469"/>
      <c r="K201" s="481"/>
      <c r="L201" s="481"/>
      <c r="M201" s="481"/>
      <c r="N201" s="482"/>
    </row>
    <row r="202" spans="1:14" customFormat="1" ht="14.5">
      <c r="A202" s="233"/>
      <c r="B202" s="296">
        <v>164</v>
      </c>
      <c r="C202" s="266"/>
      <c r="D202" s="267"/>
      <c r="E202" s="257"/>
      <c r="F202" s="240"/>
      <c r="H202" s="406">
        <v>188</v>
      </c>
      <c r="I202" s="469"/>
      <c r="J202" s="469"/>
      <c r="K202" s="481"/>
      <c r="L202" s="481"/>
      <c r="M202" s="481"/>
      <c r="N202" s="482"/>
    </row>
    <row r="203" spans="1:14" customFormat="1" ht="14.5">
      <c r="A203" s="233"/>
      <c r="B203" s="296">
        <v>165</v>
      </c>
      <c r="C203" s="266"/>
      <c r="D203" s="267"/>
      <c r="E203" s="257"/>
      <c r="F203" s="240"/>
      <c r="H203" s="406">
        <v>189</v>
      </c>
      <c r="I203" s="469"/>
      <c r="J203" s="469"/>
      <c r="K203" s="481"/>
      <c r="L203" s="481"/>
      <c r="M203" s="481"/>
      <c r="N203" s="482"/>
    </row>
    <row r="204" spans="1:14" customFormat="1" ht="14.5">
      <c r="A204" s="233"/>
      <c r="B204" s="296">
        <v>166</v>
      </c>
      <c r="C204" s="266"/>
      <c r="D204" s="267"/>
      <c r="E204" s="257"/>
      <c r="F204" s="240"/>
      <c r="H204" s="406">
        <v>190</v>
      </c>
      <c r="I204" s="469"/>
      <c r="J204" s="469"/>
      <c r="K204" s="481"/>
      <c r="L204" s="481"/>
      <c r="M204" s="481"/>
      <c r="N204" s="482"/>
    </row>
    <row r="205" spans="1:14" customFormat="1" ht="14.5">
      <c r="A205" s="233"/>
      <c r="B205" s="296">
        <v>167</v>
      </c>
      <c r="C205" s="266"/>
      <c r="D205" s="267"/>
      <c r="E205" s="257"/>
      <c r="F205" s="240"/>
      <c r="H205" s="406">
        <v>191</v>
      </c>
      <c r="I205" s="469"/>
      <c r="J205" s="469"/>
      <c r="K205" s="481"/>
      <c r="L205" s="481"/>
      <c r="M205" s="481"/>
      <c r="N205" s="482"/>
    </row>
    <row r="206" spans="1:14" customFormat="1" ht="14.5">
      <c r="A206" s="233"/>
      <c r="B206" s="296">
        <v>168</v>
      </c>
      <c r="C206" s="266"/>
      <c r="D206" s="267"/>
      <c r="E206" s="257"/>
      <c r="F206" s="240"/>
      <c r="H206" s="406">
        <v>192</v>
      </c>
      <c r="I206" s="469"/>
      <c r="J206" s="469"/>
      <c r="K206" s="481"/>
      <c r="L206" s="481"/>
      <c r="M206" s="481"/>
      <c r="N206" s="482"/>
    </row>
    <row r="207" spans="1:14" customFormat="1" ht="14.5">
      <c r="A207" s="233"/>
      <c r="B207" s="296">
        <v>169</v>
      </c>
      <c r="C207" s="266"/>
      <c r="D207" s="267"/>
      <c r="E207" s="257"/>
      <c r="F207" s="240"/>
      <c r="H207" s="406">
        <v>193</v>
      </c>
      <c r="I207" s="469"/>
      <c r="J207" s="469"/>
      <c r="K207" s="481"/>
      <c r="L207" s="481"/>
      <c r="M207" s="481"/>
      <c r="N207" s="482"/>
    </row>
    <row r="208" spans="1:14" customFormat="1" ht="14.5">
      <c r="A208" s="233"/>
      <c r="B208" s="296">
        <v>170</v>
      </c>
      <c r="C208" s="266"/>
      <c r="D208" s="267"/>
      <c r="E208" s="257"/>
      <c r="F208" s="240"/>
      <c r="H208" s="406">
        <v>194</v>
      </c>
      <c r="I208" s="469"/>
      <c r="J208" s="469"/>
      <c r="K208" s="481"/>
      <c r="L208" s="481"/>
      <c r="M208" s="481"/>
      <c r="N208" s="482"/>
    </row>
    <row r="209" spans="1:14" customFormat="1" ht="14.5">
      <c r="A209" s="233"/>
      <c r="B209" s="296">
        <v>171</v>
      </c>
      <c r="C209" s="266"/>
      <c r="D209" s="267"/>
      <c r="E209" s="257"/>
      <c r="F209" s="240"/>
      <c r="H209" s="406">
        <v>195</v>
      </c>
      <c r="I209" s="469"/>
      <c r="J209" s="469"/>
      <c r="K209" s="481"/>
      <c r="L209" s="481"/>
      <c r="M209" s="481"/>
      <c r="N209" s="482"/>
    </row>
    <row r="210" spans="1:14" customFormat="1" ht="14.5">
      <c r="A210" s="233"/>
      <c r="B210" s="296">
        <v>172</v>
      </c>
      <c r="C210" s="266"/>
      <c r="D210" s="267"/>
      <c r="E210" s="257"/>
      <c r="F210" s="240"/>
      <c r="H210" s="406">
        <v>196</v>
      </c>
      <c r="I210" s="469"/>
      <c r="J210" s="469"/>
      <c r="K210" s="481"/>
      <c r="L210" s="481"/>
      <c r="M210" s="481"/>
      <c r="N210" s="482"/>
    </row>
    <row r="211" spans="1:14" customFormat="1" ht="14.5">
      <c r="A211" s="233"/>
      <c r="B211" s="296">
        <v>173</v>
      </c>
      <c r="C211" s="266"/>
      <c r="D211" s="267"/>
      <c r="E211" s="257"/>
      <c r="F211" s="240"/>
      <c r="H211" s="406">
        <v>197</v>
      </c>
      <c r="I211" s="469"/>
      <c r="J211" s="469"/>
      <c r="K211" s="481"/>
      <c r="L211" s="481"/>
      <c r="M211" s="481"/>
      <c r="N211" s="482"/>
    </row>
    <row r="212" spans="1:14" customFormat="1" ht="14.5">
      <c r="A212" s="233"/>
      <c r="B212" s="296">
        <v>174</v>
      </c>
      <c r="C212" s="266"/>
      <c r="D212" s="267"/>
      <c r="E212" s="257"/>
      <c r="F212" s="240"/>
      <c r="H212" s="406">
        <v>198</v>
      </c>
      <c r="I212" s="469"/>
      <c r="J212" s="469"/>
      <c r="K212" s="481"/>
      <c r="L212" s="481"/>
      <c r="M212" s="481"/>
      <c r="N212" s="482"/>
    </row>
    <row r="213" spans="1:14" customFormat="1" ht="14.5">
      <c r="A213" s="233"/>
      <c r="B213" s="296">
        <v>175</v>
      </c>
      <c r="C213" s="266"/>
      <c r="D213" s="267"/>
      <c r="E213" s="257"/>
      <c r="F213" s="240"/>
      <c r="H213" s="406">
        <v>199</v>
      </c>
      <c r="I213" s="469"/>
      <c r="J213" s="469"/>
      <c r="K213" s="481"/>
      <c r="L213" s="481"/>
      <c r="M213" s="481"/>
      <c r="N213" s="482"/>
    </row>
    <row r="214" spans="1:14" customFormat="1" ht="14.5">
      <c r="A214" s="233"/>
      <c r="B214" s="296">
        <v>176</v>
      </c>
      <c r="C214" s="266"/>
      <c r="D214" s="267"/>
      <c r="E214" s="257"/>
      <c r="F214" s="240"/>
      <c r="H214" s="406">
        <v>200</v>
      </c>
      <c r="I214" s="469"/>
      <c r="J214" s="469"/>
      <c r="K214" s="481"/>
      <c r="L214" s="481"/>
      <c r="M214" s="481"/>
      <c r="N214" s="482"/>
    </row>
    <row r="215" spans="1:14" customFormat="1" ht="14.5">
      <c r="A215" s="233"/>
      <c r="B215" s="296">
        <v>177</v>
      </c>
      <c r="C215" s="266"/>
      <c r="D215" s="267"/>
      <c r="E215" s="257"/>
      <c r="F215" s="240"/>
      <c r="H215" s="406">
        <v>201</v>
      </c>
      <c r="I215" s="469"/>
      <c r="J215" s="469"/>
      <c r="K215" s="481"/>
      <c r="L215" s="481"/>
      <c r="M215" s="481"/>
      <c r="N215" s="482"/>
    </row>
    <row r="216" spans="1:14" customFormat="1" ht="14.5">
      <c r="A216" s="233"/>
      <c r="B216" s="296">
        <v>178</v>
      </c>
      <c r="C216" s="266"/>
      <c r="D216" s="267"/>
      <c r="E216" s="257"/>
      <c r="F216" s="240"/>
      <c r="H216" s="406">
        <v>202</v>
      </c>
      <c r="I216" s="469"/>
      <c r="J216" s="469"/>
      <c r="K216" s="481"/>
      <c r="L216" s="481"/>
      <c r="M216" s="481"/>
      <c r="N216" s="482"/>
    </row>
    <row r="217" spans="1:14" customFormat="1" ht="14.5">
      <c r="A217" s="233"/>
      <c r="B217" s="296">
        <v>179</v>
      </c>
      <c r="C217" s="266"/>
      <c r="D217" s="267"/>
      <c r="E217" s="257"/>
      <c r="F217" s="240"/>
      <c r="H217" s="406">
        <v>203</v>
      </c>
      <c r="I217" s="469"/>
      <c r="J217" s="469"/>
      <c r="K217" s="481"/>
      <c r="L217" s="481"/>
      <c r="M217" s="481"/>
      <c r="N217" s="482"/>
    </row>
    <row r="218" spans="1:14" customFormat="1" ht="14.5">
      <c r="A218" s="233"/>
      <c r="B218" s="296">
        <v>180</v>
      </c>
      <c r="C218" s="266"/>
      <c r="D218" s="267"/>
      <c r="E218" s="257"/>
      <c r="F218" s="240"/>
      <c r="H218" s="406">
        <v>204</v>
      </c>
      <c r="I218" s="469"/>
      <c r="J218" s="469"/>
      <c r="K218" s="481"/>
      <c r="L218" s="481"/>
      <c r="M218" s="481"/>
      <c r="N218" s="482"/>
    </row>
    <row r="219" spans="1:14" customFormat="1" ht="14.5">
      <c r="A219" s="233"/>
      <c r="B219" s="296">
        <v>181</v>
      </c>
      <c r="C219" s="266"/>
      <c r="D219" s="267"/>
      <c r="E219" s="257"/>
      <c r="F219" s="240"/>
      <c r="H219" s="406">
        <v>205</v>
      </c>
      <c r="I219" s="469"/>
      <c r="J219" s="469"/>
      <c r="K219" s="481"/>
      <c r="L219" s="481"/>
      <c r="M219" s="481"/>
      <c r="N219" s="482"/>
    </row>
    <row r="220" spans="1:14" customFormat="1" ht="14.5">
      <c r="A220" s="233"/>
      <c r="B220" s="296">
        <v>182</v>
      </c>
      <c r="C220" s="266"/>
      <c r="D220" s="267"/>
      <c r="E220" s="257"/>
      <c r="F220" s="240"/>
      <c r="H220" s="406">
        <v>206</v>
      </c>
      <c r="I220" s="469"/>
      <c r="J220" s="469"/>
      <c r="K220" s="481"/>
      <c r="L220" s="481"/>
      <c r="M220" s="481"/>
      <c r="N220" s="482"/>
    </row>
    <row r="221" spans="1:14" customFormat="1" ht="14.5">
      <c r="A221" s="233"/>
      <c r="B221" s="296">
        <v>183</v>
      </c>
      <c r="C221" s="266"/>
      <c r="D221" s="267"/>
      <c r="E221" s="257"/>
      <c r="F221" s="240"/>
      <c r="H221" s="406">
        <v>207</v>
      </c>
      <c r="I221" s="469"/>
      <c r="J221" s="469"/>
      <c r="K221" s="481"/>
      <c r="L221" s="481"/>
      <c r="M221" s="481"/>
      <c r="N221" s="482"/>
    </row>
    <row r="222" spans="1:14" customFormat="1" ht="14.5">
      <c r="A222" s="233"/>
      <c r="B222" s="296">
        <v>184</v>
      </c>
      <c r="C222" s="266"/>
      <c r="D222" s="267"/>
      <c r="E222" s="257"/>
      <c r="F222" s="240"/>
      <c r="H222" s="406">
        <v>208</v>
      </c>
      <c r="I222" s="469"/>
      <c r="J222" s="469"/>
      <c r="K222" s="481"/>
      <c r="L222" s="481"/>
      <c r="M222" s="481"/>
      <c r="N222" s="482"/>
    </row>
    <row r="223" spans="1:14" customFormat="1" ht="14.5">
      <c r="A223" s="233"/>
      <c r="B223" s="296">
        <v>185</v>
      </c>
      <c r="C223" s="266"/>
      <c r="D223" s="267"/>
      <c r="E223" s="257"/>
      <c r="F223" s="240"/>
      <c r="H223" s="406">
        <v>209</v>
      </c>
      <c r="I223" s="469"/>
      <c r="J223" s="469"/>
      <c r="K223" s="481"/>
      <c r="L223" s="481"/>
      <c r="M223" s="481"/>
      <c r="N223" s="482"/>
    </row>
    <row r="224" spans="1:14" customFormat="1" ht="14.5">
      <c r="A224" s="233"/>
      <c r="B224" s="296">
        <v>186</v>
      </c>
      <c r="C224" s="266"/>
      <c r="D224" s="267"/>
      <c r="E224" s="257"/>
      <c r="F224" s="240"/>
      <c r="H224" s="406">
        <v>210</v>
      </c>
      <c r="I224" s="469"/>
      <c r="J224" s="469"/>
      <c r="K224" s="481"/>
      <c r="L224" s="481"/>
      <c r="M224" s="481"/>
      <c r="N224" s="482"/>
    </row>
    <row r="225" spans="1:14" customFormat="1" ht="14.5">
      <c r="A225" s="233"/>
      <c r="B225" s="296">
        <v>187</v>
      </c>
      <c r="C225" s="266"/>
      <c r="D225" s="267"/>
      <c r="E225" s="257"/>
      <c r="F225" s="240"/>
      <c r="H225" s="406">
        <v>211</v>
      </c>
      <c r="I225" s="469"/>
      <c r="J225" s="469"/>
      <c r="K225" s="481"/>
      <c r="L225" s="481"/>
      <c r="M225" s="481"/>
      <c r="N225" s="482"/>
    </row>
    <row r="226" spans="1:14" customFormat="1" ht="14.5">
      <c r="A226" s="233"/>
      <c r="B226" s="296">
        <v>188</v>
      </c>
      <c r="C226" s="266"/>
      <c r="D226" s="267"/>
      <c r="E226" s="257"/>
      <c r="F226" s="240"/>
      <c r="H226" s="406">
        <v>212</v>
      </c>
      <c r="I226" s="469"/>
      <c r="J226" s="469"/>
      <c r="K226" s="481"/>
      <c r="L226" s="481"/>
      <c r="M226" s="481"/>
      <c r="N226" s="482"/>
    </row>
    <row r="227" spans="1:14" customFormat="1" ht="14.5">
      <c r="A227" s="233"/>
      <c r="B227" s="296">
        <v>189</v>
      </c>
      <c r="C227" s="266"/>
      <c r="D227" s="267"/>
      <c r="E227" s="257"/>
      <c r="F227" s="240"/>
      <c r="H227" s="406">
        <v>213</v>
      </c>
      <c r="I227" s="469"/>
      <c r="J227" s="469"/>
      <c r="K227" s="481"/>
      <c r="L227" s="481"/>
      <c r="M227" s="481"/>
      <c r="N227" s="482"/>
    </row>
    <row r="228" spans="1:14" customFormat="1" ht="14.5">
      <c r="A228" s="233"/>
      <c r="B228" s="296">
        <v>190</v>
      </c>
      <c r="C228" s="266"/>
      <c r="D228" s="267"/>
      <c r="E228" s="257"/>
      <c r="F228" s="240"/>
      <c r="H228" s="406">
        <v>214</v>
      </c>
      <c r="I228" s="469"/>
      <c r="J228" s="469"/>
      <c r="K228" s="481"/>
      <c r="L228" s="481"/>
      <c r="M228" s="481"/>
      <c r="N228" s="482"/>
    </row>
    <row r="229" spans="1:14" customFormat="1" ht="14.5">
      <c r="A229" s="233"/>
      <c r="B229" s="296">
        <v>191</v>
      </c>
      <c r="C229" s="266"/>
      <c r="D229" s="267"/>
      <c r="E229" s="257"/>
      <c r="F229" s="240"/>
      <c r="H229" s="406">
        <v>215</v>
      </c>
      <c r="I229" s="469"/>
      <c r="J229" s="469"/>
      <c r="K229" s="481"/>
      <c r="L229" s="481"/>
      <c r="M229" s="481"/>
      <c r="N229" s="482"/>
    </row>
    <row r="230" spans="1:14" customFormat="1" ht="14.5">
      <c r="A230" s="233"/>
      <c r="B230" s="296">
        <v>192</v>
      </c>
      <c r="C230" s="266"/>
      <c r="D230" s="267"/>
      <c r="E230" s="257"/>
      <c r="F230" s="240"/>
      <c r="H230" s="406">
        <v>216</v>
      </c>
      <c r="I230" s="469"/>
      <c r="J230" s="469"/>
      <c r="K230" s="481"/>
      <c r="L230" s="481"/>
      <c r="M230" s="481"/>
      <c r="N230" s="482"/>
    </row>
    <row r="231" spans="1:14" customFormat="1" ht="14.5">
      <c r="A231" s="233"/>
      <c r="B231" s="296">
        <v>193</v>
      </c>
      <c r="C231" s="266"/>
      <c r="D231" s="267"/>
      <c r="E231" s="257"/>
      <c r="F231" s="240"/>
      <c r="H231" s="406">
        <v>217</v>
      </c>
      <c r="I231" s="469"/>
      <c r="J231" s="469"/>
      <c r="K231" s="481"/>
      <c r="L231" s="481"/>
      <c r="M231" s="481"/>
      <c r="N231" s="482"/>
    </row>
    <row r="232" spans="1:14" customFormat="1" ht="14.5">
      <c r="A232" s="233"/>
      <c r="B232" s="296">
        <v>194</v>
      </c>
      <c r="C232" s="266"/>
      <c r="D232" s="267"/>
      <c r="E232" s="257"/>
      <c r="F232" s="240"/>
      <c r="H232" s="406">
        <v>218</v>
      </c>
      <c r="I232" s="469"/>
      <c r="J232" s="469"/>
      <c r="K232" s="481"/>
      <c r="L232" s="481"/>
      <c r="M232" s="481"/>
      <c r="N232" s="482"/>
    </row>
    <row r="233" spans="1:14" customFormat="1" ht="14.5">
      <c r="A233" s="233"/>
      <c r="B233" s="296">
        <v>195</v>
      </c>
      <c r="C233" s="266"/>
      <c r="D233" s="267"/>
      <c r="E233" s="257"/>
      <c r="F233" s="240"/>
      <c r="H233" s="406">
        <v>219</v>
      </c>
      <c r="I233" s="469"/>
      <c r="J233" s="469"/>
      <c r="K233" s="481"/>
      <c r="L233" s="481"/>
      <c r="M233" s="481"/>
      <c r="N233" s="482"/>
    </row>
    <row r="234" spans="1:14" customFormat="1" ht="14.5">
      <c r="A234" s="233"/>
      <c r="B234" s="296">
        <v>196</v>
      </c>
      <c r="C234" s="266"/>
      <c r="D234" s="267"/>
      <c r="E234" s="257"/>
      <c r="F234" s="240"/>
      <c r="H234" s="406">
        <v>220</v>
      </c>
      <c r="I234" s="469"/>
      <c r="J234" s="469"/>
      <c r="K234" s="481"/>
      <c r="L234" s="481"/>
      <c r="M234" s="481"/>
      <c r="N234" s="482"/>
    </row>
    <row r="235" spans="1:14" customFormat="1" ht="14.5">
      <c r="A235" s="233"/>
      <c r="B235" s="296">
        <v>197</v>
      </c>
      <c r="C235" s="266"/>
      <c r="D235" s="267"/>
      <c r="E235" s="257"/>
      <c r="F235" s="240"/>
      <c r="H235" s="406">
        <v>221</v>
      </c>
      <c r="I235" s="469"/>
      <c r="J235" s="469"/>
      <c r="K235" s="481"/>
      <c r="L235" s="481"/>
      <c r="M235" s="481"/>
      <c r="N235" s="482"/>
    </row>
    <row r="236" spans="1:14" customFormat="1" ht="14.5">
      <c r="A236" s="233"/>
      <c r="B236" s="296">
        <v>198</v>
      </c>
      <c r="C236" s="266"/>
      <c r="D236" s="267"/>
      <c r="E236" s="257"/>
      <c r="F236" s="240"/>
      <c r="H236" s="406">
        <v>222</v>
      </c>
      <c r="I236" s="469"/>
      <c r="J236" s="469"/>
      <c r="K236" s="481"/>
      <c r="L236" s="481"/>
      <c r="M236" s="481"/>
      <c r="N236" s="482"/>
    </row>
    <row r="237" spans="1:14" customFormat="1" ht="14.5">
      <c r="A237" s="233"/>
      <c r="B237" s="296">
        <v>199</v>
      </c>
      <c r="C237" s="266"/>
      <c r="D237" s="267"/>
      <c r="E237" s="257"/>
      <c r="F237" s="240"/>
      <c r="H237" s="406">
        <v>223</v>
      </c>
      <c r="I237" s="469"/>
      <c r="J237" s="469"/>
      <c r="K237" s="481"/>
      <c r="L237" s="481"/>
      <c r="M237" s="481"/>
      <c r="N237" s="482"/>
    </row>
    <row r="238" spans="1:14" customFormat="1" ht="14.5">
      <c r="A238" s="233"/>
      <c r="B238" s="296">
        <v>200</v>
      </c>
      <c r="C238" s="266"/>
      <c r="D238" s="267"/>
      <c r="E238" s="257"/>
      <c r="F238" s="240"/>
      <c r="H238" s="406">
        <v>224</v>
      </c>
      <c r="I238" s="469"/>
      <c r="J238" s="469"/>
      <c r="K238" s="481"/>
      <c r="L238" s="481"/>
      <c r="M238" s="481"/>
      <c r="N238" s="482"/>
    </row>
    <row r="239" spans="1:14" customFormat="1" ht="14.5">
      <c r="A239" s="233"/>
      <c r="B239" s="296">
        <v>201</v>
      </c>
      <c r="C239" s="266"/>
      <c r="D239" s="267"/>
      <c r="E239" s="257"/>
      <c r="F239" s="240"/>
      <c r="H239" s="406">
        <v>225</v>
      </c>
      <c r="I239" s="469"/>
      <c r="J239" s="469"/>
      <c r="K239" s="481"/>
      <c r="L239" s="481"/>
      <c r="M239" s="481"/>
      <c r="N239" s="482"/>
    </row>
    <row r="240" spans="1:14" customFormat="1" ht="14.5">
      <c r="A240" s="233"/>
      <c r="B240" s="296">
        <v>202</v>
      </c>
      <c r="C240" s="266"/>
      <c r="D240" s="267"/>
      <c r="E240" s="257"/>
      <c r="F240" s="240"/>
      <c r="H240" s="406">
        <v>226</v>
      </c>
      <c r="I240" s="469"/>
      <c r="J240" s="469"/>
      <c r="K240" s="481"/>
      <c r="L240" s="481"/>
      <c r="M240" s="481"/>
      <c r="N240" s="482"/>
    </row>
    <row r="241" spans="1:14" customFormat="1" ht="14.5">
      <c r="A241" s="233"/>
      <c r="B241" s="296">
        <v>203</v>
      </c>
      <c r="C241" s="266"/>
      <c r="D241" s="267"/>
      <c r="E241" s="257"/>
      <c r="F241" s="240"/>
      <c r="H241" s="406">
        <v>227</v>
      </c>
      <c r="I241" s="469"/>
      <c r="J241" s="469"/>
      <c r="K241" s="481"/>
      <c r="L241" s="481"/>
      <c r="M241" s="481"/>
      <c r="N241" s="482"/>
    </row>
    <row r="242" spans="1:14" customFormat="1" ht="14.5">
      <c r="A242" s="233"/>
      <c r="B242" s="296">
        <v>204</v>
      </c>
      <c r="C242" s="266"/>
      <c r="D242" s="267"/>
      <c r="E242" s="257"/>
      <c r="F242" s="240"/>
      <c r="H242" s="406">
        <v>228</v>
      </c>
      <c r="I242" s="469"/>
      <c r="J242" s="469"/>
      <c r="K242" s="481"/>
      <c r="L242" s="481"/>
      <c r="M242" s="481"/>
      <c r="N242" s="482"/>
    </row>
    <row r="243" spans="1:14" customFormat="1" ht="14.5">
      <c r="A243" s="233"/>
      <c r="B243" s="296">
        <v>205</v>
      </c>
      <c r="C243" s="266"/>
      <c r="D243" s="267"/>
      <c r="E243" s="257"/>
      <c r="F243" s="240"/>
      <c r="H243" s="406">
        <v>229</v>
      </c>
      <c r="I243" s="469"/>
      <c r="J243" s="469"/>
      <c r="K243" s="481"/>
      <c r="L243" s="481"/>
      <c r="M243" s="481"/>
      <c r="N243" s="482"/>
    </row>
    <row r="244" spans="1:14" customFormat="1" ht="14.5">
      <c r="A244" s="233"/>
      <c r="B244" s="296">
        <v>206</v>
      </c>
      <c r="C244" s="266"/>
      <c r="D244" s="267"/>
      <c r="E244" s="257"/>
      <c r="F244" s="240"/>
      <c r="H244" s="406">
        <v>230</v>
      </c>
      <c r="I244" s="469"/>
      <c r="J244" s="469"/>
      <c r="K244" s="481"/>
      <c r="L244" s="481"/>
      <c r="M244" s="481"/>
      <c r="N244" s="482"/>
    </row>
    <row r="245" spans="1:14" customFormat="1" ht="14.5">
      <c r="A245" s="233"/>
      <c r="B245" s="296">
        <v>207</v>
      </c>
      <c r="C245" s="266"/>
      <c r="D245" s="267"/>
      <c r="E245" s="257"/>
      <c r="F245" s="240"/>
      <c r="H245" s="406">
        <v>231</v>
      </c>
      <c r="I245" s="469"/>
      <c r="J245" s="469"/>
      <c r="K245" s="481"/>
      <c r="L245" s="481"/>
      <c r="M245" s="481"/>
      <c r="N245" s="482"/>
    </row>
    <row r="246" spans="1:14" customFormat="1" ht="14.5">
      <c r="A246" s="233"/>
      <c r="B246" s="296">
        <v>208</v>
      </c>
      <c r="C246" s="266"/>
      <c r="D246" s="267"/>
      <c r="E246" s="257"/>
      <c r="F246" s="240"/>
      <c r="H246" s="406">
        <v>232</v>
      </c>
      <c r="I246" s="469"/>
      <c r="J246" s="469"/>
      <c r="K246" s="481"/>
      <c r="L246" s="481"/>
      <c r="M246" s="481"/>
      <c r="N246" s="482"/>
    </row>
    <row r="247" spans="1:14" customFormat="1" ht="14.5">
      <c r="A247" s="233"/>
      <c r="B247" s="296">
        <v>209</v>
      </c>
      <c r="C247" s="266"/>
      <c r="D247" s="267"/>
      <c r="E247" s="257"/>
      <c r="F247" s="240"/>
      <c r="H247" s="406">
        <v>233</v>
      </c>
      <c r="I247" s="469"/>
      <c r="J247" s="469"/>
      <c r="K247" s="481"/>
      <c r="L247" s="481"/>
      <c r="M247" s="481"/>
      <c r="N247" s="482"/>
    </row>
    <row r="248" spans="1:14" customFormat="1" ht="14.5">
      <c r="A248" s="233"/>
      <c r="B248" s="296">
        <v>210</v>
      </c>
      <c r="C248" s="266"/>
      <c r="D248" s="267"/>
      <c r="E248" s="257"/>
      <c r="F248" s="240"/>
      <c r="H248" s="406">
        <v>234</v>
      </c>
      <c r="I248" s="469"/>
      <c r="J248" s="469"/>
      <c r="K248" s="481"/>
      <c r="L248" s="481"/>
      <c r="M248" s="481"/>
      <c r="N248" s="482"/>
    </row>
    <row r="249" spans="1:14" customFormat="1" ht="14.5">
      <c r="A249" s="233"/>
      <c r="B249" s="296">
        <v>211</v>
      </c>
      <c r="C249" s="266"/>
      <c r="D249" s="267"/>
      <c r="E249" s="257"/>
      <c r="F249" s="240"/>
      <c r="H249" s="406">
        <v>235</v>
      </c>
      <c r="I249" s="469"/>
      <c r="J249" s="469"/>
      <c r="K249" s="481"/>
      <c r="L249" s="481"/>
      <c r="M249" s="481"/>
      <c r="N249" s="482"/>
    </row>
    <row r="250" spans="1:14" customFormat="1" ht="14.5">
      <c r="A250" s="233"/>
      <c r="B250" s="296">
        <v>212</v>
      </c>
      <c r="C250" s="266"/>
      <c r="D250" s="267"/>
      <c r="E250" s="257"/>
      <c r="F250" s="240"/>
      <c r="H250" s="406">
        <v>236</v>
      </c>
      <c r="I250" s="469"/>
      <c r="J250" s="469"/>
      <c r="K250" s="481"/>
      <c r="L250" s="481"/>
      <c r="M250" s="481"/>
      <c r="N250" s="482"/>
    </row>
    <row r="251" spans="1:14" customFormat="1" ht="14.5">
      <c r="A251" s="233"/>
      <c r="B251" s="296">
        <v>213</v>
      </c>
      <c r="C251" s="266"/>
      <c r="D251" s="267"/>
      <c r="E251" s="257"/>
      <c r="F251" s="240"/>
      <c r="H251" s="406">
        <v>237</v>
      </c>
      <c r="I251" s="469"/>
      <c r="J251" s="469"/>
      <c r="K251" s="481"/>
      <c r="L251" s="481"/>
      <c r="M251" s="481"/>
      <c r="N251" s="482"/>
    </row>
    <row r="252" spans="1:14" customFormat="1" ht="14.5">
      <c r="A252" s="233"/>
      <c r="B252" s="296">
        <v>214</v>
      </c>
      <c r="C252" s="266"/>
      <c r="D252" s="267"/>
      <c r="E252" s="257"/>
      <c r="F252" s="240"/>
      <c r="H252" s="406">
        <v>238</v>
      </c>
      <c r="I252" s="469"/>
      <c r="J252" s="469"/>
      <c r="K252" s="481"/>
      <c r="L252" s="481"/>
      <c r="M252" s="481"/>
      <c r="N252" s="482"/>
    </row>
    <row r="253" spans="1:14" customFormat="1" ht="14.5">
      <c r="A253" s="233"/>
      <c r="B253" s="296">
        <v>215</v>
      </c>
      <c r="C253" s="266"/>
      <c r="D253" s="267"/>
      <c r="E253" s="257"/>
      <c r="F253" s="240"/>
      <c r="H253" s="406">
        <v>239</v>
      </c>
      <c r="I253" s="469"/>
      <c r="J253" s="469"/>
      <c r="K253" s="481"/>
      <c r="L253" s="481"/>
      <c r="M253" s="481"/>
      <c r="N253" s="482"/>
    </row>
    <row r="254" spans="1:14" customFormat="1" ht="14.5">
      <c r="A254" s="233"/>
      <c r="B254" s="296">
        <v>216</v>
      </c>
      <c r="C254" s="266"/>
      <c r="D254" s="267"/>
      <c r="E254" s="257"/>
      <c r="F254" s="240"/>
      <c r="H254" s="406">
        <v>240</v>
      </c>
      <c r="I254" s="469"/>
      <c r="J254" s="469"/>
      <c r="K254" s="481"/>
      <c r="L254" s="481"/>
      <c r="M254" s="481"/>
      <c r="N254" s="482"/>
    </row>
    <row r="255" spans="1:14" customFormat="1" ht="14.5">
      <c r="A255" s="233"/>
      <c r="B255" s="296">
        <v>217</v>
      </c>
      <c r="C255" s="266"/>
      <c r="D255" s="267"/>
      <c r="E255" s="257"/>
      <c r="F255" s="240"/>
      <c r="H255" s="406">
        <v>241</v>
      </c>
      <c r="I255" s="469"/>
      <c r="J255" s="469"/>
      <c r="K255" s="481"/>
      <c r="L255" s="481"/>
      <c r="M255" s="481"/>
      <c r="N255" s="482"/>
    </row>
    <row r="256" spans="1:14" customFormat="1" ht="14.5">
      <c r="A256" s="233"/>
      <c r="B256" s="296">
        <v>218</v>
      </c>
      <c r="C256" s="266"/>
      <c r="D256" s="267"/>
      <c r="E256" s="257"/>
      <c r="F256" s="240"/>
      <c r="H256" s="406">
        <v>242</v>
      </c>
      <c r="I256" s="469"/>
      <c r="J256" s="469"/>
      <c r="K256" s="481"/>
      <c r="L256" s="481"/>
      <c r="M256" s="481"/>
      <c r="N256" s="482"/>
    </row>
    <row r="257" spans="1:14" customFormat="1" ht="14.5">
      <c r="A257" s="233"/>
      <c r="B257" s="296">
        <v>219</v>
      </c>
      <c r="C257" s="266"/>
      <c r="D257" s="267"/>
      <c r="E257" s="257"/>
      <c r="F257" s="240"/>
      <c r="H257" s="406">
        <v>243</v>
      </c>
      <c r="I257" s="469"/>
      <c r="J257" s="469"/>
      <c r="K257" s="481"/>
      <c r="L257" s="481"/>
      <c r="M257" s="481"/>
      <c r="N257" s="482"/>
    </row>
    <row r="258" spans="1:14" customFormat="1" ht="14.5">
      <c r="A258" s="233"/>
      <c r="B258" s="296">
        <v>220</v>
      </c>
      <c r="C258" s="266"/>
      <c r="D258" s="267"/>
      <c r="E258" s="257"/>
      <c r="F258" s="240"/>
      <c r="H258" s="406">
        <v>244</v>
      </c>
      <c r="I258" s="469"/>
      <c r="J258" s="469"/>
      <c r="K258" s="481"/>
      <c r="L258" s="481"/>
      <c r="M258" s="481"/>
      <c r="N258" s="482"/>
    </row>
    <row r="259" spans="1:14" customFormat="1" ht="14.5">
      <c r="A259" s="233"/>
      <c r="B259" s="296">
        <v>221</v>
      </c>
      <c r="C259" s="266"/>
      <c r="D259" s="267"/>
      <c r="E259" s="257"/>
      <c r="F259" s="240"/>
      <c r="H259" s="406">
        <v>245</v>
      </c>
      <c r="I259" s="469"/>
      <c r="J259" s="469"/>
      <c r="K259" s="481"/>
      <c r="L259" s="481"/>
      <c r="M259" s="481"/>
      <c r="N259" s="482"/>
    </row>
    <row r="260" spans="1:14" customFormat="1" ht="14.5">
      <c r="A260" s="233"/>
      <c r="B260" s="296">
        <v>222</v>
      </c>
      <c r="C260" s="266"/>
      <c r="D260" s="267"/>
      <c r="E260" s="257"/>
      <c r="F260" s="240"/>
      <c r="H260" s="406">
        <v>246</v>
      </c>
      <c r="I260" s="469"/>
      <c r="J260" s="469"/>
      <c r="K260" s="481"/>
      <c r="L260" s="481"/>
      <c r="M260" s="481"/>
      <c r="N260" s="482"/>
    </row>
    <row r="261" spans="1:14" customFormat="1" ht="14.5">
      <c r="A261" s="233"/>
      <c r="B261" s="296">
        <v>223</v>
      </c>
      <c r="C261" s="266"/>
      <c r="D261" s="267"/>
      <c r="E261" s="257"/>
      <c r="F261" s="240"/>
      <c r="H261" s="406">
        <v>247</v>
      </c>
      <c r="I261" s="469"/>
      <c r="J261" s="469"/>
      <c r="K261" s="481"/>
      <c r="L261" s="481"/>
      <c r="M261" s="481"/>
      <c r="N261" s="482"/>
    </row>
    <row r="262" spans="1:14" customFormat="1" ht="14.5">
      <c r="A262" s="233"/>
      <c r="B262" s="296">
        <v>224</v>
      </c>
      <c r="C262" s="266"/>
      <c r="D262" s="267"/>
      <c r="E262" s="257"/>
      <c r="F262" s="240"/>
      <c r="H262" s="406">
        <v>248</v>
      </c>
      <c r="I262" s="469"/>
      <c r="J262" s="469"/>
      <c r="K262" s="481"/>
      <c r="L262" s="481"/>
      <c r="M262" s="481"/>
      <c r="N262" s="482"/>
    </row>
    <row r="263" spans="1:14" customFormat="1" ht="14.5">
      <c r="A263" s="233"/>
      <c r="B263" s="296">
        <v>225</v>
      </c>
      <c r="C263" s="266"/>
      <c r="D263" s="267"/>
      <c r="E263" s="257"/>
      <c r="F263" s="240"/>
      <c r="H263" s="406">
        <v>249</v>
      </c>
      <c r="I263" s="469"/>
      <c r="J263" s="469"/>
      <c r="K263" s="481"/>
      <c r="L263" s="481"/>
      <c r="M263" s="481"/>
      <c r="N263" s="482"/>
    </row>
    <row r="264" spans="1:14" customFormat="1" ht="14.5">
      <c r="A264" s="233"/>
      <c r="B264" s="296">
        <v>226</v>
      </c>
      <c r="C264" s="266"/>
      <c r="D264" s="267"/>
      <c r="E264" s="257"/>
      <c r="F264" s="240"/>
      <c r="H264" s="406">
        <v>250</v>
      </c>
      <c r="I264" s="469"/>
      <c r="J264" s="469"/>
      <c r="K264" s="481"/>
      <c r="L264" s="481"/>
      <c r="M264" s="481"/>
      <c r="N264" s="482"/>
    </row>
    <row r="265" spans="1:14" customFormat="1" ht="14.5">
      <c r="A265" s="233"/>
      <c r="B265" s="296">
        <v>227</v>
      </c>
      <c r="C265" s="266"/>
      <c r="D265" s="267"/>
      <c r="E265" s="257"/>
      <c r="F265" s="240"/>
      <c r="H265" s="406">
        <v>251</v>
      </c>
      <c r="I265" s="469"/>
      <c r="J265" s="469"/>
      <c r="K265" s="481"/>
      <c r="L265" s="481"/>
      <c r="M265" s="481"/>
      <c r="N265" s="482"/>
    </row>
    <row r="266" spans="1:14" customFormat="1" ht="14.5">
      <c r="A266" s="233"/>
      <c r="B266" s="296">
        <v>228</v>
      </c>
      <c r="C266" s="266"/>
      <c r="D266" s="267"/>
      <c r="E266" s="257"/>
      <c r="F266" s="240"/>
      <c r="H266" s="406">
        <v>252</v>
      </c>
      <c r="I266" s="469"/>
      <c r="J266" s="469"/>
      <c r="K266" s="481"/>
      <c r="L266" s="481"/>
      <c r="M266" s="481"/>
      <c r="N266" s="482"/>
    </row>
    <row r="267" spans="1:14" customFormat="1" ht="14.5">
      <c r="A267" s="233"/>
      <c r="B267" s="296">
        <v>229</v>
      </c>
      <c r="C267" s="266"/>
      <c r="D267" s="267"/>
      <c r="E267" s="257"/>
      <c r="F267" s="240"/>
      <c r="H267" s="406">
        <v>253</v>
      </c>
      <c r="I267" s="469"/>
      <c r="J267" s="469"/>
      <c r="K267" s="481"/>
      <c r="L267" s="481"/>
      <c r="M267" s="481"/>
      <c r="N267" s="482"/>
    </row>
    <row r="268" spans="1:14" customFormat="1" ht="14.5">
      <c r="A268" s="233"/>
      <c r="B268" s="296">
        <v>230</v>
      </c>
      <c r="C268" s="266"/>
      <c r="D268" s="267"/>
      <c r="E268" s="257"/>
      <c r="F268" s="240"/>
      <c r="H268" s="406">
        <v>254</v>
      </c>
      <c r="I268" s="469"/>
      <c r="J268" s="469"/>
      <c r="K268" s="481"/>
      <c r="L268" s="481"/>
      <c r="M268" s="481"/>
      <c r="N268" s="482"/>
    </row>
    <row r="269" spans="1:14" customFormat="1" ht="14.5">
      <c r="A269" s="233"/>
      <c r="B269" s="296">
        <v>231</v>
      </c>
      <c r="C269" s="266"/>
      <c r="D269" s="267"/>
      <c r="E269" s="257"/>
      <c r="F269" s="240"/>
      <c r="H269" s="406">
        <v>255</v>
      </c>
      <c r="I269" s="469"/>
      <c r="J269" s="469"/>
      <c r="K269" s="481"/>
      <c r="L269" s="481"/>
      <c r="M269" s="481"/>
      <c r="N269" s="482"/>
    </row>
    <row r="270" spans="1:14" customFormat="1" ht="14.5">
      <c r="A270" s="233"/>
      <c r="B270" s="296">
        <v>232</v>
      </c>
      <c r="C270" s="266"/>
      <c r="D270" s="267"/>
      <c r="E270" s="257"/>
      <c r="F270" s="240"/>
      <c r="H270" s="406">
        <v>256</v>
      </c>
      <c r="I270" s="469"/>
      <c r="J270" s="469"/>
      <c r="K270" s="481"/>
      <c r="L270" s="481"/>
      <c r="M270" s="481"/>
      <c r="N270" s="482"/>
    </row>
    <row r="271" spans="1:14" customFormat="1" ht="14.5">
      <c r="A271" s="233"/>
      <c r="B271" s="296">
        <v>233</v>
      </c>
      <c r="C271" s="266"/>
      <c r="D271" s="267"/>
      <c r="E271" s="257"/>
      <c r="F271" s="240"/>
      <c r="H271" s="406">
        <v>257</v>
      </c>
      <c r="I271" s="469"/>
      <c r="J271" s="469"/>
      <c r="K271" s="481"/>
      <c r="L271" s="481"/>
      <c r="M271" s="481"/>
      <c r="N271" s="482"/>
    </row>
    <row r="272" spans="1:14" customFormat="1" ht="14.5">
      <c r="A272" s="233"/>
      <c r="B272" s="296">
        <v>234</v>
      </c>
      <c r="C272" s="266"/>
      <c r="D272" s="267"/>
      <c r="E272" s="257"/>
      <c r="F272" s="240"/>
      <c r="H272" s="406">
        <v>258</v>
      </c>
      <c r="I272" s="469"/>
      <c r="J272" s="469"/>
      <c r="K272" s="481"/>
      <c r="L272" s="481"/>
      <c r="M272" s="481"/>
      <c r="N272" s="482"/>
    </row>
    <row r="273" spans="1:14" customFormat="1" ht="14.5">
      <c r="A273" s="233"/>
      <c r="B273" s="296">
        <v>235</v>
      </c>
      <c r="C273" s="266"/>
      <c r="D273" s="267"/>
      <c r="E273" s="257"/>
      <c r="F273" s="240"/>
      <c r="H273" s="406">
        <v>259</v>
      </c>
      <c r="I273" s="469"/>
      <c r="J273" s="469"/>
      <c r="K273" s="481"/>
      <c r="L273" s="481"/>
      <c r="M273" s="481"/>
      <c r="N273" s="482"/>
    </row>
    <row r="274" spans="1:14" customFormat="1" ht="14.5">
      <c r="A274" s="233"/>
      <c r="B274" s="296">
        <v>236</v>
      </c>
      <c r="C274" s="266"/>
      <c r="D274" s="267"/>
      <c r="E274" s="257"/>
      <c r="F274" s="240"/>
      <c r="H274" s="406">
        <v>260</v>
      </c>
      <c r="I274" s="469"/>
      <c r="J274" s="469"/>
      <c r="K274" s="481"/>
      <c r="L274" s="481"/>
      <c r="M274" s="481"/>
      <c r="N274" s="482"/>
    </row>
    <row r="275" spans="1:14" customFormat="1" ht="14.5">
      <c r="A275" s="233"/>
      <c r="B275" s="296">
        <v>237</v>
      </c>
      <c r="C275" s="266"/>
      <c r="D275" s="267"/>
      <c r="E275" s="257"/>
      <c r="F275" s="240"/>
      <c r="H275" s="406">
        <v>261</v>
      </c>
      <c r="I275" s="469"/>
      <c r="J275" s="469"/>
      <c r="K275" s="481"/>
      <c r="L275" s="481"/>
      <c r="M275" s="481"/>
      <c r="N275" s="482"/>
    </row>
    <row r="276" spans="1:14" customFormat="1" ht="14.5">
      <c r="A276" s="233"/>
      <c r="B276" s="296">
        <v>238</v>
      </c>
      <c r="C276" s="266"/>
      <c r="D276" s="267"/>
      <c r="E276" s="257"/>
      <c r="F276" s="240"/>
      <c r="H276" s="406">
        <v>262</v>
      </c>
      <c r="I276" s="469"/>
      <c r="J276" s="469"/>
      <c r="K276" s="481"/>
      <c r="L276" s="481"/>
      <c r="M276" s="481"/>
      <c r="N276" s="482"/>
    </row>
    <row r="277" spans="1:14" customFormat="1" ht="14.5">
      <c r="A277" s="233"/>
      <c r="B277" s="296">
        <v>239</v>
      </c>
      <c r="C277" s="266"/>
      <c r="D277" s="267"/>
      <c r="E277" s="257"/>
      <c r="F277" s="240"/>
      <c r="H277" s="406">
        <v>263</v>
      </c>
      <c r="I277" s="469"/>
      <c r="J277" s="469"/>
      <c r="K277" s="481"/>
      <c r="L277" s="481"/>
      <c r="M277" s="481"/>
      <c r="N277" s="482"/>
    </row>
    <row r="278" spans="1:14" customFormat="1" ht="14.5">
      <c r="A278" s="233"/>
      <c r="B278" s="296">
        <v>240</v>
      </c>
      <c r="C278" s="266"/>
      <c r="D278" s="267"/>
      <c r="E278" s="257"/>
      <c r="F278" s="240"/>
      <c r="H278" s="406">
        <v>264</v>
      </c>
      <c r="I278" s="469"/>
      <c r="J278" s="469"/>
      <c r="K278" s="481"/>
      <c r="L278" s="481"/>
      <c r="M278" s="481"/>
      <c r="N278" s="482"/>
    </row>
    <row r="279" spans="1:14" customFormat="1" ht="14.5">
      <c r="A279" s="233"/>
      <c r="B279" s="296">
        <v>241</v>
      </c>
      <c r="C279" s="266"/>
      <c r="D279" s="267"/>
      <c r="E279" s="257"/>
      <c r="F279" s="240"/>
      <c r="H279" s="406">
        <v>265</v>
      </c>
      <c r="I279" s="469"/>
      <c r="J279" s="469"/>
      <c r="K279" s="481"/>
      <c r="L279" s="481"/>
      <c r="M279" s="481"/>
      <c r="N279" s="482"/>
    </row>
    <row r="280" spans="1:14" customFormat="1" ht="14.5">
      <c r="A280" s="233"/>
      <c r="B280" s="296">
        <v>242</v>
      </c>
      <c r="C280" s="266"/>
      <c r="D280" s="267"/>
      <c r="E280" s="257"/>
      <c r="F280" s="240"/>
      <c r="H280" s="406">
        <v>266</v>
      </c>
      <c r="I280" s="469"/>
      <c r="J280" s="469"/>
      <c r="K280" s="481"/>
      <c r="L280" s="481"/>
      <c r="M280" s="481"/>
      <c r="N280" s="482"/>
    </row>
    <row r="281" spans="1:14" customFormat="1" ht="14.5">
      <c r="A281" s="233"/>
      <c r="B281" s="296">
        <v>243</v>
      </c>
      <c r="C281" s="266"/>
      <c r="D281" s="267"/>
      <c r="E281" s="257"/>
      <c r="F281" s="240"/>
      <c r="H281" s="406">
        <v>267</v>
      </c>
      <c r="I281" s="469"/>
      <c r="J281" s="469"/>
      <c r="K281" s="481"/>
      <c r="L281" s="481"/>
      <c r="M281" s="481"/>
      <c r="N281" s="482"/>
    </row>
    <row r="282" spans="1:14" customFormat="1" ht="14.5">
      <c r="A282" s="233"/>
      <c r="B282" s="296">
        <v>244</v>
      </c>
      <c r="C282" s="266"/>
      <c r="D282" s="267"/>
      <c r="E282" s="257"/>
      <c r="F282" s="240"/>
      <c r="H282" s="406">
        <v>268</v>
      </c>
      <c r="I282" s="469"/>
      <c r="J282" s="469"/>
      <c r="K282" s="481"/>
      <c r="L282" s="481"/>
      <c r="M282" s="481"/>
      <c r="N282" s="482"/>
    </row>
    <row r="283" spans="1:14" customFormat="1" ht="14.5">
      <c r="A283" s="233"/>
      <c r="B283" s="296">
        <v>245</v>
      </c>
      <c r="C283" s="266"/>
      <c r="D283" s="267"/>
      <c r="E283" s="257"/>
      <c r="F283" s="240"/>
      <c r="H283" s="406">
        <v>269</v>
      </c>
      <c r="I283" s="469"/>
      <c r="J283" s="469"/>
      <c r="K283" s="481"/>
      <c r="L283" s="481"/>
      <c r="M283" s="481"/>
      <c r="N283" s="482"/>
    </row>
    <row r="284" spans="1:14" customFormat="1" ht="14.5">
      <c r="A284" s="233"/>
      <c r="B284" s="296">
        <v>246</v>
      </c>
      <c r="C284" s="266"/>
      <c r="D284" s="267"/>
      <c r="E284" s="257"/>
      <c r="F284" s="240"/>
      <c r="H284" s="406">
        <v>270</v>
      </c>
      <c r="I284" s="469"/>
      <c r="J284" s="469"/>
      <c r="K284" s="481"/>
      <c r="L284" s="481"/>
      <c r="M284" s="481"/>
      <c r="N284" s="482"/>
    </row>
    <row r="285" spans="1:14" customFormat="1" ht="14.5">
      <c r="A285" s="233"/>
      <c r="B285" s="296">
        <v>247</v>
      </c>
      <c r="C285" s="266"/>
      <c r="D285" s="267"/>
      <c r="E285" s="257"/>
      <c r="F285" s="240"/>
      <c r="H285" s="406">
        <v>271</v>
      </c>
      <c r="I285" s="469"/>
      <c r="J285" s="469"/>
      <c r="K285" s="481"/>
      <c r="L285" s="481"/>
      <c r="M285" s="481"/>
      <c r="N285" s="482"/>
    </row>
    <row r="286" spans="1:14" customFormat="1" ht="14.5">
      <c r="A286" s="233"/>
      <c r="B286" s="296">
        <v>248</v>
      </c>
      <c r="C286" s="266"/>
      <c r="D286" s="267"/>
      <c r="E286" s="257"/>
      <c r="F286" s="240"/>
      <c r="H286" s="406">
        <v>272</v>
      </c>
      <c r="I286" s="469"/>
      <c r="J286" s="469"/>
      <c r="K286" s="481"/>
      <c r="L286" s="481"/>
      <c r="M286" s="481"/>
      <c r="N286" s="482"/>
    </row>
    <row r="287" spans="1:14" customFormat="1" ht="14.5">
      <c r="A287" s="233"/>
      <c r="B287" s="296">
        <v>249</v>
      </c>
      <c r="C287" s="266"/>
      <c r="D287" s="267"/>
      <c r="E287" s="257"/>
      <c r="F287" s="240"/>
      <c r="H287" s="406">
        <v>273</v>
      </c>
      <c r="I287" s="469"/>
      <c r="J287" s="469"/>
      <c r="K287" s="481"/>
      <c r="L287" s="481"/>
      <c r="M287" s="481"/>
      <c r="N287" s="482"/>
    </row>
    <row r="288" spans="1:14" customFormat="1" ht="14.5">
      <c r="A288" s="233"/>
      <c r="B288" s="296">
        <v>250</v>
      </c>
      <c r="C288" s="266"/>
      <c r="D288" s="267"/>
      <c r="E288" s="257"/>
      <c r="F288" s="240"/>
      <c r="H288" s="406">
        <v>274</v>
      </c>
      <c r="I288" s="469"/>
      <c r="J288" s="469"/>
      <c r="K288" s="481"/>
      <c r="L288" s="481"/>
      <c r="M288" s="481"/>
      <c r="N288" s="482"/>
    </row>
    <row r="289" spans="1:14" customFormat="1" ht="14.5">
      <c r="A289" s="233"/>
      <c r="B289" s="296">
        <v>251</v>
      </c>
      <c r="C289" s="266"/>
      <c r="D289" s="267"/>
      <c r="E289" s="257"/>
      <c r="F289" s="240"/>
      <c r="H289" s="406">
        <v>275</v>
      </c>
      <c r="I289" s="469"/>
      <c r="J289" s="469"/>
      <c r="K289" s="481"/>
      <c r="L289" s="481"/>
      <c r="M289" s="481"/>
      <c r="N289" s="482"/>
    </row>
    <row r="290" spans="1:14" customFormat="1" ht="14.5">
      <c r="A290" s="233"/>
      <c r="B290" s="296">
        <v>252</v>
      </c>
      <c r="C290" s="266"/>
      <c r="D290" s="267"/>
      <c r="E290" s="257"/>
      <c r="F290" s="240"/>
      <c r="H290" s="406">
        <v>276</v>
      </c>
      <c r="I290" s="469"/>
      <c r="J290" s="469"/>
      <c r="K290" s="481"/>
      <c r="L290" s="481"/>
      <c r="M290" s="481"/>
      <c r="N290" s="482"/>
    </row>
    <row r="291" spans="1:14" customFormat="1" ht="14.5">
      <c r="A291" s="233"/>
      <c r="B291" s="296">
        <v>253</v>
      </c>
      <c r="C291" s="266"/>
      <c r="D291" s="267"/>
      <c r="E291" s="257"/>
      <c r="F291" s="240"/>
      <c r="H291" s="406">
        <v>277</v>
      </c>
      <c r="I291" s="469"/>
      <c r="J291" s="469"/>
      <c r="K291" s="481"/>
      <c r="L291" s="481"/>
      <c r="M291" s="481"/>
      <c r="N291" s="482"/>
    </row>
    <row r="292" spans="1:14" customFormat="1" ht="14.5">
      <c r="A292" s="233"/>
      <c r="B292" s="296">
        <v>254</v>
      </c>
      <c r="C292" s="266"/>
      <c r="D292" s="267"/>
      <c r="E292" s="257"/>
      <c r="F292" s="240"/>
      <c r="H292" s="406">
        <v>278</v>
      </c>
      <c r="I292" s="469"/>
      <c r="J292" s="469"/>
      <c r="K292" s="481"/>
      <c r="L292" s="481"/>
      <c r="M292" s="481"/>
      <c r="N292" s="482"/>
    </row>
    <row r="293" spans="1:14" customFormat="1" ht="14.5">
      <c r="A293" s="233"/>
      <c r="B293" s="296">
        <v>255</v>
      </c>
      <c r="C293" s="266"/>
      <c r="D293" s="267"/>
      <c r="E293" s="257"/>
      <c r="F293" s="240"/>
      <c r="H293" s="406">
        <v>279</v>
      </c>
      <c r="I293" s="469"/>
      <c r="J293" s="469"/>
      <c r="K293" s="481"/>
      <c r="L293" s="481"/>
      <c r="M293" s="481"/>
      <c r="N293" s="482"/>
    </row>
    <row r="294" spans="1:14" customFormat="1" ht="14.5">
      <c r="A294" s="233"/>
      <c r="B294" s="296">
        <v>256</v>
      </c>
      <c r="C294" s="266"/>
      <c r="D294" s="267"/>
      <c r="E294" s="257"/>
      <c r="F294" s="240"/>
      <c r="H294" s="406">
        <v>280</v>
      </c>
      <c r="I294" s="469"/>
      <c r="J294" s="469"/>
      <c r="K294" s="481"/>
      <c r="L294" s="481"/>
      <c r="M294" s="481"/>
      <c r="N294" s="482"/>
    </row>
    <row r="295" spans="1:14" customFormat="1" ht="14.5">
      <c r="A295" s="233"/>
      <c r="B295" s="296">
        <v>257</v>
      </c>
      <c r="C295" s="266"/>
      <c r="D295" s="267"/>
      <c r="E295" s="257"/>
      <c r="F295" s="240"/>
      <c r="H295" s="406">
        <v>281</v>
      </c>
      <c r="I295" s="469"/>
      <c r="J295" s="469"/>
      <c r="K295" s="481"/>
      <c r="L295" s="481"/>
      <c r="M295" s="481"/>
      <c r="N295" s="482"/>
    </row>
    <row r="296" spans="1:14" customFormat="1" ht="14.5">
      <c r="A296" s="233"/>
      <c r="B296" s="296">
        <v>258</v>
      </c>
      <c r="C296" s="266"/>
      <c r="D296" s="267"/>
      <c r="E296" s="257"/>
      <c r="F296" s="240"/>
      <c r="H296" s="406">
        <v>282</v>
      </c>
      <c r="I296" s="469"/>
      <c r="J296" s="469"/>
      <c r="K296" s="481"/>
      <c r="L296" s="481"/>
      <c r="M296" s="481"/>
      <c r="N296" s="482"/>
    </row>
    <row r="297" spans="1:14" customFormat="1" ht="14.5">
      <c r="A297" s="233"/>
      <c r="B297" s="296">
        <v>259</v>
      </c>
      <c r="C297" s="266"/>
      <c r="D297" s="267"/>
      <c r="E297" s="257"/>
      <c r="F297" s="240"/>
      <c r="H297" s="406">
        <v>283</v>
      </c>
      <c r="I297" s="469"/>
      <c r="J297" s="469"/>
      <c r="K297" s="481"/>
      <c r="L297" s="481"/>
      <c r="M297" s="481"/>
      <c r="N297" s="482"/>
    </row>
    <row r="298" spans="1:14" customFormat="1" ht="14.5">
      <c r="A298" s="233"/>
      <c r="B298" s="296">
        <v>260</v>
      </c>
      <c r="C298" s="266"/>
      <c r="D298" s="267"/>
      <c r="E298" s="257"/>
      <c r="F298" s="240"/>
      <c r="H298" s="406">
        <v>284</v>
      </c>
      <c r="I298" s="469"/>
      <c r="J298" s="469"/>
      <c r="K298" s="481"/>
      <c r="L298" s="481"/>
      <c r="M298" s="481"/>
      <c r="N298" s="482"/>
    </row>
    <row r="299" spans="1:14" customFormat="1" ht="14.5">
      <c r="A299" s="233"/>
      <c r="B299" s="296">
        <v>261</v>
      </c>
      <c r="C299" s="266"/>
      <c r="D299" s="267"/>
      <c r="E299" s="257"/>
      <c r="F299" s="240"/>
      <c r="H299" s="406">
        <v>285</v>
      </c>
      <c r="I299" s="469"/>
      <c r="J299" s="469"/>
      <c r="K299" s="481"/>
      <c r="L299" s="481"/>
      <c r="M299" s="481"/>
      <c r="N299" s="482"/>
    </row>
    <row r="300" spans="1:14" customFormat="1" ht="14.5">
      <c r="A300" s="233"/>
      <c r="B300" s="296">
        <v>262</v>
      </c>
      <c r="C300" s="266"/>
      <c r="D300" s="267"/>
      <c r="E300" s="257"/>
      <c r="F300" s="240"/>
      <c r="H300" s="406">
        <v>286</v>
      </c>
      <c r="I300" s="469"/>
      <c r="J300" s="469"/>
      <c r="K300" s="481"/>
      <c r="L300" s="481"/>
      <c r="M300" s="481"/>
      <c r="N300" s="482"/>
    </row>
    <row r="301" spans="1:14" customFormat="1" ht="14.5">
      <c r="A301" s="233"/>
      <c r="B301" s="296">
        <v>263</v>
      </c>
      <c r="C301" s="266"/>
      <c r="D301" s="267"/>
      <c r="E301" s="257"/>
      <c r="F301" s="240"/>
      <c r="H301" s="406">
        <v>287</v>
      </c>
      <c r="I301" s="469"/>
      <c r="J301" s="469"/>
      <c r="K301" s="481"/>
      <c r="L301" s="481"/>
      <c r="M301" s="481"/>
      <c r="N301" s="482"/>
    </row>
    <row r="302" spans="1:14" customFormat="1" ht="14.5">
      <c r="A302" s="233"/>
      <c r="B302" s="296">
        <v>264</v>
      </c>
      <c r="C302" s="266"/>
      <c r="D302" s="267"/>
      <c r="E302" s="257"/>
      <c r="F302" s="240"/>
      <c r="H302" s="406">
        <v>288</v>
      </c>
      <c r="I302" s="469"/>
      <c r="J302" s="469"/>
      <c r="K302" s="481"/>
      <c r="L302" s="481"/>
      <c r="M302" s="481"/>
      <c r="N302" s="482"/>
    </row>
    <row r="303" spans="1:14" customFormat="1" ht="14.5">
      <c r="A303" s="233"/>
      <c r="B303" s="296">
        <v>265</v>
      </c>
      <c r="C303" s="266"/>
      <c r="D303" s="267"/>
      <c r="E303" s="257"/>
      <c r="F303" s="240"/>
      <c r="H303" s="406">
        <v>289</v>
      </c>
      <c r="I303" s="469"/>
      <c r="J303" s="469"/>
      <c r="K303" s="481"/>
      <c r="L303" s="481"/>
      <c r="M303" s="481"/>
      <c r="N303" s="482"/>
    </row>
    <row r="304" spans="1:14" customFormat="1" ht="14.5">
      <c r="A304" s="233"/>
      <c r="B304" s="296">
        <v>266</v>
      </c>
      <c r="C304" s="266"/>
      <c r="D304" s="267"/>
      <c r="E304" s="257"/>
      <c r="F304" s="240"/>
      <c r="H304" s="406">
        <v>290</v>
      </c>
      <c r="I304" s="469"/>
      <c r="J304" s="469"/>
      <c r="K304" s="481"/>
      <c r="L304" s="481"/>
      <c r="M304" s="481"/>
      <c r="N304" s="482"/>
    </row>
    <row r="305" spans="1:14" customFormat="1" ht="14.5">
      <c r="A305" s="233"/>
      <c r="B305" s="296">
        <v>267</v>
      </c>
      <c r="C305" s="266"/>
      <c r="D305" s="267"/>
      <c r="E305" s="257"/>
      <c r="F305" s="240"/>
      <c r="H305" s="406">
        <v>291</v>
      </c>
      <c r="I305" s="469"/>
      <c r="J305" s="469"/>
      <c r="K305" s="481"/>
      <c r="L305" s="481"/>
      <c r="M305" s="481"/>
      <c r="N305" s="482"/>
    </row>
    <row r="306" spans="1:14" customFormat="1" ht="14.5">
      <c r="A306" s="233"/>
      <c r="B306" s="296">
        <v>268</v>
      </c>
      <c r="C306" s="266"/>
      <c r="D306" s="267"/>
      <c r="E306" s="257"/>
      <c r="F306" s="240"/>
      <c r="H306" s="406">
        <v>292</v>
      </c>
      <c r="I306" s="469"/>
      <c r="J306" s="469"/>
      <c r="K306" s="481"/>
      <c r="L306" s="481"/>
      <c r="M306" s="481"/>
      <c r="N306" s="482"/>
    </row>
    <row r="307" spans="1:14" customFormat="1" ht="14.5">
      <c r="A307" s="233"/>
      <c r="B307" s="296">
        <v>269</v>
      </c>
      <c r="C307" s="266"/>
      <c r="D307" s="267"/>
      <c r="E307" s="257"/>
      <c r="F307" s="240"/>
      <c r="H307" s="406">
        <v>293</v>
      </c>
      <c r="I307" s="469"/>
      <c r="J307" s="469"/>
      <c r="K307" s="481"/>
      <c r="L307" s="481"/>
      <c r="M307" s="481"/>
      <c r="N307" s="482"/>
    </row>
    <row r="308" spans="1:14" customFormat="1" ht="14.5">
      <c r="A308" s="233"/>
      <c r="B308" s="296">
        <v>270</v>
      </c>
      <c r="C308" s="266"/>
      <c r="D308" s="267"/>
      <c r="E308" s="257"/>
      <c r="F308" s="240"/>
      <c r="H308" s="406">
        <v>294</v>
      </c>
      <c r="I308" s="469"/>
      <c r="J308" s="469"/>
      <c r="K308" s="481"/>
      <c r="L308" s="481"/>
      <c r="M308" s="481"/>
      <c r="N308" s="482"/>
    </row>
    <row r="309" spans="1:14" customFormat="1" ht="14.5">
      <c r="A309" s="233"/>
      <c r="B309" s="296">
        <v>271</v>
      </c>
      <c r="C309" s="266"/>
      <c r="D309" s="267"/>
      <c r="E309" s="257"/>
      <c r="F309" s="240"/>
      <c r="H309" s="406">
        <v>295</v>
      </c>
      <c r="I309" s="469"/>
      <c r="J309" s="469"/>
      <c r="K309" s="481"/>
      <c r="L309" s="481"/>
      <c r="M309" s="481"/>
      <c r="N309" s="482"/>
    </row>
    <row r="310" spans="1:14" customFormat="1" ht="14.5">
      <c r="A310" s="233"/>
      <c r="B310" s="296">
        <v>272</v>
      </c>
      <c r="C310" s="266"/>
      <c r="D310" s="267"/>
      <c r="E310" s="257"/>
      <c r="F310" s="240"/>
      <c r="H310" s="406">
        <v>296</v>
      </c>
      <c r="I310" s="469"/>
      <c r="J310" s="469"/>
      <c r="K310" s="481"/>
      <c r="L310" s="481"/>
      <c r="M310" s="481"/>
      <c r="N310" s="482"/>
    </row>
    <row r="311" spans="1:14" customFormat="1" ht="14.5">
      <c r="A311" s="233"/>
      <c r="B311" s="296">
        <v>273</v>
      </c>
      <c r="C311" s="266"/>
      <c r="D311" s="267"/>
      <c r="E311" s="257"/>
      <c r="F311" s="240"/>
      <c r="H311" s="406">
        <v>297</v>
      </c>
      <c r="I311" s="469"/>
      <c r="J311" s="469"/>
      <c r="K311" s="481"/>
      <c r="L311" s="481"/>
      <c r="M311" s="481"/>
      <c r="N311" s="482"/>
    </row>
    <row r="312" spans="1:14" customFormat="1" ht="14.5">
      <c r="A312" s="233"/>
      <c r="B312" s="296">
        <v>274</v>
      </c>
      <c r="C312" s="266"/>
      <c r="D312" s="267"/>
      <c r="E312" s="257"/>
      <c r="F312" s="240"/>
      <c r="H312" s="406">
        <v>298</v>
      </c>
      <c r="I312" s="469"/>
      <c r="J312" s="469"/>
      <c r="K312" s="481"/>
      <c r="L312" s="481"/>
      <c r="M312" s="481"/>
      <c r="N312" s="482"/>
    </row>
    <row r="313" spans="1:14" customFormat="1" ht="14.5">
      <c r="A313" s="233"/>
      <c r="B313" s="296">
        <v>275</v>
      </c>
      <c r="C313" s="266"/>
      <c r="D313" s="267"/>
      <c r="E313" s="257"/>
      <c r="F313" s="240"/>
      <c r="H313" s="406">
        <v>299</v>
      </c>
      <c r="I313" s="469"/>
      <c r="J313" s="469"/>
      <c r="K313" s="481"/>
      <c r="L313" s="481"/>
      <c r="M313" s="481"/>
      <c r="N313" s="482"/>
    </row>
    <row r="314" spans="1:14" customFormat="1" ht="15" thickBot="1">
      <c r="A314" s="233"/>
      <c r="B314" s="296">
        <v>276</v>
      </c>
      <c r="C314" s="266"/>
      <c r="D314" s="267"/>
      <c r="E314" s="257"/>
      <c r="F314" s="240"/>
      <c r="H314" s="409">
        <v>300</v>
      </c>
      <c r="I314" s="484"/>
      <c r="J314" s="484"/>
      <c r="K314" s="485"/>
      <c r="L314" s="485"/>
      <c r="M314" s="485"/>
      <c r="N314" s="486"/>
    </row>
    <row r="315" spans="1:14" customFormat="1" ht="14.5">
      <c r="A315" s="233"/>
      <c r="B315" s="296">
        <v>277</v>
      </c>
      <c r="C315" s="266"/>
      <c r="D315" s="267"/>
      <c r="E315" s="257"/>
      <c r="F315" s="240"/>
    </row>
    <row r="316" spans="1:14" customFormat="1" ht="14.5">
      <c r="A316" s="233"/>
      <c r="B316" s="296">
        <v>278</v>
      </c>
      <c r="C316" s="266"/>
      <c r="D316" s="267"/>
      <c r="E316" s="257"/>
      <c r="F316" s="240"/>
    </row>
    <row r="317" spans="1:14" customFormat="1" ht="14.5">
      <c r="A317" s="233"/>
      <c r="B317" s="296">
        <v>279</v>
      </c>
      <c r="C317" s="266"/>
      <c r="D317" s="267"/>
      <c r="E317" s="257"/>
      <c r="F317" s="240"/>
    </row>
    <row r="318" spans="1:14" customFormat="1" ht="14.5">
      <c r="A318" s="233"/>
      <c r="B318" s="296">
        <v>280</v>
      </c>
      <c r="C318" s="266"/>
      <c r="D318" s="267"/>
      <c r="E318" s="257"/>
      <c r="F318" s="240"/>
    </row>
    <row r="319" spans="1:14" customFormat="1" ht="14.5">
      <c r="A319" s="233"/>
      <c r="B319" s="296">
        <v>281</v>
      </c>
      <c r="C319" s="266"/>
      <c r="D319" s="267"/>
      <c r="E319" s="257"/>
      <c r="F319" s="240"/>
    </row>
    <row r="320" spans="1:14" customFormat="1" ht="14.5">
      <c r="A320" s="233"/>
      <c r="B320" s="296">
        <v>282</v>
      </c>
      <c r="C320" s="266"/>
      <c r="D320" s="267"/>
      <c r="E320" s="257"/>
      <c r="F320" s="240"/>
    </row>
    <row r="321" spans="1:6" customFormat="1" ht="14.5">
      <c r="A321" s="233"/>
      <c r="B321" s="296">
        <v>283</v>
      </c>
      <c r="C321" s="266"/>
      <c r="D321" s="267"/>
      <c r="E321" s="257"/>
      <c r="F321" s="240"/>
    </row>
    <row r="322" spans="1:6" customFormat="1" ht="14.5">
      <c r="A322" s="233"/>
      <c r="B322" s="296">
        <v>284</v>
      </c>
      <c r="C322" s="266"/>
      <c r="D322" s="267"/>
      <c r="E322" s="257"/>
      <c r="F322" s="240"/>
    </row>
    <row r="323" spans="1:6" customFormat="1" ht="14.5">
      <c r="A323" s="233"/>
      <c r="B323" s="296">
        <v>285</v>
      </c>
      <c r="C323" s="266"/>
      <c r="D323" s="267"/>
      <c r="E323" s="257"/>
      <c r="F323" s="240"/>
    </row>
    <row r="324" spans="1:6" customFormat="1" ht="14.5">
      <c r="A324" s="233"/>
      <c r="B324" s="296">
        <v>286</v>
      </c>
      <c r="C324" s="266"/>
      <c r="D324" s="267"/>
      <c r="E324" s="257"/>
      <c r="F324" s="240"/>
    </row>
    <row r="325" spans="1:6" customFormat="1" ht="14.5">
      <c r="A325" s="233"/>
      <c r="B325" s="296">
        <v>287</v>
      </c>
      <c r="C325" s="266"/>
      <c r="D325" s="267"/>
      <c r="E325" s="257"/>
      <c r="F325" s="240"/>
    </row>
    <row r="326" spans="1:6" customFormat="1" ht="14.5">
      <c r="A326" s="233"/>
      <c r="B326" s="296">
        <v>288</v>
      </c>
      <c r="C326" s="266"/>
      <c r="D326" s="267"/>
      <c r="E326" s="257"/>
      <c r="F326" s="240"/>
    </row>
    <row r="327" spans="1:6" customFormat="1" ht="14.5">
      <c r="A327" s="233"/>
      <c r="B327" s="296">
        <v>289</v>
      </c>
      <c r="C327" s="266"/>
      <c r="D327" s="267"/>
      <c r="E327" s="257"/>
      <c r="F327" s="240"/>
    </row>
    <row r="328" spans="1:6" customFormat="1" ht="14.5">
      <c r="A328" s="233"/>
      <c r="B328" s="296">
        <v>290</v>
      </c>
      <c r="C328" s="266"/>
      <c r="D328" s="267"/>
      <c r="E328" s="257"/>
      <c r="F328" s="240"/>
    </row>
    <row r="329" spans="1:6" customFormat="1" ht="14.5">
      <c r="A329" s="233"/>
      <c r="B329" s="296">
        <v>291</v>
      </c>
      <c r="C329" s="266"/>
      <c r="D329" s="267"/>
      <c r="E329" s="257"/>
      <c r="F329" s="240"/>
    </row>
    <row r="330" spans="1:6" customFormat="1" ht="14.5">
      <c r="A330" s="233"/>
      <c r="B330" s="296">
        <v>292</v>
      </c>
      <c r="C330" s="266"/>
      <c r="D330" s="267"/>
      <c r="E330" s="257"/>
      <c r="F330" s="240"/>
    </row>
    <row r="331" spans="1:6" customFormat="1" ht="14.5">
      <c r="A331" s="233"/>
      <c r="B331" s="296">
        <v>293</v>
      </c>
      <c r="C331" s="266"/>
      <c r="D331" s="267"/>
      <c r="E331" s="257"/>
      <c r="F331" s="240"/>
    </row>
    <row r="332" spans="1:6" customFormat="1" ht="14.5">
      <c r="A332" s="233"/>
      <c r="B332" s="296">
        <v>294</v>
      </c>
      <c r="C332" s="266"/>
      <c r="D332" s="267"/>
      <c r="E332" s="257"/>
      <c r="F332" s="240"/>
    </row>
    <row r="333" spans="1:6" customFormat="1" ht="14.5">
      <c r="A333" s="233"/>
      <c r="B333" s="296">
        <v>295</v>
      </c>
      <c r="C333" s="266"/>
      <c r="D333" s="267"/>
      <c r="E333" s="257"/>
      <c r="F333" s="240"/>
    </row>
    <row r="334" spans="1:6" customFormat="1" ht="14.5">
      <c r="A334" s="233"/>
      <c r="B334" s="296">
        <v>296</v>
      </c>
      <c r="C334" s="266"/>
      <c r="D334" s="267"/>
      <c r="E334" s="257"/>
      <c r="F334" s="240"/>
    </row>
    <row r="335" spans="1:6" customFormat="1" ht="14.5">
      <c r="A335" s="233"/>
      <c r="B335" s="296">
        <v>297</v>
      </c>
      <c r="C335" s="266"/>
      <c r="D335" s="267"/>
      <c r="E335" s="257"/>
      <c r="F335" s="240"/>
    </row>
    <row r="336" spans="1:6" customFormat="1" ht="14.5">
      <c r="A336" s="233"/>
      <c r="B336" s="296">
        <v>298</v>
      </c>
      <c r="C336" s="266"/>
      <c r="D336" s="267"/>
      <c r="E336" s="257"/>
      <c r="F336" s="240"/>
    </row>
    <row r="337" spans="1:6" customFormat="1" ht="14.5">
      <c r="A337" s="233"/>
      <c r="B337" s="296">
        <v>299</v>
      </c>
      <c r="C337" s="266"/>
      <c r="D337" s="267"/>
      <c r="E337" s="257"/>
      <c r="F337" s="240"/>
    </row>
    <row r="338" spans="1:6" customFormat="1" ht="14.5">
      <c r="A338" s="233"/>
      <c r="B338" s="296">
        <v>300</v>
      </c>
      <c r="C338" s="266"/>
      <c r="D338" s="267"/>
      <c r="E338" s="257"/>
      <c r="F338" s="24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I5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baseColWidth="10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topLeftCell="A4" workbookViewId="0">
      <selection activeCell="C5" sqref="C5"/>
    </sheetView>
  </sheetViews>
  <sheetFormatPr baseColWidth="10" defaultColWidth="9.08984375" defaultRowHeight="10"/>
  <cols>
    <col min="1" max="1" width="2.90625" style="301" customWidth="1"/>
    <col min="2" max="2" width="17" style="301" bestFit="1" customWidth="1"/>
    <col min="3" max="3" width="26.6328125" style="301" bestFit="1" customWidth="1"/>
    <col min="4" max="4" width="10.54296875" style="302" customWidth="1"/>
    <col min="5" max="14" width="9.90625" style="302" customWidth="1"/>
    <col min="15" max="31" width="9.08984375" style="79"/>
    <col min="32" max="16384" width="9.08984375" style="301"/>
  </cols>
  <sheetData>
    <row r="1" spans="1:228" customFormat="1" ht="29.25" customHeight="1">
      <c r="A1" s="298"/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298"/>
      <c r="W1" s="298"/>
      <c r="X1" s="298"/>
      <c r="Y1" s="298"/>
      <c r="Z1" s="298"/>
      <c r="AA1" s="298"/>
      <c r="AB1" s="298"/>
      <c r="AC1" s="298"/>
      <c r="AD1" s="298"/>
      <c r="AE1" s="298"/>
      <c r="AF1" s="298"/>
      <c r="AG1" s="298"/>
      <c r="AH1" s="298"/>
      <c r="AI1" s="298"/>
      <c r="AJ1" s="298"/>
      <c r="AK1" s="298"/>
      <c r="AL1" s="298"/>
      <c r="AM1" s="298"/>
      <c r="AN1" s="298"/>
      <c r="AO1" s="298"/>
      <c r="AP1" s="298"/>
      <c r="AQ1" s="298"/>
      <c r="AR1" s="298"/>
      <c r="AS1" s="298"/>
      <c r="AT1" s="298"/>
      <c r="AU1" s="298"/>
      <c r="AV1" s="298"/>
      <c r="AW1" s="298"/>
      <c r="AX1" s="298"/>
      <c r="AY1" s="298"/>
      <c r="AZ1" s="298"/>
      <c r="BA1" s="298"/>
      <c r="BB1" s="298"/>
      <c r="BC1" s="298"/>
      <c r="BD1" s="298"/>
      <c r="BE1" s="298"/>
      <c r="BF1" s="298"/>
      <c r="BG1" s="298"/>
      <c r="BH1" s="298"/>
      <c r="BI1" s="298"/>
      <c r="BJ1" s="298"/>
      <c r="BK1" s="298"/>
      <c r="BL1" s="298"/>
      <c r="BM1" s="298"/>
      <c r="BN1" s="298"/>
      <c r="BO1" s="298"/>
      <c r="BP1" s="298"/>
      <c r="BQ1" s="298"/>
      <c r="BR1" s="298"/>
      <c r="BS1" s="298"/>
      <c r="BT1" s="298"/>
      <c r="BU1" s="298"/>
      <c r="BV1" s="298"/>
      <c r="BW1" s="298"/>
      <c r="BX1" s="298"/>
      <c r="BY1" s="298"/>
      <c r="BZ1" s="298"/>
      <c r="CA1" s="298"/>
      <c r="CB1" s="298"/>
      <c r="CC1" s="298"/>
      <c r="CD1" s="298"/>
      <c r="CE1" s="298"/>
      <c r="CF1" s="298"/>
      <c r="CG1" s="298"/>
      <c r="CH1" s="298"/>
      <c r="CI1" s="298"/>
      <c r="CJ1" s="298"/>
      <c r="CK1" s="298"/>
      <c r="CL1" s="298"/>
      <c r="CM1" s="298"/>
      <c r="CN1" s="298"/>
      <c r="CO1" s="298"/>
      <c r="CP1" s="298"/>
      <c r="CQ1" s="298"/>
      <c r="CR1" s="298"/>
      <c r="CS1" s="298"/>
      <c r="CT1" s="298"/>
      <c r="CU1" s="298"/>
      <c r="CV1" s="298"/>
      <c r="CW1" s="298"/>
      <c r="CX1" s="298"/>
      <c r="CY1" s="298"/>
      <c r="CZ1" s="298"/>
      <c r="DA1" s="298"/>
      <c r="DB1" s="298"/>
      <c r="DC1" s="298"/>
      <c r="DD1" s="298"/>
      <c r="DE1" s="298"/>
      <c r="DF1" s="298"/>
      <c r="DG1" s="298"/>
      <c r="DH1" s="298"/>
      <c r="DI1" s="298"/>
      <c r="DJ1" s="298"/>
      <c r="DK1" s="298"/>
      <c r="DL1" s="298"/>
      <c r="DM1" s="298"/>
      <c r="DN1" s="298"/>
      <c r="DO1" s="298"/>
      <c r="DP1" s="298"/>
      <c r="DQ1" s="298"/>
      <c r="DR1" s="298"/>
      <c r="DS1" s="298"/>
      <c r="DT1" s="298"/>
      <c r="DU1" s="298"/>
      <c r="DV1" s="298"/>
      <c r="DW1" s="298"/>
      <c r="DX1" s="298"/>
      <c r="DY1" s="298"/>
      <c r="DZ1" s="298"/>
      <c r="EA1" s="298"/>
      <c r="EB1" s="298"/>
      <c r="EC1" s="298"/>
      <c r="ED1" s="298"/>
      <c r="EE1" s="298"/>
      <c r="EF1" s="298"/>
      <c r="EG1" s="298"/>
      <c r="EH1" s="298"/>
      <c r="EI1" s="298"/>
      <c r="EJ1" s="298"/>
      <c r="EK1" s="298"/>
      <c r="EL1" s="298"/>
      <c r="EM1" s="298"/>
      <c r="EN1" s="298"/>
      <c r="EO1" s="298"/>
      <c r="EP1" s="298"/>
      <c r="EQ1" s="298"/>
      <c r="ER1" s="298"/>
      <c r="ES1" s="298"/>
      <c r="ET1" s="298"/>
      <c r="EU1" s="298"/>
      <c r="EV1" s="298"/>
      <c r="EW1" s="298"/>
      <c r="EX1" s="298"/>
      <c r="EY1" s="298"/>
      <c r="EZ1" s="298"/>
      <c r="FA1" s="298"/>
      <c r="FB1" s="298"/>
      <c r="FC1" s="298"/>
      <c r="FD1" s="298"/>
      <c r="FE1" s="298"/>
      <c r="FF1" s="298"/>
      <c r="FG1" s="298"/>
      <c r="FH1" s="298"/>
      <c r="FI1" s="298"/>
      <c r="FJ1" s="298"/>
      <c r="FK1" s="298"/>
      <c r="FL1" s="298"/>
      <c r="FM1" s="298"/>
      <c r="FN1" s="298"/>
      <c r="FO1" s="298"/>
      <c r="FP1" s="298"/>
      <c r="FQ1" s="298"/>
      <c r="FR1" s="298"/>
      <c r="FS1" s="298"/>
      <c r="FT1" s="298"/>
      <c r="FU1" s="298"/>
      <c r="FV1" s="298"/>
      <c r="FW1" s="298"/>
      <c r="FX1" s="298"/>
      <c r="FY1" s="298"/>
      <c r="FZ1" s="298"/>
      <c r="GA1" s="298"/>
      <c r="GB1" s="298"/>
      <c r="GC1" s="298"/>
      <c r="GD1" s="298"/>
      <c r="GE1" s="298"/>
      <c r="GF1" s="298"/>
      <c r="GG1" s="298"/>
      <c r="GH1" s="298"/>
      <c r="GI1" s="298"/>
      <c r="GJ1" s="298"/>
      <c r="GK1" s="298"/>
      <c r="GL1" s="298"/>
      <c r="GM1" s="298"/>
      <c r="GN1" s="298"/>
      <c r="GO1" s="298"/>
      <c r="GP1" s="298"/>
      <c r="GQ1" s="298"/>
      <c r="GR1" s="298"/>
      <c r="GS1" s="298"/>
      <c r="GT1" s="298"/>
      <c r="GU1" s="298"/>
      <c r="GV1" s="298"/>
      <c r="GW1" s="298"/>
      <c r="GX1" s="298"/>
      <c r="GY1" s="298"/>
      <c r="GZ1" s="298"/>
      <c r="HA1" s="298"/>
      <c r="HB1" s="298"/>
      <c r="HC1" s="298"/>
      <c r="HD1" s="298"/>
      <c r="HE1" s="298"/>
      <c r="HF1" s="298"/>
      <c r="HG1" s="298"/>
      <c r="HH1" s="298"/>
      <c r="HI1" s="298"/>
      <c r="HJ1" s="298"/>
      <c r="HK1" s="298"/>
      <c r="HL1" s="298"/>
      <c r="HM1" s="298"/>
      <c r="HN1" s="298"/>
      <c r="HO1" s="298"/>
      <c r="HP1" s="298"/>
      <c r="HQ1" s="298"/>
      <c r="HR1" s="298"/>
      <c r="HS1" s="298"/>
      <c r="HT1" s="298"/>
    </row>
    <row r="2" spans="1:228" customFormat="1" ht="54.75" customHeight="1">
      <c r="A2" s="298"/>
      <c r="B2" s="298"/>
      <c r="C2" s="299"/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98"/>
      <c r="AB2" s="298"/>
      <c r="AC2" s="298"/>
      <c r="AD2" s="298"/>
      <c r="AE2" s="298"/>
      <c r="AF2" s="298"/>
      <c r="AG2" s="298"/>
      <c r="AH2" s="298"/>
      <c r="AI2" s="298"/>
      <c r="AJ2" s="298"/>
      <c r="AK2" s="298"/>
      <c r="AL2" s="298"/>
      <c r="AM2" s="298"/>
      <c r="AN2" s="298"/>
      <c r="AO2" s="298"/>
      <c r="AP2" s="298"/>
      <c r="AQ2" s="298"/>
      <c r="AR2" s="298"/>
      <c r="AS2" s="298"/>
      <c r="AT2" s="298"/>
      <c r="AU2" s="298"/>
      <c r="AV2" s="298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H2" s="298"/>
      <c r="BI2" s="298"/>
      <c r="BJ2" s="298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  <c r="CH2" s="298"/>
      <c r="CI2" s="298"/>
      <c r="CJ2" s="298"/>
      <c r="CK2" s="298"/>
      <c r="CL2" s="298"/>
      <c r="CM2" s="298"/>
      <c r="CN2" s="298"/>
      <c r="CO2" s="298"/>
      <c r="CP2" s="298"/>
      <c r="CQ2" s="298"/>
      <c r="CR2" s="298"/>
      <c r="CS2" s="298"/>
      <c r="CT2" s="298"/>
      <c r="CU2" s="298"/>
      <c r="CV2" s="298"/>
      <c r="CW2" s="298"/>
      <c r="CX2" s="298"/>
      <c r="CY2" s="298"/>
      <c r="CZ2" s="298"/>
      <c r="DA2" s="298"/>
      <c r="DB2" s="298"/>
      <c r="DC2" s="298"/>
      <c r="DD2" s="298"/>
      <c r="DE2" s="298"/>
      <c r="DF2" s="298"/>
      <c r="DG2" s="298"/>
      <c r="DH2" s="298"/>
      <c r="DI2" s="298"/>
      <c r="DJ2" s="298"/>
      <c r="DK2" s="298"/>
      <c r="DL2" s="298"/>
      <c r="DM2" s="298"/>
      <c r="DN2" s="298"/>
      <c r="DO2" s="298"/>
      <c r="DP2" s="298"/>
      <c r="DQ2" s="298"/>
      <c r="DR2" s="298"/>
      <c r="DS2" s="298"/>
      <c r="DT2" s="298"/>
      <c r="DU2" s="298"/>
      <c r="DV2" s="298"/>
      <c r="DW2" s="298"/>
      <c r="DX2" s="298"/>
      <c r="DY2" s="298"/>
      <c r="DZ2" s="298"/>
      <c r="EA2" s="298"/>
      <c r="EB2" s="298"/>
      <c r="EC2" s="298"/>
      <c r="ED2" s="298"/>
      <c r="EE2" s="298"/>
      <c r="EF2" s="298"/>
      <c r="EG2" s="298"/>
      <c r="EH2" s="298"/>
      <c r="EI2" s="298"/>
      <c r="EJ2" s="298"/>
      <c r="EK2" s="298"/>
      <c r="EL2" s="298"/>
      <c r="EM2" s="298"/>
      <c r="EN2" s="298"/>
      <c r="EO2" s="298"/>
      <c r="EP2" s="298"/>
      <c r="EQ2" s="298"/>
      <c r="ER2" s="298"/>
      <c r="ES2" s="298"/>
      <c r="ET2" s="298"/>
      <c r="EU2" s="298"/>
      <c r="EV2" s="298"/>
      <c r="EW2" s="298"/>
      <c r="EX2" s="298"/>
      <c r="EY2" s="298"/>
      <c r="EZ2" s="298"/>
      <c r="FA2" s="298"/>
      <c r="FB2" s="298"/>
      <c r="FC2" s="298"/>
      <c r="FD2" s="298"/>
      <c r="FE2" s="298"/>
      <c r="FF2" s="298"/>
      <c r="FG2" s="298"/>
      <c r="FH2" s="298"/>
      <c r="FI2" s="298"/>
      <c r="FJ2" s="298"/>
      <c r="FK2" s="298"/>
      <c r="FL2" s="298"/>
      <c r="FM2" s="298"/>
      <c r="FN2" s="298"/>
      <c r="FO2" s="298"/>
      <c r="FP2" s="298"/>
      <c r="FQ2" s="298"/>
      <c r="FR2" s="298"/>
      <c r="FS2" s="298"/>
      <c r="FT2" s="298"/>
      <c r="FU2" s="298"/>
      <c r="FV2" s="298"/>
      <c r="FW2" s="298"/>
      <c r="FX2" s="298"/>
      <c r="FY2" s="298"/>
      <c r="FZ2" s="298"/>
      <c r="GA2" s="298"/>
      <c r="GB2" s="298"/>
      <c r="GC2" s="298"/>
      <c r="GD2" s="298"/>
      <c r="GE2" s="298"/>
      <c r="GF2" s="298"/>
      <c r="GG2" s="298"/>
      <c r="GH2" s="298"/>
      <c r="GI2" s="298"/>
      <c r="GJ2" s="298"/>
      <c r="GK2" s="298"/>
      <c r="GL2" s="298"/>
      <c r="GM2" s="298"/>
      <c r="GN2" s="298"/>
      <c r="GO2" s="298"/>
      <c r="GP2" s="298"/>
      <c r="GQ2" s="298"/>
      <c r="GR2" s="298"/>
      <c r="GS2" s="298"/>
      <c r="GT2" s="298"/>
      <c r="GU2" s="298"/>
      <c r="GV2" s="298"/>
      <c r="GW2" s="298"/>
      <c r="GX2" s="298"/>
      <c r="GY2" s="298"/>
      <c r="GZ2" s="298"/>
      <c r="HA2" s="298"/>
      <c r="HB2" s="298"/>
      <c r="HC2" s="298"/>
      <c r="HD2" s="298"/>
      <c r="HE2" s="298"/>
      <c r="HF2" s="298"/>
      <c r="HG2" s="298"/>
      <c r="HH2" s="298"/>
      <c r="HI2" s="298"/>
      <c r="HJ2" s="298"/>
      <c r="HK2" s="298"/>
      <c r="HL2" s="298"/>
      <c r="HM2" s="298"/>
      <c r="HN2" s="298"/>
      <c r="HO2" s="298"/>
      <c r="HP2" s="298"/>
      <c r="HQ2" s="298"/>
      <c r="HR2" s="298"/>
      <c r="HS2" s="298"/>
      <c r="HT2" s="298"/>
    </row>
    <row r="3" spans="1:228" customFormat="1" ht="36.75" customHeight="1">
      <c r="A3" s="298"/>
      <c r="B3" s="298"/>
      <c r="C3" s="298"/>
      <c r="D3" s="298"/>
      <c r="E3" s="298"/>
      <c r="F3" s="298"/>
      <c r="G3" s="298"/>
      <c r="H3" s="298"/>
      <c r="I3" s="300"/>
      <c r="J3" s="300"/>
      <c r="K3" s="300"/>
      <c r="L3" s="300"/>
      <c r="M3" s="300"/>
      <c r="N3" s="300"/>
      <c r="O3" s="300"/>
      <c r="P3" s="300"/>
      <c r="Q3" s="298"/>
      <c r="R3" s="298"/>
      <c r="S3" s="298"/>
      <c r="T3" s="298"/>
      <c r="U3" s="298"/>
      <c r="V3" s="298"/>
      <c r="W3" s="298"/>
      <c r="X3" s="298"/>
      <c r="Y3" s="298"/>
      <c r="Z3" s="298"/>
      <c r="AA3" s="298"/>
      <c r="AB3" s="300"/>
      <c r="AC3" s="298"/>
      <c r="AD3" s="298"/>
      <c r="AE3" s="298"/>
      <c r="AF3" s="298"/>
      <c r="AG3" s="298"/>
      <c r="AH3" s="298"/>
      <c r="AI3" s="298"/>
      <c r="AJ3" s="298"/>
      <c r="AK3" s="298"/>
      <c r="AL3" s="298"/>
      <c r="AM3" s="298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  <c r="AY3" s="298"/>
      <c r="AZ3" s="298"/>
      <c r="BA3" s="298"/>
      <c r="BB3" s="298"/>
      <c r="BC3" s="298"/>
      <c r="BD3" s="298"/>
      <c r="BE3" s="298"/>
      <c r="BF3" s="298"/>
      <c r="BG3" s="298"/>
      <c r="BH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98"/>
      <c r="CE3" s="298"/>
      <c r="CF3" s="298"/>
      <c r="CG3" s="298"/>
      <c r="CH3" s="298"/>
      <c r="CI3" s="298"/>
      <c r="CJ3" s="298"/>
      <c r="CK3" s="298"/>
      <c r="CL3" s="298"/>
      <c r="CM3" s="298"/>
      <c r="CN3" s="298"/>
      <c r="CO3" s="298"/>
      <c r="CP3" s="298"/>
      <c r="CQ3" s="298"/>
      <c r="CR3" s="298"/>
      <c r="CS3" s="298"/>
      <c r="CT3" s="298"/>
      <c r="CU3" s="298"/>
      <c r="CV3" s="298"/>
      <c r="CW3" s="298"/>
      <c r="CX3" s="298"/>
      <c r="CY3" s="298"/>
      <c r="CZ3" s="298"/>
      <c r="DA3" s="298"/>
      <c r="DB3" s="298"/>
      <c r="DC3" s="298"/>
      <c r="DD3" s="298"/>
      <c r="DE3" s="298"/>
      <c r="DF3" s="298"/>
      <c r="DG3" s="298"/>
      <c r="DH3" s="298"/>
      <c r="DI3" s="298"/>
      <c r="DJ3" s="298"/>
      <c r="DK3" s="298"/>
      <c r="DL3" s="298"/>
      <c r="DM3" s="298"/>
      <c r="DN3" s="298"/>
      <c r="DO3" s="298"/>
      <c r="DP3" s="298"/>
      <c r="DQ3" s="298"/>
      <c r="DR3" s="298"/>
      <c r="DS3" s="298"/>
      <c r="DT3" s="298"/>
      <c r="DU3" s="298"/>
      <c r="DV3" s="298"/>
      <c r="DW3" s="298"/>
      <c r="DX3" s="298"/>
      <c r="DY3" s="298"/>
      <c r="DZ3" s="298"/>
      <c r="EA3" s="298"/>
      <c r="EB3" s="298"/>
      <c r="EC3" s="298"/>
      <c r="ED3" s="298"/>
      <c r="EE3" s="298"/>
      <c r="EF3" s="298"/>
      <c r="EG3" s="298"/>
      <c r="EH3" s="298"/>
      <c r="EI3" s="298"/>
      <c r="EJ3" s="298"/>
      <c r="EK3" s="298"/>
      <c r="EL3" s="298"/>
      <c r="EM3" s="298"/>
      <c r="EN3" s="298"/>
      <c r="EO3" s="298"/>
      <c r="EP3" s="298"/>
      <c r="EQ3" s="298"/>
      <c r="ER3" s="298"/>
      <c r="ES3" s="298"/>
      <c r="ET3" s="298"/>
      <c r="EU3" s="298"/>
      <c r="EV3" s="298"/>
      <c r="EW3" s="298"/>
      <c r="EX3" s="298"/>
      <c r="EY3" s="298"/>
      <c r="EZ3" s="298"/>
      <c r="FA3" s="298"/>
      <c r="FB3" s="298"/>
      <c r="FC3" s="298"/>
      <c r="FD3" s="298"/>
      <c r="FE3" s="298"/>
      <c r="FF3" s="298"/>
      <c r="FG3" s="298"/>
      <c r="FH3" s="298"/>
      <c r="FI3" s="298"/>
      <c r="FJ3" s="298"/>
      <c r="FK3" s="298"/>
      <c r="FL3" s="298"/>
      <c r="FM3" s="298"/>
      <c r="FN3" s="298"/>
      <c r="FO3" s="298"/>
      <c r="FP3" s="298"/>
      <c r="FQ3" s="298"/>
      <c r="FR3" s="298"/>
      <c r="FS3" s="298"/>
      <c r="FT3" s="298"/>
      <c r="FU3" s="298"/>
      <c r="FV3" s="298"/>
      <c r="FW3" s="298"/>
      <c r="FX3" s="298"/>
      <c r="FY3" s="298"/>
      <c r="FZ3" s="298"/>
      <c r="GA3" s="298"/>
      <c r="GB3" s="298"/>
      <c r="GC3" s="298"/>
      <c r="GD3" s="298"/>
      <c r="GE3" s="298"/>
      <c r="GF3" s="298"/>
      <c r="GG3" s="298"/>
      <c r="GH3" s="298"/>
      <c r="GI3" s="298"/>
      <c r="GJ3" s="298"/>
      <c r="GK3" s="298"/>
      <c r="GL3" s="298"/>
      <c r="GM3" s="298"/>
      <c r="GN3" s="298"/>
      <c r="GO3" s="298"/>
      <c r="GP3" s="298"/>
      <c r="GQ3" s="298"/>
      <c r="GR3" s="298"/>
      <c r="GS3" s="298"/>
      <c r="GT3" s="298"/>
      <c r="GU3" s="298"/>
      <c r="GV3" s="298"/>
      <c r="GW3" s="298"/>
      <c r="GX3" s="298"/>
      <c r="GY3" s="298"/>
      <c r="GZ3" s="298"/>
      <c r="HA3" s="298"/>
      <c r="HB3" s="298"/>
      <c r="HC3" s="298"/>
      <c r="HD3" s="298"/>
      <c r="HE3" s="298"/>
      <c r="HF3" s="298"/>
      <c r="HG3" s="298"/>
      <c r="HH3" s="298"/>
      <c r="HI3" s="298"/>
      <c r="HJ3" s="298"/>
      <c r="HK3" s="298"/>
      <c r="HL3" s="298"/>
      <c r="HM3" s="298"/>
      <c r="HN3" s="298"/>
      <c r="HO3" s="298"/>
      <c r="HP3" s="298"/>
      <c r="HQ3" s="298"/>
      <c r="HR3" s="298"/>
      <c r="HS3" s="298"/>
      <c r="HT3" s="298"/>
    </row>
    <row r="4" spans="1:228" ht="10.5" thickBot="1">
      <c r="O4" s="301"/>
      <c r="P4" s="301"/>
      <c r="Q4" s="301"/>
      <c r="R4" s="301"/>
      <c r="S4" s="301"/>
      <c r="T4" s="301"/>
      <c r="U4" s="301"/>
      <c r="V4" s="301"/>
      <c r="W4" s="301"/>
      <c r="X4" s="301"/>
      <c r="Y4" s="301"/>
      <c r="Z4" s="301"/>
      <c r="AA4" s="301"/>
      <c r="AB4" s="301"/>
      <c r="AC4" s="301"/>
      <c r="AD4" s="301"/>
      <c r="AE4" s="301"/>
    </row>
    <row r="5" spans="1:228" ht="10.5">
      <c r="B5" s="303" t="s">
        <v>432</v>
      </c>
      <c r="C5" s="304">
        <v>46828</v>
      </c>
      <c r="O5" s="301"/>
      <c r="P5" s="301"/>
      <c r="Q5" s="301"/>
      <c r="R5" s="301"/>
      <c r="S5" s="301"/>
      <c r="T5" s="301"/>
      <c r="U5" s="301"/>
      <c r="V5" s="301"/>
      <c r="W5" s="301"/>
      <c r="X5" s="301"/>
      <c r="Y5" s="301"/>
      <c r="Z5" s="301"/>
      <c r="AA5" s="301"/>
      <c r="AB5" s="301"/>
      <c r="AC5" s="301"/>
      <c r="AD5" s="301"/>
      <c r="AE5" s="301"/>
    </row>
    <row r="6" spans="1:228" ht="10.5">
      <c r="B6" s="305" t="s">
        <v>477</v>
      </c>
      <c r="C6" s="306">
        <v>5000</v>
      </c>
      <c r="D6" s="301"/>
      <c r="E6" s="460"/>
      <c r="F6" s="460"/>
      <c r="G6" s="460"/>
      <c r="H6" s="460"/>
      <c r="I6" s="460"/>
      <c r="J6" s="460"/>
      <c r="K6" s="460"/>
      <c r="L6" s="460"/>
      <c r="M6" s="460"/>
      <c r="N6" s="460"/>
      <c r="O6" s="301"/>
      <c r="P6" s="301"/>
      <c r="Q6" s="301"/>
      <c r="R6" s="301"/>
      <c r="S6" s="301"/>
      <c r="T6" s="301"/>
      <c r="U6" s="301"/>
      <c r="V6" s="301"/>
      <c r="W6" s="301"/>
      <c r="X6" s="301"/>
      <c r="Y6" s="301"/>
      <c r="Z6" s="301"/>
      <c r="AA6" s="301"/>
      <c r="AB6" s="301"/>
      <c r="AC6" s="301"/>
      <c r="AD6" s="301"/>
      <c r="AE6" s="301"/>
    </row>
    <row r="7" spans="1:228" ht="11" thickBot="1">
      <c r="B7" s="307" t="s">
        <v>478</v>
      </c>
      <c r="C7" s="308" t="b">
        <v>0</v>
      </c>
      <c r="D7" s="301"/>
      <c r="E7" s="301"/>
      <c r="H7" s="309"/>
      <c r="O7" s="460"/>
      <c r="P7" s="460"/>
      <c r="Q7" s="460"/>
      <c r="R7" s="460"/>
      <c r="S7" s="460"/>
      <c r="T7" s="460"/>
      <c r="U7" s="460"/>
      <c r="V7" s="460"/>
      <c r="W7" s="460"/>
      <c r="X7" s="460"/>
      <c r="Y7" s="301"/>
      <c r="Z7" s="301"/>
      <c r="AA7" s="301"/>
      <c r="AB7" s="301"/>
      <c r="AC7" s="301"/>
      <c r="AD7" s="301"/>
      <c r="AE7" s="301"/>
    </row>
    <row r="8" spans="1:228" ht="11" thickBot="1">
      <c r="B8" s="307" t="s">
        <v>479</v>
      </c>
      <c r="C8" s="310">
        <v>0.3</v>
      </c>
      <c r="D8" s="311"/>
      <c r="E8" s="301"/>
      <c r="H8" s="309"/>
      <c r="O8" s="301"/>
      <c r="P8" s="301"/>
      <c r="Q8" s="301"/>
      <c r="R8" s="301"/>
      <c r="S8" s="301"/>
      <c r="T8" s="301"/>
      <c r="U8" s="301"/>
      <c r="V8" s="301"/>
      <c r="W8" s="301"/>
      <c r="X8" s="301"/>
      <c r="Y8" s="301"/>
      <c r="Z8" s="301"/>
      <c r="AA8" s="301"/>
      <c r="AB8" s="301"/>
      <c r="AC8" s="301"/>
      <c r="AD8" s="301"/>
      <c r="AE8" s="301"/>
    </row>
    <row r="9" spans="1:228" ht="11" thickBot="1">
      <c r="B9" s="307" t="s">
        <v>480</v>
      </c>
      <c r="C9" s="312">
        <v>125</v>
      </c>
      <c r="D9" s="311"/>
      <c r="E9" s="301"/>
      <c r="H9" s="309"/>
      <c r="O9" s="301"/>
      <c r="P9" s="301"/>
      <c r="Q9" s="301"/>
      <c r="R9" s="301"/>
      <c r="S9" s="301"/>
      <c r="T9" s="301"/>
      <c r="U9" s="301"/>
      <c r="V9" s="301"/>
      <c r="W9" s="301"/>
      <c r="X9" s="301"/>
      <c r="Y9" s="301"/>
      <c r="Z9" s="301"/>
      <c r="AA9" s="301"/>
      <c r="AB9" s="301"/>
      <c r="AC9" s="301"/>
      <c r="AD9" s="301"/>
      <c r="AE9" s="301"/>
    </row>
    <row r="10" spans="1:228" ht="11" thickBot="1">
      <c r="B10" s="313"/>
      <c r="C10" s="314"/>
      <c r="D10" s="311"/>
      <c r="E10" s="301"/>
      <c r="H10" s="309"/>
      <c r="O10" s="301"/>
      <c r="P10" s="301"/>
      <c r="Q10" s="301"/>
      <c r="R10" s="301"/>
      <c r="S10" s="301"/>
      <c r="T10" s="301"/>
      <c r="U10" s="301"/>
      <c r="V10" s="301"/>
      <c r="W10" s="301"/>
      <c r="X10" s="301"/>
      <c r="Y10" s="301"/>
      <c r="Z10" s="301"/>
      <c r="AA10" s="301"/>
      <c r="AB10" s="301"/>
      <c r="AC10" s="301"/>
      <c r="AD10" s="301"/>
      <c r="AE10" s="301"/>
    </row>
    <row r="11" spans="1:228" ht="10.5">
      <c r="B11" s="315" t="s">
        <v>82</v>
      </c>
      <c r="C11" s="316" t="s">
        <v>67</v>
      </c>
      <c r="D11" s="301"/>
      <c r="E11" s="301"/>
      <c r="H11" s="309"/>
      <c r="O11" s="301"/>
      <c r="P11" s="301"/>
      <c r="Q11" s="301"/>
      <c r="R11" s="301"/>
      <c r="S11" s="301"/>
      <c r="T11" s="301"/>
      <c r="U11" s="301"/>
      <c r="V11" s="301"/>
      <c r="W11" s="301"/>
      <c r="X11" s="301"/>
      <c r="Y11" s="301"/>
      <c r="Z11" s="301"/>
      <c r="AA11" s="301"/>
      <c r="AB11" s="301"/>
      <c r="AC11" s="301"/>
      <c r="AD11" s="301"/>
      <c r="AE11" s="301"/>
    </row>
    <row r="12" spans="1:228" ht="10.5">
      <c r="B12" s="317" t="s">
        <v>437</v>
      </c>
      <c r="C12" s="318">
        <v>-0.1</v>
      </c>
      <c r="D12" s="311"/>
      <c r="E12" s="301"/>
      <c r="H12" s="309"/>
      <c r="O12" s="301"/>
      <c r="P12" s="301"/>
      <c r="Q12" s="301"/>
      <c r="R12" s="301"/>
      <c r="S12" s="301"/>
      <c r="T12" s="301"/>
      <c r="U12" s="301"/>
      <c r="V12" s="301"/>
      <c r="W12" s="301"/>
      <c r="X12" s="301"/>
      <c r="Y12" s="301"/>
      <c r="Z12" s="301"/>
      <c r="AA12" s="301"/>
      <c r="AB12" s="301"/>
      <c r="AC12" s="301"/>
      <c r="AD12" s="301"/>
      <c r="AE12" s="301"/>
    </row>
    <row r="13" spans="1:228" ht="11" thickBot="1">
      <c r="B13" s="319" t="s">
        <v>439</v>
      </c>
      <c r="C13" s="241">
        <v>0.1</v>
      </c>
      <c r="E13" s="320"/>
      <c r="H13" s="309"/>
      <c r="O13" s="301"/>
      <c r="P13" s="301"/>
      <c r="Q13" s="301"/>
      <c r="R13" s="301"/>
      <c r="S13" s="301"/>
      <c r="T13" s="301"/>
      <c r="U13" s="301"/>
      <c r="V13" s="301"/>
      <c r="W13" s="301"/>
      <c r="X13" s="301"/>
      <c r="Y13" s="301"/>
      <c r="Z13" s="301"/>
      <c r="AA13" s="301"/>
      <c r="AB13" s="301"/>
      <c r="AC13" s="301"/>
      <c r="AD13" s="301"/>
      <c r="AE13" s="301"/>
    </row>
    <row r="14" spans="1:228" ht="11" thickBot="1">
      <c r="B14" s="321"/>
      <c r="C14" s="322"/>
      <c r="E14" s="320"/>
      <c r="H14" s="309"/>
      <c r="O14" s="301"/>
      <c r="P14" s="301"/>
      <c r="Q14" s="301"/>
      <c r="R14" s="301"/>
      <c r="S14" s="301"/>
      <c r="T14" s="301"/>
      <c r="U14" s="301"/>
      <c r="V14" s="301"/>
      <c r="W14" s="301"/>
      <c r="X14" s="301"/>
      <c r="Y14" s="301"/>
      <c r="Z14" s="301"/>
      <c r="AA14" s="301"/>
      <c r="AB14" s="301"/>
      <c r="AC14" s="301"/>
      <c r="AD14" s="301"/>
      <c r="AE14" s="301"/>
    </row>
    <row r="15" spans="1:228" ht="10.5">
      <c r="B15" s="303" t="s">
        <v>458</v>
      </c>
      <c r="C15" s="323" t="s">
        <v>459</v>
      </c>
      <c r="E15" s="320"/>
      <c r="H15" s="309"/>
      <c r="O15" s="301"/>
      <c r="P15" s="301"/>
      <c r="Q15" s="301"/>
      <c r="R15" s="301"/>
      <c r="S15" s="301"/>
      <c r="T15" s="301"/>
      <c r="U15" s="301"/>
      <c r="V15" s="301"/>
      <c r="W15" s="301"/>
      <c r="X15" s="301"/>
      <c r="Y15" s="301"/>
      <c r="Z15" s="301"/>
      <c r="AA15" s="301"/>
      <c r="AB15" s="301"/>
      <c r="AC15" s="301"/>
      <c r="AD15" s="301"/>
      <c r="AE15" s="301"/>
    </row>
    <row r="16" spans="1:228" ht="10.5">
      <c r="B16" s="305" t="s">
        <v>461</v>
      </c>
      <c r="C16" s="324" t="s">
        <v>481</v>
      </c>
      <c r="E16" s="320"/>
      <c r="H16" s="309"/>
      <c r="O16" s="301"/>
      <c r="P16" s="301"/>
      <c r="Q16" s="301"/>
      <c r="R16" s="301"/>
      <c r="S16" s="301"/>
      <c r="T16" s="301"/>
      <c r="U16" s="301"/>
      <c r="V16" s="301"/>
      <c r="W16" s="301"/>
      <c r="X16" s="301"/>
      <c r="Y16" s="301"/>
      <c r="Z16" s="301"/>
      <c r="AA16" s="301"/>
      <c r="AB16" s="301"/>
      <c r="AC16" s="301"/>
      <c r="AD16" s="301"/>
      <c r="AE16" s="301"/>
    </row>
    <row r="17" spans="2:31" ht="11" thickBot="1">
      <c r="B17" s="307" t="s">
        <v>462</v>
      </c>
      <c r="C17" s="325"/>
      <c r="E17" s="320"/>
      <c r="H17" s="309"/>
      <c r="O17" s="301"/>
      <c r="P17" s="301"/>
      <c r="Q17" s="301"/>
      <c r="R17" s="301"/>
      <c r="S17" s="301"/>
      <c r="T17" s="301"/>
      <c r="U17" s="301"/>
      <c r="V17" s="301"/>
      <c r="W17" s="301"/>
      <c r="X17" s="301"/>
      <c r="Y17" s="301"/>
      <c r="Z17" s="301"/>
      <c r="AA17" s="301"/>
      <c r="AB17" s="301"/>
      <c r="AC17" s="301"/>
      <c r="AD17" s="301"/>
      <c r="AE17" s="301"/>
    </row>
    <row r="18" spans="2:31" ht="11" thickBot="1">
      <c r="B18" s="313"/>
      <c r="C18" s="326"/>
      <c r="E18" s="320"/>
      <c r="H18" s="309"/>
      <c r="O18" s="301"/>
      <c r="P18" s="301"/>
      <c r="Q18" s="301"/>
      <c r="R18" s="301"/>
      <c r="S18" s="301"/>
      <c r="T18" s="301"/>
      <c r="U18" s="301"/>
      <c r="V18" s="301"/>
      <c r="W18" s="301"/>
      <c r="X18" s="301"/>
      <c r="Y18" s="301"/>
      <c r="Z18" s="301"/>
      <c r="AA18" s="301"/>
      <c r="AB18" s="301"/>
      <c r="AC18" s="301"/>
      <c r="AD18" s="301"/>
      <c r="AE18" s="301"/>
    </row>
    <row r="19" spans="2:31" ht="11" thickBot="1">
      <c r="B19" s="315" t="s">
        <v>482</v>
      </c>
      <c r="C19" s="327"/>
      <c r="D19" s="328"/>
      <c r="E19" s="461" t="s">
        <v>483</v>
      </c>
      <c r="F19" s="461"/>
      <c r="G19" s="461"/>
      <c r="H19" s="461"/>
      <c r="I19" s="461"/>
      <c r="J19" s="461"/>
      <c r="K19" s="461"/>
      <c r="L19" s="461"/>
      <c r="M19" s="461"/>
      <c r="N19" s="462"/>
      <c r="O19" s="301"/>
      <c r="P19" s="301"/>
      <c r="Q19" s="301"/>
      <c r="R19" s="301"/>
      <c r="S19" s="301"/>
      <c r="T19" s="301"/>
      <c r="U19" s="301"/>
      <c r="V19" s="301"/>
      <c r="W19" s="301"/>
      <c r="X19" s="301"/>
      <c r="Y19" s="301"/>
      <c r="Z19" s="301"/>
      <c r="AA19" s="301"/>
      <c r="AB19" s="301"/>
      <c r="AC19" s="301"/>
      <c r="AD19" s="301"/>
      <c r="AE19" s="301"/>
    </row>
    <row r="20" spans="2:31" ht="11" thickBot="1">
      <c r="B20" s="330"/>
      <c r="C20" s="331"/>
      <c r="D20" s="332" t="s">
        <v>484</v>
      </c>
      <c r="E20" s="333">
        <v>1</v>
      </c>
      <c r="F20" s="334">
        <v>2</v>
      </c>
      <c r="G20" s="333">
        <v>3</v>
      </c>
      <c r="H20" s="335">
        <v>4</v>
      </c>
      <c r="I20" s="335">
        <v>5</v>
      </c>
      <c r="J20" s="335">
        <v>6</v>
      </c>
      <c r="K20" s="335">
        <v>7</v>
      </c>
      <c r="L20" s="334">
        <v>8</v>
      </c>
      <c r="M20" s="335">
        <v>9</v>
      </c>
      <c r="N20" s="336">
        <v>10</v>
      </c>
      <c r="O20" s="301"/>
      <c r="P20" s="301"/>
      <c r="Q20" s="301"/>
      <c r="R20" s="301"/>
      <c r="S20" s="301"/>
      <c r="T20" s="301"/>
      <c r="U20" s="301"/>
      <c r="V20" s="301"/>
      <c r="W20" s="313"/>
      <c r="X20" s="301"/>
      <c r="Y20" s="301"/>
      <c r="Z20" s="301"/>
      <c r="AA20" s="301"/>
      <c r="AB20" s="301"/>
      <c r="AC20" s="301"/>
      <c r="AD20" s="301"/>
      <c r="AE20" s="301"/>
    </row>
    <row r="21" spans="2:31" ht="10.5">
      <c r="B21" s="303" t="s">
        <v>465</v>
      </c>
      <c r="C21" s="337">
        <v>0.54</v>
      </c>
      <c r="D21" s="338" t="s">
        <v>465</v>
      </c>
      <c r="E21" s="339">
        <v>6.0999999999999999E-2</v>
      </c>
      <c r="F21" s="339">
        <v>6.0999999999999999E-2</v>
      </c>
      <c r="G21" s="339">
        <v>6.0999999999999999E-2</v>
      </c>
      <c r="H21" s="339">
        <v>6.0999999999999999E-2</v>
      </c>
      <c r="I21" s="340">
        <v>0.06</v>
      </c>
      <c r="J21" s="340">
        <v>0.06</v>
      </c>
      <c r="K21" s="341"/>
      <c r="L21" s="342"/>
      <c r="M21" s="341"/>
      <c r="N21" s="343"/>
      <c r="O21" s="301"/>
      <c r="P21" s="301"/>
      <c r="Q21" s="301"/>
      <c r="R21" s="301"/>
      <c r="S21" s="301"/>
      <c r="T21" s="301"/>
      <c r="U21" s="301"/>
      <c r="V21" s="301"/>
      <c r="W21" s="301"/>
      <c r="X21" s="301"/>
      <c r="Y21" s="301"/>
      <c r="Z21" s="301"/>
      <c r="AA21" s="301"/>
      <c r="AB21" s="301"/>
      <c r="AC21" s="301"/>
      <c r="AD21" s="301"/>
      <c r="AE21" s="301"/>
    </row>
    <row r="22" spans="2:31" ht="11" thickBot="1">
      <c r="B22" s="307" t="s">
        <v>466</v>
      </c>
      <c r="C22" s="344">
        <v>0.84</v>
      </c>
      <c r="D22" s="338" t="s">
        <v>485</v>
      </c>
      <c r="E22" s="345">
        <v>0.111</v>
      </c>
      <c r="F22" s="345">
        <v>0.111</v>
      </c>
      <c r="G22" s="345">
        <v>0.111</v>
      </c>
      <c r="H22" s="345">
        <v>0.111</v>
      </c>
      <c r="I22" s="346">
        <v>0.11</v>
      </c>
      <c r="J22" s="346">
        <v>0.11</v>
      </c>
      <c r="K22" s="347"/>
      <c r="L22" s="348"/>
      <c r="M22" s="347"/>
      <c r="N22" s="349"/>
      <c r="O22" s="301"/>
      <c r="P22" s="301"/>
      <c r="Q22" s="350"/>
      <c r="R22" s="301"/>
      <c r="S22" s="301"/>
      <c r="T22" s="301"/>
      <c r="U22" s="301"/>
      <c r="V22" s="301"/>
      <c r="W22" s="301"/>
      <c r="X22" s="301"/>
      <c r="Y22" s="301"/>
      <c r="Z22" s="301"/>
      <c r="AA22" s="301"/>
      <c r="AB22" s="301"/>
      <c r="AC22" s="301"/>
      <c r="AD22" s="301"/>
      <c r="AE22" s="301"/>
    </row>
    <row r="23" spans="2:31" ht="11" thickBot="1">
      <c r="B23" s="351"/>
      <c r="C23" s="352"/>
      <c r="D23" s="353" t="s">
        <v>486</v>
      </c>
      <c r="E23" s="354">
        <f t="shared" ref="E23:J23" si="0">0.166666666666667%*100</f>
        <v>0.16666666666666699</v>
      </c>
      <c r="F23" s="354">
        <f t="shared" si="0"/>
        <v>0.16666666666666699</v>
      </c>
      <c r="G23" s="354">
        <f t="shared" si="0"/>
        <v>0.16666666666666699</v>
      </c>
      <c r="H23" s="354">
        <f t="shared" si="0"/>
        <v>0.16666666666666699</v>
      </c>
      <c r="I23" s="354">
        <f t="shared" si="0"/>
        <v>0.16666666666666699</v>
      </c>
      <c r="J23" s="354">
        <f t="shared" si="0"/>
        <v>0.16666666666666699</v>
      </c>
      <c r="K23" s="347"/>
      <c r="L23" s="348"/>
      <c r="M23" s="347"/>
      <c r="N23" s="349"/>
      <c r="O23" s="301"/>
      <c r="P23" s="301"/>
      <c r="Q23" s="301"/>
      <c r="R23" s="301"/>
      <c r="S23" s="301"/>
      <c r="T23" s="301"/>
      <c r="U23" s="301"/>
      <c r="V23" s="301"/>
      <c r="W23" s="301"/>
      <c r="X23" s="301"/>
      <c r="Y23" s="301"/>
      <c r="Z23" s="301"/>
      <c r="AA23" s="301"/>
      <c r="AB23" s="301"/>
      <c r="AC23" s="301"/>
      <c r="AD23" s="301"/>
      <c r="AE23" s="301"/>
    </row>
    <row r="24" spans="2:31" ht="11" thickBot="1">
      <c r="B24" s="351"/>
      <c r="C24" s="352"/>
      <c r="D24" s="355"/>
      <c r="E24" s="356"/>
      <c r="F24" s="357"/>
      <c r="G24" s="357"/>
      <c r="H24" s="357"/>
      <c r="I24" s="357"/>
      <c r="J24" s="357"/>
      <c r="K24" s="357"/>
      <c r="L24" s="357"/>
      <c r="M24" s="357"/>
      <c r="N24" s="126"/>
      <c r="O24" s="301"/>
      <c r="P24" s="301"/>
      <c r="Q24" s="301"/>
      <c r="R24" s="301"/>
      <c r="S24" s="301"/>
      <c r="T24" s="301"/>
      <c r="U24" s="301"/>
      <c r="V24" s="301"/>
      <c r="W24" s="301"/>
      <c r="X24" s="301"/>
      <c r="Y24" s="301"/>
      <c r="Z24" s="301"/>
      <c r="AA24" s="301"/>
      <c r="AB24" s="301"/>
      <c r="AC24" s="301"/>
      <c r="AD24" s="301"/>
      <c r="AE24" s="301"/>
    </row>
    <row r="25" spans="2:31" ht="11" thickBot="1">
      <c r="B25" s="303" t="s">
        <v>487</v>
      </c>
      <c r="C25" s="358">
        <v>8.3836702003960026E-2</v>
      </c>
      <c r="D25" s="359"/>
      <c r="E25" s="459" t="s">
        <v>488</v>
      </c>
      <c r="F25" s="459"/>
      <c r="G25" s="459"/>
      <c r="H25" s="459"/>
      <c r="I25" s="459"/>
      <c r="J25" s="459"/>
      <c r="K25" s="459"/>
      <c r="L25" s="459"/>
      <c r="M25" s="459"/>
      <c r="N25" s="458"/>
      <c r="O25" s="301"/>
      <c r="P25" s="301"/>
      <c r="Q25" s="301"/>
      <c r="R25" s="301"/>
      <c r="S25" s="301"/>
      <c r="T25" s="301"/>
      <c r="U25" s="301"/>
      <c r="V25" s="301"/>
      <c r="W25" s="301"/>
      <c r="X25" s="301"/>
      <c r="Y25" s="301"/>
      <c r="Z25" s="301"/>
      <c r="AA25" s="301"/>
      <c r="AB25" s="301"/>
      <c r="AC25" s="301"/>
      <c r="AD25" s="301"/>
      <c r="AE25" s="301"/>
    </row>
    <row r="26" spans="2:31" ht="11" thickBot="1">
      <c r="B26" s="307" t="s">
        <v>489</v>
      </c>
      <c r="C26" s="360" t="b">
        <v>1</v>
      </c>
      <c r="D26" s="332" t="s">
        <v>490</v>
      </c>
      <c r="E26" s="361">
        <v>1</v>
      </c>
      <c r="F26" s="59">
        <f t="shared" ref="F26:N26" si="1">E26+1</f>
        <v>2</v>
      </c>
      <c r="G26" s="362">
        <f t="shared" si="1"/>
        <v>3</v>
      </c>
      <c r="H26" s="363">
        <f t="shared" si="1"/>
        <v>4</v>
      </c>
      <c r="I26" s="363">
        <f t="shared" si="1"/>
        <v>5</v>
      </c>
      <c r="J26" s="363">
        <f t="shared" si="1"/>
        <v>6</v>
      </c>
      <c r="K26" s="363">
        <f t="shared" si="1"/>
        <v>7</v>
      </c>
      <c r="L26" s="59">
        <f t="shared" si="1"/>
        <v>8</v>
      </c>
      <c r="M26" s="363">
        <f t="shared" si="1"/>
        <v>9</v>
      </c>
      <c r="N26" s="364">
        <f t="shared" si="1"/>
        <v>10</v>
      </c>
      <c r="O26" s="301"/>
      <c r="P26" s="301"/>
      <c r="Q26" s="301"/>
      <c r="R26" s="301"/>
      <c r="S26" s="301"/>
      <c r="T26" s="301"/>
      <c r="U26" s="301"/>
      <c r="V26" s="301"/>
      <c r="W26" s="301"/>
      <c r="X26" s="301"/>
      <c r="Y26" s="301"/>
      <c r="Z26" s="301"/>
      <c r="AA26" s="301"/>
      <c r="AB26" s="301"/>
      <c r="AC26" s="301"/>
      <c r="AD26" s="301"/>
      <c r="AE26" s="301"/>
    </row>
    <row r="27" spans="2:31" ht="10.5">
      <c r="B27" s="351"/>
      <c r="D27" s="365">
        <v>0</v>
      </c>
      <c r="E27" s="366">
        <v>1.9E-2</v>
      </c>
      <c r="F27" s="367">
        <v>2.1000000000000001E-2</v>
      </c>
      <c r="G27" s="368">
        <v>2.1999999999999999E-2</v>
      </c>
      <c r="H27" s="369">
        <v>2.1000000000000001E-2</v>
      </c>
      <c r="I27" s="368">
        <v>2.1999999999999999E-2</v>
      </c>
      <c r="J27" s="368">
        <v>2.1000000000000001E-2</v>
      </c>
      <c r="K27" s="342"/>
      <c r="L27" s="370"/>
      <c r="M27" s="342"/>
      <c r="N27" s="318"/>
      <c r="O27" s="301"/>
      <c r="P27" s="301"/>
      <c r="Q27" s="301"/>
      <c r="R27" s="301"/>
      <c r="S27" s="301"/>
      <c r="T27" s="301"/>
      <c r="U27" s="301"/>
      <c r="V27" s="301"/>
      <c r="W27" s="301"/>
      <c r="X27" s="301"/>
      <c r="Y27" s="301"/>
      <c r="Z27" s="301"/>
      <c r="AA27" s="301"/>
      <c r="AB27" s="301"/>
      <c r="AC27" s="301"/>
      <c r="AD27" s="301"/>
      <c r="AE27" s="301"/>
    </row>
    <row r="28" spans="2:31" ht="10.5">
      <c r="B28" s="351"/>
      <c r="D28" s="371">
        <v>2.4E-2</v>
      </c>
      <c r="E28" s="366">
        <v>3.5999999999999997E-2</v>
      </c>
      <c r="F28" s="372">
        <v>0.04</v>
      </c>
      <c r="G28" s="373">
        <v>4.1000000000000002E-2</v>
      </c>
      <c r="H28" s="374">
        <v>0.04</v>
      </c>
      <c r="I28" s="374">
        <v>4.1000000000000002E-2</v>
      </c>
      <c r="J28" s="374">
        <v>0.04</v>
      </c>
      <c r="K28" s="375"/>
      <c r="L28" s="375"/>
      <c r="M28" s="375"/>
      <c r="N28" s="375"/>
      <c r="O28" s="301"/>
      <c r="P28" s="301"/>
      <c r="Q28" s="301"/>
      <c r="R28" s="301"/>
      <c r="S28" s="301"/>
      <c r="T28" s="301"/>
      <c r="U28" s="301"/>
      <c r="V28" s="301"/>
      <c r="W28" s="301"/>
      <c r="X28" s="301"/>
      <c r="Y28" s="301"/>
      <c r="Z28" s="301"/>
      <c r="AA28" s="301"/>
      <c r="AB28" s="301"/>
      <c r="AC28" s="301"/>
      <c r="AD28" s="301"/>
      <c r="AE28" s="301"/>
    </row>
    <row r="29" spans="2:31" ht="10.5">
      <c r="B29" s="351"/>
      <c r="D29" s="371">
        <v>4.9000000000000002E-2</v>
      </c>
      <c r="E29" s="366">
        <v>6.3E-2</v>
      </c>
      <c r="F29" s="372">
        <v>6.9000000000000006E-2</v>
      </c>
      <c r="G29" s="373">
        <v>7.0999999999999994E-2</v>
      </c>
      <c r="H29" s="374">
        <v>6.9000000000000006E-2</v>
      </c>
      <c r="I29" s="374">
        <v>7.0999999999999994E-2</v>
      </c>
      <c r="J29" s="374">
        <v>6.9000000000000006E-2</v>
      </c>
      <c r="K29" s="375"/>
      <c r="L29" s="375"/>
      <c r="M29" s="375"/>
      <c r="N29" s="375"/>
      <c r="O29" s="301"/>
      <c r="P29" s="301"/>
      <c r="Q29" s="301"/>
      <c r="R29" s="301"/>
      <c r="S29" s="301"/>
      <c r="T29" s="301"/>
      <c r="U29" s="301"/>
      <c r="V29" s="301"/>
      <c r="W29" s="301"/>
      <c r="X29" s="301"/>
      <c r="Y29" s="301"/>
      <c r="Z29" s="301"/>
      <c r="AA29" s="301"/>
      <c r="AB29" s="301"/>
      <c r="AC29" s="301"/>
      <c r="AD29" s="301"/>
      <c r="AE29" s="301"/>
    </row>
    <row r="30" spans="2:31" ht="10.5">
      <c r="B30" s="351"/>
      <c r="D30" s="371">
        <v>6.5000000000000002E-2</v>
      </c>
      <c r="E30" s="366">
        <v>9.2999999999999999E-2</v>
      </c>
      <c r="F30" s="372">
        <v>0.107</v>
      </c>
      <c r="G30" s="373">
        <v>0.111</v>
      </c>
      <c r="H30" s="374">
        <v>0.108</v>
      </c>
      <c r="I30" s="374">
        <v>0.112</v>
      </c>
      <c r="J30" s="374">
        <v>0.108</v>
      </c>
      <c r="K30" s="375"/>
      <c r="L30" s="375"/>
      <c r="M30" s="375"/>
      <c r="N30" s="375"/>
      <c r="O30" s="301"/>
      <c r="P30" s="301"/>
      <c r="Q30" s="301"/>
      <c r="R30" s="301"/>
      <c r="S30" s="301"/>
      <c r="T30" s="301"/>
      <c r="U30" s="301"/>
      <c r="V30" s="301"/>
      <c r="W30" s="301"/>
      <c r="X30" s="301"/>
      <c r="Y30" s="301"/>
      <c r="Z30" s="301"/>
      <c r="AA30" s="301"/>
      <c r="AB30" s="301"/>
      <c r="AC30" s="301"/>
      <c r="AD30" s="301"/>
      <c r="AE30" s="301"/>
    </row>
    <row r="31" spans="2:31" ht="10.5">
      <c r="B31" s="351"/>
      <c r="D31" s="371">
        <v>8.1000000000000003E-2</v>
      </c>
      <c r="E31" s="366">
        <v>0.13300000000000001</v>
      </c>
      <c r="F31" s="372">
        <v>0.14899999999999999</v>
      </c>
      <c r="G31" s="373">
        <v>0.154</v>
      </c>
      <c r="H31" s="374">
        <v>0.151</v>
      </c>
      <c r="I31" s="374">
        <v>0.154</v>
      </c>
      <c r="J31" s="374">
        <v>0.14899999999999999</v>
      </c>
      <c r="K31" s="375"/>
      <c r="L31" s="375"/>
      <c r="M31" s="375"/>
      <c r="N31" s="375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301"/>
      <c r="AB31" s="301"/>
      <c r="AC31" s="301"/>
      <c r="AD31" s="301"/>
      <c r="AE31" s="301"/>
    </row>
    <row r="32" spans="2:31" ht="10.5">
      <c r="B32" s="351"/>
      <c r="D32" s="371">
        <v>9.8000000000000004E-2</v>
      </c>
      <c r="E32" s="366">
        <v>0.17399999999999999</v>
      </c>
      <c r="F32" s="372">
        <v>0.191</v>
      </c>
      <c r="G32" s="373">
        <v>0.19600000000000001</v>
      </c>
      <c r="H32" s="374">
        <v>0.19400000000000001</v>
      </c>
      <c r="I32" s="374">
        <v>0.19700000000000001</v>
      </c>
      <c r="J32" s="374">
        <v>0.191</v>
      </c>
      <c r="K32" s="375"/>
      <c r="L32" s="375"/>
      <c r="M32" s="375"/>
      <c r="N32" s="375"/>
      <c r="O32" s="301"/>
      <c r="P32" s="301"/>
      <c r="Q32" s="301"/>
      <c r="R32" s="301"/>
      <c r="S32" s="301"/>
      <c r="T32" s="301"/>
      <c r="U32" s="301"/>
      <c r="V32" s="301"/>
      <c r="W32" s="301"/>
      <c r="X32" s="301"/>
      <c r="Y32" s="301"/>
      <c r="Z32" s="301"/>
      <c r="AA32" s="301"/>
      <c r="AB32" s="301"/>
      <c r="AC32" s="301"/>
      <c r="AD32" s="301"/>
      <c r="AE32" s="301"/>
    </row>
    <row r="33" spans="1:31" ht="11" thickBot="1">
      <c r="B33" s="376"/>
      <c r="C33" s="377"/>
      <c r="D33" s="378">
        <v>0.114</v>
      </c>
      <c r="E33" s="379">
        <v>0.214</v>
      </c>
      <c r="F33" s="380">
        <v>0.23200000000000001</v>
      </c>
      <c r="G33" s="381">
        <v>0.23799999999999999</v>
      </c>
      <c r="H33" s="382">
        <v>0.23499999999999999</v>
      </c>
      <c r="I33" s="381">
        <v>0.23899999999999999</v>
      </c>
      <c r="J33" s="381">
        <v>0.23200000000000001</v>
      </c>
      <c r="K33" s="348"/>
      <c r="L33" s="383"/>
      <c r="M33" s="348"/>
      <c r="N33" s="344"/>
      <c r="O33" s="301"/>
      <c r="P33" s="301"/>
      <c r="Q33" s="301"/>
      <c r="R33" s="301"/>
      <c r="S33" s="301"/>
      <c r="T33" s="301"/>
      <c r="U33" s="301"/>
      <c r="V33" s="301"/>
      <c r="W33" s="301"/>
      <c r="X33" s="301"/>
      <c r="Y33" s="301"/>
      <c r="Z33" s="301"/>
      <c r="AA33" s="301"/>
      <c r="AB33" s="301"/>
      <c r="AC33" s="301"/>
      <c r="AD33" s="301"/>
      <c r="AE33" s="301"/>
    </row>
    <row r="34" spans="1:31" ht="10.5" thickBot="1">
      <c r="D34" s="301"/>
      <c r="E34" s="301"/>
      <c r="F34" s="301"/>
      <c r="G34" s="301"/>
      <c r="H34" s="301"/>
      <c r="I34" s="301"/>
      <c r="J34" s="301"/>
      <c r="K34" s="301"/>
      <c r="L34" s="301"/>
      <c r="M34" s="301"/>
      <c r="N34" s="301"/>
      <c r="O34" s="301"/>
      <c r="P34" s="301"/>
      <c r="Q34" s="301"/>
      <c r="R34" s="301"/>
      <c r="S34" s="301"/>
      <c r="T34" s="301"/>
      <c r="U34" s="301"/>
      <c r="V34" s="301"/>
      <c r="W34" s="301"/>
      <c r="X34" s="301"/>
      <c r="Y34" s="301"/>
      <c r="Z34" s="301"/>
      <c r="AA34" s="301"/>
      <c r="AB34" s="301"/>
      <c r="AC34" s="301"/>
      <c r="AD34" s="301"/>
      <c r="AE34" s="301"/>
    </row>
    <row r="35" spans="1:31" ht="11" thickBot="1">
      <c r="D35" s="384" t="s">
        <v>423</v>
      </c>
      <c r="E35" s="385" t="b">
        <v>1</v>
      </c>
      <c r="F35" s="301"/>
      <c r="G35" s="301"/>
      <c r="H35" s="301"/>
      <c r="I35" s="301"/>
      <c r="J35" s="301"/>
      <c r="K35" s="301"/>
      <c r="L35" s="301"/>
      <c r="M35" s="301"/>
      <c r="N35" s="301"/>
      <c r="O35" s="301"/>
      <c r="P35" s="301"/>
      <c r="Q35" s="301"/>
      <c r="R35" s="301"/>
      <c r="S35" s="301"/>
      <c r="T35" s="301"/>
      <c r="U35" s="301"/>
      <c r="V35" s="301"/>
      <c r="W35" s="301"/>
      <c r="X35" s="301"/>
      <c r="Y35" s="301"/>
      <c r="Z35" s="301"/>
      <c r="AA35" s="301"/>
      <c r="AB35" s="301"/>
      <c r="AC35" s="301"/>
      <c r="AD35" s="301"/>
      <c r="AE35" s="301"/>
    </row>
    <row r="36" spans="1:31" ht="11" thickBot="1">
      <c r="B36" s="386"/>
      <c r="C36" s="79"/>
      <c r="D36" s="301"/>
      <c r="E36" s="301"/>
      <c r="F36" s="301"/>
      <c r="G36" s="301"/>
      <c r="H36" s="301"/>
      <c r="I36" s="301"/>
      <c r="J36" s="301"/>
      <c r="K36" s="301"/>
      <c r="L36" s="301"/>
      <c r="M36" s="301"/>
      <c r="N36" s="301"/>
      <c r="O36" s="301"/>
      <c r="P36" s="301"/>
      <c r="Q36" s="301"/>
      <c r="R36" s="301"/>
      <c r="S36" s="301"/>
      <c r="T36" s="301"/>
      <c r="U36" s="301"/>
      <c r="V36" s="301"/>
      <c r="W36" s="301"/>
      <c r="X36" s="301"/>
      <c r="Y36" s="301"/>
      <c r="Z36" s="301"/>
      <c r="AA36" s="301"/>
      <c r="AB36" s="301"/>
      <c r="AC36" s="301"/>
      <c r="AD36" s="301"/>
      <c r="AE36" s="301"/>
    </row>
    <row r="37" spans="1:31" ht="13.5" customHeight="1" thickBot="1">
      <c r="B37" s="386"/>
      <c r="C37" s="457" t="s">
        <v>482</v>
      </c>
      <c r="D37" s="458"/>
      <c r="E37" s="459" t="s">
        <v>491</v>
      </c>
      <c r="F37" s="459"/>
      <c r="G37" s="459"/>
      <c r="H37" s="459"/>
      <c r="I37" s="459"/>
      <c r="J37" s="459"/>
      <c r="K37" s="459"/>
      <c r="L37" s="459"/>
      <c r="M37" s="459"/>
      <c r="N37" s="458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301"/>
      <c r="AB37" s="301"/>
      <c r="AC37" s="301"/>
      <c r="AD37" s="301"/>
      <c r="AE37" s="301"/>
    </row>
    <row r="38" spans="1:31" ht="11" thickBot="1">
      <c r="B38" s="313"/>
      <c r="C38" s="387" t="s">
        <v>434</v>
      </c>
      <c r="D38" s="388" t="s">
        <v>492</v>
      </c>
      <c r="E38" s="302">
        <v>1</v>
      </c>
      <c r="F38" s="302">
        <f t="shared" ref="F38:N38" si="2">E38+1</f>
        <v>2</v>
      </c>
      <c r="G38" s="302">
        <f t="shared" si="2"/>
        <v>3</v>
      </c>
      <c r="H38" s="302">
        <f t="shared" si="2"/>
        <v>4</v>
      </c>
      <c r="I38" s="302">
        <f t="shared" si="2"/>
        <v>5</v>
      </c>
      <c r="J38" s="302">
        <f t="shared" si="2"/>
        <v>6</v>
      </c>
      <c r="K38" s="302">
        <f t="shared" si="2"/>
        <v>7</v>
      </c>
      <c r="L38" s="302">
        <f t="shared" si="2"/>
        <v>8</v>
      </c>
      <c r="M38" s="302">
        <f t="shared" si="2"/>
        <v>9</v>
      </c>
      <c r="N38" s="389">
        <f t="shared" si="2"/>
        <v>10</v>
      </c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301"/>
      <c r="AB38" s="301"/>
      <c r="AC38" s="301"/>
      <c r="AD38" s="301"/>
      <c r="AE38" s="301"/>
    </row>
    <row r="39" spans="1:31" ht="11" thickBot="1">
      <c r="A39" s="79"/>
      <c r="B39" s="387" t="s">
        <v>493</v>
      </c>
      <c r="C39" s="390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91" t="str">
        <f ca="1"/>
        <v/>
      </c>
      <c r="E39" s="392" t="str">
        <f ca="1"/>
        <v/>
      </c>
      <c r="F39" s="392" t="str">
        <f ca="1"/>
        <v/>
      </c>
      <c r="G39" s="392" t="str">
        <f ca="1"/>
        <v/>
      </c>
      <c r="H39" s="392" t="str">
        <f ca="1"/>
        <v/>
      </c>
      <c r="I39" s="392" t="str">
        <f ca="1"/>
        <v/>
      </c>
      <c r="J39" s="392" t="str">
        <f ca="1"/>
        <v/>
      </c>
      <c r="K39" s="392" t="str">
        <f ca="1"/>
        <v/>
      </c>
      <c r="L39" s="392" t="str">
        <f ca="1"/>
        <v/>
      </c>
      <c r="M39" s="392" t="str">
        <f ca="1"/>
        <v/>
      </c>
      <c r="N39" s="393" t="str">
        <f ca="1"/>
        <v/>
      </c>
      <c r="O39" s="301"/>
      <c r="P39" s="301"/>
      <c r="Q39" s="301"/>
      <c r="R39" s="301"/>
      <c r="S39" s="301"/>
      <c r="T39" s="301"/>
      <c r="U39" s="301"/>
      <c r="V39" s="301"/>
      <c r="W39" s="301"/>
      <c r="X39" s="301"/>
      <c r="Y39" s="301"/>
      <c r="Z39" s="301"/>
      <c r="AA39" s="301"/>
      <c r="AB39" s="301"/>
      <c r="AC39" s="301"/>
      <c r="AD39" s="301"/>
      <c r="AE39" s="301"/>
    </row>
    <row r="40" spans="1:31" ht="11" thickBot="1">
      <c r="B40" s="387" t="s">
        <v>494</v>
      </c>
      <c r="C40" s="394" t="str">
        <f ca="1"/>
        <v/>
      </c>
      <c r="D40" s="395" t="str">
        <f ca="1"/>
        <v/>
      </c>
      <c r="E40" s="396" t="str">
        <f ca="1"/>
        <v/>
      </c>
      <c r="F40" s="396" t="str">
        <f ca="1"/>
        <v/>
      </c>
      <c r="G40" s="396" t="str">
        <f ca="1"/>
        <v/>
      </c>
      <c r="H40" s="396" t="str">
        <f ca="1"/>
        <v/>
      </c>
      <c r="I40" s="396" t="str">
        <f ca="1"/>
        <v/>
      </c>
      <c r="J40" s="396" t="str">
        <f ca="1"/>
        <v/>
      </c>
      <c r="K40" s="396" t="str">
        <f ca="1"/>
        <v/>
      </c>
      <c r="L40" s="396" t="str">
        <f ca="1"/>
        <v/>
      </c>
      <c r="M40" s="396" t="str">
        <f ca="1"/>
        <v/>
      </c>
      <c r="N40" s="397" t="str">
        <f ca="1"/>
        <v/>
      </c>
      <c r="O40" s="301"/>
      <c r="P40" s="301"/>
      <c r="Q40" s="301"/>
      <c r="R40" s="301"/>
      <c r="S40" s="301"/>
      <c r="T40" s="301"/>
      <c r="U40" s="301"/>
      <c r="V40" s="301"/>
      <c r="W40" s="301"/>
      <c r="X40" s="301"/>
      <c r="Y40" s="301"/>
      <c r="Z40" s="301"/>
      <c r="AA40" s="301"/>
      <c r="AB40" s="301"/>
      <c r="AC40" s="301"/>
      <c r="AD40" s="301"/>
      <c r="AE40" s="301"/>
    </row>
    <row r="41" spans="1:31">
      <c r="C41" s="398"/>
      <c r="D41" s="399" t="e" cm="1">
        <f t="array" aca="1" ref="D41" ca="1">GetTest2(E21:N23)</f>
        <v>#VALUE!</v>
      </c>
      <c r="E41" s="399"/>
      <c r="F41" s="400"/>
      <c r="G41" s="399"/>
      <c r="H41" s="400"/>
      <c r="I41" s="398"/>
      <c r="J41" s="400"/>
      <c r="K41" s="398"/>
      <c r="L41" s="400"/>
      <c r="M41" s="398"/>
      <c r="N41" s="398"/>
      <c r="O41" s="301"/>
      <c r="P41" s="460"/>
      <c r="Q41" s="460"/>
      <c r="R41" s="460"/>
      <c r="S41" s="301"/>
      <c r="T41" s="301"/>
      <c r="U41" s="301"/>
      <c r="V41" s="301"/>
      <c r="W41" s="301"/>
      <c r="X41" s="301"/>
      <c r="Y41" s="301"/>
      <c r="Z41" s="301"/>
      <c r="AA41" s="301"/>
      <c r="AB41" s="301"/>
      <c r="AC41" s="301"/>
      <c r="AD41" s="301"/>
      <c r="AE41" s="301"/>
    </row>
    <row r="42" spans="1:31">
      <c r="B42" s="301" t="str" cm="1">
        <f t="array" aca="1" ref="B42" ca="1">GetTest2(E21:N23,C21,C22,C26,D46:N345,Parameter_Date,C5,C11)</f>
        <v>6 , 5, 0, 0,02</v>
      </c>
      <c r="D42" s="399"/>
      <c r="E42" s="399"/>
      <c r="F42" s="400"/>
      <c r="G42" s="399"/>
      <c r="H42" s="400"/>
      <c r="I42" s="398"/>
      <c r="J42" s="400"/>
      <c r="K42" s="398"/>
      <c r="L42" s="400"/>
      <c r="M42" s="398"/>
      <c r="N42" s="398"/>
      <c r="O42" s="301"/>
      <c r="P42" s="301"/>
      <c r="Q42" s="301"/>
      <c r="R42" s="301"/>
      <c r="S42" s="301"/>
      <c r="T42" s="301"/>
      <c r="U42" s="301"/>
      <c r="V42" s="301"/>
      <c r="W42" s="301"/>
      <c r="X42" s="301"/>
      <c r="Y42" s="301"/>
      <c r="Z42" s="301"/>
      <c r="AA42" s="301"/>
      <c r="AB42" s="301"/>
      <c r="AC42" s="301"/>
      <c r="AD42" s="301"/>
      <c r="AE42" s="301"/>
    </row>
    <row r="43" spans="1:31" ht="11" thickBot="1">
      <c r="D43" s="301"/>
      <c r="E43" s="401"/>
      <c r="O43" s="301"/>
      <c r="P43" s="301"/>
      <c r="Q43" s="301"/>
      <c r="R43" s="301"/>
      <c r="S43" s="301"/>
      <c r="T43" s="301"/>
      <c r="U43" s="301"/>
      <c r="V43" s="301"/>
      <c r="W43" s="301"/>
      <c r="X43" s="301"/>
      <c r="Y43" s="301"/>
      <c r="Z43" s="301"/>
      <c r="AA43" s="301"/>
      <c r="AB43" s="301"/>
      <c r="AC43" s="301"/>
      <c r="AD43" s="301"/>
      <c r="AE43" s="301"/>
    </row>
    <row r="44" spans="1:31" ht="11" thickBot="1">
      <c r="C44" s="352"/>
      <c r="D44" s="402"/>
      <c r="E44" s="457" t="s">
        <v>495</v>
      </c>
      <c r="F44" s="459"/>
      <c r="G44" s="459"/>
      <c r="H44" s="459"/>
      <c r="I44" s="459"/>
      <c r="J44" s="459"/>
      <c r="K44" s="459"/>
      <c r="L44" s="459"/>
      <c r="M44" s="459"/>
      <c r="N44" s="458"/>
      <c r="O44" s="301"/>
      <c r="P44" s="301"/>
      <c r="Q44" s="301"/>
      <c r="R44" s="301"/>
      <c r="S44" s="301"/>
      <c r="T44" s="301"/>
      <c r="U44" s="301"/>
      <c r="V44" s="301"/>
      <c r="W44" s="301"/>
      <c r="X44" s="301"/>
      <c r="Y44" s="301"/>
      <c r="Z44" s="301"/>
      <c r="AA44" s="301"/>
      <c r="AB44" s="301"/>
      <c r="AC44" s="301"/>
      <c r="AD44" s="301"/>
      <c r="AE44" s="301"/>
    </row>
    <row r="45" spans="1:31" ht="11" thickBot="1">
      <c r="B45" s="332" t="s">
        <v>496</v>
      </c>
      <c r="C45" s="329" t="s">
        <v>497</v>
      </c>
      <c r="D45" s="387" t="s">
        <v>474</v>
      </c>
      <c r="E45" s="403">
        <v>1</v>
      </c>
      <c r="F45" s="404">
        <f t="shared" ref="F45:N45" si="3">E45+1</f>
        <v>2</v>
      </c>
      <c r="G45" s="404">
        <f t="shared" si="3"/>
        <v>3</v>
      </c>
      <c r="H45" s="404">
        <f t="shared" si="3"/>
        <v>4</v>
      </c>
      <c r="I45" s="404">
        <f t="shared" si="3"/>
        <v>5</v>
      </c>
      <c r="J45" s="404">
        <f t="shared" si="3"/>
        <v>6</v>
      </c>
      <c r="K45" s="404">
        <f t="shared" si="3"/>
        <v>7</v>
      </c>
      <c r="L45" s="404">
        <f t="shared" si="3"/>
        <v>8</v>
      </c>
      <c r="M45" s="404">
        <f t="shared" si="3"/>
        <v>9</v>
      </c>
      <c r="N45" s="405">
        <f t="shared" si="3"/>
        <v>10</v>
      </c>
      <c r="O45" s="301"/>
      <c r="P45" s="301"/>
      <c r="Q45" s="301"/>
      <c r="R45" s="301"/>
      <c r="S45" s="301"/>
      <c r="T45" s="301"/>
      <c r="U45" s="301"/>
      <c r="V45" s="301"/>
      <c r="W45" s="301"/>
      <c r="X45" s="301"/>
      <c r="Y45" s="301"/>
      <c r="Z45" s="301"/>
      <c r="AA45" s="301"/>
      <c r="AB45" s="301"/>
      <c r="AC45" s="301"/>
      <c r="AD45" s="301"/>
      <c r="AE45" s="301"/>
    </row>
    <row r="46" spans="1:31" ht="14.5">
      <c r="B46" s="406">
        <v>1</v>
      </c>
      <c r="C46" s="414" t="str" cm="1">
        <f t="array" aca="1" ref="C46" ca="1">IF(B46&lt;=$C$9,GetGetCDSName(B46),"")</f>
        <v>ABNAMRO_MMR.EUR.SU</v>
      </c>
      <c r="D46" s="374">
        <v>0</v>
      </c>
      <c r="E46" s="407">
        <v>0</v>
      </c>
      <c r="F46" s="326">
        <v>0</v>
      </c>
      <c r="G46" s="326">
        <v>1</v>
      </c>
      <c r="H46" s="326">
        <v>0</v>
      </c>
      <c r="I46" s="326">
        <v>0</v>
      </c>
      <c r="J46" s="326">
        <v>0</v>
      </c>
      <c r="K46" s="326"/>
      <c r="L46" s="326"/>
      <c r="M46" s="326"/>
      <c r="N46" s="408"/>
      <c r="O46" s="301"/>
      <c r="P46" s="301"/>
      <c r="Q46" s="301"/>
      <c r="R46" s="301"/>
      <c r="S46" s="301"/>
      <c r="T46" s="301"/>
      <c r="U46" s="301"/>
      <c r="V46" s="301"/>
      <c r="W46" s="301"/>
      <c r="X46" s="301"/>
      <c r="Y46" s="301"/>
      <c r="Z46" s="301"/>
      <c r="AA46" s="301"/>
      <c r="AB46" s="301"/>
      <c r="AC46" s="301"/>
      <c r="AD46" s="301"/>
      <c r="AE46" s="301"/>
    </row>
    <row r="47" spans="1:31" ht="14.5">
      <c r="B47" s="406">
        <f t="shared" ref="B47:B110" si="4">B46+1</f>
        <v>2</v>
      </c>
      <c r="C47" s="414" t="str" cm="1">
        <f t="array" aca="1" ref="C47" ca="1">IF(B47&lt;=$C$9,GetGetCDSName(B47),"")</f>
        <v>ACCOR_MMR.EUR.SU</v>
      </c>
      <c r="D47" s="374">
        <v>0</v>
      </c>
      <c r="E47" s="407">
        <v>0</v>
      </c>
      <c r="F47" s="326">
        <v>0</v>
      </c>
      <c r="G47" s="326">
        <v>0</v>
      </c>
      <c r="H47" s="326">
        <v>0</v>
      </c>
      <c r="I47" s="326">
        <v>1</v>
      </c>
      <c r="J47" s="326">
        <v>1</v>
      </c>
      <c r="K47" s="326"/>
      <c r="L47" s="326"/>
      <c r="M47" s="326"/>
      <c r="N47" s="408"/>
      <c r="O47" s="301"/>
      <c r="P47" s="301"/>
      <c r="Q47" s="301"/>
      <c r="R47" s="301"/>
      <c r="S47" s="301"/>
      <c r="T47" s="301"/>
      <c r="U47" s="301"/>
      <c r="V47" s="301"/>
      <c r="W47" s="301"/>
      <c r="X47" s="301"/>
      <c r="Y47" s="301"/>
      <c r="Z47" s="301"/>
      <c r="AA47" s="301"/>
      <c r="AB47" s="301"/>
      <c r="AC47" s="301"/>
      <c r="AD47" s="301"/>
      <c r="AE47" s="301"/>
    </row>
    <row r="48" spans="1:31" ht="14.5">
      <c r="B48" s="406">
        <f t="shared" si="4"/>
        <v>3</v>
      </c>
      <c r="C48" s="414" t="str" cm="1">
        <f t="array" aca="1" ref="C48" ca="1">IF(B48&lt;=$C$9,GetGetCDSName(B48),"")</f>
        <v>ADECCO_MMR.EUR.SU</v>
      </c>
      <c r="D48" s="374">
        <v>0</v>
      </c>
      <c r="E48" s="407">
        <v>0</v>
      </c>
      <c r="F48" s="326">
        <v>0</v>
      </c>
      <c r="G48" s="326">
        <v>1</v>
      </c>
      <c r="H48" s="326">
        <v>0</v>
      </c>
      <c r="I48" s="326">
        <v>1</v>
      </c>
      <c r="J48" s="326">
        <v>0</v>
      </c>
      <c r="K48" s="326"/>
      <c r="L48" s="326"/>
      <c r="M48" s="326"/>
      <c r="N48" s="408"/>
      <c r="O48" s="301"/>
      <c r="P48" s="301"/>
      <c r="Q48" s="301"/>
      <c r="R48" s="301"/>
      <c r="S48" s="301"/>
      <c r="T48" s="301"/>
      <c r="U48" s="301"/>
      <c r="V48" s="301"/>
      <c r="W48" s="301"/>
      <c r="X48" s="301"/>
      <c r="Y48" s="301"/>
      <c r="Z48" s="301"/>
      <c r="AA48" s="301"/>
      <c r="AB48" s="301"/>
      <c r="AC48" s="301"/>
      <c r="AD48" s="301"/>
      <c r="AE48" s="301"/>
    </row>
    <row r="49" spans="2:31" ht="14.5">
      <c r="B49" s="406">
        <f t="shared" si="4"/>
        <v>4</v>
      </c>
      <c r="C49" s="414" t="str" cm="1">
        <f t="array" aca="1" ref="C49" ca="1">IF(B49&lt;=$C$9,GetGetCDSName(B49),"")</f>
        <v>AEGON_MMR.EUR.SU</v>
      </c>
      <c r="D49" s="374">
        <v>0</v>
      </c>
      <c r="E49" s="407">
        <v>0</v>
      </c>
      <c r="F49" s="326">
        <v>0</v>
      </c>
      <c r="G49" s="326">
        <v>0</v>
      </c>
      <c r="H49" s="326">
        <v>0</v>
      </c>
      <c r="I49" s="326">
        <v>0</v>
      </c>
      <c r="J49" s="326">
        <v>1</v>
      </c>
      <c r="K49" s="326"/>
      <c r="L49" s="326"/>
      <c r="M49" s="326"/>
      <c r="N49" s="408"/>
      <c r="O49" s="301"/>
      <c r="P49" s="301"/>
      <c r="Q49" s="301"/>
      <c r="R49" s="301"/>
      <c r="S49" s="301"/>
      <c r="T49" s="301"/>
      <c r="U49" s="301"/>
      <c r="V49" s="301"/>
      <c r="W49" s="301"/>
      <c r="X49" s="301"/>
      <c r="Y49" s="301"/>
      <c r="Z49" s="301"/>
      <c r="AA49" s="301"/>
      <c r="AB49" s="301"/>
      <c r="AC49" s="301"/>
      <c r="AD49" s="301"/>
      <c r="AE49" s="301"/>
    </row>
    <row r="50" spans="2:31" ht="14.5">
      <c r="B50" s="406">
        <f t="shared" si="4"/>
        <v>5</v>
      </c>
      <c r="C50" s="414" t="str" cm="1">
        <f t="array" aca="1" ref="C50" ca="1">IF(B50&lt;=$C$9,GetGetCDSName(B50),"")</f>
        <v>AKZONOBEL_MMR.EUR.SU</v>
      </c>
      <c r="D50" s="374">
        <v>0</v>
      </c>
      <c r="E50" s="407">
        <v>0</v>
      </c>
      <c r="F50" s="326">
        <v>0</v>
      </c>
      <c r="G50" s="326">
        <v>0</v>
      </c>
      <c r="H50" s="326">
        <v>1</v>
      </c>
      <c r="I50" s="326">
        <v>0</v>
      </c>
      <c r="J50" s="326">
        <v>0</v>
      </c>
      <c r="K50" s="326"/>
      <c r="L50" s="326"/>
      <c r="M50" s="326"/>
      <c r="N50" s="408"/>
      <c r="O50" s="301"/>
      <c r="P50" s="301"/>
      <c r="Q50" s="301"/>
      <c r="R50" s="301"/>
      <c r="S50" s="301"/>
      <c r="T50" s="301"/>
      <c r="U50" s="301"/>
      <c r="V50" s="301"/>
      <c r="W50" s="301"/>
      <c r="X50" s="301"/>
      <c r="Y50" s="301"/>
      <c r="Z50" s="301"/>
      <c r="AA50" s="301"/>
      <c r="AB50" s="301"/>
      <c r="AC50" s="301"/>
      <c r="AD50" s="301"/>
      <c r="AE50" s="301"/>
    </row>
    <row r="51" spans="2:31" ht="14.5">
      <c r="B51" s="406">
        <f t="shared" si="4"/>
        <v>6</v>
      </c>
      <c r="C51" s="414" t="str" cm="1">
        <f t="array" aca="1" ref="C51" ca="1">IF(B51&lt;=$C$9,GetGetCDSName(B51),"")</f>
        <v>ALLIANZ_MMR.EUR.SU</v>
      </c>
      <c r="D51" s="374">
        <v>0</v>
      </c>
      <c r="E51" s="407">
        <v>1</v>
      </c>
      <c r="F51" s="326">
        <v>1</v>
      </c>
      <c r="G51" s="326">
        <v>0</v>
      </c>
      <c r="H51" s="326">
        <v>0</v>
      </c>
      <c r="I51" s="326">
        <v>0</v>
      </c>
      <c r="J51" s="326">
        <v>1</v>
      </c>
      <c r="K51" s="326"/>
      <c r="L51" s="326"/>
      <c r="M51" s="326"/>
      <c r="N51" s="408"/>
      <c r="O51" s="301"/>
      <c r="P51" s="301"/>
      <c r="Q51" s="301"/>
      <c r="R51" s="301"/>
      <c r="S51" s="301"/>
      <c r="T51" s="301"/>
      <c r="U51" s="301"/>
      <c r="V51" s="301"/>
      <c r="W51" s="301"/>
      <c r="X51" s="301"/>
      <c r="Y51" s="301"/>
      <c r="Z51" s="301"/>
      <c r="AA51" s="301"/>
      <c r="AB51" s="301"/>
      <c r="AC51" s="301"/>
      <c r="AD51" s="301"/>
      <c r="AE51" s="301"/>
    </row>
    <row r="52" spans="2:31" ht="14.5">
      <c r="B52" s="406">
        <f t="shared" si="4"/>
        <v>7</v>
      </c>
      <c r="C52" s="414" t="str" cm="1">
        <f t="array" aca="1" ref="C52" ca="1">IF(B52&lt;=$C$9,GetGetCDSName(B52),"")</f>
        <v>ALTADIS_MMR.EUR.SU</v>
      </c>
      <c r="D52" s="374">
        <v>0</v>
      </c>
      <c r="E52" s="407">
        <v>0</v>
      </c>
      <c r="F52" s="326">
        <v>0</v>
      </c>
      <c r="G52" s="326">
        <v>1</v>
      </c>
      <c r="H52" s="326">
        <v>1</v>
      </c>
      <c r="I52" s="326">
        <v>1</v>
      </c>
      <c r="J52" s="326">
        <v>0</v>
      </c>
      <c r="K52" s="326"/>
      <c r="L52" s="326"/>
      <c r="M52" s="326"/>
      <c r="N52" s="408"/>
      <c r="O52" s="301"/>
      <c r="P52" s="301"/>
      <c r="Q52" s="301"/>
      <c r="R52" s="301"/>
      <c r="S52" s="301"/>
      <c r="T52" s="301"/>
      <c r="U52" s="301"/>
      <c r="V52" s="301"/>
      <c r="W52" s="301"/>
      <c r="X52" s="301"/>
      <c r="Y52" s="301"/>
      <c r="Z52" s="301"/>
      <c r="AA52" s="301"/>
      <c r="AB52" s="301"/>
      <c r="AC52" s="301"/>
      <c r="AD52" s="301"/>
      <c r="AE52" s="301"/>
    </row>
    <row r="53" spans="2:31" ht="14.5">
      <c r="B53" s="406">
        <f t="shared" si="4"/>
        <v>8</v>
      </c>
      <c r="C53" s="414" t="str" cm="1">
        <f t="array" aca="1" ref="C53" ca="1">IF(B53&lt;=$C$9,GetGetCDSName(B53),"")</f>
        <v>ARCELORFINANCESCA_MMR.EUR.SU</v>
      </c>
      <c r="D53" s="374">
        <v>0</v>
      </c>
      <c r="E53" s="407">
        <v>1</v>
      </c>
      <c r="F53" s="326">
        <v>1</v>
      </c>
      <c r="G53" s="326">
        <v>0</v>
      </c>
      <c r="H53" s="326">
        <v>0</v>
      </c>
      <c r="I53" s="326">
        <v>1</v>
      </c>
      <c r="J53" s="326">
        <v>0</v>
      </c>
      <c r="K53" s="326"/>
      <c r="L53" s="326"/>
      <c r="M53" s="326"/>
      <c r="N53" s="408"/>
      <c r="O53" s="301"/>
      <c r="P53" s="301"/>
      <c r="Q53" s="301"/>
      <c r="R53" s="301"/>
      <c r="S53" s="301"/>
      <c r="T53" s="301"/>
      <c r="U53" s="301"/>
      <c r="V53" s="301"/>
      <c r="W53" s="301"/>
      <c r="X53" s="301"/>
      <c r="Y53" s="301"/>
      <c r="Z53" s="301"/>
      <c r="AA53" s="301"/>
      <c r="AB53" s="301"/>
      <c r="AC53" s="301"/>
      <c r="AD53" s="301"/>
      <c r="AE53" s="301"/>
    </row>
    <row r="54" spans="2:31" ht="14.5">
      <c r="B54" s="406">
        <f t="shared" si="4"/>
        <v>9</v>
      </c>
      <c r="C54" s="414" t="str" cm="1">
        <f t="array" aca="1" ref="C54" ca="1">IF(B54&lt;=$C$9,GetGetCDSName(B54),"")</f>
        <v>AUCHAN_MMR.EUR.SU</v>
      </c>
      <c r="D54" s="374">
        <v>0</v>
      </c>
      <c r="E54" s="407">
        <v>0</v>
      </c>
      <c r="F54" s="326">
        <v>0</v>
      </c>
      <c r="G54" s="326">
        <v>0</v>
      </c>
      <c r="H54" s="326">
        <v>0</v>
      </c>
      <c r="I54" s="326">
        <v>0</v>
      </c>
      <c r="J54" s="326">
        <v>1</v>
      </c>
      <c r="K54" s="326"/>
      <c r="L54" s="326"/>
      <c r="M54" s="326"/>
      <c r="N54" s="408"/>
      <c r="O54" s="301"/>
      <c r="P54" s="301"/>
      <c r="Q54" s="301"/>
      <c r="R54" s="301"/>
      <c r="S54" s="301"/>
      <c r="T54" s="301"/>
      <c r="U54" s="301"/>
      <c r="V54" s="301"/>
      <c r="W54" s="301"/>
      <c r="X54" s="301"/>
      <c r="Y54" s="301"/>
      <c r="Z54" s="301"/>
      <c r="AA54" s="301"/>
      <c r="AB54" s="301"/>
      <c r="AC54" s="301"/>
      <c r="AD54" s="301"/>
      <c r="AE54" s="301"/>
    </row>
    <row r="55" spans="2:31" ht="14.5">
      <c r="B55" s="406">
        <f t="shared" si="4"/>
        <v>10</v>
      </c>
      <c r="C55" s="414" t="str" cm="1">
        <f t="array" aca="1" ref="C55" ca="1">IF(B55&lt;=$C$9,GetGetCDSName(B55),"")</f>
        <v>AVIVA_MMR.EUR.SU</v>
      </c>
      <c r="D55" s="374">
        <v>0</v>
      </c>
      <c r="E55" s="407">
        <v>0</v>
      </c>
      <c r="F55" s="326">
        <v>0</v>
      </c>
      <c r="G55" s="326">
        <v>1</v>
      </c>
      <c r="H55" s="326">
        <v>1</v>
      </c>
      <c r="I55" s="326">
        <v>0</v>
      </c>
      <c r="J55" s="326">
        <v>0</v>
      </c>
      <c r="K55" s="326"/>
      <c r="L55" s="326"/>
      <c r="M55" s="326"/>
      <c r="N55" s="408"/>
      <c r="O55" s="301"/>
      <c r="P55" s="301"/>
      <c r="Q55" s="301"/>
      <c r="R55" s="301"/>
      <c r="S55" s="301"/>
      <c r="T55" s="301"/>
      <c r="U55" s="301"/>
      <c r="V55" s="301"/>
      <c r="W55" s="301"/>
      <c r="X55" s="301"/>
      <c r="Y55" s="301"/>
      <c r="Z55" s="301"/>
      <c r="AA55" s="301"/>
      <c r="AB55" s="301"/>
      <c r="AC55" s="301"/>
      <c r="AD55" s="301"/>
      <c r="AE55" s="301"/>
    </row>
    <row r="56" spans="2:31" ht="14.5">
      <c r="B56" s="406">
        <f t="shared" si="4"/>
        <v>11</v>
      </c>
      <c r="C56" s="414" t="str" cm="1">
        <f t="array" aca="1" ref="C56" ca="1">IF(B56&lt;=$C$9,GetGetCDSName(B56),"")</f>
        <v>AXA_MMR.EUR.SU</v>
      </c>
      <c r="D56" s="374">
        <v>0</v>
      </c>
      <c r="E56" s="407">
        <v>1</v>
      </c>
      <c r="F56" s="326">
        <v>0</v>
      </c>
      <c r="G56" s="326">
        <v>0</v>
      </c>
      <c r="H56" s="326">
        <v>0</v>
      </c>
      <c r="I56" s="326">
        <v>0</v>
      </c>
      <c r="J56" s="326">
        <v>0</v>
      </c>
      <c r="K56" s="326"/>
      <c r="L56" s="326"/>
      <c r="M56" s="326"/>
      <c r="N56" s="408"/>
      <c r="O56" s="301"/>
      <c r="P56" s="301"/>
      <c r="Q56" s="301"/>
      <c r="R56" s="301"/>
      <c r="S56" s="301"/>
      <c r="T56" s="301"/>
      <c r="U56" s="301"/>
      <c r="V56" s="301"/>
      <c r="W56" s="301"/>
      <c r="X56" s="301"/>
      <c r="Y56" s="301"/>
      <c r="Z56" s="301"/>
      <c r="AA56" s="301"/>
      <c r="AB56" s="301"/>
      <c r="AC56" s="301"/>
      <c r="AD56" s="301"/>
      <c r="AE56" s="301"/>
    </row>
    <row r="57" spans="2:31" ht="14.5">
      <c r="B57" s="406">
        <f t="shared" si="4"/>
        <v>12</v>
      </c>
      <c r="C57" s="414" t="str" cm="1">
        <f t="array" aca="1" ref="C57" ca="1">IF(B57&lt;=$C$9,GetGetCDSName(B57),"")</f>
        <v>BANCOESPIRITOSANTO_MMR.EUR.SU</v>
      </c>
      <c r="D57" s="374">
        <v>0</v>
      </c>
      <c r="E57" s="407">
        <v>0</v>
      </c>
      <c r="F57" s="326">
        <v>1</v>
      </c>
      <c r="G57" s="326">
        <v>0</v>
      </c>
      <c r="H57" s="326">
        <v>0</v>
      </c>
      <c r="I57" s="326">
        <v>0</v>
      </c>
      <c r="J57" s="326">
        <v>0</v>
      </c>
      <c r="K57" s="326"/>
      <c r="L57" s="326"/>
      <c r="M57" s="326"/>
      <c r="N57" s="408"/>
      <c r="O57" s="301"/>
      <c r="P57" s="301"/>
      <c r="Q57" s="301"/>
      <c r="R57" s="301"/>
      <c r="S57" s="301"/>
      <c r="T57" s="301"/>
      <c r="U57" s="301"/>
      <c r="V57" s="301"/>
      <c r="W57" s="301"/>
      <c r="X57" s="301"/>
      <c r="Y57" s="301"/>
      <c r="Z57" s="301"/>
      <c r="AA57" s="301"/>
      <c r="AB57" s="301"/>
      <c r="AC57" s="301"/>
      <c r="AD57" s="301"/>
      <c r="AE57" s="301"/>
    </row>
    <row r="58" spans="2:31" ht="14.5">
      <c r="B58" s="406">
        <f t="shared" si="4"/>
        <v>13</v>
      </c>
      <c r="C58" s="414" t="str" cm="1">
        <f t="array" aca="1" ref="C58" ca="1">IF(B58&lt;=$C$9,GetGetCDSName(B58),"")</f>
        <v>BARCLAYS_MMR.EUR.SU</v>
      </c>
      <c r="D58" s="374">
        <v>0</v>
      </c>
      <c r="E58" s="407">
        <v>0</v>
      </c>
      <c r="F58" s="326">
        <v>0</v>
      </c>
      <c r="G58" s="326">
        <v>0</v>
      </c>
      <c r="H58" s="326">
        <v>1</v>
      </c>
      <c r="I58" s="326">
        <v>0</v>
      </c>
      <c r="J58" s="326">
        <v>0</v>
      </c>
      <c r="K58" s="326"/>
      <c r="L58" s="326"/>
      <c r="M58" s="326"/>
      <c r="N58" s="408"/>
      <c r="O58" s="301"/>
      <c r="P58" s="301"/>
      <c r="Q58" s="301"/>
      <c r="R58" s="301"/>
      <c r="S58" s="301"/>
      <c r="T58" s="301"/>
      <c r="U58" s="301"/>
      <c r="V58" s="301"/>
      <c r="W58" s="301"/>
      <c r="X58" s="301"/>
      <c r="Y58" s="301"/>
      <c r="Z58" s="301"/>
      <c r="AA58" s="301"/>
      <c r="AB58" s="301"/>
      <c r="AC58" s="301"/>
      <c r="AD58" s="301"/>
      <c r="AE58" s="301"/>
    </row>
    <row r="59" spans="2:31" ht="14.5">
      <c r="B59" s="406">
        <f t="shared" si="4"/>
        <v>14</v>
      </c>
      <c r="C59" s="414" t="str" cm="1">
        <f t="array" aca="1" ref="C59" ca="1">IF(B59&lt;=$C$9,GetGetCDSName(B59),"")</f>
        <v>BASF_MMR.EUR.SU</v>
      </c>
      <c r="D59" s="374">
        <v>0</v>
      </c>
      <c r="E59" s="407">
        <v>0</v>
      </c>
      <c r="F59" s="326">
        <v>0</v>
      </c>
      <c r="G59" s="326">
        <v>0</v>
      </c>
      <c r="H59" s="326">
        <v>1</v>
      </c>
      <c r="I59" s="326">
        <v>1</v>
      </c>
      <c r="J59" s="326">
        <v>0</v>
      </c>
      <c r="K59" s="326"/>
      <c r="L59" s="326"/>
      <c r="M59" s="326"/>
      <c r="N59" s="408"/>
      <c r="O59" s="301"/>
      <c r="P59" s="301"/>
      <c r="Q59" s="301"/>
      <c r="R59" s="301"/>
      <c r="S59" s="301"/>
      <c r="T59" s="301"/>
      <c r="U59" s="301"/>
      <c r="V59" s="301"/>
      <c r="W59" s="301"/>
      <c r="X59" s="301"/>
      <c r="Y59" s="301"/>
      <c r="Z59" s="301"/>
      <c r="AA59" s="301"/>
      <c r="AB59" s="301"/>
      <c r="AC59" s="301"/>
      <c r="AD59" s="301"/>
      <c r="AE59" s="301"/>
    </row>
    <row r="60" spans="2:31" ht="14.5">
      <c r="B60" s="406">
        <f t="shared" si="4"/>
        <v>15</v>
      </c>
      <c r="C60" s="414" t="str" cm="1">
        <f t="array" aca="1" ref="C60" ca="1">IF(B60&lt;=$C$9,GetGetCDSName(B60),"")</f>
        <v>BAT_MMR.EUR.SU</v>
      </c>
      <c r="D60" s="374">
        <v>0</v>
      </c>
      <c r="E60" s="407">
        <v>1</v>
      </c>
      <c r="F60" s="326">
        <v>0</v>
      </c>
      <c r="G60" s="326">
        <v>0</v>
      </c>
      <c r="H60" s="326">
        <v>1</v>
      </c>
      <c r="I60" s="326">
        <v>1</v>
      </c>
      <c r="J60" s="326">
        <v>0</v>
      </c>
      <c r="K60" s="326"/>
      <c r="L60" s="326"/>
      <c r="M60" s="326"/>
      <c r="N60" s="408"/>
      <c r="O60" s="301"/>
      <c r="P60" s="301"/>
      <c r="Q60" s="301"/>
      <c r="R60" s="301"/>
      <c r="S60" s="301"/>
      <c r="T60" s="301"/>
      <c r="U60" s="301"/>
      <c r="V60" s="301"/>
      <c r="W60" s="301"/>
      <c r="X60" s="301"/>
      <c r="Y60" s="301"/>
      <c r="Z60" s="301"/>
      <c r="AA60" s="301"/>
      <c r="AB60" s="301"/>
      <c r="AC60" s="301"/>
      <c r="AD60" s="301"/>
      <c r="AE60" s="301"/>
    </row>
    <row r="61" spans="2:31" ht="14.5">
      <c r="B61" s="406">
        <f t="shared" si="4"/>
        <v>16</v>
      </c>
      <c r="C61" s="414" t="str" cm="1">
        <f t="array" aca="1" ref="C61" ca="1">IF(B61&lt;=$C$9,GetGetCDSName(B61),"")</f>
        <v>BAYER_MMR.EUR.SU</v>
      </c>
      <c r="D61" s="374">
        <v>0</v>
      </c>
      <c r="E61" s="407">
        <v>0</v>
      </c>
      <c r="F61" s="326">
        <v>0</v>
      </c>
      <c r="G61" s="326">
        <v>0</v>
      </c>
      <c r="H61" s="326">
        <v>0</v>
      </c>
      <c r="I61" s="326">
        <v>1</v>
      </c>
      <c r="J61" s="326">
        <v>0</v>
      </c>
      <c r="K61" s="326"/>
      <c r="L61" s="326"/>
      <c r="M61" s="326"/>
      <c r="N61" s="408"/>
      <c r="O61" s="301"/>
      <c r="P61" s="301"/>
      <c r="Q61" s="301"/>
      <c r="R61" s="301"/>
      <c r="S61" s="301"/>
      <c r="T61" s="301"/>
      <c r="U61" s="301"/>
      <c r="V61" s="301"/>
      <c r="W61" s="301"/>
      <c r="X61" s="301"/>
      <c r="Y61" s="301"/>
      <c r="Z61" s="301"/>
      <c r="AA61" s="301"/>
      <c r="AB61" s="301"/>
      <c r="AC61" s="301"/>
      <c r="AD61" s="301"/>
      <c r="AE61" s="301"/>
    </row>
    <row r="62" spans="2:31" ht="14.5">
      <c r="B62" s="406">
        <f t="shared" si="4"/>
        <v>17</v>
      </c>
      <c r="C62" s="414" t="str" cm="1">
        <f t="array" aca="1" ref="C62" ca="1">IF(B62&lt;=$C$9,GetGetCDSName(B62),"")</f>
        <v>BBVA_MMR.EUR.SU</v>
      </c>
      <c r="D62" s="374">
        <v>0</v>
      </c>
      <c r="E62" s="407">
        <v>1</v>
      </c>
      <c r="F62" s="326">
        <v>0</v>
      </c>
      <c r="G62" s="326">
        <v>0</v>
      </c>
      <c r="H62" s="326">
        <v>0</v>
      </c>
      <c r="I62" s="326">
        <v>0</v>
      </c>
      <c r="J62" s="326">
        <v>0</v>
      </c>
      <c r="K62" s="326"/>
      <c r="L62" s="326"/>
      <c r="M62" s="326"/>
      <c r="N62" s="408"/>
      <c r="O62" s="301"/>
      <c r="P62" s="301"/>
      <c r="Q62" s="301"/>
      <c r="R62" s="301"/>
      <c r="S62" s="301"/>
      <c r="T62" s="301"/>
      <c r="U62" s="301"/>
      <c r="V62" s="301"/>
      <c r="W62" s="301"/>
      <c r="X62" s="301"/>
      <c r="Y62" s="301"/>
      <c r="Z62" s="301"/>
      <c r="AA62" s="301"/>
      <c r="AB62" s="301"/>
      <c r="AC62" s="301"/>
      <c r="AD62" s="301"/>
      <c r="AE62" s="301"/>
    </row>
    <row r="63" spans="2:31" ht="14.5">
      <c r="B63" s="406">
        <f t="shared" si="4"/>
        <v>18</v>
      </c>
      <c r="C63" s="414" t="str" cm="1">
        <f t="array" aca="1" ref="C63" ca="1">IF(B63&lt;=$C$9,GetGetCDSName(B63),"")</f>
        <v>BERTELSMANNAG_MMR.EUR.SU</v>
      </c>
      <c r="D63" s="374">
        <v>0</v>
      </c>
      <c r="E63" s="407">
        <v>0</v>
      </c>
      <c r="F63" s="326">
        <v>1</v>
      </c>
      <c r="G63" s="326">
        <v>0</v>
      </c>
      <c r="H63" s="326">
        <v>0</v>
      </c>
      <c r="I63" s="326">
        <v>0</v>
      </c>
      <c r="J63" s="326">
        <v>0</v>
      </c>
      <c r="K63" s="326"/>
      <c r="L63" s="326"/>
      <c r="M63" s="326"/>
      <c r="N63" s="408"/>
      <c r="O63" s="301"/>
      <c r="P63" s="301"/>
      <c r="Q63" s="301"/>
      <c r="R63" s="301"/>
      <c r="S63" s="301"/>
      <c r="T63" s="301"/>
      <c r="U63" s="301"/>
      <c r="V63" s="301"/>
      <c r="W63" s="301"/>
      <c r="X63" s="301"/>
      <c r="Y63" s="301"/>
      <c r="Z63" s="301"/>
      <c r="AA63" s="301"/>
      <c r="AB63" s="301"/>
      <c r="AC63" s="301"/>
      <c r="AD63" s="301"/>
      <c r="AE63" s="301"/>
    </row>
    <row r="64" spans="2:31" ht="14.5">
      <c r="B64" s="406">
        <f t="shared" si="4"/>
        <v>19</v>
      </c>
      <c r="C64" s="414" t="str" cm="1">
        <f t="array" aca="1" ref="C64" ca="1">IF(B64&lt;=$C$9,GetGetCDSName(B64),"")</f>
        <v>BMW_MMR.EUR.SU</v>
      </c>
      <c r="D64" s="374">
        <v>0</v>
      </c>
      <c r="E64" s="407">
        <v>0</v>
      </c>
      <c r="F64" s="326">
        <v>0</v>
      </c>
      <c r="G64" s="326">
        <v>1</v>
      </c>
      <c r="H64" s="326">
        <v>0</v>
      </c>
      <c r="I64" s="326">
        <v>0</v>
      </c>
      <c r="J64" s="326">
        <v>0</v>
      </c>
      <c r="K64" s="326"/>
      <c r="L64" s="326"/>
      <c r="M64" s="326"/>
      <c r="N64" s="408"/>
      <c r="O64" s="301"/>
      <c r="P64" s="301"/>
      <c r="Q64" s="301"/>
      <c r="R64" s="301"/>
      <c r="S64" s="301"/>
      <c r="T64" s="301"/>
      <c r="U64" s="301"/>
      <c r="V64" s="301"/>
      <c r="W64" s="301"/>
      <c r="X64" s="301"/>
      <c r="Y64" s="301"/>
      <c r="Z64" s="301"/>
      <c r="AA64" s="301"/>
      <c r="AB64" s="301"/>
      <c r="AC64" s="301"/>
      <c r="AD64" s="301"/>
      <c r="AE64" s="301"/>
    </row>
    <row r="65" spans="2:31" ht="14.5">
      <c r="B65" s="406">
        <f t="shared" si="4"/>
        <v>20</v>
      </c>
      <c r="C65" s="414" t="str" cm="1">
        <f t="array" aca="1" ref="C65" ca="1">IF(B65&lt;=$C$9,GetGetCDSName(B65),"")</f>
        <v>BNPPARIBAS_MMR.EUR.SU</v>
      </c>
      <c r="D65" s="374">
        <v>0</v>
      </c>
      <c r="E65" s="407">
        <v>1</v>
      </c>
      <c r="F65" s="326">
        <v>0</v>
      </c>
      <c r="G65" s="326">
        <v>1</v>
      </c>
      <c r="H65" s="326">
        <v>1</v>
      </c>
      <c r="I65" s="326">
        <v>0</v>
      </c>
      <c r="J65" s="326">
        <v>0</v>
      </c>
      <c r="K65" s="326"/>
      <c r="L65" s="326"/>
      <c r="M65" s="326"/>
      <c r="N65" s="408"/>
      <c r="O65" s="301"/>
      <c r="P65" s="301"/>
      <c r="Q65" s="301"/>
      <c r="R65" s="301"/>
      <c r="S65" s="301"/>
      <c r="T65" s="301"/>
      <c r="U65" s="301"/>
      <c r="V65" s="301"/>
      <c r="W65" s="301"/>
      <c r="X65" s="301"/>
      <c r="Y65" s="301"/>
      <c r="Z65" s="301"/>
      <c r="AA65" s="301"/>
      <c r="AB65" s="301"/>
      <c r="AC65" s="301"/>
      <c r="AD65" s="301"/>
      <c r="AE65" s="301"/>
    </row>
    <row r="66" spans="2:31" ht="14.5">
      <c r="B66" s="406">
        <f t="shared" si="4"/>
        <v>21</v>
      </c>
      <c r="C66" s="414" t="str" cm="1">
        <f t="array" aca="1" ref="C66" ca="1">IF(B66&lt;=$C$9,GetGetCDSName(B66),"")</f>
        <v>BRITISHTELECOM_MMR.EUR.SU</v>
      </c>
      <c r="D66" s="374">
        <v>0</v>
      </c>
      <c r="E66" s="407">
        <v>0</v>
      </c>
      <c r="F66" s="326">
        <v>1</v>
      </c>
      <c r="G66" s="326">
        <v>1</v>
      </c>
      <c r="H66" s="326">
        <v>0</v>
      </c>
      <c r="I66" s="326">
        <v>0</v>
      </c>
      <c r="J66" s="326">
        <v>1</v>
      </c>
      <c r="K66" s="326"/>
      <c r="L66" s="326"/>
      <c r="M66" s="326"/>
      <c r="N66" s="408"/>
      <c r="O66" s="301"/>
      <c r="P66" s="301"/>
      <c r="Q66" s="301"/>
      <c r="R66" s="301"/>
      <c r="S66" s="301"/>
      <c r="T66" s="301"/>
      <c r="U66" s="301"/>
      <c r="V66" s="301"/>
      <c r="W66" s="301"/>
      <c r="X66" s="301"/>
      <c r="Y66" s="301"/>
      <c r="Z66" s="301"/>
      <c r="AA66" s="301"/>
      <c r="AB66" s="301"/>
      <c r="AC66" s="301"/>
      <c r="AD66" s="301"/>
      <c r="AE66" s="301"/>
    </row>
    <row r="67" spans="2:31" ht="14.5">
      <c r="B67" s="406">
        <f t="shared" si="4"/>
        <v>22</v>
      </c>
      <c r="C67" s="414" t="str" cm="1">
        <f t="array" aca="1" ref="C67" ca="1">IF(B67&lt;=$C$9,GetGetCDSName(B67),"")</f>
        <v>BSCH_MMR.EUR.SU</v>
      </c>
      <c r="D67" s="374">
        <v>0</v>
      </c>
      <c r="E67" s="407">
        <v>0</v>
      </c>
      <c r="F67" s="326">
        <v>0</v>
      </c>
      <c r="G67" s="326">
        <v>1</v>
      </c>
      <c r="H67" s="326">
        <v>0</v>
      </c>
      <c r="I67" s="326">
        <v>0</v>
      </c>
      <c r="J67" s="326">
        <v>1</v>
      </c>
      <c r="K67" s="326"/>
      <c r="L67" s="326"/>
      <c r="M67" s="326"/>
      <c r="N67" s="408"/>
      <c r="O67" s="301"/>
      <c r="P67" s="301"/>
      <c r="Q67" s="301"/>
      <c r="R67" s="301"/>
      <c r="S67" s="301"/>
      <c r="T67" s="301"/>
      <c r="U67" s="301"/>
      <c r="V67" s="301"/>
      <c r="W67" s="301"/>
      <c r="X67" s="301"/>
      <c r="Y67" s="301"/>
      <c r="Z67" s="301"/>
      <c r="AA67" s="301"/>
      <c r="AB67" s="301"/>
      <c r="AC67" s="301"/>
      <c r="AD67" s="301"/>
      <c r="AE67" s="301"/>
    </row>
    <row r="68" spans="2:31" ht="14.5">
      <c r="B68" s="406">
        <f t="shared" si="4"/>
        <v>23</v>
      </c>
      <c r="C68" s="414" t="str" cm="1">
        <f t="array" aca="1" ref="C68" ca="1">IF(B68&lt;=$C$9,GetGetCDSName(B68),"")</f>
        <v>CADBURYSCHWEPPES_MMR.EUR.SU</v>
      </c>
      <c r="D68" s="374">
        <v>0</v>
      </c>
      <c r="E68" s="407">
        <v>0</v>
      </c>
      <c r="F68" s="326">
        <v>0</v>
      </c>
      <c r="G68" s="326">
        <v>0</v>
      </c>
      <c r="H68" s="326">
        <v>0</v>
      </c>
      <c r="I68" s="326">
        <v>0</v>
      </c>
      <c r="J68" s="326">
        <v>1</v>
      </c>
      <c r="K68" s="326"/>
      <c r="L68" s="326"/>
      <c r="M68" s="326"/>
      <c r="N68" s="408"/>
      <c r="O68" s="301"/>
      <c r="P68" s="301"/>
      <c r="Q68" s="301"/>
      <c r="R68" s="301"/>
      <c r="S68" s="301"/>
      <c r="T68" s="301"/>
      <c r="U68" s="301"/>
      <c r="V68" s="301"/>
      <c r="W68" s="301"/>
      <c r="X68" s="301"/>
      <c r="Y68" s="301"/>
      <c r="Z68" s="301"/>
      <c r="AA68" s="301"/>
      <c r="AB68" s="301"/>
      <c r="AC68" s="301"/>
      <c r="AD68" s="301"/>
      <c r="AE68" s="301"/>
    </row>
    <row r="69" spans="2:31" ht="14.5">
      <c r="B69" s="406">
        <f t="shared" si="4"/>
        <v>24</v>
      </c>
      <c r="C69" s="414" t="str" cm="1">
        <f t="array" aca="1" ref="C69" ca="1">IF(B69&lt;=$C$9,GetGetCDSName(B69),"")</f>
        <v>CAPITALIA_MMR.EUR.SU</v>
      </c>
      <c r="D69" s="374">
        <v>0</v>
      </c>
      <c r="E69" s="407">
        <v>0</v>
      </c>
      <c r="F69" s="326">
        <v>1</v>
      </c>
      <c r="G69" s="326">
        <v>1</v>
      </c>
      <c r="H69" s="326">
        <v>0</v>
      </c>
      <c r="I69" s="326">
        <v>0</v>
      </c>
      <c r="J69" s="326">
        <v>0</v>
      </c>
      <c r="K69" s="326"/>
      <c r="L69" s="326"/>
      <c r="M69" s="326"/>
      <c r="N69" s="408"/>
      <c r="O69" s="301"/>
      <c r="P69" s="301"/>
      <c r="Q69" s="301"/>
      <c r="R69" s="301"/>
      <c r="S69" s="301"/>
      <c r="T69" s="301"/>
      <c r="U69" s="301"/>
      <c r="V69" s="301"/>
      <c r="W69" s="301"/>
      <c r="X69" s="301"/>
      <c r="Y69" s="301"/>
      <c r="Z69" s="301"/>
      <c r="AA69" s="301"/>
      <c r="AB69" s="301"/>
      <c r="AC69" s="301"/>
      <c r="AD69" s="301"/>
      <c r="AE69" s="301"/>
    </row>
    <row r="70" spans="2:31" ht="14.5">
      <c r="B70" s="406">
        <f t="shared" si="4"/>
        <v>25</v>
      </c>
      <c r="C70" s="414" t="str" cm="1">
        <f t="array" aca="1" ref="C70" ca="1">IF(B70&lt;=$C$9,GetGetCDSName(B70),"")</f>
        <v>CARREFOUR_MMR.EUR.SU</v>
      </c>
      <c r="D70" s="374">
        <v>0</v>
      </c>
      <c r="E70" s="407">
        <v>0</v>
      </c>
      <c r="F70" s="326">
        <v>0</v>
      </c>
      <c r="G70" s="326">
        <v>0</v>
      </c>
      <c r="H70" s="326">
        <v>0</v>
      </c>
      <c r="I70" s="326">
        <v>1</v>
      </c>
      <c r="J70" s="326">
        <v>0</v>
      </c>
      <c r="K70" s="326"/>
      <c r="L70" s="326"/>
      <c r="M70" s="326"/>
      <c r="N70" s="408"/>
      <c r="O70" s="301"/>
      <c r="P70" s="301"/>
      <c r="Q70" s="301"/>
      <c r="R70" s="301"/>
      <c r="S70" s="301"/>
      <c r="T70" s="301"/>
      <c r="U70" s="301"/>
      <c r="V70" s="301"/>
      <c r="W70" s="301"/>
      <c r="X70" s="301"/>
      <c r="Y70" s="301"/>
      <c r="Z70" s="301"/>
      <c r="AA70" s="301"/>
      <c r="AB70" s="301"/>
      <c r="AC70" s="301"/>
      <c r="AD70" s="301"/>
      <c r="AE70" s="301"/>
    </row>
    <row r="71" spans="2:31" ht="14.5">
      <c r="B71" s="406">
        <f t="shared" si="4"/>
        <v>26</v>
      </c>
      <c r="C71" s="414" t="str" cm="1">
        <f t="array" aca="1" ref="C71" ca="1">IF(B71&lt;=$C$9,GetGetCDSName(B71),"")</f>
        <v>CASINOGUICHARD_MMR.EUR.SU</v>
      </c>
      <c r="D71" s="374">
        <v>0</v>
      </c>
      <c r="E71" s="407">
        <v>1</v>
      </c>
      <c r="F71" s="326">
        <v>0</v>
      </c>
      <c r="G71" s="326">
        <v>0</v>
      </c>
      <c r="H71" s="326">
        <v>0</v>
      </c>
      <c r="I71" s="326">
        <v>1</v>
      </c>
      <c r="J71" s="326">
        <v>1</v>
      </c>
      <c r="K71" s="326"/>
      <c r="L71" s="326"/>
      <c r="M71" s="326"/>
      <c r="N71" s="408"/>
      <c r="O71" s="301"/>
      <c r="P71" s="301"/>
      <c r="Q71" s="301"/>
      <c r="R71" s="301"/>
      <c r="S71" s="301"/>
      <c r="T71" s="301"/>
      <c r="U71" s="301"/>
      <c r="V71" s="301"/>
      <c r="W71" s="301"/>
      <c r="X71" s="301"/>
      <c r="Y71" s="301"/>
      <c r="Z71" s="301"/>
      <c r="AA71" s="301"/>
      <c r="AB71" s="301"/>
      <c r="AC71" s="301"/>
      <c r="AD71" s="301"/>
      <c r="AE71" s="301"/>
    </row>
    <row r="72" spans="2:31" ht="14.5">
      <c r="B72" s="406">
        <f t="shared" si="4"/>
        <v>27</v>
      </c>
      <c r="C72" s="414" t="str" cm="1">
        <f t="array" aca="1" ref="C72" ca="1">IF(B72&lt;=$C$9,GetGetCDSName(B72),"")</f>
        <v>CENTRICA_MMR.EUR.SU</v>
      </c>
      <c r="D72" s="374">
        <v>0</v>
      </c>
      <c r="E72" s="407">
        <v>0</v>
      </c>
      <c r="F72" s="326">
        <v>1</v>
      </c>
      <c r="G72" s="326">
        <v>0</v>
      </c>
      <c r="H72" s="326">
        <v>1</v>
      </c>
      <c r="I72" s="326">
        <v>0</v>
      </c>
      <c r="J72" s="326">
        <v>0</v>
      </c>
      <c r="K72" s="326"/>
      <c r="L72" s="326"/>
      <c r="M72" s="326"/>
      <c r="N72" s="408"/>
      <c r="O72" s="301"/>
      <c r="P72" s="301"/>
      <c r="Q72" s="301"/>
      <c r="R72" s="301"/>
      <c r="S72" s="301"/>
      <c r="T72" s="301"/>
      <c r="U72" s="301"/>
      <c r="V72" s="301"/>
      <c r="W72" s="301"/>
      <c r="X72" s="301"/>
      <c r="Y72" s="301"/>
      <c r="Z72" s="301"/>
      <c r="AA72" s="301"/>
      <c r="AB72" s="301"/>
      <c r="AC72" s="301"/>
      <c r="AD72" s="301"/>
      <c r="AE72" s="301"/>
    </row>
    <row r="73" spans="2:31" ht="14.5">
      <c r="B73" s="406">
        <f t="shared" si="4"/>
        <v>28</v>
      </c>
      <c r="C73" s="414" t="str" cm="1">
        <f t="array" aca="1" ref="C73" ca="1">IF(B73&lt;=$C$9,GetGetCDSName(B73),"")</f>
        <v>CIBASC_MMR.EUR.SU</v>
      </c>
      <c r="D73" s="374">
        <v>0</v>
      </c>
      <c r="E73" s="407">
        <v>1</v>
      </c>
      <c r="F73" s="326">
        <v>0</v>
      </c>
      <c r="G73" s="326">
        <v>0</v>
      </c>
      <c r="H73" s="326">
        <v>0</v>
      </c>
      <c r="I73" s="326">
        <v>0</v>
      </c>
      <c r="J73" s="326">
        <v>1</v>
      </c>
      <c r="K73" s="326"/>
      <c r="L73" s="326"/>
      <c r="M73" s="326"/>
      <c r="N73" s="408"/>
      <c r="O73" s="301"/>
      <c r="P73" s="301"/>
      <c r="Q73" s="301"/>
      <c r="R73" s="301"/>
      <c r="S73" s="301"/>
      <c r="T73" s="301"/>
      <c r="U73" s="301"/>
      <c r="V73" s="301"/>
      <c r="W73" s="301"/>
      <c r="X73" s="301"/>
      <c r="Y73" s="301"/>
      <c r="Z73" s="301"/>
      <c r="AA73" s="301"/>
      <c r="AB73" s="301"/>
      <c r="AC73" s="301"/>
      <c r="AD73" s="301"/>
      <c r="AE73" s="301"/>
    </row>
    <row r="74" spans="2:31" ht="14.5">
      <c r="B74" s="406">
        <f t="shared" si="4"/>
        <v>29</v>
      </c>
      <c r="C74" s="414" t="str" cm="1">
        <f t="array" aca="1" ref="C74" ca="1">IF(B74&lt;=$C$9,GetGetCDSName(B74),"")</f>
        <v>COMMERZBANK_MMR.EUR.SU</v>
      </c>
      <c r="D74" s="374">
        <v>0</v>
      </c>
      <c r="E74" s="407">
        <v>1</v>
      </c>
      <c r="F74" s="326">
        <v>0</v>
      </c>
      <c r="G74" s="326">
        <v>0</v>
      </c>
      <c r="H74" s="326">
        <v>0</v>
      </c>
      <c r="I74" s="326">
        <v>0</v>
      </c>
      <c r="J74" s="326">
        <v>0</v>
      </c>
      <c r="K74" s="326"/>
      <c r="L74" s="326"/>
      <c r="M74" s="326"/>
      <c r="N74" s="408"/>
      <c r="O74" s="301"/>
      <c r="P74" s="301"/>
      <c r="Q74" s="301"/>
      <c r="R74" s="301"/>
      <c r="S74" s="301"/>
      <c r="T74" s="301"/>
      <c r="U74" s="301"/>
      <c r="V74" s="301"/>
      <c r="W74" s="301"/>
      <c r="X74" s="301"/>
      <c r="Y74" s="301"/>
      <c r="Z74" s="301"/>
      <c r="AA74" s="301"/>
      <c r="AB74" s="301"/>
      <c r="AC74" s="301"/>
      <c r="AD74" s="301"/>
      <c r="AE74" s="301"/>
    </row>
    <row r="75" spans="2:31" ht="14.5">
      <c r="B75" s="406">
        <f t="shared" si="4"/>
        <v>30</v>
      </c>
      <c r="C75" s="414" t="str" cm="1">
        <f t="array" aca="1" ref="C75" ca="1">IF(B75&lt;=$C$9,GetGetCDSName(B75),"")</f>
        <v>COMPASS_MMR.EUR.SU</v>
      </c>
      <c r="D75" s="374">
        <v>0</v>
      </c>
      <c r="E75" s="407">
        <v>0</v>
      </c>
      <c r="F75" s="326">
        <v>1</v>
      </c>
      <c r="G75" s="326">
        <v>0</v>
      </c>
      <c r="H75" s="326">
        <v>0</v>
      </c>
      <c r="I75" s="326">
        <v>1</v>
      </c>
      <c r="J75" s="326">
        <v>1</v>
      </c>
      <c r="K75" s="326"/>
      <c r="L75" s="326"/>
      <c r="M75" s="326"/>
      <c r="N75" s="408"/>
      <c r="O75" s="301"/>
      <c r="P75" s="301"/>
      <c r="Q75" s="301"/>
      <c r="R75" s="301"/>
      <c r="S75" s="301"/>
      <c r="T75" s="301"/>
      <c r="U75" s="301"/>
      <c r="V75" s="301"/>
      <c r="W75" s="301"/>
      <c r="X75" s="301"/>
      <c r="Y75" s="301"/>
      <c r="Z75" s="301"/>
      <c r="AA75" s="301"/>
      <c r="AB75" s="301"/>
      <c r="AC75" s="301"/>
      <c r="AD75" s="301"/>
      <c r="AE75" s="301"/>
    </row>
    <row r="76" spans="2:31" ht="14.5">
      <c r="B76" s="406">
        <f t="shared" si="4"/>
        <v>31</v>
      </c>
      <c r="C76" s="414" t="str" cm="1">
        <f t="array" aca="1" ref="C76" ca="1">IF(B76&lt;=$C$9,GetGetCDSName(B76),"")</f>
        <v>CONTINENTAL_MMR.EUR.SU</v>
      </c>
      <c r="D76" s="374">
        <v>0</v>
      </c>
      <c r="E76" s="407">
        <v>0</v>
      </c>
      <c r="F76" s="326">
        <v>0</v>
      </c>
      <c r="G76" s="326">
        <v>1</v>
      </c>
      <c r="H76" s="326">
        <v>1</v>
      </c>
      <c r="I76" s="326">
        <v>0</v>
      </c>
      <c r="J76" s="326">
        <v>1</v>
      </c>
      <c r="K76" s="326"/>
      <c r="L76" s="326"/>
      <c r="M76" s="326"/>
      <c r="N76" s="408"/>
      <c r="O76" s="301"/>
      <c r="P76" s="301"/>
      <c r="Q76" s="301"/>
      <c r="R76" s="301"/>
      <c r="S76" s="301"/>
      <c r="T76" s="301"/>
      <c r="U76" s="301"/>
      <c r="V76" s="301"/>
      <c r="W76" s="301"/>
      <c r="X76" s="301"/>
      <c r="Y76" s="301"/>
      <c r="Z76" s="301"/>
      <c r="AA76" s="301"/>
      <c r="AB76" s="301"/>
      <c r="AC76" s="301"/>
      <c r="AD76" s="301"/>
      <c r="AE76" s="301"/>
    </row>
    <row r="77" spans="2:31" ht="14.5">
      <c r="B77" s="406">
        <f t="shared" si="4"/>
        <v>32</v>
      </c>
      <c r="C77" s="414" t="str" cm="1">
        <f t="array" aca="1" ref="C77" ca="1">IF(B77&lt;=$C$9,GetGetCDSName(B77),"")</f>
        <v>CREDITAGRICOLE_MMR.EUR.SU</v>
      </c>
      <c r="D77" s="374">
        <v>0</v>
      </c>
      <c r="E77" s="407">
        <v>0</v>
      </c>
      <c r="F77" s="326">
        <v>0</v>
      </c>
      <c r="G77" s="326">
        <v>1</v>
      </c>
      <c r="H77" s="326">
        <v>0</v>
      </c>
      <c r="I77" s="326">
        <v>0</v>
      </c>
      <c r="J77" s="326">
        <v>1</v>
      </c>
      <c r="K77" s="326"/>
      <c r="L77" s="326"/>
      <c r="M77" s="326"/>
      <c r="N77" s="408"/>
      <c r="O77" s="301"/>
      <c r="P77" s="301"/>
      <c r="Q77" s="301"/>
      <c r="R77" s="301"/>
      <c r="S77" s="301"/>
      <c r="T77" s="301"/>
      <c r="U77" s="301"/>
      <c r="V77" s="301"/>
      <c r="W77" s="301"/>
      <c r="X77" s="301"/>
      <c r="Y77" s="301"/>
      <c r="Z77" s="301"/>
      <c r="AA77" s="301"/>
      <c r="AB77" s="301"/>
      <c r="AC77" s="301"/>
      <c r="AD77" s="301"/>
      <c r="AE77" s="301"/>
    </row>
    <row r="78" spans="2:31" ht="14.5">
      <c r="B78" s="406">
        <f t="shared" si="4"/>
        <v>33</v>
      </c>
      <c r="C78" s="414" t="str" cm="1">
        <f t="array" aca="1" ref="C78" ca="1">IF(B78&lt;=$C$9,GetGetCDSName(B78),"")</f>
        <v>CREDITSUISSEGROUP_MMR.EUR.SU</v>
      </c>
      <c r="D78" s="374">
        <v>0</v>
      </c>
      <c r="E78" s="407">
        <v>1</v>
      </c>
      <c r="F78" s="326">
        <v>0</v>
      </c>
      <c r="G78" s="326">
        <v>0</v>
      </c>
      <c r="H78" s="326">
        <v>1</v>
      </c>
      <c r="I78" s="326">
        <v>0</v>
      </c>
      <c r="J78" s="326">
        <v>0</v>
      </c>
      <c r="K78" s="326"/>
      <c r="L78" s="326"/>
      <c r="M78" s="326"/>
      <c r="N78" s="408"/>
      <c r="O78" s="301"/>
      <c r="P78" s="301"/>
      <c r="Q78" s="301"/>
      <c r="R78" s="301"/>
      <c r="S78" s="301"/>
      <c r="T78" s="301"/>
      <c r="U78" s="301"/>
      <c r="V78" s="301"/>
      <c r="W78" s="301"/>
      <c r="X78" s="301"/>
      <c r="Y78" s="301"/>
      <c r="Z78" s="301"/>
      <c r="AA78" s="301"/>
      <c r="AB78" s="301"/>
      <c r="AC78" s="301"/>
      <c r="AD78" s="301"/>
      <c r="AE78" s="301"/>
    </row>
    <row r="79" spans="2:31" ht="14.5">
      <c r="B79" s="406">
        <f t="shared" si="4"/>
        <v>34</v>
      </c>
      <c r="C79" s="414" t="str" cm="1">
        <f t="array" aca="1" ref="C79" ca="1">IF(B79&lt;=$C$9,GetGetCDSName(B79),"")</f>
        <v>DAIMLERCHRYSLER_MMR.EUR.SU</v>
      </c>
      <c r="D79" s="374">
        <v>0</v>
      </c>
      <c r="E79" s="407">
        <v>1</v>
      </c>
      <c r="F79" s="326">
        <v>0</v>
      </c>
      <c r="G79" s="326">
        <v>1</v>
      </c>
      <c r="H79" s="326">
        <v>0</v>
      </c>
      <c r="I79" s="326">
        <v>0</v>
      </c>
      <c r="J79" s="326">
        <v>1</v>
      </c>
      <c r="K79" s="326"/>
      <c r="L79" s="326"/>
      <c r="M79" s="326"/>
      <c r="N79" s="408"/>
      <c r="O79" s="301"/>
      <c r="P79" s="301"/>
      <c r="Q79" s="301"/>
      <c r="R79" s="301"/>
      <c r="S79" s="301"/>
      <c r="T79" s="301"/>
      <c r="U79" s="301"/>
      <c r="V79" s="301"/>
      <c r="W79" s="301"/>
      <c r="X79" s="301"/>
      <c r="Y79" s="301"/>
      <c r="Z79" s="301"/>
      <c r="AA79" s="301"/>
      <c r="AB79" s="301"/>
      <c r="AC79" s="301"/>
      <c r="AD79" s="301"/>
      <c r="AE79" s="301"/>
    </row>
    <row r="80" spans="2:31" ht="14.5">
      <c r="B80" s="406">
        <f t="shared" si="4"/>
        <v>35</v>
      </c>
      <c r="C80" s="414" t="str" cm="1">
        <f t="array" aca="1" ref="C80" ca="1">IF(B80&lt;=$C$9,GetGetCDSName(B80),"")</f>
        <v>DANONE_MMR.EUR.SU</v>
      </c>
      <c r="D80" s="374">
        <v>0</v>
      </c>
      <c r="E80" s="407">
        <v>0</v>
      </c>
      <c r="F80" s="326">
        <v>1</v>
      </c>
      <c r="G80" s="326">
        <v>1</v>
      </c>
      <c r="H80" s="326">
        <v>1</v>
      </c>
      <c r="I80" s="326">
        <v>0</v>
      </c>
      <c r="J80" s="326">
        <v>0</v>
      </c>
      <c r="K80" s="326"/>
      <c r="L80" s="326"/>
      <c r="M80" s="326"/>
      <c r="N80" s="408"/>
      <c r="O80" s="301"/>
      <c r="P80" s="301"/>
      <c r="Q80" s="301"/>
      <c r="R80" s="301"/>
      <c r="S80" s="301"/>
      <c r="T80" s="301"/>
      <c r="U80" s="301"/>
      <c r="V80" s="301"/>
      <c r="W80" s="301"/>
      <c r="X80" s="301"/>
      <c r="Y80" s="301"/>
      <c r="Z80" s="301"/>
      <c r="AA80" s="301"/>
      <c r="AB80" s="301"/>
      <c r="AC80" s="301"/>
      <c r="AD80" s="301"/>
      <c r="AE80" s="301"/>
    </row>
    <row r="81" spans="2:31" ht="14.5">
      <c r="B81" s="406">
        <f t="shared" si="4"/>
        <v>36</v>
      </c>
      <c r="C81" s="414" t="str" cm="1">
        <f t="array" aca="1" ref="C81" ca="1">IF(B81&lt;=$C$9,GetGetCDSName(B81),"")</f>
        <v>DEUTSCHEBANK_MMR.EUR.SU</v>
      </c>
      <c r="D81" s="374">
        <v>0</v>
      </c>
      <c r="E81" s="407">
        <v>0</v>
      </c>
      <c r="F81" s="326">
        <v>1</v>
      </c>
      <c r="G81" s="326">
        <v>0</v>
      </c>
      <c r="H81" s="326">
        <v>0</v>
      </c>
      <c r="I81" s="326">
        <v>1</v>
      </c>
      <c r="J81" s="326">
        <v>0</v>
      </c>
      <c r="K81" s="326"/>
      <c r="L81" s="326"/>
      <c r="M81" s="326"/>
      <c r="N81" s="408"/>
      <c r="O81" s="301"/>
      <c r="P81" s="301"/>
      <c r="Q81" s="301"/>
      <c r="R81" s="301"/>
      <c r="S81" s="301"/>
      <c r="T81" s="301"/>
      <c r="U81" s="301"/>
      <c r="V81" s="301"/>
      <c r="W81" s="301"/>
      <c r="X81" s="301"/>
      <c r="Y81" s="301"/>
      <c r="Z81" s="301"/>
      <c r="AA81" s="301"/>
      <c r="AB81" s="301"/>
      <c r="AC81" s="301"/>
      <c r="AD81" s="301"/>
      <c r="AE81" s="301"/>
    </row>
    <row r="82" spans="2:31" ht="14.5">
      <c r="B82" s="406">
        <f t="shared" si="4"/>
        <v>37</v>
      </c>
      <c r="C82" s="414" t="str" cm="1">
        <f t="array" aca="1" ref="C82" ca="1">IF(B82&lt;=$C$9,GetGetCDSName(B82),"")</f>
        <v>DEUTSCHEPOSTAG_MMR.EUR.SU</v>
      </c>
      <c r="D82" s="374">
        <v>0</v>
      </c>
      <c r="E82" s="407">
        <v>0</v>
      </c>
      <c r="F82" s="326">
        <v>0</v>
      </c>
      <c r="G82" s="326">
        <v>1</v>
      </c>
      <c r="H82" s="326">
        <v>0</v>
      </c>
      <c r="I82" s="326">
        <v>1</v>
      </c>
      <c r="J82" s="326">
        <v>0</v>
      </c>
      <c r="K82" s="326"/>
      <c r="L82" s="326"/>
      <c r="M82" s="326"/>
      <c r="N82" s="408"/>
      <c r="O82" s="301"/>
      <c r="P82" s="301"/>
      <c r="Q82" s="301"/>
      <c r="R82" s="301"/>
      <c r="S82" s="301"/>
      <c r="T82" s="301"/>
      <c r="U82" s="301"/>
      <c r="V82" s="301"/>
      <c r="W82" s="301"/>
      <c r="X82" s="301"/>
      <c r="Y82" s="301"/>
      <c r="Z82" s="301"/>
      <c r="AA82" s="301"/>
      <c r="AB82" s="301"/>
      <c r="AC82" s="301"/>
      <c r="AD82" s="301"/>
      <c r="AE82" s="301"/>
    </row>
    <row r="83" spans="2:31" ht="14.5">
      <c r="B83" s="406">
        <f t="shared" si="4"/>
        <v>38</v>
      </c>
      <c r="C83" s="414" t="str" cm="1">
        <f t="array" aca="1" ref="C83" ca="1">IF(B83&lt;=$C$9,GetGetCDSName(B83),"")</f>
        <v>DEUTSCHETELEKOM_MMR.EUR.SU</v>
      </c>
      <c r="D83" s="374">
        <v>0</v>
      </c>
      <c r="E83" s="407">
        <v>0</v>
      </c>
      <c r="F83" s="326">
        <v>1</v>
      </c>
      <c r="G83" s="326">
        <v>0</v>
      </c>
      <c r="H83" s="326">
        <v>0</v>
      </c>
      <c r="I83" s="326">
        <v>0</v>
      </c>
      <c r="J83" s="326">
        <v>1</v>
      </c>
      <c r="K83" s="326"/>
      <c r="L83" s="326"/>
      <c r="M83" s="326"/>
      <c r="N83" s="408"/>
      <c r="O83" s="301"/>
      <c r="P83" s="301"/>
      <c r="Q83" s="301"/>
      <c r="R83" s="301"/>
      <c r="S83" s="301"/>
      <c r="T83" s="301"/>
      <c r="U83" s="301"/>
      <c r="V83" s="301"/>
      <c r="W83" s="301"/>
      <c r="X83" s="301"/>
      <c r="Y83" s="301"/>
      <c r="Z83" s="301"/>
      <c r="AA83" s="301"/>
      <c r="AB83" s="301"/>
      <c r="AC83" s="301"/>
      <c r="AD83" s="301"/>
      <c r="AE83" s="301"/>
    </row>
    <row r="84" spans="2:31" ht="14.5">
      <c r="B84" s="406">
        <f t="shared" si="4"/>
        <v>39</v>
      </c>
      <c r="C84" s="414" t="str" cm="1">
        <f t="array" aca="1" ref="C84" ca="1">IF(B84&lt;=$C$9,GetGetCDSName(B84),"")</f>
        <v>DIAGEO_MMR.EUR.SU</v>
      </c>
      <c r="D84" s="374">
        <v>0</v>
      </c>
      <c r="E84" s="407">
        <v>1</v>
      </c>
      <c r="F84" s="326">
        <v>0</v>
      </c>
      <c r="G84" s="326">
        <v>0</v>
      </c>
      <c r="H84" s="326">
        <v>0</v>
      </c>
      <c r="I84" s="326">
        <v>1</v>
      </c>
      <c r="J84" s="326">
        <v>0</v>
      </c>
      <c r="K84" s="326"/>
      <c r="L84" s="326"/>
      <c r="M84" s="326"/>
      <c r="N84" s="408"/>
      <c r="O84" s="301"/>
      <c r="P84" s="301"/>
      <c r="Q84" s="301"/>
      <c r="R84" s="301"/>
      <c r="S84" s="301"/>
      <c r="T84" s="301"/>
      <c r="U84" s="301"/>
      <c r="V84" s="301"/>
      <c r="W84" s="301"/>
      <c r="X84" s="301"/>
      <c r="Y84" s="301"/>
      <c r="Z84" s="301"/>
      <c r="AA84" s="301"/>
      <c r="AB84" s="301"/>
      <c r="AC84" s="301"/>
      <c r="AD84" s="301"/>
      <c r="AE84" s="301"/>
    </row>
    <row r="85" spans="2:31" ht="14.5">
      <c r="B85" s="406">
        <f t="shared" si="4"/>
        <v>40</v>
      </c>
      <c r="C85" s="414" t="str" cm="1">
        <f t="array" aca="1" ref="C85" ca="1">IF(B85&lt;=$C$9,GetGetCDSName(B85),"")</f>
        <v>DIXONSGROUPPLC_MMR.EUR.SU</v>
      </c>
      <c r="D85" s="374">
        <v>0</v>
      </c>
      <c r="E85" s="407">
        <v>0</v>
      </c>
      <c r="F85" s="326">
        <v>0</v>
      </c>
      <c r="G85" s="326">
        <v>0</v>
      </c>
      <c r="H85" s="326">
        <v>1</v>
      </c>
      <c r="I85" s="326">
        <v>1</v>
      </c>
      <c r="J85" s="326">
        <v>1</v>
      </c>
      <c r="K85" s="326"/>
      <c r="L85" s="326"/>
      <c r="M85" s="326"/>
      <c r="N85" s="408"/>
      <c r="O85" s="301"/>
      <c r="P85" s="301"/>
      <c r="Q85" s="301"/>
      <c r="R85" s="301"/>
      <c r="S85" s="301"/>
      <c r="T85" s="301"/>
      <c r="U85" s="301"/>
      <c r="V85" s="301"/>
      <c r="W85" s="301"/>
      <c r="X85" s="301"/>
      <c r="Y85" s="301"/>
      <c r="Z85" s="301"/>
      <c r="AA85" s="301"/>
      <c r="AB85" s="301"/>
      <c r="AC85" s="301"/>
      <c r="AD85" s="301"/>
      <c r="AE85" s="301"/>
    </row>
    <row r="86" spans="2:31" ht="14.5">
      <c r="B86" s="406">
        <f t="shared" si="4"/>
        <v>41</v>
      </c>
      <c r="C86" s="414" t="str" cm="1">
        <f t="array" aca="1" ref="C86" ca="1">IF(B86&lt;=$C$9,GetGetCDSName(B86),"")</f>
        <v>DSM_MMR.EUR.SU</v>
      </c>
      <c r="D86" s="374">
        <v>0</v>
      </c>
      <c r="E86" s="407">
        <v>0</v>
      </c>
      <c r="F86" s="326">
        <v>0</v>
      </c>
      <c r="G86" s="326">
        <v>0</v>
      </c>
      <c r="H86" s="326">
        <v>1</v>
      </c>
      <c r="I86" s="326">
        <v>0</v>
      </c>
      <c r="J86" s="326">
        <v>1</v>
      </c>
      <c r="K86" s="326"/>
      <c r="L86" s="326"/>
      <c r="M86" s="326"/>
      <c r="N86" s="408"/>
      <c r="O86" s="301"/>
      <c r="P86" s="301"/>
      <c r="Q86" s="301"/>
      <c r="R86" s="301"/>
      <c r="S86" s="301"/>
      <c r="T86" s="301"/>
      <c r="U86" s="301"/>
      <c r="V86" s="301"/>
      <c r="W86" s="301"/>
      <c r="X86" s="301"/>
      <c r="Y86" s="301"/>
      <c r="Z86" s="301"/>
      <c r="AA86" s="301"/>
      <c r="AB86" s="301"/>
      <c r="AC86" s="301"/>
      <c r="AD86" s="301"/>
      <c r="AE86" s="301"/>
    </row>
    <row r="87" spans="2:31" ht="14.5">
      <c r="B87" s="406">
        <f t="shared" si="4"/>
        <v>42</v>
      </c>
      <c r="C87" s="414" t="str" cm="1">
        <f t="array" aca="1" ref="C87" ca="1">IF(B87&lt;=$C$9,GetGetCDSName(B87),"")</f>
        <v>EADS_MMR.EUR.SU</v>
      </c>
      <c r="D87" s="374">
        <v>0</v>
      </c>
      <c r="E87" s="407">
        <v>1</v>
      </c>
      <c r="F87" s="326">
        <v>0</v>
      </c>
      <c r="G87" s="326">
        <v>1</v>
      </c>
      <c r="H87" s="326">
        <v>0</v>
      </c>
      <c r="I87" s="326">
        <v>0</v>
      </c>
      <c r="J87" s="326">
        <v>0</v>
      </c>
      <c r="K87" s="326"/>
      <c r="L87" s="326"/>
      <c r="M87" s="326"/>
      <c r="N87" s="408"/>
      <c r="O87" s="301"/>
      <c r="P87" s="301"/>
      <c r="Q87" s="301"/>
      <c r="R87" s="301"/>
      <c r="S87" s="301"/>
      <c r="T87" s="301"/>
      <c r="U87" s="301"/>
      <c r="V87" s="301"/>
      <c r="W87" s="301"/>
      <c r="X87" s="301"/>
      <c r="Y87" s="301"/>
      <c r="Z87" s="301"/>
      <c r="AA87" s="301"/>
      <c r="AB87" s="301"/>
      <c r="AC87" s="301"/>
      <c r="AD87" s="301"/>
      <c r="AE87" s="301"/>
    </row>
    <row r="88" spans="2:31" ht="14.5">
      <c r="B88" s="406">
        <f t="shared" si="4"/>
        <v>43</v>
      </c>
      <c r="C88" s="414" t="str" cm="1">
        <f t="array" aca="1" ref="C88" ca="1">IF(B88&lt;=$C$9,GetGetCDSName(B88),"")</f>
        <v>EDF_MMR.EUR.SU</v>
      </c>
      <c r="D88" s="374">
        <v>0</v>
      </c>
      <c r="E88" s="407">
        <v>0</v>
      </c>
      <c r="F88" s="326">
        <v>1</v>
      </c>
      <c r="G88" s="326">
        <v>0</v>
      </c>
      <c r="H88" s="326">
        <v>0</v>
      </c>
      <c r="I88" s="326">
        <v>0</v>
      </c>
      <c r="J88" s="326">
        <v>0</v>
      </c>
      <c r="K88" s="326"/>
      <c r="L88" s="326"/>
      <c r="M88" s="326"/>
      <c r="N88" s="408"/>
      <c r="O88" s="301"/>
      <c r="P88" s="301"/>
      <c r="Q88" s="301"/>
      <c r="R88" s="301"/>
      <c r="S88" s="301"/>
      <c r="T88" s="301"/>
      <c r="U88" s="301"/>
      <c r="V88" s="301"/>
      <c r="W88" s="301"/>
      <c r="X88" s="301"/>
      <c r="Y88" s="301"/>
      <c r="Z88" s="301"/>
      <c r="AA88" s="301"/>
      <c r="AB88" s="301"/>
      <c r="AC88" s="301"/>
      <c r="AD88" s="301"/>
      <c r="AE88" s="301"/>
    </row>
    <row r="89" spans="2:31" ht="14.5">
      <c r="B89" s="406">
        <f t="shared" si="4"/>
        <v>44</v>
      </c>
      <c r="C89" s="414" t="str" cm="1">
        <f t="array" aca="1" ref="C89" ca="1">IF(B89&lt;=$C$9,GetGetCDSName(B89),"")</f>
        <v>EDISON_MMR.EUR.SU</v>
      </c>
      <c r="D89" s="374">
        <v>0</v>
      </c>
      <c r="E89" s="407">
        <v>1</v>
      </c>
      <c r="F89" s="326">
        <v>0</v>
      </c>
      <c r="G89" s="326">
        <v>0</v>
      </c>
      <c r="H89" s="326">
        <v>0</v>
      </c>
      <c r="I89" s="326">
        <v>0</v>
      </c>
      <c r="J89" s="326">
        <v>0</v>
      </c>
      <c r="K89" s="326"/>
      <c r="L89" s="326"/>
      <c r="M89" s="326"/>
      <c r="N89" s="408"/>
      <c r="O89" s="301"/>
      <c r="P89" s="301"/>
      <c r="Q89" s="301"/>
      <c r="R89" s="301"/>
      <c r="S89" s="301"/>
      <c r="T89" s="301"/>
      <c r="U89" s="301"/>
      <c r="V89" s="301"/>
      <c r="W89" s="301"/>
      <c r="X89" s="301"/>
      <c r="Y89" s="301"/>
      <c r="Z89" s="301"/>
      <c r="AA89" s="301"/>
      <c r="AB89" s="301"/>
      <c r="AC89" s="301"/>
      <c r="AD89" s="301"/>
      <c r="AE89" s="301"/>
    </row>
    <row r="90" spans="2:31" ht="14.5">
      <c r="B90" s="406">
        <f t="shared" si="4"/>
        <v>45</v>
      </c>
      <c r="C90" s="414" t="str" cm="1">
        <f t="array" aca="1" ref="C90" ca="1">IF(B90&lt;=$C$9,GetGetCDSName(B90),"")</f>
        <v>ELECTRICITEDEPORTUGAL_MMR.EUR.SU</v>
      </c>
      <c r="D90" s="374">
        <v>0</v>
      </c>
      <c r="E90" s="407">
        <v>0</v>
      </c>
      <c r="F90" s="326">
        <v>0</v>
      </c>
      <c r="G90" s="326">
        <v>1</v>
      </c>
      <c r="H90" s="326">
        <v>0</v>
      </c>
      <c r="I90" s="326">
        <v>0</v>
      </c>
      <c r="J90" s="326">
        <v>0</v>
      </c>
      <c r="K90" s="326"/>
      <c r="L90" s="326"/>
      <c r="M90" s="326"/>
      <c r="N90" s="408"/>
      <c r="O90" s="301"/>
      <c r="P90" s="301"/>
      <c r="Q90" s="301"/>
      <c r="R90" s="301"/>
      <c r="S90" s="301"/>
      <c r="T90" s="301"/>
      <c r="U90" s="301"/>
      <c r="V90" s="301"/>
      <c r="W90" s="301"/>
      <c r="X90" s="301"/>
      <c r="Y90" s="301"/>
      <c r="Z90" s="301"/>
      <c r="AA90" s="301"/>
      <c r="AB90" s="301"/>
      <c r="AC90" s="301"/>
      <c r="AD90" s="301"/>
      <c r="AE90" s="301"/>
    </row>
    <row r="91" spans="2:31" ht="14.5">
      <c r="B91" s="406">
        <f t="shared" si="4"/>
        <v>46</v>
      </c>
      <c r="C91" s="414" t="str" cm="1">
        <f t="array" aca="1" ref="C91" ca="1">IF(B91&lt;=$C$9,GetGetCDSName(B91),"")</f>
        <v>ELECTROLUX_MMR.EUR.SU</v>
      </c>
      <c r="D91" s="374">
        <v>0</v>
      </c>
      <c r="E91" s="407">
        <v>1</v>
      </c>
      <c r="F91" s="326">
        <v>1</v>
      </c>
      <c r="G91" s="326">
        <v>1</v>
      </c>
      <c r="H91" s="326">
        <v>0</v>
      </c>
      <c r="I91" s="326">
        <v>0</v>
      </c>
      <c r="J91" s="326">
        <v>0</v>
      </c>
      <c r="K91" s="326"/>
      <c r="L91" s="326"/>
      <c r="M91" s="326"/>
      <c r="N91" s="408"/>
      <c r="O91" s="301"/>
      <c r="P91" s="301"/>
      <c r="Q91" s="301"/>
      <c r="R91" s="301"/>
      <c r="S91" s="301"/>
      <c r="T91" s="301"/>
      <c r="U91" s="301"/>
      <c r="V91" s="301"/>
      <c r="W91" s="301"/>
      <c r="X91" s="301"/>
      <c r="Y91" s="301"/>
      <c r="Z91" s="301"/>
      <c r="AA91" s="301"/>
      <c r="AB91" s="301"/>
      <c r="AC91" s="301"/>
      <c r="AD91" s="301"/>
      <c r="AE91" s="301"/>
    </row>
    <row r="92" spans="2:31" ht="14.5">
      <c r="B92" s="406">
        <f t="shared" si="4"/>
        <v>47</v>
      </c>
      <c r="C92" s="414" t="str" cm="1">
        <f t="array" aca="1" ref="C92" ca="1">IF(B92&lt;=$C$9,GetGetCDSName(B92),"")</f>
        <v>ENDESA_MMR.EUR.SU</v>
      </c>
      <c r="D92" s="374">
        <v>0</v>
      </c>
      <c r="E92" s="407">
        <v>0</v>
      </c>
      <c r="F92" s="326">
        <v>1</v>
      </c>
      <c r="G92" s="326">
        <v>0</v>
      </c>
      <c r="H92" s="326">
        <v>1</v>
      </c>
      <c r="I92" s="326">
        <v>1</v>
      </c>
      <c r="J92" s="326">
        <v>0</v>
      </c>
      <c r="K92" s="326"/>
      <c r="L92" s="326"/>
      <c r="M92" s="326"/>
      <c r="N92" s="408"/>
      <c r="O92" s="301"/>
      <c r="P92" s="301"/>
      <c r="Q92" s="301"/>
      <c r="R92" s="301"/>
      <c r="S92" s="301"/>
      <c r="T92" s="301"/>
      <c r="U92" s="301"/>
      <c r="V92" s="301"/>
      <c r="W92" s="301"/>
      <c r="X92" s="301"/>
      <c r="Y92" s="301"/>
      <c r="Z92" s="301"/>
      <c r="AA92" s="301"/>
      <c r="AB92" s="301"/>
      <c r="AC92" s="301"/>
      <c r="AD92" s="301"/>
      <c r="AE92" s="301"/>
    </row>
    <row r="93" spans="2:31" ht="14.5">
      <c r="B93" s="406">
        <f t="shared" si="4"/>
        <v>48</v>
      </c>
      <c r="C93" s="414" t="str" cm="1">
        <f t="array" aca="1" ref="C93" ca="1">IF(B93&lt;=$C$9,GetGetCDSName(B93),"")</f>
        <v>ENEL_MMR.EUR.SU</v>
      </c>
      <c r="D93" s="374">
        <v>0</v>
      </c>
      <c r="E93" s="407">
        <v>1</v>
      </c>
      <c r="F93" s="326">
        <v>1</v>
      </c>
      <c r="G93" s="326">
        <v>1</v>
      </c>
      <c r="H93" s="326">
        <v>0</v>
      </c>
      <c r="I93" s="326">
        <v>0</v>
      </c>
      <c r="J93" s="326">
        <v>0</v>
      </c>
      <c r="K93" s="326"/>
      <c r="L93" s="326"/>
      <c r="M93" s="326"/>
      <c r="N93" s="408"/>
      <c r="O93" s="301"/>
      <c r="P93" s="301"/>
      <c r="Q93" s="301"/>
      <c r="R93" s="301"/>
      <c r="S93" s="301"/>
      <c r="T93" s="301"/>
      <c r="U93" s="301"/>
      <c r="V93" s="301"/>
      <c r="W93" s="301"/>
      <c r="X93" s="301"/>
      <c r="Y93" s="301"/>
      <c r="Z93" s="301"/>
      <c r="AA93" s="301"/>
      <c r="AB93" s="301"/>
      <c r="AC93" s="301"/>
      <c r="AD93" s="301"/>
      <c r="AE93" s="301"/>
    </row>
    <row r="94" spans="2:31" ht="14.5">
      <c r="B94" s="406">
        <f t="shared" si="4"/>
        <v>49</v>
      </c>
      <c r="C94" s="414" t="str" cm="1">
        <f t="array" aca="1" ref="C94" ca="1">IF(B94&lt;=$C$9,GetGetCDSName(B94),"")</f>
        <v>ENERGIEBADENWUERTTEMBERG_MMR.EUR.SU</v>
      </c>
      <c r="D94" s="374">
        <v>0</v>
      </c>
      <c r="E94" s="407">
        <v>0</v>
      </c>
      <c r="F94" s="326">
        <v>1</v>
      </c>
      <c r="G94" s="326">
        <v>0</v>
      </c>
      <c r="H94" s="326">
        <v>0</v>
      </c>
      <c r="I94" s="326">
        <v>0</v>
      </c>
      <c r="J94" s="326">
        <v>1</v>
      </c>
      <c r="K94" s="326"/>
      <c r="L94" s="326"/>
      <c r="M94" s="326"/>
      <c r="N94" s="408"/>
      <c r="O94" s="301"/>
      <c r="P94" s="301"/>
      <c r="Q94" s="301"/>
      <c r="R94" s="301"/>
      <c r="S94" s="301"/>
      <c r="T94" s="301"/>
      <c r="U94" s="301"/>
      <c r="V94" s="301"/>
      <c r="W94" s="301"/>
      <c r="X94" s="301"/>
      <c r="Y94" s="301"/>
      <c r="Z94" s="301"/>
      <c r="AA94" s="301"/>
      <c r="AB94" s="301"/>
      <c r="AC94" s="301"/>
      <c r="AD94" s="301"/>
      <c r="AE94" s="301"/>
    </row>
    <row r="95" spans="2:31" ht="14.5">
      <c r="B95" s="406">
        <f t="shared" si="4"/>
        <v>50</v>
      </c>
      <c r="C95" s="414" t="str" cm="1">
        <f t="array" aca="1" ref="C95" ca="1">IF(B95&lt;=$C$9,GetGetCDSName(B95),"")</f>
        <v>EON_MMR.EUR.SU</v>
      </c>
      <c r="D95" s="374">
        <v>0</v>
      </c>
      <c r="E95" s="407">
        <v>0</v>
      </c>
      <c r="F95" s="326">
        <v>0</v>
      </c>
      <c r="G95" s="326">
        <v>1</v>
      </c>
      <c r="H95" s="326">
        <v>0</v>
      </c>
      <c r="I95" s="326">
        <v>0</v>
      </c>
      <c r="J95" s="326">
        <v>0</v>
      </c>
      <c r="K95" s="326"/>
      <c r="L95" s="326"/>
      <c r="M95" s="326"/>
      <c r="N95" s="408"/>
      <c r="O95" s="301"/>
      <c r="P95" s="301"/>
      <c r="Q95" s="301"/>
      <c r="R95" s="301"/>
      <c r="S95" s="301"/>
      <c r="T95" s="301"/>
      <c r="U95" s="301"/>
      <c r="V95" s="301"/>
      <c r="W95" s="301"/>
      <c r="X95" s="301"/>
      <c r="Y95" s="301"/>
      <c r="Z95" s="301"/>
      <c r="AA95" s="301"/>
      <c r="AB95" s="301"/>
      <c r="AC95" s="301"/>
      <c r="AD95" s="301"/>
      <c r="AE95" s="301"/>
    </row>
    <row r="96" spans="2:31" ht="14.5">
      <c r="B96" s="406">
        <f t="shared" si="4"/>
        <v>51</v>
      </c>
      <c r="C96" s="414" t="str" cm="1">
        <f t="array" aca="1" ref="C96" ca="1">IF(B96&lt;=$C$9,GetGetCDSName(B96),"")</f>
        <v>FORTUMOYJ_MMR.EUR.SU</v>
      </c>
      <c r="D96" s="374">
        <v>0</v>
      </c>
      <c r="E96" s="407">
        <v>0</v>
      </c>
      <c r="F96" s="326">
        <v>0</v>
      </c>
      <c r="G96" s="326">
        <v>0</v>
      </c>
      <c r="H96" s="326">
        <v>0</v>
      </c>
      <c r="I96" s="326">
        <v>1</v>
      </c>
      <c r="J96" s="326">
        <v>0</v>
      </c>
      <c r="K96" s="326"/>
      <c r="L96" s="326"/>
      <c r="M96" s="326"/>
      <c r="N96" s="408"/>
      <c r="O96" s="301"/>
      <c r="P96" s="301"/>
      <c r="Q96" s="301"/>
      <c r="R96" s="301"/>
      <c r="S96" s="301"/>
      <c r="T96" s="301"/>
      <c r="U96" s="301"/>
      <c r="V96" s="301"/>
      <c r="W96" s="301"/>
      <c r="X96" s="301"/>
      <c r="Y96" s="301"/>
      <c r="Z96" s="301"/>
      <c r="AA96" s="301"/>
      <c r="AB96" s="301"/>
      <c r="AC96" s="301"/>
      <c r="AD96" s="301"/>
      <c r="AE96" s="301"/>
    </row>
    <row r="97" spans="2:31" ht="14.5">
      <c r="B97" s="406">
        <f t="shared" si="4"/>
        <v>52</v>
      </c>
      <c r="C97" s="414" t="str" cm="1">
        <f t="array" aca="1" ref="C97" ca="1">IF(B97&lt;=$C$9,GetGetCDSName(B97),"")</f>
        <v>FRANCETELECOM_MMR.EUR.SU</v>
      </c>
      <c r="D97" s="374">
        <v>0</v>
      </c>
      <c r="E97" s="407">
        <v>1</v>
      </c>
      <c r="F97" s="326">
        <v>0</v>
      </c>
      <c r="G97" s="326">
        <v>0</v>
      </c>
      <c r="H97" s="326">
        <v>1</v>
      </c>
      <c r="I97" s="326">
        <v>0</v>
      </c>
      <c r="J97" s="326">
        <v>1</v>
      </c>
      <c r="K97" s="326"/>
      <c r="L97" s="326"/>
      <c r="M97" s="326"/>
      <c r="N97" s="408"/>
      <c r="O97" s="301"/>
      <c r="P97" s="301"/>
      <c r="Q97" s="301"/>
      <c r="R97" s="301"/>
      <c r="S97" s="301"/>
      <c r="T97" s="301"/>
      <c r="U97" s="301"/>
      <c r="V97" s="301"/>
      <c r="W97" s="301"/>
      <c r="X97" s="301"/>
      <c r="Y97" s="301"/>
      <c r="Z97" s="301"/>
      <c r="AA97" s="301"/>
      <c r="AB97" s="301"/>
      <c r="AC97" s="301"/>
      <c r="AD97" s="301"/>
      <c r="AE97" s="301"/>
    </row>
    <row r="98" spans="2:31" ht="14.5">
      <c r="B98" s="406">
        <f t="shared" si="4"/>
        <v>53</v>
      </c>
      <c r="C98" s="414" t="str" cm="1">
        <f t="array" aca="1" ref="C98" ca="1">IF(B98&lt;=$C$9,GetGetCDSName(B98),"")</f>
        <v>GALLAHERGROUPPLC_MMR.EUR.SU</v>
      </c>
      <c r="D98" s="374">
        <v>0</v>
      </c>
      <c r="E98" s="407">
        <v>0</v>
      </c>
      <c r="F98" s="326">
        <v>0</v>
      </c>
      <c r="G98" s="326">
        <v>0</v>
      </c>
      <c r="H98" s="326">
        <v>1</v>
      </c>
      <c r="I98" s="326">
        <v>1</v>
      </c>
      <c r="J98" s="326">
        <v>1</v>
      </c>
      <c r="K98" s="326"/>
      <c r="L98" s="326"/>
      <c r="M98" s="326"/>
      <c r="N98" s="408"/>
      <c r="O98" s="301"/>
      <c r="P98" s="301"/>
      <c r="Q98" s="301"/>
      <c r="R98" s="301"/>
      <c r="S98" s="301"/>
      <c r="T98" s="301"/>
      <c r="U98" s="301"/>
      <c r="V98" s="301"/>
      <c r="W98" s="301"/>
      <c r="X98" s="301"/>
      <c r="Y98" s="301"/>
      <c r="Z98" s="301"/>
      <c r="AA98" s="301"/>
      <c r="AB98" s="301"/>
      <c r="AC98" s="301"/>
      <c r="AD98" s="301"/>
      <c r="AE98" s="301"/>
    </row>
    <row r="99" spans="2:31" ht="14.5">
      <c r="B99" s="406">
        <f t="shared" si="4"/>
        <v>54</v>
      </c>
      <c r="C99" s="414" t="str" cm="1">
        <f t="array" aca="1" ref="C99" ca="1">IF(B99&lt;=$C$9,GetGetCDSName(B99),"")</f>
        <v>GASNATURALSDGSA_MMR.EUR.SU</v>
      </c>
      <c r="D99" s="374">
        <v>0</v>
      </c>
      <c r="E99" s="407">
        <v>1</v>
      </c>
      <c r="F99" s="326">
        <v>0</v>
      </c>
      <c r="G99" s="326">
        <v>0</v>
      </c>
      <c r="H99" s="326">
        <v>1</v>
      </c>
      <c r="I99" s="326">
        <v>0</v>
      </c>
      <c r="J99" s="326">
        <v>0</v>
      </c>
      <c r="K99" s="326"/>
      <c r="L99" s="326"/>
      <c r="M99" s="326"/>
      <c r="N99" s="408"/>
      <c r="O99" s="301"/>
      <c r="P99" s="301"/>
      <c r="Q99" s="301"/>
      <c r="R99" s="301"/>
      <c r="S99" s="301"/>
      <c r="T99" s="301"/>
      <c r="U99" s="301"/>
      <c r="V99" s="301"/>
      <c r="W99" s="301"/>
      <c r="X99" s="301"/>
      <c r="Y99" s="301"/>
      <c r="Z99" s="301"/>
      <c r="AA99" s="301"/>
      <c r="AB99" s="301"/>
      <c r="AC99" s="301"/>
      <c r="AD99" s="301"/>
      <c r="AE99" s="301"/>
    </row>
    <row r="100" spans="2:31" ht="14.5">
      <c r="B100" s="406">
        <f t="shared" si="4"/>
        <v>55</v>
      </c>
      <c r="C100" s="414" t="str" cm="1">
        <f t="array" aca="1" ref="C100" ca="1">IF(B100&lt;=$C$9,GetGetCDSName(B100),"")</f>
        <v>GAZDEFRANCE_MMR.EUR.SU</v>
      </c>
      <c r="D100" s="374">
        <v>0</v>
      </c>
      <c r="E100" s="407">
        <v>0</v>
      </c>
      <c r="F100" s="326">
        <v>0</v>
      </c>
      <c r="G100" s="326">
        <v>0</v>
      </c>
      <c r="H100" s="326">
        <v>0</v>
      </c>
      <c r="I100" s="326">
        <v>1</v>
      </c>
      <c r="J100" s="326">
        <v>0</v>
      </c>
      <c r="K100" s="326"/>
      <c r="L100" s="326"/>
      <c r="M100" s="326"/>
      <c r="N100" s="408"/>
      <c r="O100" s="301"/>
      <c r="P100" s="301"/>
      <c r="Q100" s="301"/>
      <c r="R100" s="301"/>
      <c r="S100" s="301"/>
      <c r="T100" s="301"/>
      <c r="U100" s="301"/>
      <c r="V100" s="301"/>
      <c r="W100" s="301"/>
      <c r="X100" s="301"/>
      <c r="Y100" s="301"/>
      <c r="Z100" s="301"/>
      <c r="AA100" s="301"/>
      <c r="AB100" s="301"/>
      <c r="AC100" s="301"/>
      <c r="AD100" s="301"/>
      <c r="AE100" s="301"/>
    </row>
    <row r="101" spans="2:31" ht="14.5">
      <c r="B101" s="406">
        <f t="shared" si="4"/>
        <v>56</v>
      </c>
      <c r="C101" s="414" t="str" cm="1">
        <f t="array" aca="1" ref="C101" ca="1">IF(B101&lt;=$C$9,GetGetCDSName(B101),"")</f>
        <v>GENERALI_MMR.EUR.SU</v>
      </c>
      <c r="D101" s="374">
        <v>0</v>
      </c>
      <c r="E101" s="407">
        <v>0</v>
      </c>
      <c r="F101" s="326">
        <v>0</v>
      </c>
      <c r="G101" s="326">
        <v>0</v>
      </c>
      <c r="H101" s="326">
        <v>1</v>
      </c>
      <c r="I101" s="326">
        <v>0</v>
      </c>
      <c r="J101" s="326">
        <v>0</v>
      </c>
      <c r="K101" s="326"/>
      <c r="L101" s="326"/>
      <c r="M101" s="326"/>
      <c r="N101" s="408"/>
      <c r="O101" s="301"/>
      <c r="P101" s="301"/>
      <c r="Q101" s="301"/>
      <c r="R101" s="301"/>
      <c r="S101" s="301"/>
      <c r="T101" s="301"/>
      <c r="U101" s="301"/>
      <c r="V101" s="301"/>
      <c r="W101" s="301"/>
      <c r="X101" s="301"/>
      <c r="Y101" s="301"/>
      <c r="Z101" s="301"/>
      <c r="AA101" s="301"/>
      <c r="AB101" s="301"/>
      <c r="AC101" s="301"/>
      <c r="AD101" s="301"/>
      <c r="AE101" s="301"/>
    </row>
    <row r="102" spans="2:31" ht="14.5">
      <c r="B102" s="406">
        <f t="shared" si="4"/>
        <v>57</v>
      </c>
      <c r="C102" s="414" t="str" cm="1">
        <f t="array" aca="1" ref="C102" ca="1">IF(B102&lt;=$C$9,GetGetCDSName(B102),"")</f>
        <v>GKN HOLDINGS  PLC_MMR.EUR.SU</v>
      </c>
      <c r="D102" s="374">
        <v>0</v>
      </c>
      <c r="E102" s="407">
        <v>0</v>
      </c>
      <c r="F102" s="326">
        <v>0</v>
      </c>
      <c r="G102" s="326">
        <v>0</v>
      </c>
      <c r="H102" s="326">
        <v>0</v>
      </c>
      <c r="I102" s="326">
        <v>0</v>
      </c>
      <c r="J102" s="326">
        <v>1</v>
      </c>
      <c r="K102" s="326"/>
      <c r="L102" s="326"/>
      <c r="M102" s="326"/>
      <c r="N102" s="408"/>
      <c r="O102" s="301"/>
      <c r="P102" s="301"/>
      <c r="Q102" s="301"/>
      <c r="R102" s="301"/>
      <c r="S102" s="301"/>
      <c r="T102" s="301"/>
      <c r="U102" s="301"/>
      <c r="V102" s="301"/>
      <c r="W102" s="301"/>
      <c r="X102" s="301"/>
      <c r="Y102" s="301"/>
      <c r="Z102" s="301"/>
      <c r="AA102" s="301"/>
      <c r="AB102" s="301"/>
      <c r="AC102" s="301"/>
      <c r="AD102" s="301"/>
      <c r="AE102" s="301"/>
    </row>
    <row r="103" spans="2:31" ht="14.5">
      <c r="B103" s="406">
        <f t="shared" si="4"/>
        <v>58</v>
      </c>
      <c r="C103" s="414" t="str" cm="1">
        <f t="array" aca="1" ref="C103" ca="1">IF(B103&lt;=$C$9,GetGetCDSName(B103),"")</f>
        <v>GLENCOREINTAG_MMR.EUR.SU</v>
      </c>
      <c r="D103" s="374">
        <v>0</v>
      </c>
      <c r="E103" s="407">
        <v>0</v>
      </c>
      <c r="F103" s="326">
        <v>0</v>
      </c>
      <c r="G103" s="326">
        <v>0</v>
      </c>
      <c r="H103" s="326">
        <v>1</v>
      </c>
      <c r="I103" s="326">
        <v>0</v>
      </c>
      <c r="J103" s="326">
        <v>0</v>
      </c>
      <c r="K103" s="326"/>
      <c r="L103" s="326"/>
      <c r="M103" s="326"/>
      <c r="N103" s="408"/>
      <c r="O103" s="301"/>
      <c r="P103" s="301"/>
      <c r="Q103" s="301"/>
      <c r="R103" s="301"/>
      <c r="S103" s="301"/>
      <c r="T103" s="301"/>
      <c r="U103" s="301"/>
      <c r="V103" s="301"/>
      <c r="W103" s="301"/>
      <c r="X103" s="301"/>
      <c r="Y103" s="301"/>
      <c r="Z103" s="301"/>
      <c r="AA103" s="301"/>
      <c r="AB103" s="301"/>
      <c r="AC103" s="301"/>
      <c r="AD103" s="301"/>
      <c r="AE103" s="301"/>
    </row>
    <row r="104" spans="2:31" ht="14.5">
      <c r="B104" s="406">
        <f t="shared" si="4"/>
        <v>59</v>
      </c>
      <c r="C104" s="414" t="str" cm="1">
        <f t="array" aca="1" ref="C104" ca="1">IF(B104&lt;=$C$9,GetGetCDSName(B104),"")</f>
        <v>GREATUNIVERSALSTORES_MMR.EUR.SU</v>
      </c>
      <c r="D104" s="374">
        <v>0</v>
      </c>
      <c r="E104" s="407">
        <v>0</v>
      </c>
      <c r="F104" s="326">
        <v>1</v>
      </c>
      <c r="G104" s="326">
        <v>1</v>
      </c>
      <c r="H104" s="326">
        <v>0</v>
      </c>
      <c r="I104" s="326">
        <v>1</v>
      </c>
      <c r="J104" s="326">
        <v>0</v>
      </c>
      <c r="K104" s="326"/>
      <c r="L104" s="326"/>
      <c r="M104" s="326"/>
      <c r="N104" s="408"/>
      <c r="O104" s="301"/>
      <c r="P104" s="301"/>
      <c r="Q104" s="301"/>
      <c r="R104" s="301"/>
      <c r="S104" s="301"/>
      <c r="T104" s="301"/>
      <c r="U104" s="301"/>
      <c r="V104" s="301"/>
      <c r="W104" s="301"/>
      <c r="X104" s="301"/>
      <c r="Y104" s="301"/>
      <c r="Z104" s="301"/>
      <c r="AA104" s="301"/>
      <c r="AB104" s="301"/>
      <c r="AC104" s="301"/>
      <c r="AD104" s="301"/>
      <c r="AE104" s="301"/>
    </row>
    <row r="105" spans="2:31" ht="14.5">
      <c r="B105" s="406">
        <f t="shared" si="4"/>
        <v>60</v>
      </c>
      <c r="C105" s="414" t="str" cm="1">
        <f t="array" aca="1" ref="C105" ca="1">IF(B105&lt;=$C$9,GetGetCDSName(B105),"")</f>
        <v>HANNOVERRUECK_MMR.EUR.SU</v>
      </c>
      <c r="D105" s="374">
        <v>0</v>
      </c>
      <c r="E105" s="407">
        <v>0</v>
      </c>
      <c r="F105" s="326">
        <v>1</v>
      </c>
      <c r="G105" s="326">
        <v>0</v>
      </c>
      <c r="H105" s="326">
        <v>0</v>
      </c>
      <c r="I105" s="326">
        <v>0</v>
      </c>
      <c r="J105" s="326">
        <v>1</v>
      </c>
      <c r="K105" s="326"/>
      <c r="L105" s="326"/>
      <c r="M105" s="326"/>
      <c r="N105" s="408"/>
      <c r="O105" s="301"/>
      <c r="P105" s="301"/>
      <c r="Q105" s="301"/>
      <c r="R105" s="301"/>
      <c r="S105" s="301"/>
      <c r="T105" s="301"/>
      <c r="U105" s="301"/>
      <c r="V105" s="301"/>
      <c r="W105" s="301"/>
      <c r="X105" s="301"/>
      <c r="Y105" s="301"/>
      <c r="Z105" s="301"/>
      <c r="AA105" s="301"/>
      <c r="AB105" s="301"/>
      <c r="AC105" s="301"/>
      <c r="AD105" s="301"/>
      <c r="AE105" s="301"/>
    </row>
    <row r="106" spans="2:31" ht="14.5">
      <c r="B106" s="406">
        <f t="shared" si="4"/>
        <v>61</v>
      </c>
      <c r="C106" s="414" t="str" cm="1">
        <f t="array" aca="1" ref="C106" ca="1">IF(B106&lt;=$C$9,GetGetCDSName(B106),"")</f>
        <v>HELLENIC TELCOM_MMR.EUR.SU</v>
      </c>
      <c r="D106" s="374">
        <v>0</v>
      </c>
      <c r="E106" s="407">
        <v>0</v>
      </c>
      <c r="F106" s="326">
        <v>1</v>
      </c>
      <c r="G106" s="326">
        <v>0</v>
      </c>
      <c r="H106" s="326">
        <v>1</v>
      </c>
      <c r="I106" s="326">
        <v>0</v>
      </c>
      <c r="J106" s="326">
        <v>0</v>
      </c>
      <c r="K106" s="326"/>
      <c r="L106" s="326"/>
      <c r="M106" s="326"/>
      <c r="N106" s="408"/>
      <c r="O106" s="301"/>
      <c r="P106" s="301"/>
      <c r="Q106" s="301"/>
      <c r="R106" s="301"/>
      <c r="S106" s="301"/>
      <c r="T106" s="301"/>
      <c r="U106" s="301"/>
      <c r="V106" s="301"/>
      <c r="W106" s="301"/>
      <c r="X106" s="301"/>
      <c r="Y106" s="301"/>
      <c r="Z106" s="301"/>
      <c r="AA106" s="301"/>
      <c r="AB106" s="301"/>
      <c r="AC106" s="301"/>
      <c r="AD106" s="301"/>
      <c r="AE106" s="301"/>
    </row>
    <row r="107" spans="2:31" ht="14.5">
      <c r="B107" s="406">
        <f t="shared" si="4"/>
        <v>62</v>
      </c>
      <c r="C107" s="414" t="str" cm="1">
        <f t="array" aca="1" ref="C107" ca="1">IF(B107&lt;=$C$9,GetGetCDSName(B107),"")</f>
        <v>HENKELKG_MMR.EUR.SU</v>
      </c>
      <c r="D107" s="374">
        <v>0</v>
      </c>
      <c r="E107" s="407">
        <v>1</v>
      </c>
      <c r="F107" s="326">
        <v>0</v>
      </c>
      <c r="G107" s="326">
        <v>0</v>
      </c>
      <c r="H107" s="326">
        <v>0</v>
      </c>
      <c r="I107" s="326">
        <v>0</v>
      </c>
      <c r="J107" s="326">
        <v>1</v>
      </c>
      <c r="K107" s="326"/>
      <c r="L107" s="326"/>
      <c r="M107" s="326"/>
      <c r="N107" s="408"/>
      <c r="O107" s="301"/>
      <c r="P107" s="301"/>
      <c r="Q107" s="301"/>
      <c r="R107" s="301"/>
      <c r="S107" s="301"/>
      <c r="T107" s="301"/>
      <c r="U107" s="301"/>
      <c r="V107" s="301"/>
      <c r="W107" s="301"/>
      <c r="X107" s="301"/>
      <c r="Y107" s="301"/>
      <c r="Z107" s="301"/>
      <c r="AA107" s="301"/>
      <c r="AB107" s="301"/>
      <c r="AC107" s="301"/>
      <c r="AD107" s="301"/>
      <c r="AE107" s="301"/>
    </row>
    <row r="108" spans="2:31" ht="14.5">
      <c r="B108" s="406">
        <f t="shared" si="4"/>
        <v>63</v>
      </c>
      <c r="C108" s="414" t="str" cm="1">
        <f t="array" aca="1" ref="C108" ca="1">IF(B108&lt;=$C$9,GetGetCDSName(B108),"")</f>
        <v>IBERDROLA_MMR.EUR.SU</v>
      </c>
      <c r="D108" s="374">
        <v>0</v>
      </c>
      <c r="E108" s="407">
        <v>1</v>
      </c>
      <c r="F108" s="326">
        <v>1</v>
      </c>
      <c r="G108" s="326">
        <v>0</v>
      </c>
      <c r="H108" s="326">
        <v>1</v>
      </c>
      <c r="I108" s="326">
        <v>0</v>
      </c>
      <c r="J108" s="326">
        <v>0</v>
      </c>
      <c r="K108" s="326"/>
      <c r="L108" s="326"/>
      <c r="M108" s="326"/>
      <c r="N108" s="408"/>
      <c r="O108" s="301"/>
      <c r="P108" s="301"/>
      <c r="Q108" s="301"/>
      <c r="R108" s="301"/>
      <c r="S108" s="301"/>
      <c r="T108" s="301"/>
      <c r="U108" s="301"/>
      <c r="V108" s="301"/>
      <c r="W108" s="301"/>
      <c r="X108" s="301"/>
      <c r="Y108" s="301"/>
      <c r="Z108" s="301"/>
      <c r="AA108" s="301"/>
      <c r="AB108" s="301"/>
      <c r="AC108" s="301"/>
      <c r="AD108" s="301"/>
      <c r="AE108" s="301"/>
    </row>
    <row r="109" spans="2:31" ht="14.5">
      <c r="B109" s="406">
        <f t="shared" si="4"/>
        <v>64</v>
      </c>
      <c r="C109" s="414" t="str" cm="1">
        <f t="array" aca="1" ref="C109" ca="1">IF(B109&lt;=$C$9,GetGetCDSName(B109),"")</f>
        <v>ICI_MMR.EUR.SU</v>
      </c>
      <c r="D109" s="374">
        <v>0</v>
      </c>
      <c r="E109" s="407">
        <v>1</v>
      </c>
      <c r="F109" s="326">
        <v>0</v>
      </c>
      <c r="G109" s="326">
        <v>0</v>
      </c>
      <c r="H109" s="326">
        <v>1</v>
      </c>
      <c r="I109" s="326">
        <v>0</v>
      </c>
      <c r="J109" s="326">
        <v>1</v>
      </c>
      <c r="K109" s="326"/>
      <c r="L109" s="326"/>
      <c r="M109" s="326"/>
      <c r="N109" s="408"/>
      <c r="O109" s="301"/>
      <c r="P109" s="301"/>
      <c r="Q109" s="301"/>
      <c r="R109" s="301"/>
      <c r="S109" s="301"/>
      <c r="T109" s="301"/>
      <c r="U109" s="301"/>
      <c r="V109" s="301"/>
      <c r="W109" s="301"/>
      <c r="X109" s="301"/>
      <c r="Y109" s="301"/>
      <c r="Z109" s="301"/>
      <c r="AA109" s="301"/>
      <c r="AB109" s="301"/>
      <c r="AC109" s="301"/>
      <c r="AD109" s="301"/>
      <c r="AE109" s="301"/>
    </row>
    <row r="110" spans="2:31" ht="14.5">
      <c r="B110" s="406">
        <f t="shared" si="4"/>
        <v>65</v>
      </c>
      <c r="C110" s="414" t="str" cm="1">
        <f t="array" aca="1" ref="C110" ca="1">IF(B110&lt;=$C$9,GetGetCDSName(B110),"")</f>
        <v>INTESA_MMR.EUR.SU</v>
      </c>
      <c r="D110" s="374">
        <v>0</v>
      </c>
      <c r="E110" s="407">
        <v>0</v>
      </c>
      <c r="F110" s="326">
        <v>1</v>
      </c>
      <c r="G110" s="326">
        <v>1</v>
      </c>
      <c r="H110" s="326">
        <v>0</v>
      </c>
      <c r="I110" s="326">
        <v>1</v>
      </c>
      <c r="J110" s="326">
        <v>0</v>
      </c>
      <c r="K110" s="326"/>
      <c r="L110" s="326"/>
      <c r="M110" s="326"/>
      <c r="N110" s="408"/>
      <c r="O110" s="301"/>
      <c r="P110" s="301"/>
      <c r="Q110" s="301"/>
      <c r="R110" s="301"/>
      <c r="S110" s="301"/>
      <c r="T110" s="301"/>
      <c r="U110" s="301"/>
      <c r="V110" s="301"/>
      <c r="W110" s="301"/>
      <c r="X110" s="301"/>
      <c r="Y110" s="301"/>
      <c r="Z110" s="301"/>
      <c r="AA110" s="301"/>
      <c r="AB110" s="301"/>
      <c r="AC110" s="301"/>
      <c r="AD110" s="301"/>
      <c r="AE110" s="301"/>
    </row>
    <row r="111" spans="2:31" ht="14.5">
      <c r="B111" s="406">
        <f t="shared" ref="B111:B174" si="5">B110+1</f>
        <v>66</v>
      </c>
      <c r="C111" s="414" t="str" cm="1">
        <f t="array" aca="1" ref="C111" ca="1">IF(B111&lt;=$C$9,GetGetCDSName(B111),"")</f>
        <v>KINGFISHER_MMR.EUR.SU</v>
      </c>
      <c r="D111" s="374">
        <v>0</v>
      </c>
      <c r="E111" s="407">
        <v>1</v>
      </c>
      <c r="F111" s="326">
        <v>0</v>
      </c>
      <c r="G111" s="326">
        <v>1</v>
      </c>
      <c r="H111" s="326">
        <v>0</v>
      </c>
      <c r="I111" s="326">
        <v>1</v>
      </c>
      <c r="J111" s="326">
        <v>0</v>
      </c>
      <c r="K111" s="326"/>
      <c r="L111" s="326"/>
      <c r="M111" s="326"/>
      <c r="N111" s="408"/>
      <c r="O111" s="301"/>
      <c r="P111" s="301"/>
      <c r="Q111" s="301"/>
      <c r="R111" s="301"/>
      <c r="S111" s="301"/>
      <c r="T111" s="301"/>
      <c r="U111" s="301"/>
      <c r="V111" s="301"/>
      <c r="W111" s="301"/>
      <c r="X111" s="301"/>
      <c r="Y111" s="301"/>
      <c r="Z111" s="301"/>
      <c r="AA111" s="301"/>
      <c r="AB111" s="301"/>
      <c r="AC111" s="301"/>
      <c r="AD111" s="301"/>
      <c r="AE111" s="301"/>
    </row>
    <row r="112" spans="2:31" ht="14.5">
      <c r="B112" s="406">
        <f t="shared" si="5"/>
        <v>67</v>
      </c>
      <c r="C112" s="414" t="str" cm="1">
        <f t="array" aca="1" ref="C112" ca="1">IF(B112&lt;=$C$9,GetGetCDSName(B112),"")</f>
        <v>KPN_MMR.EUR.SU</v>
      </c>
      <c r="D112" s="374">
        <v>0</v>
      </c>
      <c r="E112" s="407">
        <v>1</v>
      </c>
      <c r="F112" s="326">
        <v>0</v>
      </c>
      <c r="G112" s="326">
        <v>0</v>
      </c>
      <c r="H112" s="326">
        <v>1</v>
      </c>
      <c r="I112" s="326">
        <v>0</v>
      </c>
      <c r="J112" s="326">
        <v>1</v>
      </c>
      <c r="K112" s="326"/>
      <c r="L112" s="326"/>
      <c r="M112" s="326"/>
      <c r="N112" s="408"/>
      <c r="O112" s="301"/>
      <c r="P112" s="301"/>
      <c r="Q112" s="301"/>
      <c r="R112" s="301"/>
      <c r="S112" s="301"/>
      <c r="T112" s="301"/>
      <c r="U112" s="301"/>
      <c r="V112" s="301"/>
      <c r="W112" s="301"/>
      <c r="X112" s="301"/>
      <c r="Y112" s="301"/>
      <c r="Z112" s="301"/>
      <c r="AA112" s="301"/>
      <c r="AB112" s="301"/>
      <c r="AC112" s="301"/>
      <c r="AD112" s="301"/>
      <c r="AE112" s="301"/>
    </row>
    <row r="113" spans="2:31" ht="14.5">
      <c r="B113" s="406">
        <f t="shared" si="5"/>
        <v>68</v>
      </c>
      <c r="C113" s="414" t="str" cm="1">
        <f t="array" aca="1" ref="C113" ca="1">IF(B113&lt;=$C$9,GetGetCDSName(B113),"")</f>
        <v>LAFARGE_MMR.EUR.SU</v>
      </c>
      <c r="D113" s="374">
        <v>0</v>
      </c>
      <c r="E113" s="407">
        <v>0</v>
      </c>
      <c r="F113" s="326">
        <v>1</v>
      </c>
      <c r="G113" s="326">
        <v>0</v>
      </c>
      <c r="H113" s="326">
        <v>1</v>
      </c>
      <c r="I113" s="326">
        <v>0</v>
      </c>
      <c r="J113" s="326">
        <v>1</v>
      </c>
      <c r="K113" s="326"/>
      <c r="L113" s="326"/>
      <c r="M113" s="326"/>
      <c r="N113" s="408"/>
      <c r="O113" s="301"/>
      <c r="P113" s="301"/>
      <c r="Q113" s="301"/>
      <c r="R113" s="301"/>
      <c r="S113" s="301"/>
      <c r="T113" s="301"/>
      <c r="U113" s="301"/>
      <c r="V113" s="301"/>
      <c r="W113" s="301"/>
      <c r="X113" s="301"/>
      <c r="Y113" s="301"/>
      <c r="Z113" s="301"/>
      <c r="AA113" s="301"/>
      <c r="AB113" s="301"/>
      <c r="AC113" s="301"/>
      <c r="AD113" s="301"/>
      <c r="AE113" s="301"/>
    </row>
    <row r="114" spans="2:31" ht="14.5">
      <c r="B114" s="406">
        <f t="shared" si="5"/>
        <v>69</v>
      </c>
      <c r="C114" s="414" t="str" cm="1">
        <f t="array" aca="1" ref="C114" ca="1">IF(B114&lt;=$C$9,GetGetCDSName(B114),"")</f>
        <v>LINDE_MMR.EUR.SU</v>
      </c>
      <c r="D114" s="374">
        <v>0</v>
      </c>
      <c r="E114" s="407">
        <v>0</v>
      </c>
      <c r="F114" s="326">
        <v>0</v>
      </c>
      <c r="G114" s="326">
        <v>1</v>
      </c>
      <c r="H114" s="326">
        <v>0</v>
      </c>
      <c r="I114" s="326">
        <v>1</v>
      </c>
      <c r="J114" s="326">
        <v>1</v>
      </c>
      <c r="K114" s="326"/>
      <c r="L114" s="326"/>
      <c r="M114" s="326"/>
      <c r="N114" s="408"/>
      <c r="O114" s="301"/>
      <c r="P114" s="301"/>
      <c r="Q114" s="301"/>
      <c r="R114" s="301"/>
      <c r="S114" s="301"/>
      <c r="T114" s="301"/>
      <c r="U114" s="301"/>
      <c r="V114" s="301"/>
      <c r="W114" s="301"/>
      <c r="X114" s="301"/>
      <c r="Y114" s="301"/>
      <c r="Z114" s="301"/>
      <c r="AA114" s="301"/>
      <c r="AB114" s="301"/>
      <c r="AC114" s="301"/>
      <c r="AD114" s="301"/>
      <c r="AE114" s="301"/>
    </row>
    <row r="115" spans="2:31" ht="14.5">
      <c r="B115" s="406">
        <f t="shared" si="5"/>
        <v>70</v>
      </c>
      <c r="C115" s="414" t="str" cm="1">
        <f t="array" aca="1" ref="C115" ca="1">IF(B115&lt;=$C$9,GetGetCDSName(B115),"")</f>
        <v>LUFTHANSA_MMR.EUR.SU</v>
      </c>
      <c r="D115" s="374">
        <v>0</v>
      </c>
      <c r="E115" s="407">
        <v>1</v>
      </c>
      <c r="F115" s="326">
        <v>0</v>
      </c>
      <c r="G115" s="326">
        <v>0</v>
      </c>
      <c r="H115" s="326">
        <v>0</v>
      </c>
      <c r="I115" s="326">
        <v>1</v>
      </c>
      <c r="J115" s="326">
        <v>1</v>
      </c>
      <c r="K115" s="326"/>
      <c r="L115" s="326"/>
      <c r="M115" s="326"/>
      <c r="N115" s="408"/>
      <c r="O115" s="301"/>
      <c r="P115" s="301"/>
      <c r="Q115" s="301"/>
      <c r="R115" s="301"/>
      <c r="S115" s="301"/>
      <c r="T115" s="301"/>
      <c r="U115" s="301"/>
      <c r="V115" s="301"/>
      <c r="W115" s="301"/>
      <c r="X115" s="301"/>
      <c r="Y115" s="301"/>
      <c r="Z115" s="301"/>
      <c r="AA115" s="301"/>
      <c r="AB115" s="301"/>
      <c r="AC115" s="301"/>
      <c r="AD115" s="301"/>
      <c r="AE115" s="301"/>
    </row>
    <row r="116" spans="2:31" ht="14.5">
      <c r="B116" s="406">
        <f t="shared" si="5"/>
        <v>71</v>
      </c>
      <c r="C116" s="414" t="str" cm="1">
        <f t="array" aca="1" ref="C116" ca="1">IF(B116&lt;=$C$9,GetGetCDSName(B116),"")</f>
        <v>LVMH_MMR.EUR.SU</v>
      </c>
      <c r="D116" s="374">
        <v>0</v>
      </c>
      <c r="E116" s="407">
        <v>1</v>
      </c>
      <c r="F116" s="326">
        <v>1</v>
      </c>
      <c r="G116" s="326">
        <v>0</v>
      </c>
      <c r="H116" s="326">
        <v>0</v>
      </c>
      <c r="I116" s="326">
        <v>0</v>
      </c>
      <c r="J116" s="326">
        <v>1</v>
      </c>
      <c r="K116" s="326"/>
      <c r="L116" s="326"/>
      <c r="M116" s="326"/>
      <c r="N116" s="408"/>
      <c r="O116" s="301"/>
      <c r="P116" s="301"/>
      <c r="Q116" s="301"/>
      <c r="R116" s="301"/>
      <c r="S116" s="301"/>
      <c r="T116" s="301"/>
      <c r="U116" s="301"/>
      <c r="V116" s="301"/>
      <c r="W116" s="301"/>
      <c r="X116" s="301"/>
      <c r="Y116" s="301"/>
      <c r="Z116" s="301"/>
      <c r="AA116" s="301"/>
      <c r="AB116" s="301"/>
      <c r="AC116" s="301"/>
      <c r="AD116" s="301"/>
      <c r="AE116" s="301"/>
    </row>
    <row r="117" spans="2:31" ht="14.5">
      <c r="B117" s="406">
        <f t="shared" si="5"/>
        <v>72</v>
      </c>
      <c r="C117" s="414" t="str" cm="1">
        <f t="array" aca="1" ref="C117" ca="1">IF(B117&lt;=$C$9,GetGetCDSName(B117),"")</f>
        <v>MARKSANDSPENCERPLC_MMR.EUR.SU</v>
      </c>
      <c r="D117" s="374">
        <v>0</v>
      </c>
      <c r="E117" s="407">
        <v>1</v>
      </c>
      <c r="F117" s="326">
        <v>1</v>
      </c>
      <c r="G117" s="326">
        <v>0</v>
      </c>
      <c r="H117" s="326">
        <v>0</v>
      </c>
      <c r="I117" s="326">
        <v>0</v>
      </c>
      <c r="J117" s="326">
        <v>0</v>
      </c>
      <c r="K117" s="326"/>
      <c r="L117" s="326"/>
      <c r="M117" s="326"/>
      <c r="N117" s="408"/>
      <c r="O117" s="301"/>
      <c r="P117" s="301"/>
      <c r="Q117" s="301"/>
      <c r="R117" s="301"/>
      <c r="S117" s="301"/>
      <c r="T117" s="301"/>
      <c r="U117" s="301"/>
      <c r="V117" s="301"/>
      <c r="W117" s="301"/>
      <c r="X117" s="301"/>
      <c r="Y117" s="301"/>
      <c r="Z117" s="301"/>
      <c r="AA117" s="301"/>
      <c r="AB117" s="301"/>
      <c r="AC117" s="301"/>
      <c r="AD117" s="301"/>
      <c r="AE117" s="301"/>
    </row>
    <row r="118" spans="2:31" ht="14.5">
      <c r="B118" s="406">
        <f t="shared" si="5"/>
        <v>73</v>
      </c>
      <c r="C118" s="414" t="str" cm="1">
        <f t="array" aca="1" ref="C118" ca="1">IF(B118&lt;=$C$9,GetGetCDSName(B118),"")</f>
        <v>METRO_MMR.EUR.SU</v>
      </c>
      <c r="D118" s="374">
        <v>0</v>
      </c>
      <c r="E118" s="407">
        <v>0</v>
      </c>
      <c r="F118" s="326">
        <v>1</v>
      </c>
      <c r="G118" s="326">
        <v>0</v>
      </c>
      <c r="H118" s="326">
        <v>1</v>
      </c>
      <c r="I118" s="326">
        <v>0</v>
      </c>
      <c r="J118" s="326">
        <v>1</v>
      </c>
      <c r="K118" s="326"/>
      <c r="L118" s="326"/>
      <c r="M118" s="326"/>
      <c r="N118" s="408"/>
      <c r="O118" s="301"/>
      <c r="P118" s="301"/>
      <c r="Q118" s="301"/>
      <c r="R118" s="301"/>
      <c r="S118" s="301"/>
      <c r="T118" s="301"/>
      <c r="U118" s="301"/>
      <c r="V118" s="301"/>
      <c r="W118" s="301"/>
      <c r="X118" s="301"/>
      <c r="Y118" s="301"/>
      <c r="Z118" s="301"/>
      <c r="AA118" s="301"/>
      <c r="AB118" s="301"/>
      <c r="AC118" s="301"/>
      <c r="AD118" s="301"/>
      <c r="AE118" s="301"/>
    </row>
    <row r="119" spans="2:31" ht="14.5">
      <c r="B119" s="406">
        <f t="shared" si="5"/>
        <v>74</v>
      </c>
      <c r="C119" s="414" t="str" cm="1">
        <f t="array" aca="1" ref="C119" ca="1">IF(B119&lt;=$C$9,GetGetCDSName(B119),"")</f>
        <v>MICHELIN_MMR.EUR.SU</v>
      </c>
      <c r="D119" s="374">
        <v>0</v>
      </c>
      <c r="E119" s="407">
        <v>1</v>
      </c>
      <c r="F119" s="326">
        <v>1</v>
      </c>
      <c r="G119" s="326">
        <v>0</v>
      </c>
      <c r="H119" s="326">
        <v>1</v>
      </c>
      <c r="I119" s="326">
        <v>0</v>
      </c>
      <c r="J119" s="326">
        <v>0</v>
      </c>
      <c r="K119" s="326"/>
      <c r="L119" s="326"/>
      <c r="M119" s="326"/>
      <c r="N119" s="408"/>
      <c r="O119" s="301"/>
      <c r="P119" s="301"/>
      <c r="Q119" s="301"/>
      <c r="R119" s="301"/>
      <c r="S119" s="301"/>
      <c r="T119" s="301"/>
      <c r="U119" s="301"/>
      <c r="V119" s="301"/>
      <c r="W119" s="301"/>
      <c r="X119" s="301"/>
      <c r="Y119" s="301"/>
      <c r="Z119" s="301"/>
      <c r="AA119" s="301"/>
      <c r="AB119" s="301"/>
      <c r="AC119" s="301"/>
      <c r="AD119" s="301"/>
      <c r="AE119" s="301"/>
    </row>
    <row r="120" spans="2:31" ht="14.5">
      <c r="B120" s="406">
        <f t="shared" si="5"/>
        <v>75</v>
      </c>
      <c r="C120" s="414" t="str" cm="1">
        <f t="array" aca="1" ref="C120" ca="1">IF(B120&lt;=$C$9,GetGetCDSName(B120),"")</f>
        <v>MONTEDEIPASCHI_MMR.EUR.SU</v>
      </c>
      <c r="D120" s="374">
        <v>0</v>
      </c>
      <c r="E120" s="407">
        <v>0</v>
      </c>
      <c r="F120" s="326">
        <v>0</v>
      </c>
      <c r="G120" s="326">
        <v>0</v>
      </c>
      <c r="H120" s="326">
        <v>1</v>
      </c>
      <c r="I120" s="326">
        <v>0</v>
      </c>
      <c r="J120" s="326">
        <v>1</v>
      </c>
      <c r="K120" s="326"/>
      <c r="L120" s="326"/>
      <c r="M120" s="326"/>
      <c r="N120" s="408"/>
      <c r="O120" s="301"/>
      <c r="P120" s="301"/>
      <c r="Q120" s="301"/>
      <c r="R120" s="301"/>
      <c r="S120" s="301"/>
      <c r="T120" s="301"/>
      <c r="U120" s="301"/>
      <c r="V120" s="301"/>
      <c r="W120" s="301"/>
      <c r="X120" s="301"/>
      <c r="Y120" s="301"/>
      <c r="Z120" s="301"/>
      <c r="AA120" s="301"/>
      <c r="AB120" s="301"/>
      <c r="AC120" s="301"/>
      <c r="AD120" s="301"/>
      <c r="AE120" s="301"/>
    </row>
    <row r="121" spans="2:31" ht="14.5">
      <c r="B121" s="406">
        <f t="shared" si="5"/>
        <v>76</v>
      </c>
      <c r="C121" s="414" t="str" cm="1">
        <f t="array" aca="1" ref="C121" ca="1">IF(B121&lt;=$C$9,GetGetCDSName(B121),"")</f>
        <v>MUNICHRE_MMR.EUR.SU</v>
      </c>
      <c r="D121" s="374">
        <v>0</v>
      </c>
      <c r="E121" s="407">
        <v>0</v>
      </c>
      <c r="F121" s="326">
        <v>0</v>
      </c>
      <c r="G121" s="326">
        <v>1</v>
      </c>
      <c r="H121" s="326">
        <v>1</v>
      </c>
      <c r="I121" s="326">
        <v>0</v>
      </c>
      <c r="J121" s="326">
        <v>1</v>
      </c>
      <c r="K121" s="326"/>
      <c r="L121" s="326"/>
      <c r="M121" s="326"/>
      <c r="N121" s="408"/>
      <c r="O121" s="301"/>
      <c r="P121" s="301"/>
      <c r="Q121" s="301"/>
      <c r="R121" s="301"/>
      <c r="S121" s="301"/>
      <c r="T121" s="301"/>
      <c r="U121" s="301"/>
      <c r="V121" s="301"/>
      <c r="W121" s="301"/>
      <c r="X121" s="301"/>
      <c r="Y121" s="301"/>
      <c r="Z121" s="301"/>
      <c r="AA121" s="301"/>
      <c r="AB121" s="301"/>
      <c r="AC121" s="301"/>
      <c r="AD121" s="301"/>
      <c r="AE121" s="301"/>
    </row>
    <row r="122" spans="2:31" ht="14.5">
      <c r="B122" s="406">
        <f t="shared" si="5"/>
        <v>77</v>
      </c>
      <c r="C122" s="414" t="str" cm="1">
        <f t="array" aca="1" ref="C122" ca="1">IF(B122&lt;=$C$9,GetGetCDSName(B122),"")</f>
        <v>NATIONALGRIDTRANSCOPLC_MMR.EUR.SU</v>
      </c>
      <c r="D122" s="374">
        <v>0</v>
      </c>
      <c r="E122" s="407">
        <v>1</v>
      </c>
      <c r="F122" s="326">
        <v>0</v>
      </c>
      <c r="G122" s="326">
        <v>1</v>
      </c>
      <c r="H122" s="326">
        <v>0</v>
      </c>
      <c r="I122" s="326">
        <v>1</v>
      </c>
      <c r="J122" s="326">
        <v>0</v>
      </c>
      <c r="K122" s="326"/>
      <c r="L122" s="326"/>
      <c r="M122" s="326"/>
      <c r="N122" s="408"/>
      <c r="O122" s="301"/>
      <c r="P122" s="301"/>
      <c r="Q122" s="301"/>
      <c r="R122" s="301"/>
      <c r="S122" s="301"/>
      <c r="T122" s="301"/>
      <c r="U122" s="301"/>
      <c r="V122" s="301"/>
      <c r="W122" s="301"/>
      <c r="X122" s="301"/>
      <c r="Y122" s="301"/>
      <c r="Z122" s="301"/>
      <c r="AA122" s="301"/>
      <c r="AB122" s="301"/>
      <c r="AC122" s="301"/>
      <c r="AD122" s="301"/>
      <c r="AE122" s="301"/>
    </row>
    <row r="123" spans="2:31" ht="14.5">
      <c r="B123" s="406">
        <f t="shared" si="5"/>
        <v>78</v>
      </c>
      <c r="C123" s="414" t="str" cm="1">
        <f t="array" aca="1" ref="C123" ca="1">IF(B123&lt;=$C$9,GetGetCDSName(B123),"")</f>
        <v>NEXTPLC_MMR.EUR.SU</v>
      </c>
      <c r="D123" s="374">
        <v>0</v>
      </c>
      <c r="E123" s="407">
        <v>0</v>
      </c>
      <c r="F123" s="326">
        <v>0</v>
      </c>
      <c r="G123" s="326">
        <v>0</v>
      </c>
      <c r="H123" s="326">
        <v>0</v>
      </c>
      <c r="I123" s="326">
        <v>1</v>
      </c>
      <c r="J123" s="326">
        <v>1</v>
      </c>
      <c r="K123" s="326"/>
      <c r="L123" s="326"/>
      <c r="M123" s="326"/>
      <c r="N123" s="408"/>
      <c r="O123" s="301"/>
      <c r="P123" s="301"/>
      <c r="Q123" s="301"/>
      <c r="R123" s="301"/>
      <c r="S123" s="301"/>
      <c r="T123" s="301"/>
      <c r="U123" s="301"/>
      <c r="V123" s="301"/>
      <c r="W123" s="301"/>
      <c r="X123" s="301"/>
      <c r="Y123" s="301"/>
      <c r="Z123" s="301"/>
      <c r="AA123" s="301"/>
      <c r="AB123" s="301"/>
      <c r="AC123" s="301"/>
      <c r="AD123" s="301"/>
      <c r="AE123" s="301"/>
    </row>
    <row r="124" spans="2:31" ht="14.5">
      <c r="B124" s="406">
        <f t="shared" si="5"/>
        <v>79</v>
      </c>
      <c r="C124" s="414" t="str" cm="1">
        <f t="array" aca="1" ref="C124" ca="1">IF(B124&lt;=$C$9,GetGetCDSName(B124),"")</f>
        <v>PEARSON_MMR.EUR.SU</v>
      </c>
      <c r="D124" s="374">
        <v>0</v>
      </c>
      <c r="E124" s="407">
        <v>0</v>
      </c>
      <c r="F124" s="326">
        <v>0</v>
      </c>
      <c r="G124" s="326">
        <v>1</v>
      </c>
      <c r="H124" s="326">
        <v>0</v>
      </c>
      <c r="I124" s="326">
        <v>0</v>
      </c>
      <c r="J124" s="326">
        <v>1</v>
      </c>
      <c r="K124" s="326"/>
      <c r="L124" s="326"/>
      <c r="M124" s="326"/>
      <c r="N124" s="408"/>
      <c r="O124" s="301"/>
      <c r="P124" s="301"/>
      <c r="Q124" s="301"/>
      <c r="R124" s="301"/>
      <c r="S124" s="301"/>
      <c r="T124" s="301"/>
      <c r="U124" s="301"/>
      <c r="V124" s="301"/>
      <c r="W124" s="301"/>
      <c r="X124" s="301"/>
      <c r="Y124" s="301"/>
      <c r="Z124" s="301"/>
      <c r="AA124" s="301"/>
      <c r="AB124" s="301"/>
      <c r="AC124" s="301"/>
      <c r="AD124" s="301"/>
      <c r="AE124" s="301"/>
    </row>
    <row r="125" spans="2:31" ht="14.5">
      <c r="B125" s="406">
        <f t="shared" si="5"/>
        <v>80</v>
      </c>
      <c r="C125" s="414" t="str" cm="1">
        <f t="array" aca="1" ref="C125" ca="1">IF(B125&lt;=$C$9,GetGetCDSName(B125),"")</f>
        <v>PEUGEOT_MMR.EUR.SU</v>
      </c>
      <c r="D125" s="374">
        <v>0</v>
      </c>
      <c r="E125" s="407">
        <v>1</v>
      </c>
      <c r="F125" s="326">
        <v>1</v>
      </c>
      <c r="G125" s="326">
        <v>0</v>
      </c>
      <c r="H125" s="326">
        <v>0</v>
      </c>
      <c r="I125" s="326">
        <v>0</v>
      </c>
      <c r="J125" s="326">
        <v>0</v>
      </c>
      <c r="K125" s="326"/>
      <c r="L125" s="326"/>
      <c r="M125" s="326"/>
      <c r="N125" s="408"/>
      <c r="O125" s="301"/>
      <c r="P125" s="301"/>
      <c r="Q125" s="301"/>
      <c r="R125" s="301"/>
      <c r="S125" s="301"/>
      <c r="T125" s="301"/>
      <c r="U125" s="301"/>
      <c r="V125" s="301"/>
      <c r="W125" s="301"/>
      <c r="X125" s="301"/>
      <c r="Y125" s="301"/>
      <c r="Z125" s="301"/>
      <c r="AA125" s="301"/>
      <c r="AB125" s="301"/>
      <c r="AC125" s="301"/>
      <c r="AD125" s="301"/>
      <c r="AE125" s="301"/>
    </row>
    <row r="126" spans="2:31" ht="14.5">
      <c r="B126" s="406">
        <f t="shared" si="5"/>
        <v>81</v>
      </c>
      <c r="C126" s="414" t="str" cm="1">
        <f t="array" aca="1" ref="C126" ca="1">IF(B126&lt;=$C$9,GetGetCDSName(B126),"")</f>
        <v>PHILIPSELEC_MMR.EUR.SU</v>
      </c>
      <c r="D126" s="374">
        <v>0</v>
      </c>
      <c r="E126" s="407">
        <v>0</v>
      </c>
      <c r="F126" s="326">
        <v>0</v>
      </c>
      <c r="G126" s="326">
        <v>0</v>
      </c>
      <c r="H126" s="326">
        <v>1</v>
      </c>
      <c r="I126" s="326">
        <v>0</v>
      </c>
      <c r="J126" s="326">
        <v>1</v>
      </c>
      <c r="K126" s="326"/>
      <c r="L126" s="326"/>
      <c r="M126" s="326"/>
      <c r="N126" s="408"/>
      <c r="O126" s="301"/>
      <c r="P126" s="301"/>
      <c r="Q126" s="301"/>
      <c r="R126" s="301"/>
      <c r="S126" s="301"/>
      <c r="T126" s="301"/>
      <c r="U126" s="301"/>
      <c r="V126" s="301"/>
      <c r="W126" s="301"/>
      <c r="X126" s="301"/>
      <c r="Y126" s="301"/>
      <c r="Z126" s="301"/>
      <c r="AA126" s="301"/>
      <c r="AB126" s="301"/>
      <c r="AC126" s="301"/>
      <c r="AD126" s="301"/>
      <c r="AE126" s="301"/>
    </row>
    <row r="127" spans="2:31" ht="14.5">
      <c r="B127" s="406">
        <f t="shared" si="5"/>
        <v>82</v>
      </c>
      <c r="C127" s="414" t="str" cm="1">
        <f t="array" aca="1" ref="C127" ca="1">IF(B127&lt;=$C$9,GetGetCDSName(B127),"")</f>
        <v>PINAULTPRINTEMPS_MMR.EUR.SU</v>
      </c>
      <c r="D127" s="374">
        <v>0</v>
      </c>
      <c r="E127" s="407">
        <v>0</v>
      </c>
      <c r="F127" s="326">
        <v>0</v>
      </c>
      <c r="G127" s="326">
        <v>1</v>
      </c>
      <c r="H127" s="326">
        <v>1</v>
      </c>
      <c r="I127" s="326">
        <v>0</v>
      </c>
      <c r="J127" s="326">
        <v>0</v>
      </c>
      <c r="K127" s="326"/>
      <c r="L127" s="326"/>
      <c r="M127" s="326"/>
      <c r="N127" s="408"/>
      <c r="O127" s="301"/>
      <c r="P127" s="301"/>
      <c r="Q127" s="301"/>
      <c r="R127" s="301"/>
      <c r="S127" s="301"/>
      <c r="T127" s="301"/>
      <c r="U127" s="301"/>
      <c r="V127" s="301"/>
      <c r="W127" s="301"/>
      <c r="X127" s="301"/>
      <c r="Y127" s="301"/>
      <c r="Z127" s="301"/>
      <c r="AA127" s="301"/>
      <c r="AB127" s="301"/>
      <c r="AC127" s="301"/>
      <c r="AD127" s="301"/>
      <c r="AE127" s="301"/>
    </row>
    <row r="128" spans="2:31" ht="14.5">
      <c r="B128" s="406">
        <f t="shared" si="5"/>
        <v>83</v>
      </c>
      <c r="C128" s="414" t="str" cm="1">
        <f t="array" aca="1" ref="C128" ca="1">IF(B128&lt;=$C$9,GetGetCDSName(B128),"")</f>
        <v>PORTUGALTELECOM_MMR.EUR.SU</v>
      </c>
      <c r="D128" s="374">
        <v>0</v>
      </c>
      <c r="E128" s="407">
        <v>0</v>
      </c>
      <c r="F128" s="326">
        <v>0</v>
      </c>
      <c r="G128" s="326">
        <v>1</v>
      </c>
      <c r="H128" s="326">
        <v>0</v>
      </c>
      <c r="I128" s="326">
        <v>1</v>
      </c>
      <c r="J128" s="326">
        <v>1</v>
      </c>
      <c r="K128" s="326"/>
      <c r="L128" s="326"/>
      <c r="M128" s="326"/>
      <c r="N128" s="408"/>
      <c r="O128" s="301"/>
      <c r="P128" s="301"/>
      <c r="Q128" s="301"/>
      <c r="R128" s="301"/>
      <c r="S128" s="301"/>
      <c r="T128" s="301"/>
      <c r="U128" s="301"/>
      <c r="V128" s="301"/>
      <c r="W128" s="301"/>
      <c r="X128" s="301"/>
      <c r="Y128" s="301"/>
      <c r="Z128" s="301"/>
      <c r="AA128" s="301"/>
      <c r="AB128" s="301"/>
      <c r="AC128" s="301"/>
      <c r="AD128" s="301"/>
      <c r="AE128" s="301"/>
    </row>
    <row r="129" spans="2:31" ht="14.5">
      <c r="B129" s="406">
        <f t="shared" si="5"/>
        <v>84</v>
      </c>
      <c r="C129" s="414" t="str" cm="1">
        <f t="array" aca="1" ref="C129" ca="1">IF(B129&lt;=$C$9,GetGetCDSName(B129),"")</f>
        <v>REEDELSEVIER_MMR.EUR.SU</v>
      </c>
      <c r="D129" s="374">
        <v>0</v>
      </c>
      <c r="E129" s="407">
        <v>1</v>
      </c>
      <c r="F129" s="326">
        <v>0</v>
      </c>
      <c r="G129" s="326">
        <v>1</v>
      </c>
      <c r="H129" s="326">
        <v>1</v>
      </c>
      <c r="I129" s="326">
        <v>0</v>
      </c>
      <c r="J129" s="326">
        <v>0</v>
      </c>
      <c r="K129" s="326"/>
      <c r="L129" s="326"/>
      <c r="M129" s="326"/>
      <c r="N129" s="408"/>
      <c r="O129" s="301"/>
      <c r="P129" s="301"/>
      <c r="Q129" s="301"/>
      <c r="R129" s="301"/>
      <c r="S129" s="301"/>
      <c r="T129" s="301"/>
      <c r="U129" s="301"/>
      <c r="V129" s="301"/>
      <c r="W129" s="301"/>
      <c r="X129" s="301"/>
      <c r="Y129" s="301"/>
      <c r="Z129" s="301"/>
      <c r="AA129" s="301"/>
      <c r="AB129" s="301"/>
      <c r="AC129" s="301"/>
      <c r="AD129" s="301"/>
      <c r="AE129" s="301"/>
    </row>
    <row r="130" spans="2:31" ht="14.5">
      <c r="B130" s="406">
        <f t="shared" si="5"/>
        <v>85</v>
      </c>
      <c r="C130" s="414" t="str" cm="1">
        <f t="array" aca="1" ref="C130" ca="1">IF(B130&lt;=$C$9,GetGetCDSName(B130),"")</f>
        <v>RENAULT_MMR.EUR.SU</v>
      </c>
      <c r="D130" s="374">
        <v>0</v>
      </c>
      <c r="E130" s="407">
        <v>0</v>
      </c>
      <c r="F130" s="326">
        <v>1</v>
      </c>
      <c r="G130" s="326">
        <v>0</v>
      </c>
      <c r="H130" s="326">
        <v>0</v>
      </c>
      <c r="I130" s="326">
        <v>1</v>
      </c>
      <c r="J130" s="326">
        <v>0</v>
      </c>
      <c r="K130" s="326"/>
      <c r="L130" s="326"/>
      <c r="M130" s="326"/>
      <c r="N130" s="408"/>
      <c r="O130" s="301"/>
      <c r="P130" s="301"/>
      <c r="Q130" s="301"/>
      <c r="R130" s="301"/>
      <c r="S130" s="301"/>
      <c r="T130" s="301"/>
      <c r="U130" s="301"/>
      <c r="V130" s="301"/>
      <c r="W130" s="301"/>
      <c r="X130" s="301"/>
      <c r="Y130" s="301"/>
      <c r="Z130" s="301"/>
      <c r="AA130" s="301"/>
      <c r="AB130" s="301"/>
      <c r="AC130" s="301"/>
      <c r="AD130" s="301"/>
      <c r="AE130" s="301"/>
    </row>
    <row r="131" spans="2:31" ht="14.5">
      <c r="B131" s="406">
        <f t="shared" si="5"/>
        <v>86</v>
      </c>
      <c r="C131" s="414" t="str" cm="1">
        <f t="array" aca="1" ref="C131" ca="1">IF(B131&lt;=$C$9,GetGetCDSName(B131),"")</f>
        <v>REPSOL_MMR.EUR.SU</v>
      </c>
      <c r="D131" s="374">
        <v>0</v>
      </c>
      <c r="E131" s="407">
        <v>1</v>
      </c>
      <c r="F131" s="326">
        <v>0</v>
      </c>
      <c r="G131" s="326">
        <v>1</v>
      </c>
      <c r="H131" s="326">
        <v>0</v>
      </c>
      <c r="I131" s="326">
        <v>0</v>
      </c>
      <c r="J131" s="326">
        <v>0</v>
      </c>
      <c r="K131" s="326"/>
      <c r="L131" s="326"/>
      <c r="M131" s="326"/>
      <c r="N131" s="408"/>
      <c r="O131" s="301"/>
      <c r="P131" s="301"/>
      <c r="Q131" s="301"/>
      <c r="R131" s="301"/>
      <c r="S131" s="301"/>
      <c r="T131" s="301"/>
      <c r="U131" s="301"/>
      <c r="V131" s="301"/>
      <c r="W131" s="301"/>
      <c r="X131" s="301"/>
      <c r="Y131" s="301"/>
      <c r="Z131" s="301"/>
      <c r="AA131" s="301"/>
      <c r="AB131" s="301"/>
      <c r="AC131" s="301"/>
      <c r="AD131" s="301"/>
      <c r="AE131" s="301"/>
    </row>
    <row r="132" spans="2:31" ht="14.5">
      <c r="B132" s="406">
        <f t="shared" si="5"/>
        <v>87</v>
      </c>
      <c r="C132" s="414" t="str" cm="1">
        <f t="array" aca="1" ref="C132" ca="1">IF(B132&lt;=$C$9,GetGetCDSName(B132),"")</f>
        <v>REUTERS_MMR.EUR.SU</v>
      </c>
      <c r="D132" s="374">
        <v>0</v>
      </c>
      <c r="E132" s="407">
        <v>1</v>
      </c>
      <c r="F132" s="326">
        <v>0</v>
      </c>
      <c r="G132" s="326">
        <v>0</v>
      </c>
      <c r="H132" s="326">
        <v>1</v>
      </c>
      <c r="I132" s="326">
        <v>0</v>
      </c>
      <c r="J132" s="326">
        <v>0</v>
      </c>
      <c r="K132" s="326"/>
      <c r="L132" s="326"/>
      <c r="M132" s="326"/>
      <c r="N132" s="408"/>
      <c r="O132" s="301"/>
      <c r="P132" s="301"/>
      <c r="Q132" s="301"/>
      <c r="R132" s="301"/>
      <c r="S132" s="301"/>
      <c r="T132" s="301"/>
      <c r="U132" s="301"/>
      <c r="V132" s="301"/>
      <c r="W132" s="301"/>
      <c r="X132" s="301"/>
      <c r="Y132" s="301"/>
      <c r="Z132" s="301"/>
      <c r="AA132" s="301"/>
      <c r="AB132" s="301"/>
      <c r="AC132" s="301"/>
      <c r="AD132" s="301"/>
      <c r="AE132" s="301"/>
    </row>
    <row r="133" spans="2:31" ht="14.5">
      <c r="B133" s="406">
        <f t="shared" si="5"/>
        <v>88</v>
      </c>
      <c r="C133" s="414" t="str" cm="1">
        <f t="array" aca="1" ref="C133" ca="1">IF(B133&lt;=$C$9,GetGetCDSName(B133),"")</f>
        <v>ROYALBANKSCOTLAND_MMR.EUR.SU</v>
      </c>
      <c r="D133" s="374">
        <v>0</v>
      </c>
      <c r="E133" s="407">
        <v>0</v>
      </c>
      <c r="F133" s="326">
        <v>0</v>
      </c>
      <c r="G133" s="326">
        <v>1</v>
      </c>
      <c r="H133" s="326">
        <v>1</v>
      </c>
      <c r="I133" s="326">
        <v>1</v>
      </c>
      <c r="J133" s="326">
        <v>0</v>
      </c>
      <c r="K133" s="326"/>
      <c r="L133" s="326"/>
      <c r="M133" s="326"/>
      <c r="N133" s="408"/>
      <c r="O133" s="301"/>
      <c r="P133" s="301"/>
      <c r="Q133" s="301"/>
      <c r="R133" s="301"/>
      <c r="S133" s="301"/>
      <c r="T133" s="301"/>
      <c r="U133" s="301"/>
      <c r="V133" s="301"/>
      <c r="W133" s="301"/>
      <c r="X133" s="301"/>
      <c r="Y133" s="301"/>
      <c r="Z133" s="301"/>
      <c r="AA133" s="301"/>
      <c r="AB133" s="301"/>
      <c r="AC133" s="301"/>
      <c r="AD133" s="301"/>
      <c r="AE133" s="301"/>
    </row>
    <row r="134" spans="2:31" ht="14.5">
      <c r="B134" s="406">
        <f t="shared" si="5"/>
        <v>89</v>
      </c>
      <c r="C134" s="414" t="str" cm="1">
        <f t="array" aca="1" ref="C134" ca="1">IF(B134&lt;=$C$9,GetGetCDSName(B134),"")</f>
        <v>RWE_MMR.EUR.SU</v>
      </c>
      <c r="D134" s="374">
        <v>0</v>
      </c>
      <c r="E134" s="407">
        <v>0</v>
      </c>
      <c r="F134" s="326">
        <v>0</v>
      </c>
      <c r="G134" s="326">
        <v>0</v>
      </c>
      <c r="H134" s="326">
        <v>1</v>
      </c>
      <c r="I134" s="326">
        <v>1</v>
      </c>
      <c r="J134" s="326">
        <v>0</v>
      </c>
      <c r="K134" s="326"/>
      <c r="L134" s="326"/>
      <c r="M134" s="326"/>
      <c r="N134" s="408"/>
      <c r="O134" s="301"/>
      <c r="P134" s="301"/>
      <c r="Q134" s="301"/>
      <c r="R134" s="301"/>
      <c r="S134" s="301"/>
      <c r="T134" s="301"/>
      <c r="U134" s="301"/>
      <c r="V134" s="301"/>
      <c r="W134" s="301"/>
      <c r="X134" s="301"/>
      <c r="Y134" s="301"/>
      <c r="Z134" s="301"/>
      <c r="AA134" s="301"/>
      <c r="AB134" s="301"/>
      <c r="AC134" s="301"/>
      <c r="AD134" s="301"/>
      <c r="AE134" s="301"/>
    </row>
    <row r="135" spans="2:31" ht="14.5">
      <c r="B135" s="406">
        <f t="shared" si="5"/>
        <v>90</v>
      </c>
      <c r="C135" s="414" t="str" cm="1">
        <f t="array" aca="1" ref="C135" ca="1">IF(B135&lt;=$C$9,GetGetCDSName(B135),"")</f>
        <v>SAFEWAYPLC_MMR.EUR.SU</v>
      </c>
      <c r="D135" s="374">
        <v>0</v>
      </c>
      <c r="E135" s="407">
        <v>0</v>
      </c>
      <c r="F135" s="326">
        <v>1</v>
      </c>
      <c r="G135" s="326">
        <v>0</v>
      </c>
      <c r="H135" s="326">
        <v>1</v>
      </c>
      <c r="I135" s="326">
        <v>0</v>
      </c>
      <c r="J135" s="326">
        <v>0</v>
      </c>
      <c r="K135" s="326"/>
      <c r="L135" s="326"/>
      <c r="M135" s="326"/>
      <c r="N135" s="408"/>
      <c r="O135" s="301"/>
      <c r="P135" s="301"/>
      <c r="Q135" s="301"/>
      <c r="R135" s="301"/>
      <c r="S135" s="301"/>
      <c r="T135" s="301"/>
      <c r="U135" s="301"/>
      <c r="V135" s="301"/>
      <c r="W135" s="301"/>
      <c r="X135" s="301"/>
      <c r="Y135" s="301"/>
      <c r="Z135" s="301"/>
      <c r="AA135" s="301"/>
      <c r="AB135" s="301"/>
      <c r="AC135" s="301"/>
      <c r="AD135" s="301"/>
      <c r="AE135" s="301"/>
    </row>
    <row r="136" spans="2:31" ht="14.5">
      <c r="B136" s="406">
        <f t="shared" si="5"/>
        <v>91</v>
      </c>
      <c r="C136" s="414" t="str" cm="1">
        <f t="array" aca="1" ref="C136" ca="1">IF(B136&lt;=$C$9,GetGetCDSName(B136),"")</f>
        <v>SANOFIAVENTIS_MMR.EUR.SU</v>
      </c>
      <c r="D136" s="374">
        <v>0</v>
      </c>
      <c r="E136" s="407">
        <v>0</v>
      </c>
      <c r="F136" s="326">
        <v>1</v>
      </c>
      <c r="G136" s="326">
        <v>1</v>
      </c>
      <c r="H136" s="326">
        <v>0</v>
      </c>
      <c r="I136" s="326">
        <v>0</v>
      </c>
      <c r="J136" s="326">
        <v>1</v>
      </c>
      <c r="K136" s="326"/>
      <c r="L136" s="326"/>
      <c r="M136" s="326"/>
      <c r="N136" s="408"/>
      <c r="O136" s="301"/>
      <c r="P136" s="301"/>
      <c r="Q136" s="301"/>
      <c r="R136" s="301"/>
      <c r="S136" s="301"/>
      <c r="T136" s="301"/>
      <c r="U136" s="301"/>
      <c r="V136" s="301"/>
      <c r="W136" s="301"/>
      <c r="X136" s="301"/>
      <c r="Y136" s="301"/>
      <c r="Z136" s="301"/>
      <c r="AA136" s="301"/>
      <c r="AB136" s="301"/>
      <c r="AC136" s="301"/>
      <c r="AD136" s="301"/>
      <c r="AE136" s="301"/>
    </row>
    <row r="137" spans="2:31" ht="14.5">
      <c r="B137" s="406">
        <f t="shared" si="5"/>
        <v>92</v>
      </c>
      <c r="C137" s="414" t="str" cm="1">
        <f t="array" aca="1" ref="C137" ca="1">IF(B137&lt;=$C$9,GetGetCDSName(B137),"")</f>
        <v>SIEMENS_MMR.EUR.SU</v>
      </c>
      <c r="D137" s="374">
        <v>0</v>
      </c>
      <c r="E137" s="407">
        <v>0</v>
      </c>
      <c r="F137" s="326">
        <v>1</v>
      </c>
      <c r="G137" s="326">
        <v>0</v>
      </c>
      <c r="H137" s="326">
        <v>0</v>
      </c>
      <c r="I137" s="326">
        <v>1</v>
      </c>
      <c r="J137" s="326">
        <v>1</v>
      </c>
      <c r="K137" s="326"/>
      <c r="L137" s="326"/>
      <c r="M137" s="326"/>
      <c r="N137" s="408"/>
      <c r="O137" s="301"/>
      <c r="P137" s="301"/>
      <c r="Q137" s="301"/>
      <c r="R137" s="301"/>
      <c r="S137" s="301"/>
      <c r="T137" s="301"/>
      <c r="U137" s="301"/>
      <c r="V137" s="301"/>
      <c r="W137" s="301"/>
      <c r="X137" s="301"/>
      <c r="Y137" s="301"/>
      <c r="Z137" s="301"/>
      <c r="AA137" s="301"/>
      <c r="AB137" s="301"/>
      <c r="AC137" s="301"/>
      <c r="AD137" s="301"/>
      <c r="AE137" s="301"/>
    </row>
    <row r="138" spans="2:31" ht="14.5">
      <c r="B138" s="406">
        <f t="shared" si="5"/>
        <v>93</v>
      </c>
      <c r="C138" s="414" t="str" cm="1">
        <f t="array" aca="1" ref="C138" ca="1">IF(B138&lt;=$C$9,GetGetCDSName(B138),"")</f>
        <v>SODEXHOALLIANCE_MMR.EUR.SU</v>
      </c>
      <c r="D138" s="374">
        <v>0</v>
      </c>
      <c r="E138" s="407">
        <v>1</v>
      </c>
      <c r="F138" s="326">
        <v>1</v>
      </c>
      <c r="G138" s="326">
        <v>0</v>
      </c>
      <c r="H138" s="326">
        <v>0</v>
      </c>
      <c r="I138" s="326">
        <v>1</v>
      </c>
      <c r="J138" s="326">
        <v>0</v>
      </c>
      <c r="K138" s="326"/>
      <c r="L138" s="326"/>
      <c r="M138" s="326"/>
      <c r="N138" s="408"/>
      <c r="O138" s="301"/>
      <c r="P138" s="301"/>
      <c r="Q138" s="301"/>
      <c r="R138" s="301"/>
      <c r="S138" s="301"/>
      <c r="T138" s="301"/>
      <c r="U138" s="301"/>
      <c r="V138" s="301"/>
      <c r="W138" s="301"/>
      <c r="X138" s="301"/>
      <c r="Y138" s="301"/>
      <c r="Z138" s="301"/>
      <c r="AA138" s="301"/>
      <c r="AB138" s="301"/>
      <c r="AC138" s="301"/>
      <c r="AD138" s="301"/>
      <c r="AE138" s="301"/>
    </row>
    <row r="139" spans="2:31" ht="14.5">
      <c r="B139" s="406">
        <f t="shared" si="5"/>
        <v>94</v>
      </c>
      <c r="C139" s="414" t="str" cm="1">
        <f t="array" aca="1" ref="C139" ca="1">IF(B139&lt;=$C$9,GetGetCDSName(B139),"")</f>
        <v>SOLVAY_MMR.EUR.SU</v>
      </c>
      <c r="D139" s="374">
        <v>0</v>
      </c>
      <c r="E139" s="407">
        <v>1</v>
      </c>
      <c r="F139" s="326">
        <v>0</v>
      </c>
      <c r="G139" s="326">
        <v>0</v>
      </c>
      <c r="H139" s="326">
        <v>0</v>
      </c>
      <c r="I139" s="326">
        <v>1</v>
      </c>
      <c r="J139" s="326">
        <v>0</v>
      </c>
      <c r="K139" s="326"/>
      <c r="L139" s="326"/>
      <c r="M139" s="326"/>
      <c r="N139" s="408"/>
      <c r="O139" s="301"/>
      <c r="P139" s="301"/>
      <c r="Q139" s="301"/>
      <c r="R139" s="301"/>
      <c r="S139" s="301"/>
      <c r="T139" s="301"/>
      <c r="U139" s="301"/>
      <c r="V139" s="301"/>
      <c r="W139" s="301"/>
      <c r="X139" s="301"/>
      <c r="Y139" s="301"/>
      <c r="Z139" s="301"/>
      <c r="AA139" s="301"/>
      <c r="AB139" s="301"/>
      <c r="AC139" s="301"/>
      <c r="AD139" s="301"/>
      <c r="AE139" s="301"/>
    </row>
    <row r="140" spans="2:31" ht="14.5">
      <c r="B140" s="406">
        <f t="shared" si="5"/>
        <v>95</v>
      </c>
      <c r="C140" s="414" t="str" cm="1">
        <f t="array" aca="1" ref="C140" ca="1">IF(B140&lt;=$C$9,GetGetCDSName(B140),"")</f>
        <v>STGOBAIN_MMR.EUR.SU</v>
      </c>
      <c r="D140" s="374">
        <v>0</v>
      </c>
      <c r="E140" s="407">
        <v>1</v>
      </c>
      <c r="F140" s="326">
        <v>1</v>
      </c>
      <c r="G140" s="326">
        <v>0</v>
      </c>
      <c r="H140" s="326">
        <v>0</v>
      </c>
      <c r="I140" s="326">
        <v>1</v>
      </c>
      <c r="J140" s="326">
        <v>0</v>
      </c>
      <c r="K140" s="326"/>
      <c r="L140" s="326"/>
      <c r="M140" s="326"/>
      <c r="N140" s="408"/>
      <c r="O140" s="301"/>
      <c r="P140" s="301"/>
      <c r="Q140" s="301"/>
      <c r="R140" s="301"/>
      <c r="S140" s="301"/>
      <c r="T140" s="301"/>
      <c r="U140" s="301"/>
      <c r="V140" s="301"/>
      <c r="W140" s="301"/>
      <c r="X140" s="301"/>
      <c r="Y140" s="301"/>
      <c r="Z140" s="301"/>
      <c r="AA140" s="301"/>
      <c r="AB140" s="301"/>
      <c r="AC140" s="301"/>
      <c r="AD140" s="301"/>
      <c r="AE140" s="301"/>
    </row>
    <row r="141" spans="2:31" ht="14.5">
      <c r="B141" s="406">
        <f t="shared" si="5"/>
        <v>96</v>
      </c>
      <c r="C141" s="414" t="str" cm="1">
        <f t="array" aca="1" ref="C141" ca="1">IF(B141&lt;=$C$9,GetGetCDSName(B141),"")</f>
        <v>STMICRO_MMR.EUR.SU</v>
      </c>
      <c r="D141" s="374">
        <v>0</v>
      </c>
      <c r="E141" s="407">
        <v>0</v>
      </c>
      <c r="F141" s="326">
        <v>0</v>
      </c>
      <c r="G141" s="326">
        <v>0</v>
      </c>
      <c r="H141" s="326">
        <v>0</v>
      </c>
      <c r="I141" s="326">
        <v>0</v>
      </c>
      <c r="J141" s="326">
        <v>1</v>
      </c>
      <c r="K141" s="326"/>
      <c r="L141" s="326"/>
      <c r="M141" s="326"/>
      <c r="N141" s="408"/>
      <c r="O141" s="301"/>
      <c r="P141" s="301"/>
      <c r="Q141" s="301"/>
      <c r="R141" s="301"/>
      <c r="S141" s="301"/>
      <c r="T141" s="301"/>
      <c r="U141" s="301"/>
      <c r="V141" s="301"/>
      <c r="W141" s="301"/>
      <c r="X141" s="301"/>
      <c r="Y141" s="301"/>
      <c r="Z141" s="301"/>
      <c r="AA141" s="301"/>
      <c r="AB141" s="301"/>
      <c r="AC141" s="301"/>
      <c r="AD141" s="301"/>
      <c r="AE141" s="301"/>
    </row>
    <row r="142" spans="2:31" ht="14.5">
      <c r="B142" s="406">
        <f t="shared" si="5"/>
        <v>97</v>
      </c>
      <c r="C142" s="414" t="str" cm="1">
        <f t="array" aca="1" ref="C142" ca="1">IF(B142&lt;=$C$9,GetGetCDSName(B142),"")</f>
        <v>SUEDZUCKERAG_MMR.EUR.SU</v>
      </c>
      <c r="D142" s="374">
        <v>0</v>
      </c>
      <c r="E142" s="407">
        <v>1</v>
      </c>
      <c r="F142" s="326">
        <v>0</v>
      </c>
      <c r="G142" s="326">
        <v>0</v>
      </c>
      <c r="H142" s="326">
        <v>0</v>
      </c>
      <c r="I142" s="326">
        <v>0</v>
      </c>
      <c r="J142" s="326">
        <v>0</v>
      </c>
      <c r="K142" s="326"/>
      <c r="L142" s="326"/>
      <c r="M142" s="326"/>
      <c r="N142" s="408"/>
      <c r="O142" s="301"/>
      <c r="P142" s="301"/>
      <c r="Q142" s="301"/>
      <c r="R142" s="301"/>
      <c r="S142" s="301"/>
      <c r="T142" s="301"/>
      <c r="U142" s="301"/>
      <c r="V142" s="301"/>
      <c r="W142" s="301"/>
      <c r="X142" s="301"/>
      <c r="Y142" s="301"/>
      <c r="Z142" s="301"/>
      <c r="AA142" s="301"/>
      <c r="AB142" s="301"/>
      <c r="AC142" s="301"/>
      <c r="AD142" s="301"/>
      <c r="AE142" s="301"/>
    </row>
    <row r="143" spans="2:31" ht="14.5">
      <c r="B143" s="406">
        <f t="shared" si="5"/>
        <v>98</v>
      </c>
      <c r="C143" s="414" t="str" cm="1">
        <f t="array" aca="1" ref="C143" ca="1">IF(B143&lt;=$C$9,GetGetCDSName(B143),"")</f>
        <v>SUEZLYONNAISE_MMR.EUR.SU</v>
      </c>
      <c r="D143" s="374">
        <v>0</v>
      </c>
      <c r="E143" s="407">
        <v>0</v>
      </c>
      <c r="F143" s="326">
        <v>0</v>
      </c>
      <c r="G143" s="326">
        <v>1</v>
      </c>
      <c r="H143" s="326">
        <v>0</v>
      </c>
      <c r="I143" s="326">
        <v>0</v>
      </c>
      <c r="J143" s="326">
        <v>0</v>
      </c>
      <c r="K143" s="326"/>
      <c r="L143" s="326"/>
      <c r="M143" s="326"/>
      <c r="N143" s="408"/>
      <c r="O143" s="301"/>
      <c r="P143" s="301"/>
      <c r="Q143" s="301"/>
      <c r="R143" s="301"/>
      <c r="S143" s="301"/>
      <c r="T143" s="301"/>
      <c r="U143" s="301"/>
      <c r="V143" s="301"/>
      <c r="W143" s="301"/>
      <c r="X143" s="301"/>
      <c r="Y143" s="301"/>
      <c r="Z143" s="301"/>
      <c r="AA143" s="301"/>
      <c r="AB143" s="301"/>
      <c r="AC143" s="301"/>
      <c r="AD143" s="301"/>
      <c r="AE143" s="301"/>
    </row>
    <row r="144" spans="2:31" ht="14.5">
      <c r="B144" s="406">
        <f t="shared" si="5"/>
        <v>99</v>
      </c>
      <c r="C144" s="414" t="str" cm="1">
        <f t="array" aca="1" ref="C144" ca="1">IF(B144&lt;=$C$9,GetGetCDSName(B144),"")</f>
        <v>SVENSKACELLULOSAAB_MMR.EUR.SU</v>
      </c>
      <c r="D144" s="374">
        <v>0</v>
      </c>
      <c r="E144" s="407">
        <v>0</v>
      </c>
      <c r="F144" s="326">
        <v>0</v>
      </c>
      <c r="G144" s="326">
        <v>0</v>
      </c>
      <c r="H144" s="326">
        <v>0</v>
      </c>
      <c r="I144" s="326">
        <v>1</v>
      </c>
      <c r="J144" s="326">
        <v>0</v>
      </c>
      <c r="K144" s="326"/>
      <c r="L144" s="326"/>
      <c r="M144" s="326"/>
      <c r="N144" s="408"/>
      <c r="O144" s="301"/>
      <c r="P144" s="301"/>
      <c r="Q144" s="301"/>
      <c r="R144" s="301"/>
      <c r="S144" s="301"/>
      <c r="T144" s="301"/>
      <c r="U144" s="301"/>
      <c r="V144" s="301"/>
      <c r="W144" s="301"/>
      <c r="X144" s="301"/>
      <c r="Y144" s="301"/>
      <c r="Z144" s="301"/>
      <c r="AA144" s="301"/>
      <c r="AB144" s="301"/>
      <c r="AC144" s="301"/>
      <c r="AD144" s="301"/>
      <c r="AE144" s="301"/>
    </row>
    <row r="145" spans="2:31" ht="14.5">
      <c r="B145" s="406">
        <f t="shared" si="5"/>
        <v>100</v>
      </c>
      <c r="C145" s="414" t="str" cm="1">
        <f t="array" aca="1" ref="C145" ca="1">IF(B145&lt;=$C$9,GetGetCDSName(B145),"")</f>
        <v>SWISSRE_MMR.EUR.SU</v>
      </c>
      <c r="D145" s="374">
        <v>0</v>
      </c>
      <c r="E145" s="407">
        <v>0</v>
      </c>
      <c r="F145" s="326">
        <v>0</v>
      </c>
      <c r="G145" s="326">
        <v>1</v>
      </c>
      <c r="H145" s="326">
        <v>0</v>
      </c>
      <c r="I145" s="326">
        <v>1</v>
      </c>
      <c r="J145" s="326">
        <v>1</v>
      </c>
      <c r="K145" s="326"/>
      <c r="L145" s="326"/>
      <c r="M145" s="326"/>
      <c r="N145" s="408"/>
      <c r="O145" s="301"/>
      <c r="P145" s="301"/>
      <c r="Q145" s="301"/>
      <c r="R145" s="301"/>
      <c r="S145" s="301"/>
      <c r="T145" s="301"/>
      <c r="U145" s="301"/>
      <c r="V145" s="301"/>
      <c r="W145" s="301"/>
      <c r="X145" s="301"/>
      <c r="Y145" s="301"/>
      <c r="Z145" s="301"/>
      <c r="AA145" s="301"/>
      <c r="AB145" s="301"/>
      <c r="AC145" s="301"/>
      <c r="AD145" s="301"/>
      <c r="AE145" s="301"/>
    </row>
    <row r="146" spans="2:31" ht="14.5">
      <c r="B146" s="406">
        <f t="shared" si="5"/>
        <v>101</v>
      </c>
      <c r="C146" s="414" t="str" cm="1">
        <f t="array" aca="1" ref="C146" ca="1">IF(B146&lt;=$C$9,GetGetCDSName(B146),"")</f>
        <v>TATE&amp;LYLE_MMR.EUR.SU</v>
      </c>
      <c r="D146" s="374">
        <v>0</v>
      </c>
      <c r="E146" s="407">
        <v>0</v>
      </c>
      <c r="F146" s="326">
        <v>1</v>
      </c>
      <c r="G146" s="326">
        <v>1</v>
      </c>
      <c r="H146" s="326">
        <v>0</v>
      </c>
      <c r="I146" s="326">
        <v>0</v>
      </c>
      <c r="J146" s="326">
        <v>0</v>
      </c>
      <c r="K146" s="326"/>
      <c r="L146" s="326"/>
      <c r="M146" s="326"/>
      <c r="N146" s="408"/>
      <c r="O146" s="301"/>
      <c r="P146" s="301"/>
      <c r="Q146" s="301"/>
      <c r="R146" s="301"/>
      <c r="S146" s="301"/>
      <c r="T146" s="301"/>
      <c r="U146" s="301"/>
      <c r="V146" s="301"/>
      <c r="W146" s="301"/>
      <c r="X146" s="301"/>
      <c r="Y146" s="301"/>
      <c r="Z146" s="301"/>
      <c r="AA146" s="301"/>
      <c r="AB146" s="301"/>
      <c r="AC146" s="301"/>
      <c r="AD146" s="301"/>
      <c r="AE146" s="301"/>
    </row>
    <row r="147" spans="2:31" ht="14.5">
      <c r="B147" s="406">
        <f t="shared" si="5"/>
        <v>102</v>
      </c>
      <c r="C147" s="414" t="str" cm="1">
        <f t="array" aca="1" ref="C147" ca="1">IF(B147&lt;=$C$9,GetGetCDSName(B147),"")</f>
        <v>TELECOMITALIA_MMR.EUR.SU</v>
      </c>
      <c r="D147" s="374">
        <v>0</v>
      </c>
      <c r="E147" s="407">
        <v>1</v>
      </c>
      <c r="F147" s="326">
        <v>1</v>
      </c>
      <c r="G147" s="326">
        <v>0</v>
      </c>
      <c r="H147" s="326">
        <v>0</v>
      </c>
      <c r="I147" s="326">
        <v>0</v>
      </c>
      <c r="J147" s="326">
        <v>0</v>
      </c>
      <c r="K147" s="326"/>
      <c r="L147" s="326"/>
      <c r="M147" s="326"/>
      <c r="N147" s="408"/>
      <c r="O147" s="301"/>
      <c r="P147" s="301"/>
      <c r="Q147" s="301"/>
      <c r="R147" s="301"/>
      <c r="S147" s="301"/>
      <c r="T147" s="301"/>
      <c r="U147" s="301"/>
      <c r="V147" s="301"/>
      <c r="W147" s="301"/>
      <c r="X147" s="301"/>
      <c r="Y147" s="301"/>
      <c r="Z147" s="301"/>
      <c r="AA147" s="301"/>
      <c r="AB147" s="301"/>
      <c r="AC147" s="301"/>
      <c r="AD147" s="301"/>
      <c r="AE147" s="301"/>
    </row>
    <row r="148" spans="2:31" ht="14.5">
      <c r="B148" s="406">
        <f t="shared" si="5"/>
        <v>103</v>
      </c>
      <c r="C148" s="414" t="str" cm="1">
        <f t="array" aca="1" ref="C148" ca="1">IF(B148&lt;=$C$9,GetGetCDSName(B148),"")</f>
        <v>TELEFONICA_MMR.EUR.SU</v>
      </c>
      <c r="D148" s="374">
        <v>0</v>
      </c>
      <c r="E148" s="407">
        <v>0</v>
      </c>
      <c r="F148" s="326">
        <v>0</v>
      </c>
      <c r="G148" s="326">
        <v>0</v>
      </c>
      <c r="H148" s="326">
        <v>1</v>
      </c>
      <c r="I148" s="326">
        <v>0</v>
      </c>
      <c r="J148" s="326">
        <v>0</v>
      </c>
      <c r="K148" s="326"/>
      <c r="L148" s="326"/>
      <c r="M148" s="326"/>
      <c r="N148" s="408"/>
      <c r="O148" s="301"/>
      <c r="P148" s="301"/>
      <c r="Q148" s="301"/>
      <c r="R148" s="301"/>
      <c r="S148" s="301"/>
      <c r="T148" s="301"/>
      <c r="U148" s="301"/>
      <c r="V148" s="301"/>
      <c r="W148" s="301"/>
      <c r="X148" s="301"/>
      <c r="Y148" s="301"/>
      <c r="Z148" s="301"/>
      <c r="AA148" s="301"/>
      <c r="AB148" s="301"/>
      <c r="AC148" s="301"/>
      <c r="AD148" s="301"/>
      <c r="AE148" s="301"/>
    </row>
    <row r="149" spans="2:31" ht="14.5">
      <c r="B149" s="406">
        <f t="shared" si="5"/>
        <v>104</v>
      </c>
      <c r="C149" s="414" t="str" cm="1">
        <f t="array" aca="1" ref="C149" ca="1">IF(B149&lt;=$C$9,GetGetCDSName(B149),"")</f>
        <v>TELEKOMAUSTRIA_MMR.EUR.SU</v>
      </c>
      <c r="D149" s="374">
        <v>0</v>
      </c>
      <c r="E149" s="407">
        <v>0</v>
      </c>
      <c r="F149" s="326">
        <v>0</v>
      </c>
      <c r="G149" s="326">
        <v>0</v>
      </c>
      <c r="H149" s="326">
        <v>0</v>
      </c>
      <c r="I149" s="326">
        <v>0</v>
      </c>
      <c r="J149" s="326">
        <v>1</v>
      </c>
      <c r="K149" s="326"/>
      <c r="L149" s="326"/>
      <c r="M149" s="326"/>
      <c r="N149" s="408"/>
      <c r="O149" s="301"/>
      <c r="P149" s="301"/>
      <c r="Q149" s="301"/>
      <c r="R149" s="301"/>
      <c r="S149" s="301"/>
      <c r="T149" s="301"/>
      <c r="U149" s="301"/>
      <c r="V149" s="301"/>
      <c r="W149" s="301"/>
      <c r="X149" s="301"/>
      <c r="Y149" s="301"/>
      <c r="Z149" s="301"/>
      <c r="AA149" s="301"/>
      <c r="AB149" s="301"/>
      <c r="AC149" s="301"/>
      <c r="AD149" s="301"/>
      <c r="AE149" s="301"/>
    </row>
    <row r="150" spans="2:31" ht="14.5">
      <c r="B150" s="406">
        <f t="shared" si="5"/>
        <v>105</v>
      </c>
      <c r="C150" s="414" t="str" cm="1">
        <f t="array" aca="1" ref="C150" ca="1">IF(B150&lt;=$C$9,GetGetCDSName(B150),"")</f>
        <v>TELENOR_MMR.EUR.SU</v>
      </c>
      <c r="D150" s="374">
        <v>0</v>
      </c>
      <c r="E150" s="407">
        <v>0</v>
      </c>
      <c r="F150" s="326">
        <v>1</v>
      </c>
      <c r="G150" s="326">
        <v>0</v>
      </c>
      <c r="H150" s="326">
        <v>1</v>
      </c>
      <c r="I150" s="326">
        <v>1</v>
      </c>
      <c r="J150" s="326">
        <v>0</v>
      </c>
      <c r="K150" s="326"/>
      <c r="L150" s="326"/>
      <c r="M150" s="326"/>
      <c r="N150" s="408"/>
      <c r="O150" s="301"/>
      <c r="P150" s="301"/>
      <c r="Q150" s="301"/>
      <c r="R150" s="301"/>
      <c r="S150" s="301"/>
      <c r="T150" s="301"/>
      <c r="U150" s="301"/>
      <c r="V150" s="301"/>
      <c r="W150" s="301"/>
      <c r="X150" s="301"/>
      <c r="Y150" s="301"/>
      <c r="Z150" s="301"/>
      <c r="AA150" s="301"/>
      <c r="AB150" s="301"/>
      <c r="AC150" s="301"/>
      <c r="AD150" s="301"/>
      <c r="AE150" s="301"/>
    </row>
    <row r="151" spans="2:31" ht="14.5">
      <c r="B151" s="406">
        <f t="shared" si="5"/>
        <v>106</v>
      </c>
      <c r="C151" s="414" t="str" cm="1">
        <f t="array" aca="1" ref="C151" ca="1">IF(B151&lt;=$C$9,GetGetCDSName(B151),"")</f>
        <v>TELIA_MMR.EUR.SU</v>
      </c>
      <c r="D151" s="374">
        <v>0</v>
      </c>
      <c r="E151" s="407">
        <v>0</v>
      </c>
      <c r="F151" s="326">
        <v>0</v>
      </c>
      <c r="G151" s="326">
        <v>0</v>
      </c>
      <c r="H151" s="326">
        <v>0</v>
      </c>
      <c r="I151" s="326">
        <v>1</v>
      </c>
      <c r="J151" s="326">
        <v>0</v>
      </c>
      <c r="K151" s="326"/>
      <c r="L151" s="326"/>
      <c r="M151" s="326"/>
      <c r="N151" s="408"/>
      <c r="O151" s="301"/>
      <c r="P151" s="301"/>
      <c r="Q151" s="301"/>
      <c r="R151" s="301"/>
      <c r="S151" s="301"/>
      <c r="T151" s="301"/>
      <c r="U151" s="301"/>
      <c r="V151" s="301"/>
      <c r="W151" s="301"/>
      <c r="X151" s="301"/>
      <c r="Y151" s="301"/>
      <c r="Z151" s="301"/>
      <c r="AA151" s="301"/>
      <c r="AB151" s="301"/>
      <c r="AC151" s="301"/>
      <c r="AD151" s="301"/>
      <c r="AE151" s="301"/>
    </row>
    <row r="152" spans="2:31" ht="14.5">
      <c r="B152" s="406">
        <f t="shared" si="5"/>
        <v>107</v>
      </c>
      <c r="C152" s="414" t="str" cm="1">
        <f t="array" aca="1" ref="C152" ca="1">IF(B152&lt;=$C$9,GetGetCDSName(B152),"")</f>
        <v>TESCO_MMR.EUR.SU</v>
      </c>
      <c r="D152" s="374">
        <v>0</v>
      </c>
      <c r="E152" s="407">
        <v>0</v>
      </c>
      <c r="F152" s="326">
        <v>0</v>
      </c>
      <c r="G152" s="326">
        <v>1</v>
      </c>
      <c r="H152" s="326">
        <v>0</v>
      </c>
      <c r="I152" s="326">
        <v>0</v>
      </c>
      <c r="J152" s="326">
        <v>0</v>
      </c>
      <c r="K152" s="326"/>
      <c r="L152" s="326"/>
      <c r="M152" s="326"/>
      <c r="N152" s="408"/>
      <c r="O152" s="301"/>
      <c r="P152" s="301"/>
      <c r="Q152" s="301"/>
      <c r="R152" s="301"/>
      <c r="S152" s="301"/>
      <c r="T152" s="301"/>
      <c r="U152" s="301"/>
      <c r="V152" s="301"/>
      <c r="W152" s="301"/>
      <c r="X152" s="301"/>
      <c r="Y152" s="301"/>
      <c r="Z152" s="301"/>
      <c r="AA152" s="301"/>
      <c r="AB152" s="301"/>
      <c r="AC152" s="301"/>
      <c r="AD152" s="301"/>
      <c r="AE152" s="301"/>
    </row>
    <row r="153" spans="2:31" ht="14.5">
      <c r="B153" s="406">
        <f t="shared" si="5"/>
        <v>108</v>
      </c>
      <c r="C153" s="414" t="str" cm="1">
        <f t="array" aca="1" ref="C153" ca="1">IF(B153&lt;=$C$9,GetGetCDSName(B153),"")</f>
        <v>THYSSENKRUPPAG_MMR.EUR.SU</v>
      </c>
      <c r="D153" s="374">
        <v>0</v>
      </c>
      <c r="E153" s="407">
        <v>0</v>
      </c>
      <c r="F153" s="326">
        <v>0</v>
      </c>
      <c r="G153" s="326">
        <v>0</v>
      </c>
      <c r="H153" s="326">
        <v>1</v>
      </c>
      <c r="I153" s="326">
        <v>1</v>
      </c>
      <c r="J153" s="326">
        <v>1</v>
      </c>
      <c r="K153" s="326"/>
      <c r="L153" s="326"/>
      <c r="M153" s="326"/>
      <c r="N153" s="408"/>
      <c r="O153" s="301"/>
      <c r="P153" s="301"/>
      <c r="Q153" s="301"/>
      <c r="R153" s="301"/>
      <c r="S153" s="301"/>
      <c r="T153" s="301"/>
      <c r="U153" s="301"/>
      <c r="V153" s="301"/>
      <c r="W153" s="301"/>
      <c r="X153" s="301"/>
      <c r="Y153" s="301"/>
      <c r="Z153" s="301"/>
      <c r="AA153" s="301"/>
      <c r="AB153" s="301"/>
      <c r="AC153" s="301"/>
      <c r="AD153" s="301"/>
      <c r="AE153" s="301"/>
    </row>
    <row r="154" spans="2:31" ht="14.5">
      <c r="B154" s="406">
        <f t="shared" si="5"/>
        <v>109</v>
      </c>
      <c r="C154" s="414" t="str" cm="1">
        <f t="array" aca="1" ref="C154" ca="1">IF(B154&lt;=$C$9,GetGetCDSName(B154),"")</f>
        <v>UBS_MMR.EUR.SU</v>
      </c>
      <c r="D154" s="374">
        <v>0</v>
      </c>
      <c r="E154" s="407">
        <v>1</v>
      </c>
      <c r="F154" s="326">
        <v>0</v>
      </c>
      <c r="G154" s="326">
        <v>0</v>
      </c>
      <c r="H154" s="326">
        <v>0</v>
      </c>
      <c r="I154" s="326">
        <v>0</v>
      </c>
      <c r="J154" s="326">
        <v>0</v>
      </c>
      <c r="K154" s="326"/>
      <c r="L154" s="326"/>
      <c r="M154" s="326"/>
      <c r="N154" s="408"/>
      <c r="O154" s="301"/>
      <c r="P154" s="301"/>
      <c r="Q154" s="301"/>
      <c r="R154" s="301"/>
      <c r="S154" s="301"/>
      <c r="T154" s="301"/>
      <c r="U154" s="301"/>
      <c r="V154" s="301"/>
      <c r="W154" s="301"/>
      <c r="X154" s="301"/>
      <c r="Y154" s="301"/>
      <c r="Z154" s="301"/>
      <c r="AA154" s="301"/>
      <c r="AB154" s="301"/>
      <c r="AC154" s="301"/>
      <c r="AD154" s="301"/>
      <c r="AE154" s="301"/>
    </row>
    <row r="155" spans="2:31" ht="14.5">
      <c r="B155" s="406">
        <f t="shared" si="5"/>
        <v>110</v>
      </c>
      <c r="C155" s="414" t="str" cm="1">
        <f t="array" aca="1" ref="C155" ca="1">IF(B155&lt;=$C$9,GetGetCDSName(B155),"")</f>
        <v>UNICREDITOITALIANO_MMR.EUR.SU</v>
      </c>
      <c r="D155" s="374">
        <v>0</v>
      </c>
      <c r="E155" s="407">
        <v>1</v>
      </c>
      <c r="F155" s="326">
        <v>0</v>
      </c>
      <c r="G155" s="326">
        <v>0</v>
      </c>
      <c r="H155" s="326">
        <v>1</v>
      </c>
      <c r="I155" s="326">
        <v>1</v>
      </c>
      <c r="J155" s="326">
        <v>0</v>
      </c>
      <c r="K155" s="326"/>
      <c r="L155" s="326"/>
      <c r="M155" s="326"/>
      <c r="N155" s="408"/>
      <c r="O155" s="301"/>
      <c r="P155" s="301"/>
      <c r="Q155" s="301"/>
      <c r="R155" s="301"/>
      <c r="S155" s="301"/>
      <c r="T155" s="301"/>
      <c r="U155" s="301"/>
      <c r="V155" s="301"/>
      <c r="W155" s="301"/>
      <c r="X155" s="301"/>
      <c r="Y155" s="301"/>
      <c r="Z155" s="301"/>
      <c r="AA155" s="301"/>
      <c r="AB155" s="301"/>
      <c r="AC155" s="301"/>
      <c r="AD155" s="301"/>
      <c r="AE155" s="301"/>
    </row>
    <row r="156" spans="2:31" ht="14.5">
      <c r="B156" s="406">
        <f t="shared" si="5"/>
        <v>111</v>
      </c>
      <c r="C156" s="414" t="str" cm="1">
        <f t="array" aca="1" ref="C156" ca="1">IF(B156&lt;=$C$9,GetGetCDSName(B156),"")</f>
        <v>UNILEVER_MMR.EUR.SU</v>
      </c>
      <c r="D156" s="374">
        <v>0</v>
      </c>
      <c r="E156" s="407">
        <v>0</v>
      </c>
      <c r="F156" s="326">
        <v>0</v>
      </c>
      <c r="G156" s="326">
        <v>0</v>
      </c>
      <c r="H156" s="326">
        <v>0</v>
      </c>
      <c r="I156" s="326">
        <v>1</v>
      </c>
      <c r="J156" s="326">
        <v>1</v>
      </c>
      <c r="K156" s="326"/>
      <c r="L156" s="326"/>
      <c r="M156" s="326"/>
      <c r="N156" s="408"/>
      <c r="O156" s="301"/>
      <c r="P156" s="301"/>
      <c r="Q156" s="301"/>
      <c r="R156" s="301"/>
      <c r="S156" s="301"/>
      <c r="T156" s="301"/>
      <c r="U156" s="301"/>
      <c r="V156" s="301"/>
      <c r="W156" s="301"/>
      <c r="X156" s="301"/>
      <c r="Y156" s="301"/>
      <c r="Z156" s="301"/>
      <c r="AA156" s="301"/>
      <c r="AB156" s="301"/>
      <c r="AC156" s="301"/>
      <c r="AD156" s="301"/>
      <c r="AE156" s="301"/>
    </row>
    <row r="157" spans="2:31" ht="14.5">
      <c r="B157" s="406">
        <f t="shared" si="5"/>
        <v>112</v>
      </c>
      <c r="C157" s="414" t="str" cm="1">
        <f t="array" aca="1" ref="C157" ca="1">IF(B157&lt;=$C$9,GetGetCDSName(B157),"")</f>
        <v>UNIONFENOSA_MMR.EUR.SU</v>
      </c>
      <c r="D157" s="374">
        <v>0</v>
      </c>
      <c r="E157" s="407">
        <v>0</v>
      </c>
      <c r="F157" s="326">
        <v>0</v>
      </c>
      <c r="G157" s="326">
        <v>1</v>
      </c>
      <c r="H157" s="326">
        <v>1</v>
      </c>
      <c r="I157" s="326">
        <v>0</v>
      </c>
      <c r="J157" s="326">
        <v>0</v>
      </c>
      <c r="K157" s="326"/>
      <c r="L157" s="326"/>
      <c r="M157" s="326"/>
      <c r="N157" s="408"/>
      <c r="O157" s="301"/>
      <c r="P157" s="301"/>
      <c r="Q157" s="301"/>
      <c r="R157" s="301"/>
      <c r="S157" s="301"/>
      <c r="T157" s="301"/>
      <c r="U157" s="301"/>
      <c r="V157" s="301"/>
      <c r="W157" s="301"/>
      <c r="X157" s="301"/>
      <c r="Y157" s="301"/>
      <c r="Z157" s="301"/>
      <c r="AA157" s="301"/>
      <c r="AB157" s="301"/>
      <c r="AC157" s="301"/>
      <c r="AD157" s="301"/>
      <c r="AE157" s="301"/>
    </row>
    <row r="158" spans="2:31" ht="14.5">
      <c r="B158" s="406">
        <f t="shared" si="5"/>
        <v>113</v>
      </c>
      <c r="C158" s="414" t="str" cm="1">
        <f t="array" aca="1" ref="C158" ca="1">IF(B158&lt;=$C$9,GetGetCDSName(B158),"")</f>
        <v>UNITEDUTILITIES_MMR.EUR.SU</v>
      </c>
      <c r="D158" s="374">
        <v>0</v>
      </c>
      <c r="E158" s="407">
        <v>0</v>
      </c>
      <c r="F158" s="326">
        <v>0</v>
      </c>
      <c r="G158" s="326">
        <v>0</v>
      </c>
      <c r="H158" s="326">
        <v>0</v>
      </c>
      <c r="I158" s="326">
        <v>0</v>
      </c>
      <c r="J158" s="326">
        <v>1</v>
      </c>
      <c r="K158" s="326"/>
      <c r="L158" s="326"/>
      <c r="M158" s="326"/>
      <c r="N158" s="408"/>
      <c r="O158" s="301"/>
      <c r="P158" s="301"/>
      <c r="Q158" s="301"/>
      <c r="R158" s="301"/>
      <c r="S158" s="301"/>
      <c r="T158" s="301"/>
      <c r="U158" s="301"/>
      <c r="V158" s="301"/>
      <c r="W158" s="301"/>
      <c r="X158" s="301"/>
      <c r="Y158" s="301"/>
      <c r="Z158" s="301"/>
      <c r="AA158" s="301"/>
      <c r="AB158" s="301"/>
      <c r="AC158" s="301"/>
      <c r="AD158" s="301"/>
      <c r="AE158" s="301"/>
    </row>
    <row r="159" spans="2:31" ht="14.5">
      <c r="B159" s="406">
        <f t="shared" si="5"/>
        <v>114</v>
      </c>
      <c r="C159" s="414" t="str" cm="1">
        <f t="array" aca="1" ref="C159" ca="1">IF(B159&lt;=$C$9,GetGetCDSName(B159),"")</f>
        <v>UPMKYMMENE_MMR.EUR.SU</v>
      </c>
      <c r="D159" s="374">
        <v>0</v>
      </c>
      <c r="E159" s="407">
        <v>0</v>
      </c>
      <c r="F159" s="326">
        <v>1</v>
      </c>
      <c r="G159" s="326">
        <v>0</v>
      </c>
      <c r="H159" s="326">
        <v>0</v>
      </c>
      <c r="I159" s="326">
        <v>0</v>
      </c>
      <c r="J159" s="326">
        <v>0</v>
      </c>
      <c r="K159" s="326"/>
      <c r="L159" s="326"/>
      <c r="M159" s="326"/>
      <c r="N159" s="408"/>
      <c r="O159" s="301"/>
      <c r="P159" s="301"/>
      <c r="Q159" s="301"/>
      <c r="R159" s="301"/>
      <c r="S159" s="301"/>
      <c r="T159" s="301"/>
      <c r="U159" s="301"/>
      <c r="V159" s="301"/>
      <c r="W159" s="301"/>
      <c r="X159" s="301"/>
      <c r="Y159" s="301"/>
      <c r="Z159" s="301"/>
      <c r="AA159" s="301"/>
      <c r="AB159" s="301"/>
      <c r="AC159" s="301"/>
      <c r="AD159" s="301"/>
      <c r="AE159" s="301"/>
    </row>
    <row r="160" spans="2:31" ht="14.5">
      <c r="B160" s="406">
        <f t="shared" si="5"/>
        <v>115</v>
      </c>
      <c r="C160" s="414" t="str" cm="1">
        <f t="array" aca="1" ref="C160" ca="1">IF(B160&lt;=$C$9,GetGetCDSName(B160),"")</f>
        <v>VALEO_MMR.EUR.SU</v>
      </c>
      <c r="D160" s="374">
        <v>0</v>
      </c>
      <c r="E160" s="407">
        <v>0</v>
      </c>
      <c r="F160" s="326">
        <v>0</v>
      </c>
      <c r="G160" s="326">
        <v>1</v>
      </c>
      <c r="H160" s="326">
        <v>0</v>
      </c>
      <c r="I160" s="326">
        <v>0</v>
      </c>
      <c r="J160" s="326">
        <v>1</v>
      </c>
      <c r="K160" s="326"/>
      <c r="L160" s="326"/>
      <c r="M160" s="326"/>
      <c r="N160" s="408"/>
      <c r="O160" s="301"/>
      <c r="P160" s="301"/>
      <c r="Q160" s="301"/>
      <c r="R160" s="301"/>
      <c r="S160" s="301"/>
      <c r="T160" s="301"/>
      <c r="U160" s="301"/>
      <c r="V160" s="301"/>
      <c r="W160" s="301"/>
      <c r="X160" s="301"/>
      <c r="Y160" s="301"/>
      <c r="Z160" s="301"/>
      <c r="AA160" s="301"/>
      <c r="AB160" s="301"/>
      <c r="AC160" s="301"/>
      <c r="AD160" s="301"/>
      <c r="AE160" s="301"/>
    </row>
    <row r="161" spans="2:31" ht="14.5">
      <c r="B161" s="406">
        <f t="shared" si="5"/>
        <v>116</v>
      </c>
      <c r="C161" s="414" t="str" cm="1">
        <f t="array" aca="1" ref="C161" ca="1">IF(B161&lt;=$C$9,GetGetCDSName(B161),"")</f>
        <v>VATTENFALLAB_MMR.EUR.SU</v>
      </c>
      <c r="D161" s="374">
        <v>0</v>
      </c>
      <c r="E161" s="407">
        <v>0</v>
      </c>
      <c r="F161" s="326">
        <v>0</v>
      </c>
      <c r="G161" s="326">
        <v>0</v>
      </c>
      <c r="H161" s="326">
        <v>0</v>
      </c>
      <c r="I161" s="326">
        <v>0</v>
      </c>
      <c r="J161" s="326">
        <v>1</v>
      </c>
      <c r="K161" s="326"/>
      <c r="L161" s="326"/>
      <c r="M161" s="326"/>
      <c r="N161" s="408"/>
      <c r="O161" s="301"/>
      <c r="P161" s="301"/>
      <c r="Q161" s="301"/>
      <c r="R161" s="301"/>
      <c r="S161" s="301"/>
      <c r="T161" s="301"/>
      <c r="U161" s="301"/>
      <c r="V161" s="301"/>
      <c r="W161" s="301"/>
      <c r="X161" s="301"/>
      <c r="Y161" s="301"/>
      <c r="Z161" s="301"/>
      <c r="AA161" s="301"/>
      <c r="AB161" s="301"/>
      <c r="AC161" s="301"/>
      <c r="AD161" s="301"/>
      <c r="AE161" s="301"/>
    </row>
    <row r="162" spans="2:31" ht="14.5">
      <c r="B162" s="406">
        <f t="shared" si="5"/>
        <v>117</v>
      </c>
      <c r="C162" s="414" t="str" cm="1">
        <f t="array" aca="1" ref="C162" ca="1">IF(B162&lt;=$C$9,GetGetCDSName(B162),"")</f>
        <v>VEOLIAENVIRONNEMENT_MMR.EUR.SU</v>
      </c>
      <c r="D162" s="374">
        <v>0</v>
      </c>
      <c r="E162" s="407">
        <v>0</v>
      </c>
      <c r="F162" s="326">
        <v>0</v>
      </c>
      <c r="G162" s="326">
        <v>1</v>
      </c>
      <c r="H162" s="326">
        <v>0</v>
      </c>
      <c r="I162" s="326">
        <v>1</v>
      </c>
      <c r="J162" s="326">
        <v>0</v>
      </c>
      <c r="K162" s="326"/>
      <c r="L162" s="326"/>
      <c r="M162" s="326"/>
      <c r="N162" s="408"/>
      <c r="O162" s="301"/>
      <c r="P162" s="301"/>
      <c r="Q162" s="301"/>
      <c r="R162" s="301"/>
      <c r="S162" s="301"/>
      <c r="T162" s="301"/>
      <c r="U162" s="301"/>
      <c r="V162" s="301"/>
      <c r="W162" s="301"/>
      <c r="X162" s="301"/>
      <c r="Y162" s="301"/>
      <c r="Z162" s="301"/>
      <c r="AA162" s="301"/>
      <c r="AB162" s="301"/>
      <c r="AC162" s="301"/>
      <c r="AD162" s="301"/>
      <c r="AE162" s="301"/>
    </row>
    <row r="163" spans="2:31" ht="14.5">
      <c r="B163" s="406">
        <f t="shared" si="5"/>
        <v>118</v>
      </c>
      <c r="C163" s="414" t="str" cm="1">
        <f t="array" aca="1" ref="C163" ca="1">IF(B163&lt;=$C$9,GetGetCDSName(B163),"")</f>
        <v>VINCI_MMR.EUR.SU</v>
      </c>
      <c r="D163" s="374">
        <v>0</v>
      </c>
      <c r="E163" s="407">
        <v>0</v>
      </c>
      <c r="F163" s="326">
        <v>1</v>
      </c>
      <c r="G163" s="326">
        <v>0</v>
      </c>
      <c r="H163" s="326">
        <v>0</v>
      </c>
      <c r="I163" s="326">
        <v>0</v>
      </c>
      <c r="J163" s="326">
        <v>0</v>
      </c>
      <c r="K163" s="326"/>
      <c r="L163" s="326"/>
      <c r="M163" s="326"/>
      <c r="N163" s="408"/>
      <c r="O163" s="301"/>
      <c r="P163" s="301"/>
      <c r="Q163" s="301"/>
      <c r="R163" s="301"/>
      <c r="S163" s="301"/>
      <c r="T163" s="301"/>
      <c r="U163" s="301"/>
      <c r="V163" s="301"/>
      <c r="W163" s="301"/>
      <c r="X163" s="301"/>
      <c r="Y163" s="301"/>
      <c r="Z163" s="301"/>
      <c r="AA163" s="301"/>
      <c r="AB163" s="301"/>
      <c r="AC163" s="301"/>
      <c r="AD163" s="301"/>
      <c r="AE163" s="301"/>
    </row>
    <row r="164" spans="2:31" ht="14.5">
      <c r="B164" s="406">
        <f t="shared" si="5"/>
        <v>119</v>
      </c>
      <c r="C164" s="414" t="str" cm="1">
        <f t="array" aca="1" ref="C164" ca="1">IF(B164&lt;=$C$9,GetGetCDSName(B164),"")</f>
        <v>VIVENDI_MMR.EUR.SU</v>
      </c>
      <c r="D164" s="374">
        <v>0</v>
      </c>
      <c r="E164" s="407">
        <v>0</v>
      </c>
      <c r="F164" s="326">
        <v>0</v>
      </c>
      <c r="G164" s="326">
        <v>1</v>
      </c>
      <c r="H164" s="326">
        <v>0</v>
      </c>
      <c r="I164" s="326">
        <v>0</v>
      </c>
      <c r="J164" s="326">
        <v>0</v>
      </c>
      <c r="K164" s="326"/>
      <c r="L164" s="326"/>
      <c r="M164" s="326"/>
      <c r="N164" s="408"/>
      <c r="O164" s="301"/>
      <c r="P164" s="301"/>
      <c r="Q164" s="301"/>
      <c r="R164" s="301"/>
      <c r="S164" s="301"/>
      <c r="T164" s="301"/>
      <c r="U164" s="301"/>
      <c r="V164" s="301"/>
      <c r="W164" s="301"/>
      <c r="X164" s="301"/>
      <c r="Y164" s="301"/>
      <c r="Z164" s="301"/>
      <c r="AA164" s="301"/>
      <c r="AB164" s="301"/>
      <c r="AC164" s="301"/>
      <c r="AD164" s="301"/>
      <c r="AE164" s="301"/>
    </row>
    <row r="165" spans="2:31" ht="14.5">
      <c r="B165" s="406">
        <f t="shared" si="5"/>
        <v>120</v>
      </c>
      <c r="C165" s="414" t="str" cm="1">
        <f t="array" aca="1" ref="C165" ca="1">IF(B165&lt;=$C$9,GetGetCDSName(B165),"")</f>
        <v>VODAFONE_MMR.EUR.SU</v>
      </c>
      <c r="D165" s="374">
        <v>0</v>
      </c>
      <c r="E165" s="407">
        <v>1</v>
      </c>
      <c r="F165" s="326">
        <v>0</v>
      </c>
      <c r="G165" s="326">
        <v>0</v>
      </c>
      <c r="H165" s="326">
        <v>0</v>
      </c>
      <c r="I165" s="326">
        <v>0</v>
      </c>
      <c r="J165" s="326">
        <v>0</v>
      </c>
      <c r="K165" s="326"/>
      <c r="L165" s="326"/>
      <c r="M165" s="326"/>
      <c r="N165" s="408"/>
      <c r="O165" s="301"/>
      <c r="P165" s="301"/>
      <c r="Q165" s="301"/>
      <c r="R165" s="301"/>
      <c r="S165" s="301"/>
      <c r="T165" s="301"/>
      <c r="U165" s="301"/>
      <c r="V165" s="301"/>
      <c r="W165" s="301"/>
      <c r="X165" s="301"/>
      <c r="Y165" s="301"/>
      <c r="Z165" s="301"/>
      <c r="AA165" s="301"/>
      <c r="AB165" s="301"/>
      <c r="AC165" s="301"/>
      <c r="AD165" s="301"/>
      <c r="AE165" s="301"/>
    </row>
    <row r="166" spans="2:31" ht="14.5">
      <c r="B166" s="406">
        <f t="shared" si="5"/>
        <v>121</v>
      </c>
      <c r="C166" s="414" t="str" cm="1">
        <f t="array" aca="1" ref="C166" ca="1">IF(B166&lt;=$C$9,GetGetCDSName(B166),"")</f>
        <v>VOLVO_MMR.EUR.SU</v>
      </c>
      <c r="D166" s="374">
        <v>0</v>
      </c>
      <c r="E166" s="407">
        <v>0</v>
      </c>
      <c r="F166" s="326">
        <v>0</v>
      </c>
      <c r="G166" s="326">
        <v>0</v>
      </c>
      <c r="H166" s="326">
        <v>1</v>
      </c>
      <c r="I166" s="326">
        <v>0</v>
      </c>
      <c r="J166" s="326">
        <v>1</v>
      </c>
      <c r="K166" s="326"/>
      <c r="L166" s="326"/>
      <c r="M166" s="326"/>
      <c r="N166" s="408"/>
      <c r="O166" s="301"/>
      <c r="P166" s="301"/>
      <c r="Q166" s="301"/>
      <c r="R166" s="301"/>
      <c r="S166" s="301"/>
      <c r="T166" s="301"/>
      <c r="U166" s="301"/>
      <c r="V166" s="301"/>
      <c r="W166" s="301"/>
      <c r="X166" s="301"/>
      <c r="Y166" s="301"/>
      <c r="Z166" s="301"/>
      <c r="AA166" s="301"/>
      <c r="AB166" s="301"/>
      <c r="AC166" s="301"/>
      <c r="AD166" s="301"/>
      <c r="AE166" s="301"/>
    </row>
    <row r="167" spans="2:31" ht="14.5">
      <c r="B167" s="406">
        <f t="shared" si="5"/>
        <v>122</v>
      </c>
      <c r="C167" s="414" t="str" cm="1">
        <f t="array" aca="1" ref="C167" ca="1">IF(B167&lt;=$C$9,GetGetCDSName(B167),"")</f>
        <v>VW_MMR.EUR.SU</v>
      </c>
      <c r="D167" s="374">
        <v>0</v>
      </c>
      <c r="E167" s="407">
        <v>1</v>
      </c>
      <c r="F167" s="326">
        <v>0</v>
      </c>
      <c r="G167" s="326">
        <v>0</v>
      </c>
      <c r="H167" s="326">
        <v>0</v>
      </c>
      <c r="I167" s="326">
        <v>0</v>
      </c>
      <c r="J167" s="326">
        <v>0</v>
      </c>
      <c r="K167" s="326"/>
      <c r="L167" s="326"/>
      <c r="M167" s="326"/>
      <c r="N167" s="408"/>
      <c r="O167" s="301"/>
      <c r="P167" s="301"/>
      <c r="Q167" s="301"/>
      <c r="R167" s="301"/>
      <c r="S167" s="301"/>
      <c r="T167" s="301"/>
      <c r="U167" s="301"/>
      <c r="V167" s="301"/>
      <c r="W167" s="301"/>
      <c r="X167" s="301"/>
      <c r="Y167" s="301"/>
      <c r="Z167" s="301"/>
      <c r="AA167" s="301"/>
      <c r="AB167" s="301"/>
      <c r="AC167" s="301"/>
      <c r="AD167" s="301"/>
      <c r="AE167" s="301"/>
    </row>
    <row r="168" spans="2:31" ht="14.5">
      <c r="B168" s="406">
        <f t="shared" si="5"/>
        <v>123</v>
      </c>
      <c r="C168" s="414" t="str" cm="1">
        <f t="array" aca="1" ref="C168" ca="1">IF(B168&lt;=$C$9,GetGetCDSName(B168),"")</f>
        <v>WOLTERSKLUWERCVA_MMR.EUR.SU</v>
      </c>
      <c r="D168" s="374">
        <v>0</v>
      </c>
      <c r="E168" s="407">
        <v>0</v>
      </c>
      <c r="F168" s="326">
        <v>1</v>
      </c>
      <c r="G168" s="326">
        <v>0</v>
      </c>
      <c r="H168" s="326">
        <v>0</v>
      </c>
      <c r="I168" s="326">
        <v>0</v>
      </c>
      <c r="J168" s="326">
        <v>0</v>
      </c>
      <c r="K168" s="326"/>
      <c r="L168" s="326"/>
      <c r="M168" s="326"/>
      <c r="N168" s="408"/>
      <c r="O168" s="301"/>
      <c r="P168" s="301"/>
      <c r="Q168" s="301"/>
      <c r="R168" s="301"/>
      <c r="S168" s="301"/>
      <c r="T168" s="301"/>
      <c r="U168" s="301"/>
      <c r="V168" s="301"/>
      <c r="W168" s="301"/>
      <c r="X168" s="301"/>
      <c r="Y168" s="301"/>
      <c r="Z168" s="301"/>
      <c r="AA168" s="301"/>
      <c r="AB168" s="301"/>
      <c r="AC168" s="301"/>
      <c r="AD168" s="301"/>
      <c r="AE168" s="301"/>
    </row>
    <row r="169" spans="2:31" ht="14.5">
      <c r="B169" s="406">
        <f t="shared" si="5"/>
        <v>124</v>
      </c>
      <c r="C169" s="414" t="str" cm="1">
        <f t="array" aca="1" ref="C169" ca="1">IF(B169&lt;=$C$9,GetGetCDSName(B169),"")</f>
        <v>WPPGROUP_MMR.EUR.SU</v>
      </c>
      <c r="D169" s="374">
        <v>0</v>
      </c>
      <c r="E169" s="407">
        <v>1</v>
      </c>
      <c r="F169" s="326">
        <v>0</v>
      </c>
      <c r="G169" s="326">
        <v>1</v>
      </c>
      <c r="H169" s="326">
        <v>0</v>
      </c>
      <c r="I169" s="326">
        <v>1</v>
      </c>
      <c r="J169" s="326">
        <v>0</v>
      </c>
      <c r="K169" s="326"/>
      <c r="L169" s="326"/>
      <c r="M169" s="326"/>
      <c r="N169" s="408"/>
      <c r="O169" s="301"/>
      <c r="P169" s="301"/>
      <c r="Q169" s="301"/>
      <c r="R169" s="301"/>
      <c r="S169" s="301"/>
      <c r="T169" s="301"/>
      <c r="U169" s="301"/>
      <c r="V169" s="301"/>
      <c r="W169" s="301"/>
      <c r="X169" s="301"/>
      <c r="Y169" s="301"/>
      <c r="Z169" s="301"/>
      <c r="AA169" s="301"/>
      <c r="AB169" s="301"/>
      <c r="AC169" s="301"/>
      <c r="AD169" s="301"/>
      <c r="AE169" s="301"/>
    </row>
    <row r="170" spans="2:31" ht="14.5">
      <c r="B170" s="406">
        <f t="shared" si="5"/>
        <v>125</v>
      </c>
      <c r="C170" s="414" t="str" cm="1">
        <f t="array" aca="1" ref="C170" ca="1">IF(B170&lt;=$C$9,GetGetCDSName(B170),"")</f>
        <v>ZURICHINSURANCE_MMR.EUR.SU</v>
      </c>
      <c r="D170" s="374">
        <v>0</v>
      </c>
      <c r="E170" s="407">
        <v>0</v>
      </c>
      <c r="F170" s="326">
        <v>0</v>
      </c>
      <c r="G170" s="326">
        <v>0</v>
      </c>
      <c r="H170" s="326">
        <v>1</v>
      </c>
      <c r="I170" s="326">
        <v>0</v>
      </c>
      <c r="J170" s="326">
        <v>0</v>
      </c>
      <c r="K170" s="326"/>
      <c r="L170" s="326"/>
      <c r="M170" s="326"/>
      <c r="N170" s="408"/>
      <c r="O170" s="301"/>
      <c r="P170" s="301"/>
      <c r="Q170" s="301"/>
      <c r="R170" s="301"/>
      <c r="S170" s="301"/>
      <c r="T170" s="301"/>
      <c r="U170" s="301"/>
      <c r="V170" s="301"/>
      <c r="W170" s="301"/>
      <c r="X170" s="301"/>
      <c r="Y170" s="301"/>
      <c r="Z170" s="301"/>
      <c r="AA170" s="301"/>
      <c r="AB170" s="301"/>
      <c r="AC170" s="301"/>
      <c r="AD170" s="301"/>
      <c r="AE170" s="301"/>
    </row>
    <row r="171" spans="2:31" ht="14.5">
      <c r="B171" s="406">
        <f t="shared" si="5"/>
        <v>126</v>
      </c>
      <c r="C171" s="414" t="str" cm="1">
        <f t="array" aca="1" ref="C171" ca="1">IF(B171&lt;=$C$9,GetGetCDSName(B171),"")</f>
        <v/>
      </c>
      <c r="D171" s="374"/>
      <c r="E171" s="407"/>
      <c r="F171" s="326"/>
      <c r="G171" s="326"/>
      <c r="H171" s="326"/>
      <c r="I171" s="326"/>
      <c r="J171" s="326"/>
      <c r="K171" s="326"/>
      <c r="L171" s="326"/>
      <c r="M171" s="326"/>
      <c r="N171" s="408"/>
      <c r="O171" s="301"/>
      <c r="P171" s="301"/>
      <c r="Q171" s="301"/>
      <c r="R171" s="301"/>
      <c r="S171" s="301"/>
      <c r="T171" s="301"/>
      <c r="U171" s="301"/>
      <c r="V171" s="301"/>
      <c r="W171" s="301"/>
      <c r="X171" s="301"/>
      <c r="Y171" s="301"/>
      <c r="Z171" s="301"/>
      <c r="AA171" s="301"/>
      <c r="AB171" s="301"/>
      <c r="AC171" s="301"/>
      <c r="AD171" s="301"/>
      <c r="AE171" s="301"/>
    </row>
    <row r="172" spans="2:31" ht="14.5">
      <c r="B172" s="406">
        <f t="shared" si="5"/>
        <v>127</v>
      </c>
      <c r="C172" s="414" t="str" cm="1">
        <f t="array" aca="1" ref="C172" ca="1">IF(B172&lt;=$C$9,GetGetCDSName(B172),"")</f>
        <v/>
      </c>
      <c r="D172" s="374"/>
      <c r="E172" s="407"/>
      <c r="F172" s="326"/>
      <c r="G172" s="326"/>
      <c r="H172" s="326"/>
      <c r="I172" s="326"/>
      <c r="J172" s="326"/>
      <c r="K172" s="326"/>
      <c r="L172" s="326"/>
      <c r="M172" s="326"/>
      <c r="N172" s="408"/>
      <c r="O172" s="301"/>
      <c r="P172" s="301"/>
      <c r="Q172" s="301"/>
      <c r="R172" s="301"/>
      <c r="S172" s="301"/>
      <c r="T172" s="301"/>
      <c r="U172" s="301"/>
      <c r="V172" s="301"/>
      <c r="W172" s="301"/>
      <c r="X172" s="301"/>
      <c r="Y172" s="301"/>
      <c r="Z172" s="301"/>
      <c r="AA172" s="301"/>
      <c r="AB172" s="301"/>
      <c r="AC172" s="301"/>
      <c r="AD172" s="301"/>
      <c r="AE172" s="301"/>
    </row>
    <row r="173" spans="2:31" ht="14.5">
      <c r="B173" s="406">
        <f t="shared" si="5"/>
        <v>128</v>
      </c>
      <c r="C173" s="414" t="str" cm="1">
        <f t="array" aca="1" ref="C173" ca="1">IF(B173&lt;=$C$9,GetGetCDSName(B173),"")</f>
        <v/>
      </c>
      <c r="D173" s="374"/>
      <c r="E173" s="407"/>
      <c r="F173" s="326"/>
      <c r="G173" s="326"/>
      <c r="H173" s="326"/>
      <c r="I173" s="326"/>
      <c r="J173" s="326"/>
      <c r="K173" s="326"/>
      <c r="L173" s="326"/>
      <c r="M173" s="326"/>
      <c r="N173" s="408"/>
      <c r="O173" s="301"/>
      <c r="P173" s="301"/>
      <c r="Q173" s="301"/>
      <c r="R173" s="301"/>
      <c r="S173" s="301"/>
      <c r="T173" s="301"/>
      <c r="U173" s="301"/>
      <c r="V173" s="301"/>
      <c r="W173" s="301"/>
      <c r="X173" s="301"/>
      <c r="Y173" s="301"/>
      <c r="Z173" s="301"/>
      <c r="AA173" s="301"/>
      <c r="AB173" s="301"/>
      <c r="AC173" s="301"/>
      <c r="AD173" s="301"/>
      <c r="AE173" s="301"/>
    </row>
    <row r="174" spans="2:31" ht="14.5">
      <c r="B174" s="406">
        <f t="shared" si="5"/>
        <v>129</v>
      </c>
      <c r="C174" s="414" t="str" cm="1">
        <f t="array" aca="1" ref="C174" ca="1">IF(B174&lt;=$C$9,GetGetCDSName(B174),"")</f>
        <v/>
      </c>
      <c r="D174" s="374"/>
      <c r="E174" s="407"/>
      <c r="F174" s="326"/>
      <c r="G174" s="326"/>
      <c r="H174" s="326"/>
      <c r="I174" s="326"/>
      <c r="J174" s="326"/>
      <c r="K174" s="326"/>
      <c r="L174" s="326"/>
      <c r="M174" s="326"/>
      <c r="N174" s="408"/>
      <c r="O174" s="301"/>
      <c r="P174" s="301"/>
      <c r="Q174" s="301"/>
      <c r="R174" s="301"/>
      <c r="S174" s="301"/>
      <c r="T174" s="301"/>
      <c r="U174" s="301"/>
      <c r="V174" s="301"/>
      <c r="W174" s="301"/>
      <c r="X174" s="301"/>
      <c r="Y174" s="301"/>
      <c r="Z174" s="301"/>
      <c r="AA174" s="301"/>
      <c r="AB174" s="301"/>
      <c r="AC174" s="301"/>
      <c r="AD174" s="301"/>
      <c r="AE174" s="301"/>
    </row>
    <row r="175" spans="2:31" ht="14.5">
      <c r="B175" s="406">
        <f t="shared" ref="B175:B238" si="6">B174+1</f>
        <v>130</v>
      </c>
      <c r="C175" s="414" t="str" cm="1">
        <f t="array" aca="1" ref="C175" ca="1">IF(B175&lt;=$C$9,GetGetCDSName(B175),"")</f>
        <v/>
      </c>
      <c r="D175" s="374"/>
      <c r="E175" s="407"/>
      <c r="F175" s="326"/>
      <c r="G175" s="326"/>
      <c r="H175" s="326"/>
      <c r="I175" s="326"/>
      <c r="J175" s="326"/>
      <c r="K175" s="326"/>
      <c r="L175" s="326"/>
      <c r="M175" s="326"/>
      <c r="N175" s="408"/>
      <c r="O175" s="301"/>
      <c r="P175" s="301"/>
      <c r="Q175" s="301"/>
      <c r="R175" s="301"/>
      <c r="S175" s="301"/>
      <c r="T175" s="301"/>
      <c r="U175" s="301"/>
      <c r="V175" s="301"/>
      <c r="W175" s="301"/>
      <c r="X175" s="301"/>
      <c r="Y175" s="301"/>
      <c r="Z175" s="301"/>
      <c r="AA175" s="301"/>
      <c r="AB175" s="301"/>
      <c r="AC175" s="301"/>
      <c r="AD175" s="301"/>
      <c r="AE175" s="301"/>
    </row>
    <row r="176" spans="2:31" ht="14.5">
      <c r="B176" s="406">
        <f t="shared" si="6"/>
        <v>131</v>
      </c>
      <c r="C176" s="414" t="str" cm="1">
        <f t="array" aca="1" ref="C176" ca="1">IF(B176&lt;=$C$9,GetGetCDSName(B176),"")</f>
        <v/>
      </c>
      <c r="D176" s="374"/>
      <c r="E176" s="407"/>
      <c r="F176" s="326"/>
      <c r="G176" s="326"/>
      <c r="H176" s="326"/>
      <c r="I176" s="326"/>
      <c r="J176" s="326"/>
      <c r="K176" s="326"/>
      <c r="L176" s="326"/>
      <c r="M176" s="326"/>
      <c r="N176" s="408"/>
      <c r="O176" s="301"/>
      <c r="P176" s="301"/>
      <c r="Q176" s="301"/>
      <c r="R176" s="301"/>
      <c r="S176" s="301"/>
      <c r="T176" s="301"/>
      <c r="U176" s="301"/>
      <c r="V176" s="301"/>
      <c r="W176" s="301"/>
      <c r="X176" s="301"/>
      <c r="Y176" s="301"/>
      <c r="Z176" s="301"/>
      <c r="AA176" s="301"/>
      <c r="AB176" s="301"/>
      <c r="AC176" s="301"/>
      <c r="AD176" s="301"/>
      <c r="AE176" s="301"/>
    </row>
    <row r="177" spans="2:31" ht="14.5">
      <c r="B177" s="406">
        <f t="shared" si="6"/>
        <v>132</v>
      </c>
      <c r="C177" s="414" t="str" cm="1">
        <f t="array" aca="1" ref="C177" ca="1">IF(B177&lt;=$C$9,GetGetCDSName(B177),"")</f>
        <v/>
      </c>
      <c r="D177" s="374"/>
      <c r="E177" s="407"/>
      <c r="F177" s="326"/>
      <c r="G177" s="326"/>
      <c r="H177" s="326"/>
      <c r="I177" s="326"/>
      <c r="J177" s="326"/>
      <c r="K177" s="326"/>
      <c r="L177" s="326"/>
      <c r="M177" s="326"/>
      <c r="N177" s="408"/>
      <c r="O177" s="301"/>
      <c r="P177" s="301"/>
      <c r="Q177" s="301"/>
      <c r="R177" s="301"/>
      <c r="S177" s="301"/>
      <c r="T177" s="301"/>
      <c r="U177" s="301"/>
      <c r="V177" s="301"/>
      <c r="W177" s="301"/>
      <c r="X177" s="301"/>
      <c r="Y177" s="301"/>
      <c r="Z177" s="301"/>
      <c r="AA177" s="301"/>
      <c r="AB177" s="301"/>
      <c r="AC177" s="301"/>
      <c r="AD177" s="301"/>
      <c r="AE177" s="301"/>
    </row>
    <row r="178" spans="2:31" ht="14.5">
      <c r="B178" s="406">
        <f t="shared" si="6"/>
        <v>133</v>
      </c>
      <c r="C178" s="414" t="str" cm="1">
        <f t="array" aca="1" ref="C178" ca="1">IF(B178&lt;=$C$9,GetGetCDSName(B178),"")</f>
        <v/>
      </c>
      <c r="D178" s="374"/>
      <c r="E178" s="407"/>
      <c r="F178" s="326"/>
      <c r="G178" s="326"/>
      <c r="H178" s="326"/>
      <c r="I178" s="326"/>
      <c r="J178" s="326"/>
      <c r="K178" s="326"/>
      <c r="L178" s="326"/>
      <c r="M178" s="326"/>
      <c r="N178" s="408"/>
      <c r="O178" s="301"/>
      <c r="P178" s="301"/>
      <c r="Q178" s="301"/>
      <c r="R178" s="301"/>
      <c r="S178" s="301"/>
      <c r="T178" s="301"/>
      <c r="U178" s="301"/>
      <c r="V178" s="301"/>
      <c r="W178" s="301"/>
      <c r="X178" s="301"/>
      <c r="Y178" s="301"/>
      <c r="Z178" s="301"/>
      <c r="AA178" s="301"/>
      <c r="AB178" s="301"/>
      <c r="AC178" s="301"/>
      <c r="AD178" s="301"/>
      <c r="AE178" s="301"/>
    </row>
    <row r="179" spans="2:31" ht="14.5">
      <c r="B179" s="406">
        <f t="shared" si="6"/>
        <v>134</v>
      </c>
      <c r="C179" s="414" t="str" cm="1">
        <f t="array" aca="1" ref="C179" ca="1">IF(B179&lt;=$C$9,GetGetCDSName(B179),"")</f>
        <v/>
      </c>
      <c r="D179" s="374"/>
      <c r="E179" s="407"/>
      <c r="F179" s="326"/>
      <c r="G179" s="326"/>
      <c r="H179" s="326"/>
      <c r="I179" s="326"/>
      <c r="J179" s="326"/>
      <c r="K179" s="326"/>
      <c r="L179" s="326"/>
      <c r="M179" s="326"/>
      <c r="N179" s="408"/>
      <c r="O179" s="301"/>
      <c r="P179" s="301"/>
      <c r="Q179" s="301"/>
      <c r="R179" s="301"/>
      <c r="S179" s="301"/>
      <c r="T179" s="301"/>
      <c r="U179" s="301"/>
      <c r="V179" s="301"/>
      <c r="W179" s="301"/>
      <c r="X179" s="301"/>
      <c r="Y179" s="301"/>
      <c r="Z179" s="301"/>
      <c r="AA179" s="301"/>
      <c r="AB179" s="301"/>
      <c r="AC179" s="301"/>
      <c r="AD179" s="301"/>
      <c r="AE179" s="301"/>
    </row>
    <row r="180" spans="2:31" ht="14.5">
      <c r="B180" s="406">
        <f t="shared" si="6"/>
        <v>135</v>
      </c>
      <c r="C180" s="414" t="str" cm="1">
        <f t="array" aca="1" ref="C180" ca="1">IF(B180&lt;=$C$9,GetGetCDSName(B180),"")</f>
        <v/>
      </c>
      <c r="D180" s="374"/>
      <c r="E180" s="407"/>
      <c r="F180" s="326"/>
      <c r="G180" s="326"/>
      <c r="H180" s="326"/>
      <c r="I180" s="326"/>
      <c r="J180" s="326"/>
      <c r="K180" s="326"/>
      <c r="L180" s="326"/>
      <c r="M180" s="326"/>
      <c r="N180" s="408"/>
      <c r="O180" s="301"/>
      <c r="P180" s="301"/>
      <c r="Q180" s="301"/>
      <c r="R180" s="301"/>
      <c r="S180" s="301"/>
      <c r="T180" s="301"/>
      <c r="U180" s="301"/>
      <c r="V180" s="301"/>
      <c r="W180" s="301"/>
      <c r="X180" s="301"/>
      <c r="Y180" s="301"/>
      <c r="Z180" s="301"/>
      <c r="AA180" s="301"/>
      <c r="AB180" s="301"/>
      <c r="AC180" s="301"/>
      <c r="AD180" s="301"/>
      <c r="AE180" s="301"/>
    </row>
    <row r="181" spans="2:31" ht="14.5">
      <c r="B181" s="406">
        <f t="shared" si="6"/>
        <v>136</v>
      </c>
      <c r="C181" s="414" t="str" cm="1">
        <f t="array" aca="1" ref="C181" ca="1">IF(B181&lt;=$C$9,GetGetCDSName(B181),"")</f>
        <v/>
      </c>
      <c r="D181" s="374"/>
      <c r="E181" s="407"/>
      <c r="F181" s="326"/>
      <c r="G181" s="326"/>
      <c r="H181" s="326"/>
      <c r="I181" s="326"/>
      <c r="J181" s="326"/>
      <c r="K181" s="326"/>
      <c r="L181" s="326"/>
      <c r="M181" s="326"/>
      <c r="N181" s="408"/>
      <c r="O181" s="301"/>
      <c r="P181" s="301"/>
      <c r="Q181" s="301"/>
      <c r="R181" s="301"/>
      <c r="S181" s="301"/>
      <c r="T181" s="301"/>
      <c r="U181" s="301"/>
      <c r="V181" s="301"/>
      <c r="W181" s="301"/>
      <c r="X181" s="301"/>
      <c r="Y181" s="301"/>
      <c r="Z181" s="301"/>
      <c r="AA181" s="301"/>
      <c r="AB181" s="301"/>
      <c r="AC181" s="301"/>
      <c r="AD181" s="301"/>
      <c r="AE181" s="301"/>
    </row>
    <row r="182" spans="2:31" ht="14.5">
      <c r="B182" s="406">
        <f t="shared" si="6"/>
        <v>137</v>
      </c>
      <c r="C182" s="414" t="str" cm="1">
        <f t="array" aca="1" ref="C182" ca="1">IF(B182&lt;=$C$9,GetGetCDSName(B182),"")</f>
        <v/>
      </c>
      <c r="D182" s="374"/>
      <c r="E182" s="407"/>
      <c r="F182" s="326"/>
      <c r="G182" s="326"/>
      <c r="H182" s="326"/>
      <c r="I182" s="326"/>
      <c r="J182" s="326"/>
      <c r="K182" s="326"/>
      <c r="L182" s="326"/>
      <c r="M182" s="326"/>
      <c r="N182" s="408"/>
      <c r="O182" s="301"/>
      <c r="P182" s="301"/>
      <c r="Q182" s="301"/>
      <c r="R182" s="301"/>
      <c r="S182" s="301"/>
      <c r="T182" s="301"/>
      <c r="U182" s="301"/>
      <c r="V182" s="301"/>
      <c r="W182" s="301"/>
      <c r="X182" s="301"/>
      <c r="Y182" s="301"/>
      <c r="Z182" s="301"/>
      <c r="AA182" s="301"/>
      <c r="AB182" s="301"/>
      <c r="AC182" s="301"/>
      <c r="AD182" s="301"/>
      <c r="AE182" s="301"/>
    </row>
    <row r="183" spans="2:31" ht="14.5">
      <c r="B183" s="406">
        <f t="shared" si="6"/>
        <v>138</v>
      </c>
      <c r="C183" s="414" t="str" cm="1">
        <f t="array" aca="1" ref="C183" ca="1">IF(B183&lt;=$C$9,GetGetCDSName(B183),"")</f>
        <v/>
      </c>
      <c r="D183" s="374"/>
      <c r="E183" s="407"/>
      <c r="F183" s="326"/>
      <c r="G183" s="326"/>
      <c r="H183" s="326"/>
      <c r="I183" s="326"/>
      <c r="J183" s="326"/>
      <c r="K183" s="326"/>
      <c r="L183" s="326"/>
      <c r="M183" s="326"/>
      <c r="N183" s="408"/>
      <c r="O183" s="301"/>
      <c r="P183" s="301"/>
      <c r="Q183" s="301"/>
      <c r="R183" s="301"/>
      <c r="S183" s="301"/>
      <c r="T183" s="301"/>
      <c r="U183" s="301"/>
      <c r="V183" s="301"/>
      <c r="W183" s="301"/>
      <c r="X183" s="301"/>
      <c r="Y183" s="301"/>
      <c r="Z183" s="301"/>
      <c r="AA183" s="301"/>
      <c r="AB183" s="301"/>
      <c r="AC183" s="301"/>
      <c r="AD183" s="301"/>
      <c r="AE183" s="301"/>
    </row>
    <row r="184" spans="2:31" ht="14.5">
      <c r="B184" s="406">
        <f t="shared" si="6"/>
        <v>139</v>
      </c>
      <c r="C184" s="414" t="str" cm="1">
        <f t="array" aca="1" ref="C184" ca="1">IF(B184&lt;=$C$9,GetGetCDSName(B184),"")</f>
        <v/>
      </c>
      <c r="D184" s="374"/>
      <c r="E184" s="407"/>
      <c r="F184" s="326"/>
      <c r="G184" s="326"/>
      <c r="H184" s="326"/>
      <c r="I184" s="326"/>
      <c r="J184" s="326"/>
      <c r="K184" s="326"/>
      <c r="L184" s="326"/>
      <c r="M184" s="326"/>
      <c r="N184" s="408"/>
      <c r="O184" s="301"/>
      <c r="P184" s="301"/>
      <c r="Q184" s="301"/>
      <c r="R184" s="301"/>
      <c r="S184" s="301"/>
      <c r="T184" s="301"/>
      <c r="U184" s="301"/>
      <c r="V184" s="301"/>
      <c r="W184" s="301"/>
      <c r="X184" s="301"/>
      <c r="Y184" s="301"/>
      <c r="Z184" s="301"/>
      <c r="AA184" s="301"/>
      <c r="AB184" s="301"/>
      <c r="AC184" s="301"/>
      <c r="AD184" s="301"/>
      <c r="AE184" s="301"/>
    </row>
    <row r="185" spans="2:31" ht="14.5">
      <c r="B185" s="406">
        <f t="shared" si="6"/>
        <v>140</v>
      </c>
      <c r="C185" s="414" t="str" cm="1">
        <f t="array" aca="1" ref="C185" ca="1">IF(B185&lt;=$C$9,GetGetCDSName(B185),"")</f>
        <v/>
      </c>
      <c r="D185" s="374"/>
      <c r="E185" s="407"/>
      <c r="F185" s="326"/>
      <c r="G185" s="326"/>
      <c r="H185" s="326"/>
      <c r="I185" s="326"/>
      <c r="J185" s="326"/>
      <c r="K185" s="326"/>
      <c r="L185" s="326"/>
      <c r="M185" s="326"/>
      <c r="N185" s="408"/>
      <c r="O185" s="301"/>
      <c r="P185" s="301"/>
      <c r="Q185" s="301"/>
      <c r="R185" s="301"/>
      <c r="S185" s="301"/>
      <c r="T185" s="301"/>
      <c r="U185" s="301"/>
      <c r="V185" s="301"/>
      <c r="W185" s="301"/>
      <c r="X185" s="301"/>
      <c r="Y185" s="301"/>
      <c r="Z185" s="301"/>
      <c r="AA185" s="301"/>
      <c r="AB185" s="301"/>
      <c r="AC185" s="301"/>
      <c r="AD185" s="301"/>
      <c r="AE185" s="301"/>
    </row>
    <row r="186" spans="2:31" ht="14.5">
      <c r="B186" s="406">
        <f t="shared" si="6"/>
        <v>141</v>
      </c>
      <c r="C186" s="414" t="str" cm="1">
        <f t="array" aca="1" ref="C186" ca="1">IF(B186&lt;=$C$9,GetGetCDSName(B186),"")</f>
        <v/>
      </c>
      <c r="D186" s="374"/>
      <c r="E186" s="407"/>
      <c r="F186" s="326"/>
      <c r="G186" s="326"/>
      <c r="H186" s="326"/>
      <c r="I186" s="326"/>
      <c r="J186" s="326"/>
      <c r="K186" s="326"/>
      <c r="L186" s="326"/>
      <c r="M186" s="326"/>
      <c r="N186" s="408"/>
      <c r="O186" s="301"/>
      <c r="P186" s="301"/>
      <c r="Q186" s="301"/>
      <c r="R186" s="301"/>
      <c r="S186" s="301"/>
      <c r="T186" s="301"/>
      <c r="U186" s="301"/>
      <c r="V186" s="301"/>
      <c r="W186" s="301"/>
      <c r="X186" s="301"/>
      <c r="Y186" s="301"/>
      <c r="Z186" s="301"/>
      <c r="AA186" s="301"/>
      <c r="AB186" s="301"/>
      <c r="AC186" s="301"/>
      <c r="AD186" s="301"/>
      <c r="AE186" s="301"/>
    </row>
    <row r="187" spans="2:31" ht="14.5">
      <c r="B187" s="406">
        <f t="shared" si="6"/>
        <v>142</v>
      </c>
      <c r="C187" s="414" t="str" cm="1">
        <f t="array" aca="1" ref="C187" ca="1">IF(B187&lt;=$C$9,GetGetCDSName(B187),"")</f>
        <v/>
      </c>
      <c r="D187" s="374"/>
      <c r="E187" s="407"/>
      <c r="F187" s="326"/>
      <c r="G187" s="326"/>
      <c r="H187" s="326"/>
      <c r="I187" s="326"/>
      <c r="J187" s="326"/>
      <c r="K187" s="326"/>
      <c r="L187" s="326"/>
      <c r="M187" s="326"/>
      <c r="N187" s="408"/>
      <c r="O187" s="301"/>
      <c r="P187" s="301"/>
      <c r="Q187" s="301"/>
      <c r="R187" s="301"/>
      <c r="S187" s="301"/>
      <c r="T187" s="301"/>
      <c r="U187" s="301"/>
      <c r="V187" s="301"/>
      <c r="W187" s="301"/>
      <c r="X187" s="301"/>
      <c r="Y187" s="301"/>
      <c r="Z187" s="301"/>
      <c r="AA187" s="301"/>
      <c r="AB187" s="301"/>
      <c r="AC187" s="301"/>
      <c r="AD187" s="301"/>
      <c r="AE187" s="301"/>
    </row>
    <row r="188" spans="2:31" ht="14.5">
      <c r="B188" s="406">
        <f t="shared" si="6"/>
        <v>143</v>
      </c>
      <c r="C188" s="414" t="str" cm="1">
        <f t="array" aca="1" ref="C188" ca="1">IF(B188&lt;=$C$9,GetGetCDSName(B188),"")</f>
        <v/>
      </c>
      <c r="D188" s="374"/>
      <c r="E188" s="407"/>
      <c r="F188" s="326"/>
      <c r="G188" s="326"/>
      <c r="H188" s="326"/>
      <c r="I188" s="326"/>
      <c r="J188" s="326"/>
      <c r="K188" s="326"/>
      <c r="L188" s="326"/>
      <c r="M188" s="326"/>
      <c r="N188" s="408"/>
      <c r="O188" s="301"/>
      <c r="P188" s="301"/>
      <c r="Q188" s="301"/>
      <c r="R188" s="301"/>
      <c r="S188" s="301"/>
      <c r="T188" s="301"/>
      <c r="U188" s="301"/>
      <c r="V188" s="301"/>
      <c r="W188" s="301"/>
      <c r="X188" s="301"/>
      <c r="Y188" s="301"/>
      <c r="Z188" s="301"/>
      <c r="AA188" s="301"/>
      <c r="AB188" s="301"/>
      <c r="AC188" s="301"/>
      <c r="AD188" s="301"/>
      <c r="AE188" s="301"/>
    </row>
    <row r="189" spans="2:31" ht="14.5">
      <c r="B189" s="406">
        <f t="shared" si="6"/>
        <v>144</v>
      </c>
      <c r="C189" s="414" t="str" cm="1">
        <f t="array" aca="1" ref="C189" ca="1">IF(B189&lt;=$C$9,GetGetCDSName(B189),"")</f>
        <v/>
      </c>
      <c r="D189" s="374"/>
      <c r="E189" s="407"/>
      <c r="F189" s="326"/>
      <c r="G189" s="326"/>
      <c r="H189" s="326"/>
      <c r="I189" s="326"/>
      <c r="J189" s="326"/>
      <c r="K189" s="326"/>
      <c r="L189" s="326"/>
      <c r="M189" s="326"/>
      <c r="N189" s="408"/>
      <c r="O189" s="301"/>
      <c r="P189" s="301"/>
      <c r="Q189" s="301"/>
      <c r="R189" s="301"/>
      <c r="S189" s="301"/>
      <c r="T189" s="301"/>
      <c r="U189" s="301"/>
      <c r="V189" s="301"/>
      <c r="W189" s="301"/>
      <c r="X189" s="301"/>
      <c r="Y189" s="301"/>
      <c r="Z189" s="301"/>
      <c r="AA189" s="301"/>
      <c r="AB189" s="301"/>
      <c r="AC189" s="301"/>
      <c r="AD189" s="301"/>
      <c r="AE189" s="301"/>
    </row>
    <row r="190" spans="2:31" ht="14.5">
      <c r="B190" s="406">
        <f t="shared" si="6"/>
        <v>145</v>
      </c>
      <c r="C190" s="414" t="str" cm="1">
        <f t="array" aca="1" ref="C190" ca="1">IF(B190&lt;=$C$9,GetGetCDSName(B190),"")</f>
        <v/>
      </c>
      <c r="D190" s="374"/>
      <c r="E190" s="407"/>
      <c r="F190" s="326"/>
      <c r="G190" s="326"/>
      <c r="H190" s="326"/>
      <c r="I190" s="326"/>
      <c r="J190" s="326"/>
      <c r="K190" s="326"/>
      <c r="L190" s="326"/>
      <c r="M190" s="326"/>
      <c r="N190" s="408"/>
      <c r="O190" s="301"/>
      <c r="P190" s="301"/>
      <c r="Q190" s="301"/>
      <c r="R190" s="301"/>
      <c r="S190" s="301"/>
      <c r="T190" s="301"/>
      <c r="U190" s="301"/>
      <c r="V190" s="301"/>
      <c r="W190" s="301"/>
      <c r="X190" s="301"/>
      <c r="Y190" s="301"/>
      <c r="Z190" s="301"/>
      <c r="AA190" s="301"/>
      <c r="AB190" s="301"/>
      <c r="AC190" s="301"/>
      <c r="AD190" s="301"/>
      <c r="AE190" s="301"/>
    </row>
    <row r="191" spans="2:31" ht="14.5">
      <c r="B191" s="406">
        <f t="shared" si="6"/>
        <v>146</v>
      </c>
      <c r="C191" s="414" t="str" cm="1">
        <f t="array" aca="1" ref="C191" ca="1">IF(B191&lt;=$C$9,GetGetCDSName(B191),"")</f>
        <v/>
      </c>
      <c r="D191" s="374"/>
      <c r="E191" s="407"/>
      <c r="F191" s="326"/>
      <c r="G191" s="326"/>
      <c r="H191" s="326"/>
      <c r="I191" s="326"/>
      <c r="J191" s="326"/>
      <c r="K191" s="326"/>
      <c r="L191" s="326"/>
      <c r="M191" s="326"/>
      <c r="N191" s="408"/>
      <c r="O191" s="301"/>
      <c r="P191" s="301"/>
      <c r="Q191" s="301"/>
      <c r="R191" s="301"/>
      <c r="S191" s="301"/>
      <c r="T191" s="301"/>
      <c r="U191" s="301"/>
      <c r="V191" s="301"/>
      <c r="W191" s="301"/>
      <c r="X191" s="301"/>
      <c r="Y191" s="301"/>
      <c r="Z191" s="301"/>
      <c r="AA191" s="301"/>
      <c r="AB191" s="301"/>
      <c r="AC191" s="301"/>
      <c r="AD191" s="301"/>
      <c r="AE191" s="301"/>
    </row>
    <row r="192" spans="2:31" ht="14.5">
      <c r="B192" s="406">
        <f t="shared" si="6"/>
        <v>147</v>
      </c>
      <c r="C192" s="414" t="str" cm="1">
        <f t="array" aca="1" ref="C192" ca="1">IF(B192&lt;=$C$9,GetGetCDSName(B192),"")</f>
        <v/>
      </c>
      <c r="D192" s="374"/>
      <c r="E192" s="407"/>
      <c r="F192" s="326"/>
      <c r="G192" s="326"/>
      <c r="H192" s="326"/>
      <c r="I192" s="326"/>
      <c r="J192" s="326"/>
      <c r="K192" s="326"/>
      <c r="L192" s="326"/>
      <c r="M192" s="326"/>
      <c r="N192" s="408"/>
      <c r="O192" s="301"/>
      <c r="P192" s="301"/>
      <c r="Q192" s="301"/>
      <c r="R192" s="301"/>
      <c r="S192" s="301"/>
      <c r="T192" s="301"/>
      <c r="U192" s="301"/>
      <c r="V192" s="301"/>
      <c r="W192" s="301"/>
      <c r="X192" s="301"/>
      <c r="Y192" s="301"/>
      <c r="Z192" s="301"/>
      <c r="AA192" s="301"/>
      <c r="AB192" s="301"/>
      <c r="AC192" s="301"/>
      <c r="AD192" s="301"/>
      <c r="AE192" s="301"/>
    </row>
    <row r="193" spans="2:31" ht="14.5">
      <c r="B193" s="406">
        <f t="shared" si="6"/>
        <v>148</v>
      </c>
      <c r="C193" s="414" t="str" cm="1">
        <f t="array" aca="1" ref="C193" ca="1">IF(B193&lt;=$C$9,GetGetCDSName(B193),"")</f>
        <v/>
      </c>
      <c r="D193" s="374"/>
      <c r="E193" s="407"/>
      <c r="F193" s="326"/>
      <c r="G193" s="326"/>
      <c r="H193" s="326"/>
      <c r="I193" s="326"/>
      <c r="J193" s="326"/>
      <c r="K193" s="326"/>
      <c r="L193" s="326"/>
      <c r="M193" s="326"/>
      <c r="N193" s="408"/>
      <c r="O193" s="301"/>
      <c r="P193" s="301"/>
      <c r="Q193" s="301"/>
      <c r="R193" s="301"/>
      <c r="S193" s="301"/>
      <c r="T193" s="301"/>
      <c r="U193" s="301"/>
      <c r="V193" s="301"/>
      <c r="W193" s="301"/>
      <c r="X193" s="301"/>
      <c r="Y193" s="301"/>
      <c r="Z193" s="301"/>
      <c r="AA193" s="301"/>
      <c r="AB193" s="301"/>
      <c r="AC193" s="301"/>
      <c r="AD193" s="301"/>
      <c r="AE193" s="301"/>
    </row>
    <row r="194" spans="2:31" ht="14.5">
      <c r="B194" s="406">
        <f t="shared" si="6"/>
        <v>149</v>
      </c>
      <c r="C194" s="414" t="str" cm="1">
        <f t="array" aca="1" ref="C194" ca="1">IF(B194&lt;=$C$9,GetGetCDSName(B194),"")</f>
        <v/>
      </c>
      <c r="D194" s="374"/>
      <c r="E194" s="407"/>
      <c r="F194" s="326"/>
      <c r="G194" s="326"/>
      <c r="H194" s="326"/>
      <c r="I194" s="326"/>
      <c r="J194" s="326"/>
      <c r="K194" s="326"/>
      <c r="L194" s="326"/>
      <c r="M194" s="326"/>
      <c r="N194" s="408"/>
      <c r="O194" s="301"/>
      <c r="P194" s="301"/>
      <c r="Q194" s="301"/>
      <c r="R194" s="301"/>
      <c r="S194" s="301"/>
      <c r="T194" s="301"/>
      <c r="U194" s="301"/>
      <c r="V194" s="301"/>
      <c r="W194" s="301"/>
      <c r="X194" s="301"/>
      <c r="Y194" s="301"/>
      <c r="Z194" s="301"/>
      <c r="AA194" s="301"/>
      <c r="AB194" s="301"/>
      <c r="AC194" s="301"/>
      <c r="AD194" s="301"/>
      <c r="AE194" s="301"/>
    </row>
    <row r="195" spans="2:31" ht="14.5">
      <c r="B195" s="406">
        <f t="shared" si="6"/>
        <v>150</v>
      </c>
      <c r="C195" s="414" t="str" cm="1">
        <f t="array" aca="1" ref="C195" ca="1">IF(B195&lt;=$C$9,GetGetCDSName(B195),"")</f>
        <v/>
      </c>
      <c r="D195" s="374"/>
      <c r="E195" s="407"/>
      <c r="F195" s="326"/>
      <c r="G195" s="326"/>
      <c r="H195" s="326"/>
      <c r="I195" s="326"/>
      <c r="J195" s="326"/>
      <c r="K195" s="326"/>
      <c r="L195" s="326"/>
      <c r="M195" s="326"/>
      <c r="N195" s="408"/>
      <c r="O195" s="301"/>
      <c r="P195" s="301"/>
      <c r="Q195" s="301"/>
      <c r="R195" s="301"/>
      <c r="S195" s="301"/>
      <c r="T195" s="301"/>
      <c r="U195" s="301"/>
      <c r="V195" s="301"/>
      <c r="W195" s="301"/>
      <c r="X195" s="301"/>
      <c r="Y195" s="301"/>
      <c r="Z195" s="301"/>
      <c r="AA195" s="301"/>
      <c r="AB195" s="301"/>
      <c r="AC195" s="301"/>
      <c r="AD195" s="301"/>
      <c r="AE195" s="301"/>
    </row>
    <row r="196" spans="2:31" ht="14.5">
      <c r="B196" s="406">
        <f t="shared" si="6"/>
        <v>151</v>
      </c>
      <c r="C196" s="414" t="str" cm="1">
        <f t="array" aca="1" ref="C196" ca="1">IF(B196&lt;=$C$9,GetGetCDSName(B196),"")</f>
        <v/>
      </c>
      <c r="D196" s="374"/>
      <c r="E196" s="407"/>
      <c r="F196" s="326"/>
      <c r="G196" s="326"/>
      <c r="H196" s="326"/>
      <c r="I196" s="326"/>
      <c r="J196" s="326"/>
      <c r="K196" s="326"/>
      <c r="L196" s="326"/>
      <c r="M196" s="326"/>
      <c r="N196" s="408"/>
      <c r="O196" s="301"/>
      <c r="P196" s="301"/>
      <c r="Q196" s="301"/>
      <c r="R196" s="301"/>
      <c r="S196" s="301"/>
      <c r="T196" s="301"/>
      <c r="U196" s="301"/>
      <c r="V196" s="301"/>
      <c r="W196" s="301"/>
      <c r="X196" s="301"/>
      <c r="Y196" s="301"/>
      <c r="Z196" s="301"/>
      <c r="AA196" s="301"/>
      <c r="AB196" s="301"/>
      <c r="AC196" s="301"/>
      <c r="AD196" s="301"/>
      <c r="AE196" s="301"/>
    </row>
    <row r="197" spans="2:31" ht="14.5">
      <c r="B197" s="406">
        <f t="shared" si="6"/>
        <v>152</v>
      </c>
      <c r="C197" s="414" t="str" cm="1">
        <f t="array" aca="1" ref="C197" ca="1">IF(B197&lt;=$C$9,GetGetCDSName(B197),"")</f>
        <v/>
      </c>
      <c r="D197" s="374"/>
      <c r="E197" s="407"/>
      <c r="F197" s="326"/>
      <c r="G197" s="326"/>
      <c r="H197" s="326"/>
      <c r="I197" s="326"/>
      <c r="J197" s="326"/>
      <c r="K197" s="326"/>
      <c r="L197" s="326"/>
      <c r="M197" s="326"/>
      <c r="N197" s="408"/>
      <c r="O197" s="301"/>
      <c r="P197" s="301"/>
      <c r="Q197" s="301"/>
      <c r="R197" s="301"/>
      <c r="S197" s="301"/>
      <c r="T197" s="301"/>
      <c r="U197" s="301"/>
      <c r="V197" s="301"/>
      <c r="W197" s="301"/>
      <c r="X197" s="301"/>
      <c r="Y197" s="301"/>
      <c r="Z197" s="301"/>
      <c r="AA197" s="301"/>
      <c r="AB197" s="301"/>
      <c r="AC197" s="301"/>
      <c r="AD197" s="301"/>
      <c r="AE197" s="301"/>
    </row>
    <row r="198" spans="2:31" ht="14.5">
      <c r="B198" s="406">
        <f t="shared" si="6"/>
        <v>153</v>
      </c>
      <c r="C198" s="414" t="str" cm="1">
        <f t="array" aca="1" ref="C198" ca="1">IF(B198&lt;=$C$9,GetGetCDSName(B198),"")</f>
        <v/>
      </c>
      <c r="D198" s="374"/>
      <c r="E198" s="407"/>
      <c r="F198" s="326"/>
      <c r="G198" s="326"/>
      <c r="H198" s="326"/>
      <c r="I198" s="326"/>
      <c r="J198" s="326"/>
      <c r="K198" s="326"/>
      <c r="L198" s="326"/>
      <c r="M198" s="326"/>
      <c r="N198" s="408"/>
      <c r="O198" s="301"/>
      <c r="P198" s="301"/>
      <c r="Q198" s="301"/>
      <c r="R198" s="301"/>
      <c r="S198" s="301"/>
      <c r="T198" s="301"/>
      <c r="U198" s="301"/>
      <c r="V198" s="301"/>
      <c r="W198" s="301"/>
      <c r="X198" s="301"/>
      <c r="Y198" s="301"/>
      <c r="Z198" s="301"/>
      <c r="AA198" s="301"/>
      <c r="AB198" s="301"/>
      <c r="AC198" s="301"/>
      <c r="AD198" s="301"/>
      <c r="AE198" s="301"/>
    </row>
    <row r="199" spans="2:31" ht="14.5">
      <c r="B199" s="406">
        <f t="shared" si="6"/>
        <v>154</v>
      </c>
      <c r="C199" s="414" t="str" cm="1">
        <f t="array" aca="1" ref="C199" ca="1">IF(B199&lt;=$C$9,GetGetCDSName(B199),"")</f>
        <v/>
      </c>
      <c r="D199" s="374"/>
      <c r="E199" s="407"/>
      <c r="F199" s="326"/>
      <c r="G199" s="326"/>
      <c r="H199" s="326"/>
      <c r="I199" s="326"/>
      <c r="J199" s="326"/>
      <c r="K199" s="326"/>
      <c r="L199" s="326"/>
      <c r="M199" s="326"/>
      <c r="N199" s="408"/>
      <c r="O199" s="301"/>
      <c r="P199" s="301"/>
      <c r="Q199" s="301"/>
      <c r="R199" s="301"/>
      <c r="S199" s="301"/>
      <c r="T199" s="301"/>
      <c r="U199" s="301"/>
      <c r="V199" s="301"/>
      <c r="W199" s="301"/>
      <c r="X199" s="301"/>
      <c r="Y199" s="301"/>
      <c r="Z199" s="301"/>
      <c r="AA199" s="301"/>
      <c r="AB199" s="301"/>
      <c r="AC199" s="301"/>
      <c r="AD199" s="301"/>
      <c r="AE199" s="301"/>
    </row>
    <row r="200" spans="2:31" ht="14.5">
      <c r="B200" s="406">
        <f t="shared" si="6"/>
        <v>155</v>
      </c>
      <c r="C200" s="414" t="str" cm="1">
        <f t="array" aca="1" ref="C200" ca="1">IF(B200&lt;=$C$9,GetGetCDSName(B200),"")</f>
        <v/>
      </c>
      <c r="D200" s="374"/>
      <c r="E200" s="407"/>
      <c r="F200" s="326"/>
      <c r="G200" s="326"/>
      <c r="H200" s="326"/>
      <c r="I200" s="326"/>
      <c r="J200" s="326"/>
      <c r="K200" s="326"/>
      <c r="L200" s="326"/>
      <c r="M200" s="326"/>
      <c r="N200" s="408"/>
      <c r="O200" s="301"/>
      <c r="P200" s="301"/>
      <c r="Q200" s="301"/>
      <c r="R200" s="301"/>
      <c r="S200" s="301"/>
      <c r="T200" s="301"/>
      <c r="U200" s="301"/>
      <c r="V200" s="301"/>
      <c r="W200" s="301"/>
      <c r="X200" s="301"/>
      <c r="Y200" s="301"/>
      <c r="Z200" s="301"/>
      <c r="AA200" s="301"/>
      <c r="AB200" s="301"/>
      <c r="AC200" s="301"/>
      <c r="AD200" s="301"/>
      <c r="AE200" s="301"/>
    </row>
    <row r="201" spans="2:31" ht="14.5">
      <c r="B201" s="406">
        <f t="shared" si="6"/>
        <v>156</v>
      </c>
      <c r="C201" s="414" t="str" cm="1">
        <f t="array" aca="1" ref="C201" ca="1">IF(B201&lt;=$C$9,GetGetCDSName(B201),"")</f>
        <v/>
      </c>
      <c r="D201" s="374"/>
      <c r="E201" s="407"/>
      <c r="F201" s="326"/>
      <c r="G201" s="326"/>
      <c r="H201" s="326"/>
      <c r="I201" s="326"/>
      <c r="J201" s="326"/>
      <c r="K201" s="326"/>
      <c r="L201" s="326"/>
      <c r="M201" s="326"/>
      <c r="N201" s="408"/>
      <c r="O201" s="301"/>
      <c r="P201" s="301"/>
      <c r="Q201" s="301"/>
      <c r="R201" s="301"/>
      <c r="S201" s="301"/>
      <c r="T201" s="301"/>
      <c r="U201" s="301"/>
      <c r="V201" s="301"/>
      <c r="W201" s="301"/>
      <c r="X201" s="301"/>
      <c r="Y201" s="301"/>
      <c r="Z201" s="301"/>
      <c r="AA201" s="301"/>
      <c r="AB201" s="301"/>
      <c r="AC201" s="301"/>
      <c r="AD201" s="301"/>
      <c r="AE201" s="301"/>
    </row>
    <row r="202" spans="2:31" ht="14.5">
      <c r="B202" s="406">
        <f t="shared" si="6"/>
        <v>157</v>
      </c>
      <c r="C202" s="414" t="str" cm="1">
        <f t="array" aca="1" ref="C202" ca="1">IF(B202&lt;=$C$9,GetGetCDSName(B202),"")</f>
        <v/>
      </c>
      <c r="D202" s="374"/>
      <c r="E202" s="407"/>
      <c r="F202" s="326"/>
      <c r="G202" s="326"/>
      <c r="H202" s="326"/>
      <c r="I202" s="326"/>
      <c r="J202" s="326"/>
      <c r="K202" s="326"/>
      <c r="L202" s="326"/>
      <c r="M202" s="326"/>
      <c r="N202" s="408"/>
      <c r="O202" s="301"/>
      <c r="P202" s="301"/>
      <c r="Q202" s="301"/>
      <c r="R202" s="301"/>
      <c r="S202" s="301"/>
      <c r="T202" s="301"/>
      <c r="U202" s="301"/>
      <c r="V202" s="301"/>
      <c r="W202" s="301"/>
      <c r="X202" s="301"/>
      <c r="Y202" s="301"/>
      <c r="Z202" s="301"/>
      <c r="AA202" s="301"/>
      <c r="AB202" s="301"/>
      <c r="AC202" s="301"/>
      <c r="AD202" s="301"/>
      <c r="AE202" s="301"/>
    </row>
    <row r="203" spans="2:31" ht="14.5">
      <c r="B203" s="406">
        <f t="shared" si="6"/>
        <v>158</v>
      </c>
      <c r="C203" s="414" t="str" cm="1">
        <f t="array" aca="1" ref="C203" ca="1">IF(B203&lt;=$C$9,GetGetCDSName(B203),"")</f>
        <v/>
      </c>
      <c r="D203" s="374"/>
      <c r="E203" s="407"/>
      <c r="F203" s="326"/>
      <c r="G203" s="326"/>
      <c r="H203" s="326"/>
      <c r="I203" s="326"/>
      <c r="J203" s="326"/>
      <c r="K203" s="326"/>
      <c r="L203" s="326"/>
      <c r="M203" s="326"/>
      <c r="N203" s="408"/>
      <c r="O203" s="301"/>
      <c r="P203" s="301"/>
      <c r="Q203" s="301"/>
      <c r="R203" s="301"/>
      <c r="S203" s="301"/>
      <c r="T203" s="301"/>
      <c r="U203" s="301"/>
      <c r="V203" s="301"/>
      <c r="W203" s="301"/>
      <c r="X203" s="301"/>
      <c r="Y203" s="301"/>
      <c r="Z203" s="301"/>
      <c r="AA203" s="301"/>
      <c r="AB203" s="301"/>
      <c r="AC203" s="301"/>
      <c r="AD203" s="301"/>
      <c r="AE203" s="301"/>
    </row>
    <row r="204" spans="2:31" ht="14.5">
      <c r="B204" s="406">
        <f t="shared" si="6"/>
        <v>159</v>
      </c>
      <c r="C204" s="414" t="str" cm="1">
        <f t="array" aca="1" ref="C204" ca="1">IF(B204&lt;=$C$9,GetGetCDSName(B204),"")</f>
        <v/>
      </c>
      <c r="D204" s="374"/>
      <c r="E204" s="407"/>
      <c r="F204" s="326"/>
      <c r="G204" s="326"/>
      <c r="H204" s="326"/>
      <c r="I204" s="326"/>
      <c r="J204" s="326"/>
      <c r="K204" s="326"/>
      <c r="L204" s="326"/>
      <c r="M204" s="326"/>
      <c r="N204" s="408"/>
      <c r="O204" s="301"/>
      <c r="P204" s="301"/>
      <c r="Q204" s="301"/>
      <c r="R204" s="301"/>
      <c r="S204" s="301"/>
      <c r="T204" s="301"/>
      <c r="U204" s="301"/>
      <c r="V204" s="301"/>
      <c r="W204" s="301"/>
      <c r="X204" s="301"/>
      <c r="Y204" s="301"/>
      <c r="Z204" s="301"/>
      <c r="AA204" s="301"/>
      <c r="AB204" s="301"/>
      <c r="AC204" s="301"/>
      <c r="AD204" s="301"/>
      <c r="AE204" s="301"/>
    </row>
    <row r="205" spans="2:31" ht="14.5">
      <c r="B205" s="406">
        <f t="shared" si="6"/>
        <v>160</v>
      </c>
      <c r="C205" s="414" t="str" cm="1">
        <f t="array" aca="1" ref="C205" ca="1">IF(B205&lt;=$C$9,GetGetCDSName(B205),"")</f>
        <v/>
      </c>
      <c r="D205" s="374"/>
      <c r="E205" s="407"/>
      <c r="F205" s="326"/>
      <c r="G205" s="326"/>
      <c r="H205" s="326"/>
      <c r="I205" s="326"/>
      <c r="J205" s="326"/>
      <c r="K205" s="326"/>
      <c r="L205" s="326"/>
      <c r="M205" s="326"/>
      <c r="N205" s="408"/>
      <c r="O205" s="301"/>
      <c r="P205" s="301"/>
      <c r="Q205" s="301"/>
      <c r="R205" s="301"/>
      <c r="S205" s="301"/>
      <c r="T205" s="301"/>
      <c r="U205" s="301"/>
      <c r="V205" s="301"/>
      <c r="W205" s="301"/>
      <c r="X205" s="301"/>
      <c r="Y205" s="301"/>
      <c r="Z205" s="301"/>
      <c r="AA205" s="301"/>
      <c r="AB205" s="301"/>
      <c r="AC205" s="301"/>
      <c r="AD205" s="301"/>
      <c r="AE205" s="301"/>
    </row>
    <row r="206" spans="2:31" ht="14.5">
      <c r="B206" s="406">
        <f t="shared" si="6"/>
        <v>161</v>
      </c>
      <c r="C206" s="414" t="str" cm="1">
        <f t="array" aca="1" ref="C206" ca="1">IF(B206&lt;=$C$9,GetGetCDSName(B206),"")</f>
        <v/>
      </c>
      <c r="D206" s="374"/>
      <c r="E206" s="407"/>
      <c r="F206" s="326"/>
      <c r="G206" s="326"/>
      <c r="H206" s="326"/>
      <c r="I206" s="326"/>
      <c r="J206" s="326"/>
      <c r="K206" s="326"/>
      <c r="L206" s="326"/>
      <c r="M206" s="326"/>
      <c r="N206" s="408"/>
      <c r="O206" s="301"/>
      <c r="P206" s="301"/>
      <c r="Q206" s="301"/>
      <c r="R206" s="301"/>
      <c r="S206" s="301"/>
      <c r="T206" s="301"/>
      <c r="U206" s="301"/>
      <c r="V206" s="301"/>
      <c r="W206" s="301"/>
      <c r="X206" s="301"/>
      <c r="Y206" s="301"/>
      <c r="Z206" s="301"/>
      <c r="AA206" s="301"/>
      <c r="AB206" s="301"/>
      <c r="AC206" s="301"/>
      <c r="AD206" s="301"/>
      <c r="AE206" s="301"/>
    </row>
    <row r="207" spans="2:31" ht="14.5">
      <c r="B207" s="406">
        <f t="shared" si="6"/>
        <v>162</v>
      </c>
      <c r="C207" s="414" t="str" cm="1">
        <f t="array" aca="1" ref="C207" ca="1">IF(B207&lt;=$C$9,GetGetCDSName(B207),"")</f>
        <v/>
      </c>
      <c r="D207" s="374"/>
      <c r="E207" s="407"/>
      <c r="F207" s="326"/>
      <c r="G207" s="326"/>
      <c r="H207" s="326"/>
      <c r="I207" s="326"/>
      <c r="J207" s="326"/>
      <c r="K207" s="326"/>
      <c r="L207" s="326"/>
      <c r="M207" s="326"/>
      <c r="N207" s="408"/>
      <c r="O207" s="301"/>
      <c r="P207" s="301"/>
      <c r="Q207" s="301"/>
      <c r="R207" s="301"/>
      <c r="S207" s="301"/>
      <c r="T207" s="301"/>
      <c r="U207" s="301"/>
      <c r="V207" s="301"/>
      <c r="W207" s="301"/>
      <c r="X207" s="301"/>
      <c r="Y207" s="301"/>
      <c r="Z207" s="301"/>
      <c r="AA207" s="301"/>
      <c r="AB207" s="301"/>
      <c r="AC207" s="301"/>
      <c r="AD207" s="301"/>
      <c r="AE207" s="301"/>
    </row>
    <row r="208" spans="2:31" ht="14.5">
      <c r="B208" s="406">
        <f t="shared" si="6"/>
        <v>163</v>
      </c>
      <c r="C208" s="414" t="str" cm="1">
        <f t="array" aca="1" ref="C208" ca="1">IF(B208&lt;=$C$9,GetGetCDSName(B208),"")</f>
        <v/>
      </c>
      <c r="D208" s="374"/>
      <c r="E208" s="407"/>
      <c r="F208" s="326"/>
      <c r="G208" s="326"/>
      <c r="H208" s="326"/>
      <c r="I208" s="326"/>
      <c r="J208" s="326"/>
      <c r="K208" s="326"/>
      <c r="L208" s="326"/>
      <c r="M208" s="326"/>
      <c r="N208" s="408"/>
      <c r="O208" s="301"/>
      <c r="P208" s="301"/>
      <c r="Q208" s="301"/>
      <c r="R208" s="301"/>
      <c r="S208" s="301"/>
      <c r="T208" s="301"/>
      <c r="U208" s="301"/>
      <c r="V208" s="301"/>
      <c r="W208" s="301"/>
      <c r="X208" s="301"/>
      <c r="Y208" s="301"/>
      <c r="Z208" s="301"/>
      <c r="AA208" s="301"/>
      <c r="AB208" s="301"/>
      <c r="AC208" s="301"/>
      <c r="AD208" s="301"/>
      <c r="AE208" s="301"/>
    </row>
    <row r="209" spans="2:31" ht="14.5">
      <c r="B209" s="406">
        <f t="shared" si="6"/>
        <v>164</v>
      </c>
      <c r="C209" s="414" t="str" cm="1">
        <f t="array" aca="1" ref="C209" ca="1">IF(B209&lt;=$C$9,GetGetCDSName(B209),"")</f>
        <v/>
      </c>
      <c r="D209" s="374"/>
      <c r="E209" s="407"/>
      <c r="F209" s="326"/>
      <c r="G209" s="326"/>
      <c r="H209" s="326"/>
      <c r="I209" s="326"/>
      <c r="J209" s="326"/>
      <c r="K209" s="326"/>
      <c r="L209" s="326"/>
      <c r="M209" s="326"/>
      <c r="N209" s="408"/>
      <c r="O209" s="301"/>
      <c r="P209" s="301"/>
      <c r="Q209" s="301"/>
      <c r="R209" s="301"/>
      <c r="S209" s="301"/>
      <c r="T209" s="301"/>
      <c r="U209" s="301"/>
      <c r="V209" s="301"/>
      <c r="W209" s="301"/>
      <c r="X209" s="301"/>
      <c r="Y209" s="301"/>
      <c r="Z209" s="301"/>
      <c r="AA209" s="301"/>
      <c r="AB209" s="301"/>
      <c r="AC209" s="301"/>
      <c r="AD209" s="301"/>
      <c r="AE209" s="301"/>
    </row>
    <row r="210" spans="2:31" ht="14.5">
      <c r="B210" s="406">
        <f t="shared" si="6"/>
        <v>165</v>
      </c>
      <c r="C210" s="414" t="str" cm="1">
        <f t="array" aca="1" ref="C210" ca="1">IF(B210&lt;=$C$9,GetGetCDSName(B210),"")</f>
        <v/>
      </c>
      <c r="D210" s="374"/>
      <c r="E210" s="407"/>
      <c r="F210" s="326"/>
      <c r="G210" s="326"/>
      <c r="H210" s="326"/>
      <c r="I210" s="326"/>
      <c r="J210" s="326"/>
      <c r="K210" s="326"/>
      <c r="L210" s="326"/>
      <c r="M210" s="326"/>
      <c r="N210" s="408"/>
      <c r="O210" s="301"/>
      <c r="P210" s="301"/>
      <c r="Q210" s="301"/>
      <c r="R210" s="301"/>
      <c r="S210" s="301"/>
      <c r="T210" s="301"/>
      <c r="U210" s="301"/>
      <c r="V210" s="301"/>
      <c r="W210" s="301"/>
      <c r="X210" s="301"/>
      <c r="Y210" s="301"/>
      <c r="Z210" s="301"/>
      <c r="AA210" s="301"/>
      <c r="AB210" s="301"/>
      <c r="AC210" s="301"/>
      <c r="AD210" s="301"/>
      <c r="AE210" s="301"/>
    </row>
    <row r="211" spans="2:31" ht="14.5">
      <c r="B211" s="406">
        <f t="shared" si="6"/>
        <v>166</v>
      </c>
      <c r="C211" s="414" t="str" cm="1">
        <f t="array" aca="1" ref="C211" ca="1">IF(B211&lt;=$C$9,GetGetCDSName(B211),"")</f>
        <v/>
      </c>
      <c r="D211" s="374"/>
      <c r="E211" s="407"/>
      <c r="F211" s="326"/>
      <c r="G211" s="326"/>
      <c r="H211" s="326"/>
      <c r="I211" s="326"/>
      <c r="J211" s="326"/>
      <c r="K211" s="326"/>
      <c r="L211" s="326"/>
      <c r="M211" s="326"/>
      <c r="N211" s="408"/>
      <c r="O211" s="301"/>
      <c r="P211" s="301"/>
      <c r="Q211" s="301"/>
      <c r="R211" s="301"/>
      <c r="S211" s="301"/>
      <c r="T211" s="301"/>
      <c r="U211" s="301"/>
      <c r="V211" s="301"/>
      <c r="W211" s="301"/>
      <c r="X211" s="301"/>
      <c r="Y211" s="301"/>
      <c r="Z211" s="301"/>
      <c r="AA211" s="301"/>
      <c r="AB211" s="301"/>
      <c r="AC211" s="301"/>
      <c r="AD211" s="301"/>
      <c r="AE211" s="301"/>
    </row>
    <row r="212" spans="2:31" ht="14.5">
      <c r="B212" s="406">
        <f t="shared" si="6"/>
        <v>167</v>
      </c>
      <c r="C212" s="414" t="str" cm="1">
        <f t="array" aca="1" ref="C212" ca="1">IF(B212&lt;=$C$9,GetGetCDSName(B212),"")</f>
        <v/>
      </c>
      <c r="D212" s="374"/>
      <c r="E212" s="407"/>
      <c r="F212" s="326"/>
      <c r="G212" s="326"/>
      <c r="H212" s="326"/>
      <c r="I212" s="326"/>
      <c r="J212" s="326"/>
      <c r="K212" s="326"/>
      <c r="L212" s="326"/>
      <c r="M212" s="326"/>
      <c r="N212" s="408"/>
      <c r="O212" s="301"/>
      <c r="P212" s="301"/>
      <c r="Q212" s="301"/>
      <c r="R212" s="301"/>
      <c r="S212" s="301"/>
      <c r="T212" s="301"/>
      <c r="U212" s="301"/>
      <c r="V212" s="301"/>
      <c r="W212" s="301"/>
      <c r="X212" s="301"/>
      <c r="Y212" s="301"/>
      <c r="Z212" s="301"/>
      <c r="AA212" s="301"/>
      <c r="AB212" s="301"/>
      <c r="AC212" s="301"/>
      <c r="AD212" s="301"/>
      <c r="AE212" s="301"/>
    </row>
    <row r="213" spans="2:31" ht="14.5">
      <c r="B213" s="406">
        <f t="shared" si="6"/>
        <v>168</v>
      </c>
      <c r="C213" s="414" t="str" cm="1">
        <f t="array" aca="1" ref="C213" ca="1">IF(B213&lt;=$C$9,GetGetCDSName(B213),"")</f>
        <v/>
      </c>
      <c r="D213" s="374"/>
      <c r="E213" s="407"/>
      <c r="F213" s="326"/>
      <c r="G213" s="326"/>
      <c r="H213" s="326"/>
      <c r="I213" s="326"/>
      <c r="J213" s="326"/>
      <c r="K213" s="326"/>
      <c r="L213" s="326"/>
      <c r="M213" s="326"/>
      <c r="N213" s="408"/>
      <c r="O213" s="301"/>
      <c r="P213" s="301"/>
      <c r="Q213" s="301"/>
      <c r="R213" s="301"/>
      <c r="S213" s="301"/>
      <c r="T213" s="301"/>
      <c r="U213" s="301"/>
      <c r="V213" s="301"/>
      <c r="W213" s="301"/>
      <c r="X213" s="301"/>
      <c r="Y213" s="301"/>
      <c r="Z213" s="301"/>
      <c r="AA213" s="301"/>
      <c r="AB213" s="301"/>
      <c r="AC213" s="301"/>
      <c r="AD213" s="301"/>
      <c r="AE213" s="301"/>
    </row>
    <row r="214" spans="2:31" ht="14.5">
      <c r="B214" s="406">
        <f t="shared" si="6"/>
        <v>169</v>
      </c>
      <c r="C214" s="414" t="str" cm="1">
        <f t="array" aca="1" ref="C214" ca="1">IF(B214&lt;=$C$9,GetGetCDSName(B214),"")</f>
        <v/>
      </c>
      <c r="D214" s="374"/>
      <c r="E214" s="407"/>
      <c r="F214" s="326"/>
      <c r="G214" s="326"/>
      <c r="H214" s="326"/>
      <c r="I214" s="326"/>
      <c r="J214" s="326"/>
      <c r="K214" s="326"/>
      <c r="L214" s="326"/>
      <c r="M214" s="326"/>
      <c r="N214" s="408"/>
      <c r="O214" s="301"/>
      <c r="P214" s="301"/>
      <c r="Q214" s="301"/>
      <c r="R214" s="301"/>
      <c r="S214" s="301"/>
      <c r="T214" s="301"/>
      <c r="U214" s="301"/>
      <c r="V214" s="301"/>
      <c r="W214" s="301"/>
      <c r="X214" s="301"/>
      <c r="Y214" s="301"/>
      <c r="Z214" s="301"/>
      <c r="AA214" s="301"/>
      <c r="AB214" s="301"/>
      <c r="AC214" s="301"/>
      <c r="AD214" s="301"/>
      <c r="AE214" s="301"/>
    </row>
    <row r="215" spans="2:31" ht="14.5">
      <c r="B215" s="406">
        <f t="shared" si="6"/>
        <v>170</v>
      </c>
      <c r="C215" s="414" t="str" cm="1">
        <f t="array" aca="1" ref="C215" ca="1">IF(B215&lt;=$C$9,GetGetCDSName(B215),"")</f>
        <v/>
      </c>
      <c r="D215" s="374"/>
      <c r="E215" s="407"/>
      <c r="F215" s="326"/>
      <c r="G215" s="326"/>
      <c r="H215" s="326"/>
      <c r="I215" s="326"/>
      <c r="J215" s="326"/>
      <c r="K215" s="326"/>
      <c r="L215" s="326"/>
      <c r="M215" s="326"/>
      <c r="N215" s="408"/>
      <c r="O215" s="301"/>
      <c r="P215" s="301"/>
      <c r="Q215" s="301"/>
      <c r="R215" s="301"/>
      <c r="S215" s="301"/>
      <c r="T215" s="301"/>
      <c r="U215" s="301"/>
      <c r="V215" s="301"/>
      <c r="W215" s="301"/>
      <c r="X215" s="301"/>
      <c r="Y215" s="301"/>
      <c r="Z215" s="301"/>
      <c r="AA215" s="301"/>
      <c r="AB215" s="301"/>
      <c r="AC215" s="301"/>
      <c r="AD215" s="301"/>
      <c r="AE215" s="301"/>
    </row>
    <row r="216" spans="2:31" ht="14.5">
      <c r="B216" s="406">
        <f t="shared" si="6"/>
        <v>171</v>
      </c>
      <c r="C216" s="414" t="str" cm="1">
        <f t="array" aca="1" ref="C216" ca="1">IF(B216&lt;=$C$9,GetGetCDSName(B216),"")</f>
        <v/>
      </c>
      <c r="D216" s="374"/>
      <c r="E216" s="407"/>
      <c r="F216" s="326"/>
      <c r="G216" s="326"/>
      <c r="H216" s="326"/>
      <c r="I216" s="326"/>
      <c r="J216" s="326"/>
      <c r="K216" s="326"/>
      <c r="L216" s="326"/>
      <c r="M216" s="326"/>
      <c r="N216" s="408"/>
      <c r="O216" s="301"/>
      <c r="P216" s="301"/>
      <c r="Q216" s="301"/>
      <c r="R216" s="301"/>
      <c r="S216" s="301"/>
      <c r="T216" s="301"/>
      <c r="U216" s="301"/>
      <c r="V216" s="301"/>
      <c r="W216" s="301"/>
      <c r="X216" s="301"/>
      <c r="Y216" s="301"/>
      <c r="Z216" s="301"/>
      <c r="AA216" s="301"/>
      <c r="AB216" s="301"/>
      <c r="AC216" s="301"/>
      <c r="AD216" s="301"/>
      <c r="AE216" s="301"/>
    </row>
    <row r="217" spans="2:31" ht="14.5">
      <c r="B217" s="406">
        <f t="shared" si="6"/>
        <v>172</v>
      </c>
      <c r="C217" s="414" t="str" cm="1">
        <f t="array" aca="1" ref="C217" ca="1">IF(B217&lt;=$C$9,GetGetCDSName(B217),"")</f>
        <v/>
      </c>
      <c r="D217" s="374"/>
      <c r="E217" s="407"/>
      <c r="F217" s="326"/>
      <c r="G217" s="326"/>
      <c r="H217" s="326"/>
      <c r="I217" s="326"/>
      <c r="J217" s="326"/>
      <c r="K217" s="326"/>
      <c r="L217" s="326"/>
      <c r="M217" s="326"/>
      <c r="N217" s="408"/>
      <c r="O217" s="301"/>
      <c r="P217" s="301"/>
      <c r="Q217" s="301"/>
      <c r="R217" s="301"/>
      <c r="S217" s="301"/>
      <c r="T217" s="301"/>
      <c r="U217" s="301"/>
      <c r="V217" s="301"/>
      <c r="W217" s="301"/>
      <c r="X217" s="301"/>
      <c r="Y217" s="301"/>
      <c r="Z217" s="301"/>
      <c r="AA217" s="301"/>
      <c r="AB217" s="301"/>
      <c r="AC217" s="301"/>
      <c r="AD217" s="301"/>
      <c r="AE217" s="301"/>
    </row>
    <row r="218" spans="2:31" ht="14.5">
      <c r="B218" s="406">
        <f t="shared" si="6"/>
        <v>173</v>
      </c>
      <c r="C218" s="414" t="str" cm="1">
        <f t="array" aca="1" ref="C218" ca="1">IF(B218&lt;=$C$9,GetGetCDSName(B218),"")</f>
        <v/>
      </c>
      <c r="D218" s="374"/>
      <c r="E218" s="407"/>
      <c r="F218" s="326"/>
      <c r="G218" s="326"/>
      <c r="H218" s="326"/>
      <c r="I218" s="326"/>
      <c r="J218" s="326"/>
      <c r="K218" s="326"/>
      <c r="L218" s="326"/>
      <c r="M218" s="326"/>
      <c r="N218" s="408"/>
      <c r="O218" s="301"/>
      <c r="P218" s="301"/>
      <c r="Q218" s="301"/>
      <c r="R218" s="301"/>
      <c r="S218" s="301"/>
      <c r="T218" s="301"/>
      <c r="U218" s="301"/>
      <c r="V218" s="301"/>
      <c r="W218" s="301"/>
      <c r="X218" s="301"/>
      <c r="Y218" s="301"/>
      <c r="Z218" s="301"/>
      <c r="AA218" s="301"/>
      <c r="AB218" s="301"/>
      <c r="AC218" s="301"/>
      <c r="AD218" s="301"/>
      <c r="AE218" s="301"/>
    </row>
    <row r="219" spans="2:31" ht="14.5">
      <c r="B219" s="406">
        <f t="shared" si="6"/>
        <v>174</v>
      </c>
      <c r="C219" s="414" t="str" cm="1">
        <f t="array" aca="1" ref="C219" ca="1">IF(B219&lt;=$C$9,GetGetCDSName(B219),"")</f>
        <v/>
      </c>
      <c r="D219" s="374"/>
      <c r="E219" s="407"/>
      <c r="F219" s="326"/>
      <c r="G219" s="326"/>
      <c r="H219" s="326"/>
      <c r="I219" s="326"/>
      <c r="J219" s="326"/>
      <c r="K219" s="326"/>
      <c r="L219" s="326"/>
      <c r="M219" s="326"/>
      <c r="N219" s="408"/>
      <c r="O219" s="301"/>
      <c r="P219" s="301"/>
      <c r="Q219" s="301"/>
      <c r="R219" s="301"/>
      <c r="S219" s="301"/>
      <c r="T219" s="301"/>
      <c r="U219" s="301"/>
      <c r="V219" s="301"/>
      <c r="W219" s="301"/>
      <c r="X219" s="301"/>
      <c r="Y219" s="301"/>
      <c r="Z219" s="301"/>
      <c r="AA219" s="301"/>
      <c r="AB219" s="301"/>
      <c r="AC219" s="301"/>
      <c r="AD219" s="301"/>
      <c r="AE219" s="301"/>
    </row>
    <row r="220" spans="2:31" ht="14.5">
      <c r="B220" s="406">
        <f t="shared" si="6"/>
        <v>175</v>
      </c>
      <c r="C220" s="414" t="str" cm="1">
        <f t="array" aca="1" ref="C220" ca="1">IF(B220&lt;=$C$9,GetGetCDSName(B220),"")</f>
        <v/>
      </c>
      <c r="D220" s="374"/>
      <c r="E220" s="407"/>
      <c r="F220" s="326"/>
      <c r="G220" s="326"/>
      <c r="H220" s="326"/>
      <c r="I220" s="326"/>
      <c r="J220" s="326"/>
      <c r="K220" s="326"/>
      <c r="L220" s="326"/>
      <c r="M220" s="326"/>
      <c r="N220" s="408"/>
      <c r="O220" s="301"/>
      <c r="P220" s="301"/>
      <c r="Q220" s="301"/>
      <c r="R220" s="301"/>
      <c r="S220" s="301"/>
      <c r="T220" s="301"/>
      <c r="U220" s="301"/>
      <c r="V220" s="301"/>
      <c r="W220" s="301"/>
      <c r="X220" s="301"/>
      <c r="Y220" s="301"/>
      <c r="Z220" s="301"/>
      <c r="AA220" s="301"/>
      <c r="AB220" s="301"/>
      <c r="AC220" s="301"/>
      <c r="AD220" s="301"/>
      <c r="AE220" s="301"/>
    </row>
    <row r="221" spans="2:31" ht="14.5">
      <c r="B221" s="406">
        <f t="shared" si="6"/>
        <v>176</v>
      </c>
      <c r="C221" s="414" t="str" cm="1">
        <f t="array" aca="1" ref="C221" ca="1">IF(B221&lt;=$C$9,GetGetCDSName(B221),"")</f>
        <v/>
      </c>
      <c r="D221" s="374"/>
      <c r="E221" s="407"/>
      <c r="F221" s="326"/>
      <c r="G221" s="326"/>
      <c r="H221" s="326"/>
      <c r="I221" s="326"/>
      <c r="J221" s="326"/>
      <c r="K221" s="326"/>
      <c r="L221" s="326"/>
      <c r="M221" s="326"/>
      <c r="N221" s="408"/>
      <c r="O221" s="301"/>
      <c r="P221" s="301"/>
      <c r="Q221" s="301"/>
      <c r="R221" s="301"/>
      <c r="S221" s="301"/>
      <c r="T221" s="301"/>
      <c r="U221" s="301"/>
      <c r="V221" s="301"/>
      <c r="W221" s="301"/>
      <c r="X221" s="301"/>
      <c r="Y221" s="301"/>
      <c r="Z221" s="301"/>
      <c r="AA221" s="301"/>
      <c r="AB221" s="301"/>
      <c r="AC221" s="301"/>
      <c r="AD221" s="301"/>
      <c r="AE221" s="301"/>
    </row>
    <row r="222" spans="2:31" ht="14.5">
      <c r="B222" s="406">
        <f t="shared" si="6"/>
        <v>177</v>
      </c>
      <c r="C222" s="414" t="str" cm="1">
        <f t="array" aca="1" ref="C222" ca="1">IF(B222&lt;=$C$9,GetGetCDSName(B222),"")</f>
        <v/>
      </c>
      <c r="D222" s="374"/>
      <c r="E222" s="407"/>
      <c r="F222" s="326"/>
      <c r="G222" s="326"/>
      <c r="H222" s="326"/>
      <c r="I222" s="326"/>
      <c r="J222" s="326"/>
      <c r="K222" s="326"/>
      <c r="L222" s="326"/>
      <c r="M222" s="326"/>
      <c r="N222" s="408"/>
      <c r="O222" s="301"/>
      <c r="P222" s="301"/>
      <c r="Q222" s="301"/>
      <c r="R222" s="301"/>
      <c r="S222" s="301"/>
      <c r="T222" s="301"/>
      <c r="U222" s="301"/>
      <c r="V222" s="301"/>
      <c r="W222" s="301"/>
      <c r="X222" s="301"/>
      <c r="Y222" s="301"/>
      <c r="Z222" s="301"/>
      <c r="AA222" s="301"/>
      <c r="AB222" s="301"/>
      <c r="AC222" s="301"/>
      <c r="AD222" s="301"/>
      <c r="AE222" s="301"/>
    </row>
    <row r="223" spans="2:31" ht="14.5">
      <c r="B223" s="406">
        <f t="shared" si="6"/>
        <v>178</v>
      </c>
      <c r="C223" s="414" t="str" cm="1">
        <f t="array" aca="1" ref="C223" ca="1">IF(B223&lt;=$C$9,GetGetCDSName(B223),"")</f>
        <v/>
      </c>
      <c r="D223" s="374"/>
      <c r="E223" s="407"/>
      <c r="F223" s="326"/>
      <c r="G223" s="326"/>
      <c r="H223" s="326"/>
      <c r="I223" s="326"/>
      <c r="J223" s="326"/>
      <c r="K223" s="326"/>
      <c r="L223" s="326"/>
      <c r="M223" s="326"/>
      <c r="N223" s="408"/>
      <c r="O223" s="301"/>
      <c r="P223" s="301"/>
      <c r="Q223" s="301"/>
      <c r="R223" s="301"/>
      <c r="S223" s="301"/>
      <c r="T223" s="301"/>
      <c r="U223" s="301"/>
      <c r="V223" s="301"/>
      <c r="W223" s="301"/>
      <c r="X223" s="301"/>
      <c r="Y223" s="301"/>
      <c r="Z223" s="301"/>
      <c r="AA223" s="301"/>
      <c r="AB223" s="301"/>
      <c r="AC223" s="301"/>
      <c r="AD223" s="301"/>
      <c r="AE223" s="301"/>
    </row>
    <row r="224" spans="2:31" ht="14.5">
      <c r="B224" s="406">
        <f t="shared" si="6"/>
        <v>179</v>
      </c>
      <c r="C224" s="414" t="str" cm="1">
        <f t="array" aca="1" ref="C224" ca="1">IF(B224&lt;=$C$9,GetGetCDSName(B224),"")</f>
        <v/>
      </c>
      <c r="D224" s="374"/>
      <c r="E224" s="407"/>
      <c r="F224" s="326"/>
      <c r="G224" s="326"/>
      <c r="H224" s="326"/>
      <c r="I224" s="326"/>
      <c r="J224" s="326"/>
      <c r="K224" s="326"/>
      <c r="L224" s="326"/>
      <c r="M224" s="326"/>
      <c r="N224" s="408"/>
      <c r="O224" s="301"/>
      <c r="P224" s="301"/>
      <c r="Q224" s="301"/>
      <c r="R224" s="301"/>
      <c r="S224" s="301"/>
      <c r="T224" s="301"/>
      <c r="U224" s="301"/>
      <c r="V224" s="301"/>
      <c r="W224" s="301"/>
      <c r="X224" s="301"/>
      <c r="Y224" s="301"/>
      <c r="Z224" s="301"/>
      <c r="AA224" s="301"/>
      <c r="AB224" s="301"/>
      <c r="AC224" s="301"/>
      <c r="AD224" s="301"/>
      <c r="AE224" s="301"/>
    </row>
    <row r="225" spans="2:31" ht="14.5">
      <c r="B225" s="406">
        <f t="shared" si="6"/>
        <v>180</v>
      </c>
      <c r="C225" s="414" t="str" cm="1">
        <f t="array" aca="1" ref="C225" ca="1">IF(B225&lt;=$C$9,GetGetCDSName(B225),"")</f>
        <v/>
      </c>
      <c r="D225" s="374"/>
      <c r="E225" s="407"/>
      <c r="F225" s="326"/>
      <c r="G225" s="326"/>
      <c r="H225" s="326"/>
      <c r="I225" s="326"/>
      <c r="J225" s="326"/>
      <c r="K225" s="326"/>
      <c r="L225" s="326"/>
      <c r="M225" s="326"/>
      <c r="N225" s="408"/>
      <c r="O225" s="301"/>
      <c r="P225" s="301"/>
      <c r="Q225" s="301"/>
      <c r="R225" s="301"/>
      <c r="S225" s="301"/>
      <c r="T225" s="301"/>
      <c r="U225" s="301"/>
      <c r="V225" s="301"/>
      <c r="W225" s="301"/>
      <c r="X225" s="301"/>
      <c r="Y225" s="301"/>
      <c r="Z225" s="301"/>
      <c r="AA225" s="301"/>
      <c r="AB225" s="301"/>
      <c r="AC225" s="301"/>
      <c r="AD225" s="301"/>
      <c r="AE225" s="301"/>
    </row>
    <row r="226" spans="2:31" ht="14.5">
      <c r="B226" s="406">
        <f t="shared" si="6"/>
        <v>181</v>
      </c>
      <c r="C226" s="414" t="str" cm="1">
        <f t="array" aca="1" ref="C226" ca="1">IF(B226&lt;=$C$9,GetGetCDSName(B226),"")</f>
        <v/>
      </c>
      <c r="D226" s="374"/>
      <c r="E226" s="407"/>
      <c r="F226" s="326"/>
      <c r="G226" s="326"/>
      <c r="H226" s="326"/>
      <c r="I226" s="326"/>
      <c r="J226" s="326"/>
      <c r="K226" s="326"/>
      <c r="L226" s="326"/>
      <c r="M226" s="326"/>
      <c r="N226" s="408"/>
      <c r="O226" s="301"/>
      <c r="P226" s="301"/>
      <c r="Q226" s="301"/>
      <c r="R226" s="301"/>
      <c r="S226" s="301"/>
      <c r="T226" s="301"/>
      <c r="U226" s="301"/>
      <c r="V226" s="301"/>
      <c r="W226" s="301"/>
      <c r="X226" s="301"/>
      <c r="Y226" s="301"/>
      <c r="Z226" s="301"/>
      <c r="AA226" s="301"/>
      <c r="AB226" s="301"/>
      <c r="AC226" s="301"/>
      <c r="AD226" s="301"/>
      <c r="AE226" s="301"/>
    </row>
    <row r="227" spans="2:31" ht="14.5">
      <c r="B227" s="406">
        <f t="shared" si="6"/>
        <v>182</v>
      </c>
      <c r="C227" s="414" t="str" cm="1">
        <f t="array" aca="1" ref="C227" ca="1">IF(B227&lt;=$C$9,GetGetCDSName(B227),"")</f>
        <v/>
      </c>
      <c r="D227" s="374"/>
      <c r="E227" s="407"/>
      <c r="F227" s="326"/>
      <c r="G227" s="326"/>
      <c r="H227" s="326"/>
      <c r="I227" s="326"/>
      <c r="J227" s="326"/>
      <c r="K227" s="326"/>
      <c r="L227" s="326"/>
      <c r="M227" s="326"/>
      <c r="N227" s="408"/>
      <c r="O227" s="301"/>
      <c r="P227" s="301"/>
      <c r="Q227" s="301"/>
      <c r="R227" s="301"/>
      <c r="S227" s="301"/>
      <c r="T227" s="301"/>
      <c r="U227" s="301"/>
      <c r="V227" s="301"/>
      <c r="W227" s="301"/>
      <c r="X227" s="301"/>
      <c r="Y227" s="301"/>
      <c r="Z227" s="301"/>
      <c r="AA227" s="301"/>
      <c r="AB227" s="301"/>
      <c r="AC227" s="301"/>
      <c r="AD227" s="301"/>
      <c r="AE227" s="301"/>
    </row>
    <row r="228" spans="2:31" ht="14.5">
      <c r="B228" s="406">
        <f t="shared" si="6"/>
        <v>183</v>
      </c>
      <c r="C228" s="414" t="str" cm="1">
        <f t="array" aca="1" ref="C228" ca="1">IF(B228&lt;=$C$9,GetGetCDSName(B228),"")</f>
        <v/>
      </c>
      <c r="D228" s="374"/>
      <c r="E228" s="407"/>
      <c r="F228" s="326"/>
      <c r="G228" s="326"/>
      <c r="H228" s="326"/>
      <c r="I228" s="326"/>
      <c r="J228" s="326"/>
      <c r="K228" s="326"/>
      <c r="L228" s="326"/>
      <c r="M228" s="326"/>
      <c r="N228" s="408"/>
      <c r="O228" s="301"/>
      <c r="P228" s="301"/>
      <c r="Q228" s="301"/>
      <c r="R228" s="301"/>
      <c r="S228" s="301"/>
      <c r="T228" s="301"/>
      <c r="U228" s="301"/>
      <c r="V228" s="301"/>
      <c r="W228" s="301"/>
      <c r="X228" s="301"/>
      <c r="Y228" s="301"/>
      <c r="Z228" s="301"/>
      <c r="AA228" s="301"/>
      <c r="AB228" s="301"/>
      <c r="AC228" s="301"/>
      <c r="AD228" s="301"/>
      <c r="AE228" s="301"/>
    </row>
    <row r="229" spans="2:31" ht="14.5">
      <c r="B229" s="406">
        <f t="shared" si="6"/>
        <v>184</v>
      </c>
      <c r="C229" s="414" t="str" cm="1">
        <f t="array" aca="1" ref="C229" ca="1">IF(B229&lt;=$C$9,GetGetCDSName(B229),"")</f>
        <v/>
      </c>
      <c r="D229" s="374"/>
      <c r="E229" s="407"/>
      <c r="F229" s="326"/>
      <c r="G229" s="326"/>
      <c r="H229" s="326"/>
      <c r="I229" s="326"/>
      <c r="J229" s="326"/>
      <c r="K229" s="326"/>
      <c r="L229" s="326"/>
      <c r="M229" s="326"/>
      <c r="N229" s="408"/>
      <c r="O229" s="301"/>
      <c r="P229" s="301"/>
      <c r="Q229" s="301"/>
      <c r="R229" s="301"/>
      <c r="S229" s="301"/>
      <c r="T229" s="301"/>
      <c r="U229" s="301"/>
      <c r="V229" s="301"/>
      <c r="W229" s="301"/>
      <c r="X229" s="301"/>
      <c r="Y229" s="301"/>
      <c r="Z229" s="301"/>
      <c r="AA229" s="301"/>
      <c r="AB229" s="301"/>
      <c r="AC229" s="301"/>
      <c r="AD229" s="301"/>
      <c r="AE229" s="301"/>
    </row>
    <row r="230" spans="2:31" ht="14.5">
      <c r="B230" s="406">
        <f t="shared" si="6"/>
        <v>185</v>
      </c>
      <c r="C230" s="414" t="str" cm="1">
        <f t="array" aca="1" ref="C230" ca="1">IF(B230&lt;=$C$9,GetGetCDSName(B230),"")</f>
        <v/>
      </c>
      <c r="D230" s="374"/>
      <c r="E230" s="407"/>
      <c r="F230" s="326"/>
      <c r="G230" s="326"/>
      <c r="H230" s="326"/>
      <c r="I230" s="326"/>
      <c r="J230" s="326"/>
      <c r="K230" s="326"/>
      <c r="L230" s="326"/>
      <c r="M230" s="326"/>
      <c r="N230" s="408"/>
      <c r="O230" s="301"/>
      <c r="P230" s="301"/>
      <c r="Q230" s="301"/>
      <c r="R230" s="301"/>
      <c r="S230" s="301"/>
      <c r="T230" s="301"/>
      <c r="U230" s="301"/>
      <c r="V230" s="301"/>
      <c r="W230" s="301"/>
      <c r="X230" s="301"/>
      <c r="Y230" s="301"/>
      <c r="Z230" s="301"/>
      <c r="AA230" s="301"/>
      <c r="AB230" s="301"/>
      <c r="AC230" s="301"/>
      <c r="AD230" s="301"/>
      <c r="AE230" s="301"/>
    </row>
    <row r="231" spans="2:31" ht="14.5">
      <c r="B231" s="406">
        <f t="shared" si="6"/>
        <v>186</v>
      </c>
      <c r="C231" s="414" t="str" cm="1">
        <f t="array" aca="1" ref="C231" ca="1">IF(B231&lt;=$C$9,GetGetCDSName(B231),"")</f>
        <v/>
      </c>
      <c r="D231" s="374"/>
      <c r="E231" s="407"/>
      <c r="F231" s="326"/>
      <c r="G231" s="326"/>
      <c r="H231" s="326"/>
      <c r="I231" s="326"/>
      <c r="J231" s="326"/>
      <c r="K231" s="326"/>
      <c r="L231" s="326"/>
      <c r="M231" s="326"/>
      <c r="N231" s="408"/>
      <c r="O231" s="301"/>
      <c r="P231" s="301"/>
      <c r="Q231" s="301"/>
      <c r="R231" s="301"/>
      <c r="S231" s="301"/>
      <c r="T231" s="301"/>
      <c r="U231" s="301"/>
      <c r="V231" s="301"/>
      <c r="W231" s="301"/>
      <c r="X231" s="301"/>
      <c r="Y231" s="301"/>
      <c r="Z231" s="301"/>
      <c r="AA231" s="301"/>
      <c r="AB231" s="301"/>
      <c r="AC231" s="301"/>
      <c r="AD231" s="301"/>
      <c r="AE231" s="301"/>
    </row>
    <row r="232" spans="2:31" ht="14.5">
      <c r="B232" s="406">
        <f t="shared" si="6"/>
        <v>187</v>
      </c>
      <c r="C232" s="414" t="str" cm="1">
        <f t="array" aca="1" ref="C232" ca="1">IF(B232&lt;=$C$9,GetGetCDSName(B232),"")</f>
        <v/>
      </c>
      <c r="D232" s="374"/>
      <c r="E232" s="407"/>
      <c r="F232" s="326"/>
      <c r="G232" s="326"/>
      <c r="H232" s="326"/>
      <c r="I232" s="326"/>
      <c r="J232" s="326"/>
      <c r="K232" s="326"/>
      <c r="L232" s="326"/>
      <c r="M232" s="326"/>
      <c r="N232" s="408"/>
      <c r="O232" s="301"/>
      <c r="P232" s="301"/>
      <c r="Q232" s="301"/>
      <c r="R232" s="301"/>
      <c r="S232" s="301"/>
      <c r="T232" s="301"/>
      <c r="U232" s="301"/>
      <c r="V232" s="301"/>
      <c r="W232" s="301"/>
      <c r="X232" s="301"/>
      <c r="Y232" s="301"/>
      <c r="Z232" s="301"/>
      <c r="AA232" s="301"/>
      <c r="AB232" s="301"/>
      <c r="AC232" s="301"/>
      <c r="AD232" s="301"/>
      <c r="AE232" s="301"/>
    </row>
    <row r="233" spans="2:31" ht="14.5">
      <c r="B233" s="406">
        <f t="shared" si="6"/>
        <v>188</v>
      </c>
      <c r="C233" s="414" t="str" cm="1">
        <f t="array" aca="1" ref="C233" ca="1">IF(B233&lt;=$C$9,GetGetCDSName(B233),"")</f>
        <v/>
      </c>
      <c r="D233" s="374"/>
      <c r="E233" s="407"/>
      <c r="F233" s="326"/>
      <c r="G233" s="326"/>
      <c r="H233" s="326"/>
      <c r="I233" s="326"/>
      <c r="J233" s="326"/>
      <c r="K233" s="326"/>
      <c r="L233" s="326"/>
      <c r="M233" s="326"/>
      <c r="N233" s="408"/>
      <c r="O233" s="301"/>
      <c r="P233" s="301"/>
      <c r="Q233" s="301"/>
      <c r="R233" s="301"/>
      <c r="S233" s="301"/>
      <c r="T233" s="301"/>
      <c r="U233" s="301"/>
      <c r="V233" s="301"/>
      <c r="W233" s="301"/>
      <c r="X233" s="301"/>
      <c r="Y233" s="301"/>
      <c r="Z233" s="301"/>
      <c r="AA233" s="301"/>
      <c r="AB233" s="301"/>
      <c r="AC233" s="301"/>
      <c r="AD233" s="301"/>
      <c r="AE233" s="301"/>
    </row>
    <row r="234" spans="2:31" ht="14.5">
      <c r="B234" s="406">
        <f t="shared" si="6"/>
        <v>189</v>
      </c>
      <c r="C234" s="414" t="str" cm="1">
        <f t="array" aca="1" ref="C234" ca="1">IF(B234&lt;=$C$9,GetGetCDSName(B234),"")</f>
        <v/>
      </c>
      <c r="D234" s="374"/>
      <c r="E234" s="407"/>
      <c r="F234" s="326"/>
      <c r="G234" s="326"/>
      <c r="H234" s="326"/>
      <c r="I234" s="326"/>
      <c r="J234" s="326"/>
      <c r="K234" s="326"/>
      <c r="L234" s="326"/>
      <c r="M234" s="326"/>
      <c r="N234" s="408"/>
      <c r="O234" s="301"/>
      <c r="P234" s="301"/>
      <c r="Q234" s="301"/>
      <c r="R234" s="301"/>
      <c r="S234" s="301"/>
      <c r="T234" s="301"/>
      <c r="U234" s="301"/>
      <c r="V234" s="301"/>
      <c r="W234" s="301"/>
      <c r="X234" s="301"/>
      <c r="Y234" s="301"/>
      <c r="Z234" s="301"/>
      <c r="AA234" s="301"/>
      <c r="AB234" s="301"/>
      <c r="AC234" s="301"/>
      <c r="AD234" s="301"/>
      <c r="AE234" s="301"/>
    </row>
    <row r="235" spans="2:31" ht="14.5">
      <c r="B235" s="406">
        <f t="shared" si="6"/>
        <v>190</v>
      </c>
      <c r="C235" s="414" t="str" cm="1">
        <f t="array" aca="1" ref="C235" ca="1">IF(B235&lt;=$C$9,GetGetCDSName(B235),"")</f>
        <v/>
      </c>
      <c r="D235" s="374"/>
      <c r="E235" s="407"/>
      <c r="F235" s="326"/>
      <c r="G235" s="326"/>
      <c r="H235" s="326"/>
      <c r="I235" s="326"/>
      <c r="J235" s="326"/>
      <c r="K235" s="326"/>
      <c r="L235" s="326"/>
      <c r="M235" s="326"/>
      <c r="N235" s="408"/>
      <c r="O235" s="301"/>
      <c r="P235" s="301"/>
      <c r="Q235" s="301"/>
      <c r="R235" s="301"/>
      <c r="S235" s="301"/>
      <c r="T235" s="301"/>
      <c r="U235" s="301"/>
      <c r="V235" s="301"/>
      <c r="W235" s="301"/>
      <c r="X235" s="301"/>
      <c r="Y235" s="301"/>
      <c r="Z235" s="301"/>
      <c r="AA235" s="301"/>
      <c r="AB235" s="301"/>
      <c r="AC235" s="301"/>
      <c r="AD235" s="301"/>
      <c r="AE235" s="301"/>
    </row>
    <row r="236" spans="2:31" ht="14.5">
      <c r="B236" s="406">
        <f t="shared" si="6"/>
        <v>191</v>
      </c>
      <c r="C236" s="414" t="str" cm="1">
        <f t="array" aca="1" ref="C236" ca="1">IF(B236&lt;=$C$9,GetGetCDSName(B236),"")</f>
        <v/>
      </c>
      <c r="D236" s="374"/>
      <c r="E236" s="407"/>
      <c r="F236" s="326"/>
      <c r="G236" s="326"/>
      <c r="H236" s="326"/>
      <c r="I236" s="326"/>
      <c r="J236" s="326"/>
      <c r="K236" s="326"/>
      <c r="L236" s="326"/>
      <c r="M236" s="326"/>
      <c r="N236" s="408"/>
      <c r="O236" s="301"/>
      <c r="P236" s="301"/>
      <c r="Q236" s="301"/>
      <c r="R236" s="301"/>
      <c r="S236" s="301"/>
      <c r="T236" s="301"/>
      <c r="U236" s="301"/>
      <c r="V236" s="301"/>
      <c r="W236" s="301"/>
      <c r="X236" s="301"/>
      <c r="Y236" s="301"/>
      <c r="Z236" s="301"/>
      <c r="AA236" s="301"/>
      <c r="AB236" s="301"/>
      <c r="AC236" s="301"/>
      <c r="AD236" s="301"/>
      <c r="AE236" s="301"/>
    </row>
    <row r="237" spans="2:31" ht="14.5">
      <c r="B237" s="406">
        <f t="shared" si="6"/>
        <v>192</v>
      </c>
      <c r="C237" s="414" t="str" cm="1">
        <f t="array" aca="1" ref="C237" ca="1">IF(B237&lt;=$C$9,GetGetCDSName(B237),"")</f>
        <v/>
      </c>
      <c r="D237" s="374"/>
      <c r="E237" s="407"/>
      <c r="F237" s="326"/>
      <c r="G237" s="326"/>
      <c r="H237" s="326"/>
      <c r="I237" s="326"/>
      <c r="J237" s="326"/>
      <c r="K237" s="326"/>
      <c r="L237" s="326"/>
      <c r="M237" s="326"/>
      <c r="N237" s="408"/>
      <c r="O237" s="301"/>
      <c r="P237" s="301"/>
      <c r="Q237" s="301"/>
      <c r="R237" s="301"/>
      <c r="S237" s="301"/>
      <c r="T237" s="301"/>
      <c r="U237" s="301"/>
      <c r="V237" s="301"/>
      <c r="W237" s="301"/>
      <c r="X237" s="301"/>
      <c r="Y237" s="301"/>
      <c r="Z237" s="301"/>
      <c r="AA237" s="301"/>
      <c r="AB237" s="301"/>
      <c r="AC237" s="301"/>
      <c r="AD237" s="301"/>
      <c r="AE237" s="301"/>
    </row>
    <row r="238" spans="2:31" ht="14.5">
      <c r="B238" s="406">
        <f t="shared" si="6"/>
        <v>193</v>
      </c>
      <c r="C238" s="414" t="str" cm="1">
        <f t="array" aca="1" ref="C238" ca="1">IF(B238&lt;=$C$9,GetGetCDSName(B238),"")</f>
        <v/>
      </c>
      <c r="D238" s="374"/>
      <c r="E238" s="407"/>
      <c r="F238" s="326"/>
      <c r="G238" s="326"/>
      <c r="H238" s="326"/>
      <c r="I238" s="326"/>
      <c r="J238" s="326"/>
      <c r="K238" s="326"/>
      <c r="L238" s="326"/>
      <c r="M238" s="326"/>
      <c r="N238" s="408"/>
      <c r="O238" s="301"/>
      <c r="P238" s="301"/>
      <c r="Q238" s="301"/>
      <c r="R238" s="301"/>
      <c r="S238" s="301"/>
      <c r="T238" s="301"/>
      <c r="U238" s="301"/>
      <c r="V238" s="301"/>
      <c r="W238" s="301"/>
      <c r="X238" s="301"/>
      <c r="Y238" s="301"/>
      <c r="Z238" s="301"/>
      <c r="AA238" s="301"/>
      <c r="AB238" s="301"/>
      <c r="AC238" s="301"/>
      <c r="AD238" s="301"/>
      <c r="AE238" s="301"/>
    </row>
    <row r="239" spans="2:31" ht="14.5">
      <c r="B239" s="406">
        <f t="shared" ref="B239:B302" si="7">B238+1</f>
        <v>194</v>
      </c>
      <c r="C239" s="414" t="str" cm="1">
        <f t="array" aca="1" ref="C239" ca="1">IF(B239&lt;=$C$9,GetGetCDSName(B239),"")</f>
        <v/>
      </c>
      <c r="D239" s="374"/>
      <c r="E239" s="407"/>
      <c r="F239" s="326"/>
      <c r="G239" s="326"/>
      <c r="H239" s="326"/>
      <c r="I239" s="326"/>
      <c r="J239" s="326"/>
      <c r="K239" s="326"/>
      <c r="L239" s="326"/>
      <c r="M239" s="326"/>
      <c r="N239" s="408"/>
      <c r="O239" s="301"/>
      <c r="P239" s="301"/>
      <c r="Q239" s="301"/>
      <c r="R239" s="301"/>
      <c r="S239" s="301"/>
      <c r="T239" s="301"/>
      <c r="U239" s="301"/>
      <c r="V239" s="301"/>
      <c r="W239" s="301"/>
      <c r="X239" s="301"/>
      <c r="Y239" s="301"/>
      <c r="Z239" s="301"/>
      <c r="AA239" s="301"/>
      <c r="AB239" s="301"/>
      <c r="AC239" s="301"/>
      <c r="AD239" s="301"/>
      <c r="AE239" s="301"/>
    </row>
    <row r="240" spans="2:31" ht="14.5">
      <c r="B240" s="406">
        <f t="shared" si="7"/>
        <v>195</v>
      </c>
      <c r="C240" s="414" t="str" cm="1">
        <f t="array" aca="1" ref="C240" ca="1">IF(B240&lt;=$C$9,GetGetCDSName(B240),"")</f>
        <v/>
      </c>
      <c r="D240" s="374"/>
      <c r="E240" s="407"/>
      <c r="F240" s="326"/>
      <c r="G240" s="326"/>
      <c r="H240" s="326"/>
      <c r="I240" s="326"/>
      <c r="J240" s="326"/>
      <c r="K240" s="326"/>
      <c r="L240" s="326"/>
      <c r="M240" s="326"/>
      <c r="N240" s="408"/>
      <c r="O240" s="301"/>
      <c r="P240" s="301"/>
      <c r="Q240" s="301"/>
      <c r="R240" s="301"/>
      <c r="S240" s="301"/>
      <c r="T240" s="301"/>
      <c r="U240" s="301"/>
      <c r="V240" s="301"/>
      <c r="W240" s="301"/>
      <c r="X240" s="301"/>
      <c r="Y240" s="301"/>
      <c r="Z240" s="301"/>
      <c r="AA240" s="301"/>
      <c r="AB240" s="301"/>
      <c r="AC240" s="301"/>
      <c r="AD240" s="301"/>
      <c r="AE240" s="301"/>
    </row>
    <row r="241" spans="2:31" ht="14.5">
      <c r="B241" s="406">
        <f t="shared" si="7"/>
        <v>196</v>
      </c>
      <c r="C241" s="414" t="str" cm="1">
        <f t="array" aca="1" ref="C241" ca="1">IF(B241&lt;=$C$9,GetGetCDSName(B241),"")</f>
        <v/>
      </c>
      <c r="D241" s="374"/>
      <c r="E241" s="407"/>
      <c r="F241" s="326"/>
      <c r="G241" s="326"/>
      <c r="H241" s="326"/>
      <c r="I241" s="326"/>
      <c r="J241" s="326"/>
      <c r="K241" s="326"/>
      <c r="L241" s="326"/>
      <c r="M241" s="326"/>
      <c r="N241" s="408"/>
      <c r="O241" s="301"/>
      <c r="P241" s="301"/>
      <c r="Q241" s="301"/>
      <c r="R241" s="301"/>
      <c r="S241" s="301"/>
      <c r="T241" s="301"/>
      <c r="U241" s="301"/>
      <c r="V241" s="301"/>
      <c r="W241" s="301"/>
      <c r="X241" s="301"/>
      <c r="Y241" s="301"/>
      <c r="Z241" s="301"/>
      <c r="AA241" s="301"/>
      <c r="AB241" s="301"/>
      <c r="AC241" s="301"/>
      <c r="AD241" s="301"/>
      <c r="AE241" s="301"/>
    </row>
    <row r="242" spans="2:31" ht="14.5">
      <c r="B242" s="406">
        <f t="shared" si="7"/>
        <v>197</v>
      </c>
      <c r="C242" s="414" t="str" cm="1">
        <f t="array" aca="1" ref="C242" ca="1">IF(B242&lt;=$C$9,GetGetCDSName(B242),"")</f>
        <v/>
      </c>
      <c r="D242" s="374"/>
      <c r="E242" s="407"/>
      <c r="F242" s="326"/>
      <c r="G242" s="326"/>
      <c r="H242" s="326"/>
      <c r="I242" s="326"/>
      <c r="J242" s="326"/>
      <c r="K242" s="326"/>
      <c r="L242" s="326"/>
      <c r="M242" s="326"/>
      <c r="N242" s="408"/>
      <c r="O242" s="301"/>
      <c r="P242" s="301"/>
      <c r="Q242" s="301"/>
      <c r="R242" s="301"/>
      <c r="S242" s="301"/>
      <c r="T242" s="301"/>
      <c r="U242" s="301"/>
      <c r="V242" s="301"/>
      <c r="W242" s="301"/>
      <c r="X242" s="301"/>
      <c r="Y242" s="301"/>
      <c r="Z242" s="301"/>
      <c r="AA242" s="301"/>
      <c r="AB242" s="301"/>
      <c r="AC242" s="301"/>
      <c r="AD242" s="301"/>
      <c r="AE242" s="301"/>
    </row>
    <row r="243" spans="2:31" ht="14.5">
      <c r="B243" s="406">
        <f t="shared" si="7"/>
        <v>198</v>
      </c>
      <c r="C243" s="414" t="str" cm="1">
        <f t="array" aca="1" ref="C243" ca="1">IF(B243&lt;=$C$9,GetGetCDSName(B243),"")</f>
        <v/>
      </c>
      <c r="D243" s="374"/>
      <c r="E243" s="407"/>
      <c r="F243" s="326"/>
      <c r="G243" s="326"/>
      <c r="H243" s="326"/>
      <c r="I243" s="326"/>
      <c r="J243" s="326"/>
      <c r="K243" s="326"/>
      <c r="L243" s="326"/>
      <c r="M243" s="326"/>
      <c r="N243" s="408"/>
      <c r="O243" s="301"/>
      <c r="P243" s="301"/>
      <c r="Q243" s="301"/>
      <c r="R243" s="301"/>
      <c r="S243" s="301"/>
      <c r="T243" s="301"/>
      <c r="U243" s="301"/>
      <c r="V243" s="301"/>
      <c r="W243" s="301"/>
      <c r="X243" s="301"/>
      <c r="Y243" s="301"/>
      <c r="Z243" s="301"/>
      <c r="AA243" s="301"/>
      <c r="AB243" s="301"/>
      <c r="AC243" s="301"/>
      <c r="AD243" s="301"/>
      <c r="AE243" s="301"/>
    </row>
    <row r="244" spans="2:31" ht="14.5">
      <c r="B244" s="406">
        <f t="shared" si="7"/>
        <v>199</v>
      </c>
      <c r="C244" s="414" t="str" cm="1">
        <f t="array" aca="1" ref="C244" ca="1">IF(B244&lt;=$C$9,GetGetCDSName(B244),"")</f>
        <v/>
      </c>
      <c r="D244" s="374"/>
      <c r="E244" s="407"/>
      <c r="F244" s="326"/>
      <c r="G244" s="326"/>
      <c r="H244" s="326"/>
      <c r="I244" s="326"/>
      <c r="J244" s="326"/>
      <c r="K244" s="326"/>
      <c r="L244" s="326"/>
      <c r="M244" s="326"/>
      <c r="N244" s="408"/>
      <c r="O244" s="301"/>
      <c r="P244" s="301"/>
      <c r="Q244" s="301"/>
      <c r="R244" s="301"/>
      <c r="S244" s="301"/>
      <c r="T244" s="301"/>
      <c r="U244" s="301"/>
      <c r="V244" s="301"/>
      <c r="W244" s="301"/>
      <c r="X244" s="301"/>
      <c r="Y244" s="301"/>
      <c r="Z244" s="301"/>
      <c r="AA244" s="301"/>
      <c r="AB244" s="301"/>
      <c r="AC244" s="301"/>
      <c r="AD244" s="301"/>
      <c r="AE244" s="301"/>
    </row>
    <row r="245" spans="2:31" ht="14.5">
      <c r="B245" s="406">
        <f t="shared" si="7"/>
        <v>200</v>
      </c>
      <c r="C245" s="414" t="str" cm="1">
        <f t="array" aca="1" ref="C245" ca="1">IF(B245&lt;=$C$9,GetGetCDSName(B245),"")</f>
        <v/>
      </c>
      <c r="D245" s="374"/>
      <c r="E245" s="407"/>
      <c r="F245" s="326"/>
      <c r="G245" s="326"/>
      <c r="H245" s="326"/>
      <c r="I245" s="326"/>
      <c r="J245" s="326"/>
      <c r="K245" s="326"/>
      <c r="L245" s="326"/>
      <c r="M245" s="326"/>
      <c r="N245" s="408"/>
      <c r="O245" s="301"/>
      <c r="P245" s="301"/>
      <c r="Q245" s="301"/>
      <c r="R245" s="301"/>
      <c r="S245" s="301"/>
      <c r="T245" s="301"/>
      <c r="U245" s="301"/>
      <c r="V245" s="301"/>
      <c r="W245" s="301"/>
      <c r="X245" s="301"/>
      <c r="Y245" s="301"/>
      <c r="Z245" s="301"/>
      <c r="AA245" s="301"/>
      <c r="AB245" s="301"/>
      <c r="AC245" s="301"/>
      <c r="AD245" s="301"/>
      <c r="AE245" s="301"/>
    </row>
    <row r="246" spans="2:31" ht="14.5">
      <c r="B246" s="406">
        <f t="shared" si="7"/>
        <v>201</v>
      </c>
      <c r="C246" s="414" t="str" cm="1">
        <f t="array" aca="1" ref="C246" ca="1">IF(B246&lt;=$C$9,GetGetCDSName(B246),"")</f>
        <v/>
      </c>
      <c r="D246" s="374"/>
      <c r="E246" s="407"/>
      <c r="F246" s="326"/>
      <c r="G246" s="326"/>
      <c r="H246" s="326"/>
      <c r="I246" s="326"/>
      <c r="J246" s="326"/>
      <c r="K246" s="326"/>
      <c r="L246" s="326"/>
      <c r="M246" s="326"/>
      <c r="N246" s="408"/>
      <c r="O246" s="301"/>
      <c r="P246" s="301"/>
      <c r="Q246" s="301"/>
      <c r="R246" s="301"/>
      <c r="S246" s="301"/>
      <c r="T246" s="301"/>
      <c r="U246" s="301"/>
      <c r="V246" s="301"/>
      <c r="W246" s="301"/>
      <c r="X246" s="301"/>
      <c r="Y246" s="301"/>
      <c r="Z246" s="301"/>
      <c r="AA246" s="301"/>
      <c r="AB246" s="301"/>
      <c r="AC246" s="301"/>
      <c r="AD246" s="301"/>
      <c r="AE246" s="301"/>
    </row>
    <row r="247" spans="2:31" ht="14.5">
      <c r="B247" s="406">
        <f t="shared" si="7"/>
        <v>202</v>
      </c>
      <c r="C247" s="414" t="str" cm="1">
        <f t="array" aca="1" ref="C247" ca="1">IF(B247&lt;=$C$9,GetGetCDSName(B247),"")</f>
        <v/>
      </c>
      <c r="D247" s="374"/>
      <c r="E247" s="407"/>
      <c r="F247" s="326"/>
      <c r="G247" s="326"/>
      <c r="H247" s="326"/>
      <c r="I247" s="326"/>
      <c r="J247" s="326"/>
      <c r="K247" s="326"/>
      <c r="L247" s="326"/>
      <c r="M247" s="326"/>
      <c r="N247" s="408"/>
      <c r="O247" s="301"/>
      <c r="P247" s="301"/>
      <c r="Q247" s="301"/>
      <c r="R247" s="301"/>
      <c r="S247" s="301"/>
      <c r="T247" s="301"/>
      <c r="U247" s="301"/>
      <c r="V247" s="301"/>
      <c r="W247" s="301"/>
      <c r="X247" s="301"/>
      <c r="Y247" s="301"/>
      <c r="Z247" s="301"/>
      <c r="AA247" s="301"/>
      <c r="AB247" s="301"/>
      <c r="AC247" s="301"/>
      <c r="AD247" s="301"/>
      <c r="AE247" s="301"/>
    </row>
    <row r="248" spans="2:31" ht="14.5">
      <c r="B248" s="406">
        <f t="shared" si="7"/>
        <v>203</v>
      </c>
      <c r="C248" s="414" t="str" cm="1">
        <f t="array" aca="1" ref="C248" ca="1">IF(B248&lt;=$C$9,GetGetCDSName(B248),"")</f>
        <v/>
      </c>
      <c r="D248" s="374"/>
      <c r="E248" s="407"/>
      <c r="F248" s="326"/>
      <c r="G248" s="326"/>
      <c r="H248" s="326"/>
      <c r="I248" s="326"/>
      <c r="J248" s="326"/>
      <c r="K248" s="326"/>
      <c r="L248" s="326"/>
      <c r="M248" s="326"/>
      <c r="N248" s="408"/>
      <c r="O248" s="301"/>
      <c r="P248" s="301"/>
      <c r="Q248" s="301"/>
      <c r="R248" s="301"/>
      <c r="S248" s="301"/>
      <c r="T248" s="301"/>
      <c r="U248" s="301"/>
      <c r="V248" s="301"/>
      <c r="W248" s="301"/>
      <c r="X248" s="301"/>
      <c r="Y248" s="301"/>
      <c r="Z248" s="301"/>
      <c r="AA248" s="301"/>
      <c r="AB248" s="301"/>
      <c r="AC248" s="301"/>
      <c r="AD248" s="301"/>
      <c r="AE248" s="301"/>
    </row>
    <row r="249" spans="2:31" ht="14.5">
      <c r="B249" s="406">
        <f t="shared" si="7"/>
        <v>204</v>
      </c>
      <c r="C249" s="414" t="str" cm="1">
        <f t="array" aca="1" ref="C249" ca="1">IF(B249&lt;=$C$9,GetGetCDSName(B249),"")</f>
        <v/>
      </c>
      <c r="D249" s="374"/>
      <c r="E249" s="407"/>
      <c r="F249" s="326"/>
      <c r="G249" s="326"/>
      <c r="H249" s="326"/>
      <c r="I249" s="326"/>
      <c r="J249" s="326"/>
      <c r="K249" s="326"/>
      <c r="L249" s="326"/>
      <c r="M249" s="326"/>
      <c r="N249" s="408"/>
      <c r="O249" s="301"/>
      <c r="P249" s="301"/>
      <c r="Q249" s="301"/>
      <c r="R249" s="301"/>
      <c r="S249" s="301"/>
      <c r="T249" s="301"/>
      <c r="U249" s="301"/>
      <c r="V249" s="301"/>
      <c r="W249" s="301"/>
      <c r="X249" s="301"/>
      <c r="Y249" s="301"/>
      <c r="Z249" s="301"/>
      <c r="AA249" s="301"/>
      <c r="AB249" s="301"/>
      <c r="AC249" s="301"/>
      <c r="AD249" s="301"/>
      <c r="AE249" s="301"/>
    </row>
    <row r="250" spans="2:31" ht="14.5">
      <c r="B250" s="406">
        <f t="shared" si="7"/>
        <v>205</v>
      </c>
      <c r="C250" s="414" t="str" cm="1">
        <f t="array" aca="1" ref="C250" ca="1">IF(B250&lt;=$C$9,GetGetCDSName(B250),"")</f>
        <v/>
      </c>
      <c r="D250" s="374"/>
      <c r="E250" s="407"/>
      <c r="F250" s="326"/>
      <c r="G250" s="326"/>
      <c r="H250" s="326"/>
      <c r="I250" s="326"/>
      <c r="J250" s="326"/>
      <c r="K250" s="326"/>
      <c r="L250" s="326"/>
      <c r="M250" s="326"/>
      <c r="N250" s="408"/>
      <c r="O250" s="301"/>
      <c r="P250" s="301"/>
      <c r="Q250" s="301"/>
      <c r="R250" s="301"/>
      <c r="S250" s="301"/>
      <c r="T250" s="301"/>
      <c r="U250" s="301"/>
      <c r="V250" s="301"/>
      <c r="W250" s="301"/>
      <c r="X250" s="301"/>
      <c r="Y250" s="301"/>
      <c r="Z250" s="301"/>
      <c r="AA250" s="301"/>
      <c r="AB250" s="301"/>
      <c r="AC250" s="301"/>
      <c r="AD250" s="301"/>
      <c r="AE250" s="301"/>
    </row>
    <row r="251" spans="2:31" ht="14.5">
      <c r="B251" s="406">
        <f t="shared" si="7"/>
        <v>206</v>
      </c>
      <c r="C251" s="414" t="str" cm="1">
        <f t="array" aca="1" ref="C251" ca="1">IF(B251&lt;=$C$9,GetGetCDSName(B251),"")</f>
        <v/>
      </c>
      <c r="D251" s="374"/>
      <c r="E251" s="407"/>
      <c r="F251" s="326"/>
      <c r="G251" s="326"/>
      <c r="H251" s="326"/>
      <c r="I251" s="326"/>
      <c r="J251" s="326"/>
      <c r="K251" s="326"/>
      <c r="L251" s="326"/>
      <c r="M251" s="326"/>
      <c r="N251" s="408"/>
      <c r="O251" s="301"/>
      <c r="P251" s="301"/>
      <c r="Q251" s="301"/>
      <c r="R251" s="301"/>
      <c r="S251" s="301"/>
      <c r="T251" s="301"/>
      <c r="U251" s="301"/>
      <c r="V251" s="301"/>
      <c r="W251" s="301"/>
      <c r="X251" s="301"/>
      <c r="Y251" s="301"/>
      <c r="Z251" s="301"/>
      <c r="AA251" s="301"/>
      <c r="AB251" s="301"/>
      <c r="AC251" s="301"/>
      <c r="AD251" s="301"/>
      <c r="AE251" s="301"/>
    </row>
    <row r="252" spans="2:31" ht="14.5">
      <c r="B252" s="406">
        <f t="shared" si="7"/>
        <v>207</v>
      </c>
      <c r="C252" s="414" t="str" cm="1">
        <f t="array" aca="1" ref="C252" ca="1">IF(B252&lt;=$C$9,GetGetCDSName(B252),"")</f>
        <v/>
      </c>
      <c r="D252" s="374"/>
      <c r="E252" s="407"/>
      <c r="F252" s="326"/>
      <c r="G252" s="326"/>
      <c r="H252" s="326"/>
      <c r="I252" s="326"/>
      <c r="J252" s="326"/>
      <c r="K252" s="326"/>
      <c r="L252" s="326"/>
      <c r="M252" s="326"/>
      <c r="N252" s="408"/>
      <c r="O252" s="301"/>
      <c r="P252" s="301"/>
      <c r="Q252" s="301"/>
      <c r="R252" s="301"/>
      <c r="S252" s="301"/>
      <c r="T252" s="301"/>
      <c r="U252" s="301"/>
      <c r="V252" s="301"/>
      <c r="W252" s="301"/>
      <c r="X252" s="301"/>
      <c r="Y252" s="301"/>
      <c r="Z252" s="301"/>
      <c r="AA252" s="301"/>
      <c r="AB252" s="301"/>
      <c r="AC252" s="301"/>
      <c r="AD252" s="301"/>
      <c r="AE252" s="301"/>
    </row>
    <row r="253" spans="2:31" ht="14.5">
      <c r="B253" s="406">
        <f t="shared" si="7"/>
        <v>208</v>
      </c>
      <c r="C253" s="414" t="str" cm="1">
        <f t="array" aca="1" ref="C253" ca="1">IF(B253&lt;=$C$9,GetGetCDSName(B253),"")</f>
        <v/>
      </c>
      <c r="D253" s="374"/>
      <c r="E253" s="407"/>
      <c r="F253" s="326"/>
      <c r="G253" s="326"/>
      <c r="H253" s="326"/>
      <c r="I253" s="326"/>
      <c r="J253" s="326"/>
      <c r="K253" s="326"/>
      <c r="L253" s="326"/>
      <c r="M253" s="326"/>
      <c r="N253" s="408"/>
      <c r="O253" s="301"/>
      <c r="P253" s="301"/>
      <c r="Q253" s="301"/>
      <c r="R253" s="301"/>
      <c r="S253" s="301"/>
      <c r="T253" s="301"/>
      <c r="U253" s="301"/>
      <c r="V253" s="301"/>
      <c r="W253" s="301"/>
      <c r="X253" s="301"/>
      <c r="Y253" s="301"/>
      <c r="Z253" s="301"/>
      <c r="AA253" s="301"/>
      <c r="AB253" s="301"/>
      <c r="AC253" s="301"/>
      <c r="AD253" s="301"/>
      <c r="AE253" s="301"/>
    </row>
    <row r="254" spans="2:31" ht="14.5">
      <c r="B254" s="406">
        <f t="shared" si="7"/>
        <v>209</v>
      </c>
      <c r="C254" s="414" t="str" cm="1">
        <f t="array" aca="1" ref="C254" ca="1">IF(B254&lt;=$C$9,GetGetCDSName(B254),"")</f>
        <v/>
      </c>
      <c r="D254" s="374"/>
      <c r="E254" s="407"/>
      <c r="F254" s="326"/>
      <c r="G254" s="326"/>
      <c r="H254" s="326"/>
      <c r="I254" s="326"/>
      <c r="J254" s="326"/>
      <c r="K254" s="326"/>
      <c r="L254" s="326"/>
      <c r="M254" s="326"/>
      <c r="N254" s="408"/>
      <c r="O254" s="301"/>
      <c r="P254" s="301"/>
      <c r="Q254" s="301"/>
      <c r="R254" s="301"/>
      <c r="S254" s="301"/>
      <c r="T254" s="301"/>
      <c r="U254" s="301"/>
      <c r="V254" s="301"/>
      <c r="W254" s="301"/>
      <c r="X254" s="301"/>
      <c r="Y254" s="301"/>
      <c r="Z254" s="301"/>
      <c r="AA254" s="301"/>
      <c r="AB254" s="301"/>
      <c r="AC254" s="301"/>
      <c r="AD254" s="301"/>
      <c r="AE254" s="301"/>
    </row>
    <row r="255" spans="2:31" ht="14.5">
      <c r="B255" s="406">
        <f t="shared" si="7"/>
        <v>210</v>
      </c>
      <c r="C255" s="414" t="str" cm="1">
        <f t="array" aca="1" ref="C255" ca="1">IF(B255&lt;=$C$9,GetGetCDSName(B255),"")</f>
        <v/>
      </c>
      <c r="D255" s="374"/>
      <c r="E255" s="407"/>
      <c r="F255" s="326"/>
      <c r="G255" s="326"/>
      <c r="H255" s="326"/>
      <c r="I255" s="326"/>
      <c r="J255" s="326"/>
      <c r="K255" s="326"/>
      <c r="L255" s="326"/>
      <c r="M255" s="326"/>
      <c r="N255" s="408"/>
      <c r="O255" s="301"/>
      <c r="P255" s="301"/>
      <c r="Q255" s="301"/>
      <c r="R255" s="301"/>
      <c r="S255" s="301"/>
      <c r="T255" s="301"/>
      <c r="U255" s="301"/>
      <c r="V255" s="301"/>
      <c r="W255" s="301"/>
      <c r="X255" s="301"/>
      <c r="Y255" s="301"/>
      <c r="Z255" s="301"/>
      <c r="AA255" s="301"/>
      <c r="AB255" s="301"/>
      <c r="AC255" s="301"/>
      <c r="AD255" s="301"/>
      <c r="AE255" s="301"/>
    </row>
    <row r="256" spans="2:31" ht="14.5">
      <c r="B256" s="406">
        <f t="shared" si="7"/>
        <v>211</v>
      </c>
      <c r="C256" s="414" t="str" cm="1">
        <f t="array" aca="1" ref="C256" ca="1">IF(B256&lt;=$C$9,GetGetCDSName(B256),"")</f>
        <v/>
      </c>
      <c r="D256" s="374"/>
      <c r="E256" s="407"/>
      <c r="F256" s="326"/>
      <c r="G256" s="326"/>
      <c r="H256" s="326"/>
      <c r="I256" s="326"/>
      <c r="J256" s="326"/>
      <c r="K256" s="326"/>
      <c r="L256" s="326"/>
      <c r="M256" s="326"/>
      <c r="N256" s="408"/>
      <c r="O256" s="301"/>
      <c r="P256" s="301"/>
      <c r="Q256" s="301"/>
      <c r="R256" s="301"/>
      <c r="S256" s="301"/>
      <c r="T256" s="301"/>
      <c r="U256" s="301"/>
      <c r="V256" s="301"/>
      <c r="W256" s="301"/>
      <c r="X256" s="301"/>
      <c r="Y256" s="301"/>
      <c r="Z256" s="301"/>
      <c r="AA256" s="301"/>
      <c r="AB256" s="301"/>
      <c r="AC256" s="301"/>
      <c r="AD256" s="301"/>
      <c r="AE256" s="301"/>
    </row>
    <row r="257" spans="2:31" ht="14.5">
      <c r="B257" s="406">
        <f t="shared" si="7"/>
        <v>212</v>
      </c>
      <c r="C257" s="414" t="str" cm="1">
        <f t="array" aca="1" ref="C257" ca="1">IF(B257&lt;=$C$9,GetGetCDSName(B257),"")</f>
        <v/>
      </c>
      <c r="D257" s="374"/>
      <c r="E257" s="407"/>
      <c r="F257" s="326"/>
      <c r="G257" s="326"/>
      <c r="H257" s="326"/>
      <c r="I257" s="326"/>
      <c r="J257" s="326"/>
      <c r="K257" s="326"/>
      <c r="L257" s="326"/>
      <c r="M257" s="326"/>
      <c r="N257" s="408"/>
      <c r="O257" s="301"/>
      <c r="P257" s="301"/>
      <c r="Q257" s="301"/>
      <c r="R257" s="301"/>
      <c r="S257" s="301"/>
      <c r="T257" s="301"/>
      <c r="U257" s="301"/>
      <c r="V257" s="301"/>
      <c r="W257" s="301"/>
      <c r="X257" s="301"/>
      <c r="Y257" s="301"/>
      <c r="Z257" s="301"/>
      <c r="AA257" s="301"/>
      <c r="AB257" s="301"/>
      <c r="AC257" s="301"/>
      <c r="AD257" s="301"/>
      <c r="AE257" s="301"/>
    </row>
    <row r="258" spans="2:31" ht="14.5">
      <c r="B258" s="406">
        <f t="shared" si="7"/>
        <v>213</v>
      </c>
      <c r="C258" s="414" t="str" cm="1">
        <f t="array" aca="1" ref="C258" ca="1">IF(B258&lt;=$C$9,GetGetCDSName(B258),"")</f>
        <v/>
      </c>
      <c r="D258" s="374"/>
      <c r="E258" s="407"/>
      <c r="F258" s="326"/>
      <c r="G258" s="326"/>
      <c r="H258" s="326"/>
      <c r="I258" s="326"/>
      <c r="J258" s="326"/>
      <c r="K258" s="326"/>
      <c r="L258" s="326"/>
      <c r="M258" s="326"/>
      <c r="N258" s="408"/>
      <c r="O258" s="301"/>
      <c r="P258" s="301"/>
      <c r="Q258" s="301"/>
      <c r="R258" s="301"/>
      <c r="S258" s="301"/>
      <c r="T258" s="301"/>
      <c r="U258" s="301"/>
      <c r="V258" s="301"/>
      <c r="W258" s="301"/>
      <c r="X258" s="301"/>
      <c r="Y258" s="301"/>
      <c r="Z258" s="301"/>
      <c r="AA258" s="301"/>
      <c r="AB258" s="301"/>
      <c r="AC258" s="301"/>
      <c r="AD258" s="301"/>
      <c r="AE258" s="301"/>
    </row>
    <row r="259" spans="2:31" ht="14.5">
      <c r="B259" s="406">
        <f t="shared" si="7"/>
        <v>214</v>
      </c>
      <c r="C259" s="414" t="str" cm="1">
        <f t="array" aca="1" ref="C259" ca="1">IF(B259&lt;=$C$9,GetGetCDSName(B259),"")</f>
        <v/>
      </c>
      <c r="D259" s="374"/>
      <c r="E259" s="407"/>
      <c r="F259" s="326"/>
      <c r="G259" s="326"/>
      <c r="H259" s="326"/>
      <c r="I259" s="326"/>
      <c r="J259" s="326"/>
      <c r="K259" s="326"/>
      <c r="L259" s="326"/>
      <c r="M259" s="326"/>
      <c r="N259" s="408"/>
      <c r="O259" s="301"/>
      <c r="P259" s="301"/>
      <c r="Q259" s="301"/>
      <c r="R259" s="301"/>
      <c r="S259" s="301"/>
      <c r="T259" s="301"/>
      <c r="U259" s="301"/>
      <c r="V259" s="301"/>
      <c r="W259" s="301"/>
      <c r="X259" s="301"/>
      <c r="Y259" s="301"/>
      <c r="Z259" s="301"/>
      <c r="AA259" s="301"/>
      <c r="AB259" s="301"/>
      <c r="AC259" s="301"/>
      <c r="AD259" s="301"/>
      <c r="AE259" s="301"/>
    </row>
    <row r="260" spans="2:31" ht="14.5">
      <c r="B260" s="406">
        <f t="shared" si="7"/>
        <v>215</v>
      </c>
      <c r="C260" s="414" t="str" cm="1">
        <f t="array" aca="1" ref="C260" ca="1">IF(B260&lt;=$C$9,GetGetCDSName(B260),"")</f>
        <v/>
      </c>
      <c r="D260" s="374"/>
      <c r="E260" s="407"/>
      <c r="F260" s="326"/>
      <c r="G260" s="326"/>
      <c r="H260" s="326"/>
      <c r="I260" s="326"/>
      <c r="J260" s="326"/>
      <c r="K260" s="326"/>
      <c r="L260" s="326"/>
      <c r="M260" s="326"/>
      <c r="N260" s="408"/>
      <c r="O260" s="301"/>
      <c r="P260" s="301"/>
      <c r="Q260" s="301"/>
      <c r="R260" s="301"/>
      <c r="S260" s="301"/>
      <c r="T260" s="301"/>
      <c r="U260" s="301"/>
      <c r="V260" s="301"/>
      <c r="W260" s="301"/>
      <c r="X260" s="301"/>
      <c r="Y260" s="301"/>
      <c r="Z260" s="301"/>
      <c r="AA260" s="301"/>
      <c r="AB260" s="301"/>
      <c r="AC260" s="301"/>
      <c r="AD260" s="301"/>
      <c r="AE260" s="301"/>
    </row>
    <row r="261" spans="2:31" ht="14.5">
      <c r="B261" s="406">
        <f t="shared" si="7"/>
        <v>216</v>
      </c>
      <c r="C261" s="414" t="str" cm="1">
        <f t="array" aca="1" ref="C261" ca="1">IF(B261&lt;=$C$9,GetGetCDSName(B261),"")</f>
        <v/>
      </c>
      <c r="D261" s="374"/>
      <c r="E261" s="407"/>
      <c r="F261" s="326"/>
      <c r="G261" s="326"/>
      <c r="H261" s="326"/>
      <c r="I261" s="326"/>
      <c r="J261" s="326"/>
      <c r="K261" s="326"/>
      <c r="L261" s="326"/>
      <c r="M261" s="326"/>
      <c r="N261" s="408"/>
      <c r="O261" s="301"/>
      <c r="P261" s="301"/>
      <c r="Q261" s="301"/>
      <c r="R261" s="301"/>
      <c r="S261" s="301"/>
      <c r="T261" s="301"/>
      <c r="U261" s="301"/>
      <c r="V261" s="301"/>
      <c r="W261" s="301"/>
      <c r="X261" s="301"/>
      <c r="Y261" s="301"/>
      <c r="Z261" s="301"/>
      <c r="AA261" s="301"/>
      <c r="AB261" s="301"/>
      <c r="AC261" s="301"/>
      <c r="AD261" s="301"/>
      <c r="AE261" s="301"/>
    </row>
    <row r="262" spans="2:31" ht="14.5">
      <c r="B262" s="406">
        <f t="shared" si="7"/>
        <v>217</v>
      </c>
      <c r="C262" s="414" t="str" cm="1">
        <f t="array" aca="1" ref="C262" ca="1">IF(B262&lt;=$C$9,GetGetCDSName(B262),"")</f>
        <v/>
      </c>
      <c r="D262" s="374"/>
      <c r="E262" s="407"/>
      <c r="F262" s="326"/>
      <c r="G262" s="326"/>
      <c r="H262" s="326"/>
      <c r="I262" s="326"/>
      <c r="J262" s="326"/>
      <c r="K262" s="326"/>
      <c r="L262" s="326"/>
      <c r="M262" s="326"/>
      <c r="N262" s="408"/>
      <c r="O262" s="301"/>
      <c r="P262" s="301"/>
      <c r="Q262" s="301"/>
      <c r="R262" s="301"/>
      <c r="S262" s="301"/>
      <c r="T262" s="301"/>
      <c r="U262" s="301"/>
      <c r="V262" s="301"/>
      <c r="W262" s="301"/>
      <c r="X262" s="301"/>
      <c r="Y262" s="301"/>
      <c r="Z262" s="301"/>
      <c r="AA262" s="301"/>
      <c r="AB262" s="301"/>
      <c r="AC262" s="301"/>
      <c r="AD262" s="301"/>
      <c r="AE262" s="301"/>
    </row>
    <row r="263" spans="2:31" ht="14.5">
      <c r="B263" s="406">
        <f t="shared" si="7"/>
        <v>218</v>
      </c>
      <c r="C263" s="414" t="str" cm="1">
        <f t="array" aca="1" ref="C263" ca="1">IF(B263&lt;=$C$9,GetGetCDSName(B263),"")</f>
        <v/>
      </c>
      <c r="D263" s="374"/>
      <c r="E263" s="407"/>
      <c r="F263" s="326"/>
      <c r="G263" s="326"/>
      <c r="H263" s="326"/>
      <c r="I263" s="326"/>
      <c r="J263" s="326"/>
      <c r="K263" s="326"/>
      <c r="L263" s="326"/>
      <c r="M263" s="326"/>
      <c r="N263" s="408"/>
      <c r="O263" s="301"/>
      <c r="P263" s="301"/>
      <c r="Q263" s="301"/>
      <c r="R263" s="301"/>
      <c r="S263" s="301"/>
      <c r="T263" s="301"/>
      <c r="U263" s="301"/>
      <c r="V263" s="301"/>
      <c r="W263" s="301"/>
      <c r="X263" s="301"/>
      <c r="Y263" s="301"/>
      <c r="Z263" s="301"/>
      <c r="AA263" s="301"/>
      <c r="AB263" s="301"/>
      <c r="AC263" s="301"/>
      <c r="AD263" s="301"/>
      <c r="AE263" s="301"/>
    </row>
    <row r="264" spans="2:31" ht="14.5">
      <c r="B264" s="406">
        <f t="shared" si="7"/>
        <v>219</v>
      </c>
      <c r="C264" s="414" t="str" cm="1">
        <f t="array" aca="1" ref="C264" ca="1">IF(B264&lt;=$C$9,GetGetCDSName(B264),"")</f>
        <v/>
      </c>
      <c r="D264" s="374"/>
      <c r="E264" s="407"/>
      <c r="F264" s="326"/>
      <c r="G264" s="326"/>
      <c r="H264" s="326"/>
      <c r="I264" s="326"/>
      <c r="J264" s="326"/>
      <c r="K264" s="326"/>
      <c r="L264" s="326"/>
      <c r="M264" s="326"/>
      <c r="N264" s="408"/>
      <c r="O264" s="301"/>
      <c r="P264" s="301"/>
      <c r="Q264" s="301"/>
      <c r="R264" s="301"/>
      <c r="S264" s="301"/>
      <c r="T264" s="301"/>
      <c r="U264" s="301"/>
      <c r="V264" s="301"/>
      <c r="W264" s="301"/>
      <c r="X264" s="301"/>
      <c r="Y264" s="301"/>
      <c r="Z264" s="301"/>
      <c r="AA264" s="301"/>
      <c r="AB264" s="301"/>
      <c r="AC264" s="301"/>
      <c r="AD264" s="301"/>
      <c r="AE264" s="301"/>
    </row>
    <row r="265" spans="2:31" ht="14.5">
      <c r="B265" s="406">
        <f t="shared" si="7"/>
        <v>220</v>
      </c>
      <c r="C265" s="414" t="str" cm="1">
        <f t="array" aca="1" ref="C265" ca="1">IF(B265&lt;=$C$9,GetGetCDSName(B265),"")</f>
        <v/>
      </c>
      <c r="D265" s="374"/>
      <c r="E265" s="407"/>
      <c r="F265" s="326"/>
      <c r="G265" s="326"/>
      <c r="H265" s="326"/>
      <c r="I265" s="326"/>
      <c r="J265" s="326"/>
      <c r="K265" s="326"/>
      <c r="L265" s="326"/>
      <c r="M265" s="326"/>
      <c r="N265" s="408"/>
      <c r="O265" s="301"/>
      <c r="P265" s="301"/>
      <c r="Q265" s="301"/>
      <c r="R265" s="301"/>
      <c r="S265" s="301"/>
      <c r="T265" s="301"/>
      <c r="U265" s="301"/>
      <c r="V265" s="301"/>
      <c r="W265" s="301"/>
      <c r="X265" s="301"/>
      <c r="Y265" s="301"/>
      <c r="Z265" s="301"/>
      <c r="AA265" s="301"/>
      <c r="AB265" s="301"/>
      <c r="AC265" s="301"/>
      <c r="AD265" s="301"/>
      <c r="AE265" s="301"/>
    </row>
    <row r="266" spans="2:31" ht="14.5">
      <c r="B266" s="406">
        <f t="shared" si="7"/>
        <v>221</v>
      </c>
      <c r="C266" s="414" t="str" cm="1">
        <f t="array" aca="1" ref="C266" ca="1">IF(B266&lt;=$C$9,GetGetCDSName(B266),"")</f>
        <v/>
      </c>
      <c r="D266" s="374"/>
      <c r="E266" s="407"/>
      <c r="F266" s="326"/>
      <c r="G266" s="326"/>
      <c r="H266" s="326"/>
      <c r="I266" s="326"/>
      <c r="J266" s="326"/>
      <c r="K266" s="326"/>
      <c r="L266" s="326"/>
      <c r="M266" s="326"/>
      <c r="N266" s="408"/>
      <c r="O266" s="301"/>
      <c r="P266" s="301"/>
      <c r="Q266" s="301"/>
      <c r="R266" s="301"/>
      <c r="S266" s="301"/>
      <c r="T266" s="301"/>
      <c r="U266" s="301"/>
      <c r="V266" s="301"/>
      <c r="W266" s="301"/>
      <c r="X266" s="301"/>
      <c r="Y266" s="301"/>
      <c r="Z266" s="301"/>
      <c r="AA266" s="301"/>
      <c r="AB266" s="301"/>
      <c r="AC266" s="301"/>
      <c r="AD266" s="301"/>
      <c r="AE266" s="301"/>
    </row>
    <row r="267" spans="2:31" ht="14.5">
      <c r="B267" s="406">
        <f t="shared" si="7"/>
        <v>222</v>
      </c>
      <c r="C267" s="414" t="str" cm="1">
        <f t="array" aca="1" ref="C267" ca="1">IF(B267&lt;=$C$9,GetGetCDSName(B267),"")</f>
        <v/>
      </c>
      <c r="D267" s="374"/>
      <c r="E267" s="407"/>
      <c r="F267" s="326"/>
      <c r="G267" s="326"/>
      <c r="H267" s="326"/>
      <c r="I267" s="326"/>
      <c r="J267" s="326"/>
      <c r="K267" s="326"/>
      <c r="L267" s="326"/>
      <c r="M267" s="326"/>
      <c r="N267" s="408"/>
      <c r="O267" s="301"/>
      <c r="P267" s="301"/>
      <c r="Q267" s="301"/>
      <c r="R267" s="301"/>
      <c r="S267" s="301"/>
      <c r="T267" s="301"/>
      <c r="U267" s="301"/>
      <c r="V267" s="301"/>
      <c r="W267" s="301"/>
      <c r="X267" s="301"/>
      <c r="Y267" s="301"/>
      <c r="Z267" s="301"/>
      <c r="AA267" s="301"/>
      <c r="AB267" s="301"/>
      <c r="AC267" s="301"/>
      <c r="AD267" s="301"/>
      <c r="AE267" s="301"/>
    </row>
    <row r="268" spans="2:31" ht="14.5">
      <c r="B268" s="406">
        <f t="shared" si="7"/>
        <v>223</v>
      </c>
      <c r="C268" s="414" t="str" cm="1">
        <f t="array" aca="1" ref="C268" ca="1">IF(B268&lt;=$C$9,GetGetCDSName(B268),"")</f>
        <v/>
      </c>
      <c r="D268" s="374"/>
      <c r="E268" s="407"/>
      <c r="F268" s="326"/>
      <c r="G268" s="326"/>
      <c r="H268" s="326"/>
      <c r="I268" s="326"/>
      <c r="J268" s="326"/>
      <c r="K268" s="326"/>
      <c r="L268" s="326"/>
      <c r="M268" s="326"/>
      <c r="N268" s="408"/>
      <c r="O268" s="301"/>
      <c r="P268" s="301"/>
      <c r="Q268" s="301"/>
      <c r="R268" s="301"/>
      <c r="S268" s="301"/>
      <c r="T268" s="301"/>
      <c r="U268" s="301"/>
      <c r="V268" s="301"/>
      <c r="W268" s="301"/>
      <c r="X268" s="301"/>
      <c r="Y268" s="301"/>
      <c r="Z268" s="301"/>
      <c r="AA268" s="301"/>
      <c r="AB268" s="301"/>
      <c r="AC268" s="301"/>
      <c r="AD268" s="301"/>
      <c r="AE268" s="301"/>
    </row>
    <row r="269" spans="2:31" ht="14.5">
      <c r="B269" s="406">
        <f t="shared" si="7"/>
        <v>224</v>
      </c>
      <c r="C269" s="414" t="str" cm="1">
        <f t="array" aca="1" ref="C269" ca="1">IF(B269&lt;=$C$9,GetGetCDSName(B269),"")</f>
        <v/>
      </c>
      <c r="D269" s="374"/>
      <c r="E269" s="407"/>
      <c r="F269" s="326"/>
      <c r="G269" s="326"/>
      <c r="H269" s="326"/>
      <c r="I269" s="326"/>
      <c r="J269" s="326"/>
      <c r="K269" s="326"/>
      <c r="L269" s="326"/>
      <c r="M269" s="326"/>
      <c r="N269" s="408"/>
      <c r="O269" s="301"/>
      <c r="P269" s="301"/>
      <c r="Q269" s="301"/>
      <c r="R269" s="301"/>
      <c r="S269" s="301"/>
      <c r="T269" s="301"/>
      <c r="U269" s="301"/>
      <c r="V269" s="301"/>
      <c r="W269" s="301"/>
      <c r="X269" s="301"/>
      <c r="Y269" s="301"/>
      <c r="Z269" s="301"/>
      <c r="AA269" s="301"/>
      <c r="AB269" s="301"/>
      <c r="AC269" s="301"/>
      <c r="AD269" s="301"/>
      <c r="AE269" s="301"/>
    </row>
    <row r="270" spans="2:31" ht="14.5">
      <c r="B270" s="406">
        <f t="shared" si="7"/>
        <v>225</v>
      </c>
      <c r="C270" s="414" t="str" cm="1">
        <f t="array" aca="1" ref="C270" ca="1">IF(B270&lt;=$C$9,GetGetCDSName(B270),"")</f>
        <v/>
      </c>
      <c r="D270" s="374"/>
      <c r="E270" s="407"/>
      <c r="F270" s="326"/>
      <c r="G270" s="326"/>
      <c r="H270" s="326"/>
      <c r="I270" s="326"/>
      <c r="J270" s="326"/>
      <c r="K270" s="326"/>
      <c r="L270" s="326"/>
      <c r="M270" s="326"/>
      <c r="N270" s="408"/>
      <c r="O270" s="301"/>
      <c r="P270" s="301"/>
      <c r="Q270" s="301"/>
      <c r="R270" s="301"/>
      <c r="S270" s="301"/>
      <c r="T270" s="301"/>
      <c r="U270" s="301"/>
      <c r="V270" s="301"/>
      <c r="W270" s="301"/>
      <c r="X270" s="301"/>
      <c r="Y270" s="301"/>
      <c r="Z270" s="301"/>
      <c r="AA270" s="301"/>
      <c r="AB270" s="301"/>
      <c r="AC270" s="301"/>
      <c r="AD270" s="301"/>
      <c r="AE270" s="301"/>
    </row>
    <row r="271" spans="2:31" ht="14.5">
      <c r="B271" s="406">
        <f t="shared" si="7"/>
        <v>226</v>
      </c>
      <c r="C271" s="414" t="str" cm="1">
        <f t="array" aca="1" ref="C271" ca="1">IF(B271&lt;=$C$9,GetGetCDSName(B271),"")</f>
        <v/>
      </c>
      <c r="D271" s="374"/>
      <c r="E271" s="407"/>
      <c r="F271" s="326"/>
      <c r="G271" s="326"/>
      <c r="H271" s="326"/>
      <c r="I271" s="326"/>
      <c r="J271" s="326"/>
      <c r="K271" s="326"/>
      <c r="L271" s="326"/>
      <c r="M271" s="326"/>
      <c r="N271" s="408"/>
      <c r="O271" s="301"/>
      <c r="P271" s="301"/>
      <c r="Q271" s="301"/>
      <c r="R271" s="301"/>
      <c r="S271" s="301"/>
      <c r="T271" s="301"/>
      <c r="U271" s="301"/>
      <c r="V271" s="301"/>
      <c r="W271" s="301"/>
      <c r="X271" s="301"/>
      <c r="Y271" s="301"/>
      <c r="Z271" s="301"/>
      <c r="AA271" s="301"/>
      <c r="AB271" s="301"/>
      <c r="AC271" s="301"/>
      <c r="AD271" s="301"/>
      <c r="AE271" s="301"/>
    </row>
    <row r="272" spans="2:31" ht="14.5">
      <c r="B272" s="406">
        <f t="shared" si="7"/>
        <v>227</v>
      </c>
      <c r="C272" s="414" t="str" cm="1">
        <f t="array" aca="1" ref="C272" ca="1">IF(B272&lt;=$C$9,GetGetCDSName(B272),"")</f>
        <v/>
      </c>
      <c r="D272" s="374"/>
      <c r="E272" s="407"/>
      <c r="F272" s="326"/>
      <c r="G272" s="326"/>
      <c r="H272" s="326"/>
      <c r="I272" s="326"/>
      <c r="J272" s="326"/>
      <c r="K272" s="326"/>
      <c r="L272" s="326"/>
      <c r="M272" s="326"/>
      <c r="N272" s="408"/>
      <c r="O272" s="301"/>
      <c r="P272" s="301"/>
      <c r="Q272" s="301"/>
      <c r="R272" s="301"/>
      <c r="S272" s="301"/>
      <c r="T272" s="301"/>
      <c r="U272" s="301"/>
      <c r="V272" s="301"/>
      <c r="W272" s="301"/>
      <c r="X272" s="301"/>
      <c r="Y272" s="301"/>
      <c r="Z272" s="301"/>
      <c r="AA272" s="301"/>
      <c r="AB272" s="301"/>
      <c r="AC272" s="301"/>
      <c r="AD272" s="301"/>
      <c r="AE272" s="301"/>
    </row>
    <row r="273" spans="2:31" ht="14.5">
      <c r="B273" s="406">
        <f t="shared" si="7"/>
        <v>228</v>
      </c>
      <c r="C273" s="414" t="str" cm="1">
        <f t="array" aca="1" ref="C273" ca="1">IF(B273&lt;=$C$9,GetGetCDSName(B273),"")</f>
        <v/>
      </c>
      <c r="D273" s="374"/>
      <c r="E273" s="407"/>
      <c r="F273" s="326"/>
      <c r="G273" s="326"/>
      <c r="H273" s="326"/>
      <c r="I273" s="326"/>
      <c r="J273" s="326"/>
      <c r="K273" s="326"/>
      <c r="L273" s="326"/>
      <c r="M273" s="326"/>
      <c r="N273" s="408"/>
      <c r="O273" s="301"/>
      <c r="P273" s="301"/>
      <c r="Q273" s="301"/>
      <c r="R273" s="301"/>
      <c r="S273" s="301"/>
      <c r="T273" s="301"/>
      <c r="U273" s="301"/>
      <c r="V273" s="301"/>
      <c r="W273" s="301"/>
      <c r="X273" s="301"/>
      <c r="Y273" s="301"/>
      <c r="Z273" s="301"/>
      <c r="AA273" s="301"/>
      <c r="AB273" s="301"/>
      <c r="AC273" s="301"/>
      <c r="AD273" s="301"/>
      <c r="AE273" s="301"/>
    </row>
    <row r="274" spans="2:31" ht="14.5">
      <c r="B274" s="406">
        <f t="shared" si="7"/>
        <v>229</v>
      </c>
      <c r="C274" s="414" t="str" cm="1">
        <f t="array" aca="1" ref="C274" ca="1">IF(B274&lt;=$C$9,GetGetCDSName(B274),"")</f>
        <v/>
      </c>
      <c r="D274" s="374"/>
      <c r="E274" s="407"/>
      <c r="F274" s="326"/>
      <c r="G274" s="326"/>
      <c r="H274" s="326"/>
      <c r="I274" s="326"/>
      <c r="J274" s="326"/>
      <c r="K274" s="326"/>
      <c r="L274" s="326"/>
      <c r="M274" s="326"/>
      <c r="N274" s="408"/>
      <c r="O274" s="301"/>
      <c r="P274" s="301"/>
      <c r="Q274" s="301"/>
      <c r="R274" s="301"/>
      <c r="S274" s="301"/>
      <c r="T274" s="301"/>
      <c r="U274" s="301"/>
      <c r="V274" s="301"/>
      <c r="W274" s="301"/>
      <c r="X274" s="301"/>
      <c r="Y274" s="301"/>
      <c r="Z274" s="301"/>
      <c r="AA274" s="301"/>
      <c r="AB274" s="301"/>
      <c r="AC274" s="301"/>
      <c r="AD274" s="301"/>
      <c r="AE274" s="301"/>
    </row>
    <row r="275" spans="2:31" ht="14.5">
      <c r="B275" s="406">
        <f t="shared" si="7"/>
        <v>230</v>
      </c>
      <c r="C275" s="414" t="str" cm="1">
        <f t="array" aca="1" ref="C275" ca="1">IF(B275&lt;=$C$9,GetGetCDSName(B275),"")</f>
        <v/>
      </c>
      <c r="D275" s="374"/>
      <c r="E275" s="407"/>
      <c r="F275" s="326"/>
      <c r="G275" s="326"/>
      <c r="H275" s="326"/>
      <c r="I275" s="326"/>
      <c r="J275" s="326"/>
      <c r="K275" s="326"/>
      <c r="L275" s="326"/>
      <c r="M275" s="326"/>
      <c r="N275" s="408"/>
      <c r="O275" s="301"/>
      <c r="P275" s="301"/>
      <c r="Q275" s="301"/>
      <c r="R275" s="301"/>
      <c r="S275" s="301"/>
      <c r="T275" s="301"/>
      <c r="U275" s="301"/>
      <c r="V275" s="301"/>
      <c r="W275" s="301"/>
      <c r="X275" s="301"/>
      <c r="Y275" s="301"/>
      <c r="Z275" s="301"/>
      <c r="AA275" s="301"/>
      <c r="AB275" s="301"/>
      <c r="AC275" s="301"/>
      <c r="AD275" s="301"/>
      <c r="AE275" s="301"/>
    </row>
    <row r="276" spans="2:31" ht="14.5">
      <c r="B276" s="406">
        <f t="shared" si="7"/>
        <v>231</v>
      </c>
      <c r="C276" s="414" t="str" cm="1">
        <f t="array" aca="1" ref="C276" ca="1">IF(B276&lt;=$C$9,GetGetCDSName(B276),"")</f>
        <v/>
      </c>
      <c r="D276" s="374"/>
      <c r="E276" s="407"/>
      <c r="F276" s="326"/>
      <c r="G276" s="326"/>
      <c r="H276" s="326"/>
      <c r="I276" s="326"/>
      <c r="J276" s="326"/>
      <c r="K276" s="326"/>
      <c r="L276" s="326"/>
      <c r="M276" s="326"/>
      <c r="N276" s="408"/>
      <c r="O276" s="301"/>
      <c r="P276" s="301"/>
      <c r="Q276" s="301"/>
      <c r="R276" s="301"/>
      <c r="S276" s="301"/>
      <c r="T276" s="301"/>
      <c r="U276" s="301"/>
      <c r="V276" s="301"/>
      <c r="W276" s="301"/>
      <c r="X276" s="301"/>
      <c r="Y276" s="301"/>
      <c r="Z276" s="301"/>
      <c r="AA276" s="301"/>
      <c r="AB276" s="301"/>
      <c r="AC276" s="301"/>
      <c r="AD276" s="301"/>
      <c r="AE276" s="301"/>
    </row>
    <row r="277" spans="2:31" ht="14.5">
      <c r="B277" s="406">
        <f t="shared" si="7"/>
        <v>232</v>
      </c>
      <c r="C277" s="414" t="str" cm="1">
        <f t="array" aca="1" ref="C277" ca="1">IF(B277&lt;=$C$9,GetGetCDSName(B277),"")</f>
        <v/>
      </c>
      <c r="D277" s="374"/>
      <c r="E277" s="407"/>
      <c r="F277" s="326"/>
      <c r="G277" s="326"/>
      <c r="H277" s="326"/>
      <c r="I277" s="326"/>
      <c r="J277" s="326"/>
      <c r="K277" s="326"/>
      <c r="L277" s="326"/>
      <c r="M277" s="326"/>
      <c r="N277" s="408"/>
      <c r="O277" s="301"/>
      <c r="P277" s="301"/>
      <c r="Q277" s="301"/>
      <c r="R277" s="301"/>
      <c r="S277" s="301"/>
      <c r="T277" s="301"/>
      <c r="U277" s="301"/>
      <c r="V277" s="301"/>
      <c r="W277" s="301"/>
      <c r="X277" s="301"/>
      <c r="Y277" s="301"/>
      <c r="Z277" s="301"/>
      <c r="AA277" s="301"/>
      <c r="AB277" s="301"/>
      <c r="AC277" s="301"/>
      <c r="AD277" s="301"/>
      <c r="AE277" s="301"/>
    </row>
    <row r="278" spans="2:31" ht="14.5">
      <c r="B278" s="406">
        <f t="shared" si="7"/>
        <v>233</v>
      </c>
      <c r="C278" s="414" t="str" cm="1">
        <f t="array" aca="1" ref="C278" ca="1">IF(B278&lt;=$C$9,GetGetCDSName(B278),"")</f>
        <v/>
      </c>
      <c r="D278" s="374"/>
      <c r="E278" s="407"/>
      <c r="F278" s="326"/>
      <c r="G278" s="326"/>
      <c r="H278" s="326"/>
      <c r="I278" s="326"/>
      <c r="J278" s="326"/>
      <c r="K278" s="326"/>
      <c r="L278" s="326"/>
      <c r="M278" s="326"/>
      <c r="N278" s="408"/>
      <c r="O278" s="301"/>
      <c r="P278" s="301"/>
      <c r="Q278" s="301"/>
      <c r="R278" s="301"/>
      <c r="S278" s="301"/>
      <c r="T278" s="301"/>
      <c r="U278" s="301"/>
      <c r="V278" s="301"/>
      <c r="W278" s="301"/>
      <c r="X278" s="301"/>
      <c r="Y278" s="301"/>
      <c r="Z278" s="301"/>
      <c r="AA278" s="301"/>
      <c r="AB278" s="301"/>
      <c r="AC278" s="301"/>
      <c r="AD278" s="301"/>
      <c r="AE278" s="301"/>
    </row>
    <row r="279" spans="2:31" ht="14.5">
      <c r="B279" s="406">
        <f t="shared" si="7"/>
        <v>234</v>
      </c>
      <c r="C279" s="414" t="str" cm="1">
        <f t="array" aca="1" ref="C279" ca="1">IF(B279&lt;=$C$9,GetGetCDSName(B279),"")</f>
        <v/>
      </c>
      <c r="D279" s="374"/>
      <c r="E279" s="407"/>
      <c r="F279" s="326"/>
      <c r="G279" s="326"/>
      <c r="H279" s="326"/>
      <c r="I279" s="326"/>
      <c r="J279" s="326"/>
      <c r="K279" s="326"/>
      <c r="L279" s="326"/>
      <c r="M279" s="326"/>
      <c r="N279" s="408"/>
      <c r="O279" s="301"/>
      <c r="P279" s="301"/>
      <c r="Q279" s="301"/>
      <c r="R279" s="301"/>
      <c r="S279" s="301"/>
      <c r="T279" s="301"/>
      <c r="U279" s="301"/>
      <c r="V279" s="301"/>
      <c r="W279" s="301"/>
      <c r="X279" s="301"/>
      <c r="Y279" s="301"/>
      <c r="Z279" s="301"/>
      <c r="AA279" s="301"/>
      <c r="AB279" s="301"/>
      <c r="AC279" s="301"/>
      <c r="AD279" s="301"/>
      <c r="AE279" s="301"/>
    </row>
    <row r="280" spans="2:31" ht="14.5">
      <c r="B280" s="406">
        <f t="shared" si="7"/>
        <v>235</v>
      </c>
      <c r="C280" s="414" t="str" cm="1">
        <f t="array" aca="1" ref="C280" ca="1">IF(B280&lt;=$C$9,GetGetCDSName(B280),"")</f>
        <v/>
      </c>
      <c r="D280" s="374"/>
      <c r="E280" s="407"/>
      <c r="F280" s="326"/>
      <c r="G280" s="326"/>
      <c r="H280" s="326"/>
      <c r="I280" s="326"/>
      <c r="J280" s="326"/>
      <c r="K280" s="326"/>
      <c r="L280" s="326"/>
      <c r="M280" s="326"/>
      <c r="N280" s="408"/>
      <c r="O280" s="301"/>
      <c r="P280" s="301"/>
      <c r="Q280" s="301"/>
      <c r="R280" s="301"/>
      <c r="S280" s="301"/>
      <c r="T280" s="301"/>
      <c r="U280" s="301"/>
      <c r="V280" s="301"/>
      <c r="W280" s="301"/>
      <c r="X280" s="301"/>
      <c r="Y280" s="301"/>
      <c r="Z280" s="301"/>
      <c r="AA280" s="301"/>
      <c r="AB280" s="301"/>
      <c r="AC280" s="301"/>
      <c r="AD280" s="301"/>
      <c r="AE280" s="301"/>
    </row>
    <row r="281" spans="2:31" ht="14.5">
      <c r="B281" s="406">
        <f t="shared" si="7"/>
        <v>236</v>
      </c>
      <c r="C281" s="414" t="str" cm="1">
        <f t="array" aca="1" ref="C281" ca="1">IF(B281&lt;=$C$9,GetGetCDSName(B281),"")</f>
        <v/>
      </c>
      <c r="D281" s="374"/>
      <c r="E281" s="407"/>
      <c r="F281" s="326"/>
      <c r="G281" s="326"/>
      <c r="H281" s="326"/>
      <c r="I281" s="326"/>
      <c r="J281" s="326"/>
      <c r="K281" s="326"/>
      <c r="L281" s="326"/>
      <c r="M281" s="326"/>
      <c r="N281" s="408"/>
      <c r="O281" s="301"/>
      <c r="P281" s="301"/>
      <c r="Q281" s="301"/>
      <c r="R281" s="301"/>
      <c r="S281" s="301"/>
      <c r="T281" s="301"/>
      <c r="U281" s="301"/>
      <c r="V281" s="301"/>
      <c r="W281" s="301"/>
      <c r="X281" s="301"/>
      <c r="Y281" s="301"/>
      <c r="Z281" s="301"/>
      <c r="AA281" s="301"/>
      <c r="AB281" s="301"/>
      <c r="AC281" s="301"/>
      <c r="AD281" s="301"/>
      <c r="AE281" s="301"/>
    </row>
    <row r="282" spans="2:31" ht="14.5">
      <c r="B282" s="406">
        <f t="shared" si="7"/>
        <v>237</v>
      </c>
      <c r="C282" s="414" t="str" cm="1">
        <f t="array" aca="1" ref="C282" ca="1">IF(B282&lt;=$C$9,GetGetCDSName(B282),"")</f>
        <v/>
      </c>
      <c r="D282" s="374"/>
      <c r="E282" s="407"/>
      <c r="F282" s="326"/>
      <c r="G282" s="326"/>
      <c r="H282" s="326"/>
      <c r="I282" s="326"/>
      <c r="J282" s="326"/>
      <c r="K282" s="326"/>
      <c r="L282" s="326"/>
      <c r="M282" s="326"/>
      <c r="N282" s="408"/>
      <c r="O282" s="301"/>
      <c r="P282" s="301"/>
      <c r="Q282" s="301"/>
      <c r="R282" s="301"/>
      <c r="S282" s="301"/>
      <c r="T282" s="301"/>
      <c r="U282" s="301"/>
      <c r="V282" s="301"/>
      <c r="W282" s="301"/>
      <c r="X282" s="301"/>
      <c r="Y282" s="301"/>
      <c r="Z282" s="301"/>
      <c r="AA282" s="301"/>
      <c r="AB282" s="301"/>
      <c r="AC282" s="301"/>
      <c r="AD282" s="301"/>
      <c r="AE282" s="301"/>
    </row>
    <row r="283" spans="2:31" ht="14.5">
      <c r="B283" s="406">
        <f t="shared" si="7"/>
        <v>238</v>
      </c>
      <c r="C283" s="414" t="str" cm="1">
        <f t="array" aca="1" ref="C283" ca="1">IF(B283&lt;=$C$9,GetGetCDSName(B283),"")</f>
        <v/>
      </c>
      <c r="D283" s="374"/>
      <c r="E283" s="407"/>
      <c r="F283" s="326"/>
      <c r="G283" s="326"/>
      <c r="H283" s="326"/>
      <c r="I283" s="326"/>
      <c r="J283" s="326"/>
      <c r="K283" s="326"/>
      <c r="L283" s="326"/>
      <c r="M283" s="326"/>
      <c r="N283" s="408"/>
      <c r="O283" s="301"/>
      <c r="P283" s="301"/>
      <c r="Q283" s="301"/>
      <c r="R283" s="301"/>
      <c r="S283" s="301"/>
      <c r="T283" s="301"/>
      <c r="U283" s="301"/>
      <c r="V283" s="301"/>
      <c r="W283" s="301"/>
      <c r="X283" s="301"/>
      <c r="Y283" s="301"/>
      <c r="Z283" s="301"/>
      <c r="AA283" s="301"/>
      <c r="AB283" s="301"/>
      <c r="AC283" s="301"/>
      <c r="AD283" s="301"/>
      <c r="AE283" s="301"/>
    </row>
    <row r="284" spans="2:31" ht="14.5">
      <c r="B284" s="406">
        <f t="shared" si="7"/>
        <v>239</v>
      </c>
      <c r="C284" s="414" t="str" cm="1">
        <f t="array" aca="1" ref="C284" ca="1">IF(B284&lt;=$C$9,GetGetCDSName(B284),"")</f>
        <v/>
      </c>
      <c r="D284" s="374"/>
      <c r="E284" s="407"/>
      <c r="F284" s="326"/>
      <c r="G284" s="326"/>
      <c r="H284" s="326"/>
      <c r="I284" s="326"/>
      <c r="J284" s="326"/>
      <c r="K284" s="326"/>
      <c r="L284" s="326"/>
      <c r="M284" s="326"/>
      <c r="N284" s="408"/>
      <c r="O284" s="301"/>
      <c r="P284" s="301"/>
      <c r="Q284" s="301"/>
      <c r="R284" s="301"/>
      <c r="S284" s="301"/>
      <c r="T284" s="301"/>
      <c r="U284" s="301"/>
      <c r="V284" s="301"/>
      <c r="W284" s="301"/>
      <c r="X284" s="301"/>
      <c r="Y284" s="301"/>
      <c r="Z284" s="301"/>
      <c r="AA284" s="301"/>
      <c r="AB284" s="301"/>
      <c r="AC284" s="301"/>
      <c r="AD284" s="301"/>
      <c r="AE284" s="301"/>
    </row>
    <row r="285" spans="2:31" ht="14.5">
      <c r="B285" s="406">
        <f t="shared" si="7"/>
        <v>240</v>
      </c>
      <c r="C285" s="414" t="str" cm="1">
        <f t="array" aca="1" ref="C285" ca="1">IF(B285&lt;=$C$9,GetGetCDSName(B285),"")</f>
        <v/>
      </c>
      <c r="D285" s="374"/>
      <c r="E285" s="407"/>
      <c r="F285" s="326"/>
      <c r="G285" s="326"/>
      <c r="H285" s="326"/>
      <c r="I285" s="326"/>
      <c r="J285" s="326"/>
      <c r="K285" s="326"/>
      <c r="L285" s="326"/>
      <c r="M285" s="326"/>
      <c r="N285" s="408"/>
      <c r="O285" s="301"/>
      <c r="P285" s="301"/>
      <c r="Q285" s="301"/>
      <c r="R285" s="301"/>
      <c r="S285" s="301"/>
      <c r="T285" s="301"/>
      <c r="U285" s="301"/>
      <c r="V285" s="301"/>
      <c r="W285" s="301"/>
      <c r="X285" s="301"/>
      <c r="Y285" s="301"/>
      <c r="Z285" s="301"/>
      <c r="AA285" s="301"/>
      <c r="AB285" s="301"/>
      <c r="AC285" s="301"/>
      <c r="AD285" s="301"/>
      <c r="AE285" s="301"/>
    </row>
    <row r="286" spans="2:31" ht="14.5">
      <c r="B286" s="406">
        <f t="shared" si="7"/>
        <v>241</v>
      </c>
      <c r="C286" s="414" t="str" cm="1">
        <f t="array" aca="1" ref="C286" ca="1">IF(B286&lt;=$C$9,GetGetCDSName(B286),"")</f>
        <v/>
      </c>
      <c r="D286" s="374"/>
      <c r="E286" s="407"/>
      <c r="F286" s="326"/>
      <c r="G286" s="326"/>
      <c r="H286" s="326"/>
      <c r="I286" s="326"/>
      <c r="J286" s="326"/>
      <c r="K286" s="326"/>
      <c r="L286" s="326"/>
      <c r="M286" s="326"/>
      <c r="N286" s="408"/>
      <c r="O286" s="301"/>
      <c r="P286" s="301"/>
      <c r="Q286" s="301"/>
      <c r="R286" s="301"/>
      <c r="S286" s="301"/>
      <c r="T286" s="301"/>
      <c r="U286" s="301"/>
      <c r="V286" s="301"/>
      <c r="W286" s="301"/>
      <c r="X286" s="301"/>
      <c r="Y286" s="301"/>
      <c r="Z286" s="301"/>
      <c r="AA286" s="301"/>
      <c r="AB286" s="301"/>
      <c r="AC286" s="301"/>
      <c r="AD286" s="301"/>
      <c r="AE286" s="301"/>
    </row>
    <row r="287" spans="2:31" ht="14.5">
      <c r="B287" s="406">
        <f t="shared" si="7"/>
        <v>242</v>
      </c>
      <c r="C287" s="414" t="str" cm="1">
        <f t="array" aca="1" ref="C287" ca="1">IF(B287&lt;=$C$9,GetGetCDSName(B287),"")</f>
        <v/>
      </c>
      <c r="D287" s="374"/>
      <c r="E287" s="407"/>
      <c r="F287" s="326"/>
      <c r="G287" s="326"/>
      <c r="H287" s="326"/>
      <c r="I287" s="326"/>
      <c r="J287" s="326"/>
      <c r="K287" s="326"/>
      <c r="L287" s="326"/>
      <c r="M287" s="326"/>
      <c r="N287" s="408"/>
      <c r="O287" s="301"/>
      <c r="P287" s="301"/>
      <c r="Q287" s="301"/>
      <c r="R287" s="301"/>
      <c r="S287" s="301"/>
      <c r="T287" s="301"/>
      <c r="U287" s="301"/>
      <c r="V287" s="301"/>
      <c r="W287" s="301"/>
      <c r="X287" s="301"/>
      <c r="Y287" s="301"/>
      <c r="Z287" s="301"/>
      <c r="AA287" s="301"/>
      <c r="AB287" s="301"/>
      <c r="AC287" s="301"/>
      <c r="AD287" s="301"/>
      <c r="AE287" s="301"/>
    </row>
    <row r="288" spans="2:31" ht="14.5">
      <c r="B288" s="406">
        <f t="shared" si="7"/>
        <v>243</v>
      </c>
      <c r="C288" s="414" t="str" cm="1">
        <f t="array" aca="1" ref="C288" ca="1">IF(B288&lt;=$C$9,GetGetCDSName(B288),"")</f>
        <v/>
      </c>
      <c r="D288" s="374"/>
      <c r="E288" s="407"/>
      <c r="F288" s="326"/>
      <c r="G288" s="326"/>
      <c r="H288" s="326"/>
      <c r="I288" s="326"/>
      <c r="J288" s="326"/>
      <c r="K288" s="326"/>
      <c r="L288" s="326"/>
      <c r="M288" s="326"/>
      <c r="N288" s="408"/>
      <c r="O288" s="301"/>
      <c r="P288" s="301"/>
      <c r="Q288" s="301"/>
      <c r="R288" s="301"/>
      <c r="S288" s="301"/>
      <c r="T288" s="301"/>
      <c r="U288" s="301"/>
      <c r="V288" s="301"/>
      <c r="W288" s="301"/>
      <c r="X288" s="301"/>
      <c r="Y288" s="301"/>
      <c r="Z288" s="301"/>
      <c r="AA288" s="301"/>
      <c r="AB288" s="301"/>
      <c r="AC288" s="301"/>
      <c r="AD288" s="301"/>
      <c r="AE288" s="301"/>
    </row>
    <row r="289" spans="2:31" ht="14.5">
      <c r="B289" s="406">
        <f t="shared" si="7"/>
        <v>244</v>
      </c>
      <c r="C289" s="414" t="str" cm="1">
        <f t="array" aca="1" ref="C289" ca="1">IF(B289&lt;=$C$9,GetGetCDSName(B289),"")</f>
        <v/>
      </c>
      <c r="D289" s="374"/>
      <c r="E289" s="407"/>
      <c r="F289" s="326"/>
      <c r="G289" s="326"/>
      <c r="H289" s="326"/>
      <c r="I289" s="326"/>
      <c r="J289" s="326"/>
      <c r="K289" s="326"/>
      <c r="L289" s="326"/>
      <c r="M289" s="326"/>
      <c r="N289" s="408"/>
      <c r="O289" s="301"/>
      <c r="P289" s="301"/>
      <c r="Q289" s="301"/>
      <c r="R289" s="301"/>
      <c r="S289" s="301"/>
      <c r="T289" s="301"/>
      <c r="U289" s="301"/>
      <c r="V289" s="301"/>
      <c r="W289" s="301"/>
      <c r="X289" s="301"/>
      <c r="Y289" s="301"/>
      <c r="Z289" s="301"/>
      <c r="AA289" s="301"/>
      <c r="AB289" s="301"/>
      <c r="AC289" s="301"/>
      <c r="AD289" s="301"/>
      <c r="AE289" s="301"/>
    </row>
    <row r="290" spans="2:31" ht="14.5">
      <c r="B290" s="406">
        <f t="shared" si="7"/>
        <v>245</v>
      </c>
      <c r="C290" s="414" t="str" cm="1">
        <f t="array" aca="1" ref="C290" ca="1">IF(B290&lt;=$C$9,GetGetCDSName(B290),"")</f>
        <v/>
      </c>
      <c r="D290" s="374"/>
      <c r="E290" s="407"/>
      <c r="F290" s="326"/>
      <c r="G290" s="326"/>
      <c r="H290" s="326"/>
      <c r="I290" s="326"/>
      <c r="J290" s="326"/>
      <c r="K290" s="326"/>
      <c r="L290" s="326"/>
      <c r="M290" s="326"/>
      <c r="N290" s="408"/>
      <c r="O290" s="301"/>
      <c r="P290" s="301"/>
      <c r="Q290" s="301"/>
      <c r="R290" s="301"/>
      <c r="S290" s="301"/>
      <c r="T290" s="301"/>
      <c r="U290" s="301"/>
      <c r="V290" s="301"/>
      <c r="W290" s="301"/>
      <c r="X290" s="301"/>
      <c r="Y290" s="301"/>
      <c r="Z290" s="301"/>
      <c r="AA290" s="301"/>
      <c r="AB290" s="301"/>
      <c r="AC290" s="301"/>
      <c r="AD290" s="301"/>
      <c r="AE290" s="301"/>
    </row>
    <row r="291" spans="2:31" ht="14.5">
      <c r="B291" s="406">
        <f t="shared" si="7"/>
        <v>246</v>
      </c>
      <c r="C291" s="414" t="str" cm="1">
        <f t="array" aca="1" ref="C291" ca="1">IF(B291&lt;=$C$9,GetGetCDSName(B291),"")</f>
        <v/>
      </c>
      <c r="D291" s="374"/>
      <c r="E291" s="407"/>
      <c r="F291" s="326"/>
      <c r="G291" s="326"/>
      <c r="H291" s="326"/>
      <c r="I291" s="326"/>
      <c r="J291" s="326"/>
      <c r="K291" s="326"/>
      <c r="L291" s="326"/>
      <c r="M291" s="326"/>
      <c r="N291" s="408"/>
      <c r="O291" s="301"/>
      <c r="P291" s="301"/>
      <c r="Q291" s="301"/>
      <c r="R291" s="301"/>
      <c r="S291" s="301"/>
      <c r="T291" s="301"/>
      <c r="U291" s="301"/>
      <c r="V291" s="301"/>
      <c r="W291" s="301"/>
      <c r="X291" s="301"/>
      <c r="Y291" s="301"/>
      <c r="Z291" s="301"/>
      <c r="AA291" s="301"/>
      <c r="AB291" s="301"/>
      <c r="AC291" s="301"/>
      <c r="AD291" s="301"/>
      <c r="AE291" s="301"/>
    </row>
    <row r="292" spans="2:31" ht="14.5">
      <c r="B292" s="406">
        <f t="shared" si="7"/>
        <v>247</v>
      </c>
      <c r="C292" s="414" t="str" cm="1">
        <f t="array" aca="1" ref="C292" ca="1">IF(B292&lt;=$C$9,GetGetCDSName(B292),"")</f>
        <v/>
      </c>
      <c r="D292" s="374"/>
      <c r="E292" s="407"/>
      <c r="F292" s="326"/>
      <c r="G292" s="326"/>
      <c r="H292" s="326"/>
      <c r="I292" s="326"/>
      <c r="J292" s="326"/>
      <c r="K292" s="326"/>
      <c r="L292" s="326"/>
      <c r="M292" s="326"/>
      <c r="N292" s="408"/>
      <c r="O292" s="301"/>
      <c r="P292" s="301"/>
      <c r="Q292" s="301"/>
      <c r="R292" s="301"/>
      <c r="S292" s="301"/>
      <c r="T292" s="301"/>
      <c r="U292" s="301"/>
      <c r="V292" s="301"/>
      <c r="W292" s="301"/>
      <c r="X292" s="301"/>
      <c r="Y292" s="301"/>
      <c r="Z292" s="301"/>
      <c r="AA292" s="301"/>
      <c r="AB292" s="301"/>
      <c r="AC292" s="301"/>
      <c r="AD292" s="301"/>
      <c r="AE292" s="301"/>
    </row>
    <row r="293" spans="2:31" ht="14.5">
      <c r="B293" s="406">
        <f t="shared" si="7"/>
        <v>248</v>
      </c>
      <c r="C293" s="414" t="str" cm="1">
        <f t="array" aca="1" ref="C293" ca="1">IF(B293&lt;=$C$9,GetGetCDSName(B293),"")</f>
        <v/>
      </c>
      <c r="D293" s="374"/>
      <c r="E293" s="407"/>
      <c r="F293" s="326"/>
      <c r="G293" s="326"/>
      <c r="H293" s="326"/>
      <c r="I293" s="326"/>
      <c r="J293" s="326"/>
      <c r="K293" s="326"/>
      <c r="L293" s="326"/>
      <c r="M293" s="326"/>
      <c r="N293" s="408"/>
      <c r="O293" s="301"/>
      <c r="P293" s="301"/>
      <c r="Q293" s="301"/>
      <c r="R293" s="301"/>
      <c r="S293" s="301"/>
      <c r="T293" s="301"/>
      <c r="U293" s="301"/>
      <c r="V293" s="301"/>
      <c r="W293" s="301"/>
      <c r="X293" s="301"/>
      <c r="Y293" s="301"/>
      <c r="Z293" s="301"/>
      <c r="AA293" s="301"/>
      <c r="AB293" s="301"/>
      <c r="AC293" s="301"/>
      <c r="AD293" s="301"/>
      <c r="AE293" s="301"/>
    </row>
    <row r="294" spans="2:31" ht="14.5">
      <c r="B294" s="406">
        <f t="shared" si="7"/>
        <v>249</v>
      </c>
      <c r="C294" s="414" t="str" cm="1">
        <f t="array" aca="1" ref="C294" ca="1">IF(B294&lt;=$C$9,GetGetCDSName(B294),"")</f>
        <v/>
      </c>
      <c r="D294" s="374"/>
      <c r="E294" s="407"/>
      <c r="F294" s="326"/>
      <c r="G294" s="326"/>
      <c r="H294" s="326"/>
      <c r="I294" s="326"/>
      <c r="J294" s="326"/>
      <c r="K294" s="326"/>
      <c r="L294" s="326"/>
      <c r="M294" s="326"/>
      <c r="N294" s="408"/>
      <c r="O294" s="301"/>
      <c r="P294" s="301"/>
      <c r="Q294" s="301"/>
      <c r="R294" s="301"/>
      <c r="S294" s="301"/>
      <c r="T294" s="301"/>
      <c r="U294" s="301"/>
      <c r="V294" s="301"/>
      <c r="W294" s="301"/>
      <c r="X294" s="301"/>
      <c r="Y294" s="301"/>
      <c r="Z294" s="301"/>
      <c r="AA294" s="301"/>
      <c r="AB294" s="301"/>
      <c r="AC294" s="301"/>
      <c r="AD294" s="301"/>
      <c r="AE294" s="301"/>
    </row>
    <row r="295" spans="2:31" ht="14.5">
      <c r="B295" s="406">
        <f t="shared" si="7"/>
        <v>250</v>
      </c>
      <c r="C295" s="414" t="str" cm="1">
        <f t="array" aca="1" ref="C295" ca="1">IF(B295&lt;=$C$9,GetGetCDSName(B295),"")</f>
        <v/>
      </c>
      <c r="D295" s="374"/>
      <c r="E295" s="407"/>
      <c r="F295" s="326"/>
      <c r="G295" s="326"/>
      <c r="H295" s="326"/>
      <c r="I295" s="326"/>
      <c r="J295" s="326"/>
      <c r="K295" s="326"/>
      <c r="L295" s="326"/>
      <c r="M295" s="326"/>
      <c r="N295" s="408"/>
      <c r="O295" s="301"/>
      <c r="P295" s="301"/>
      <c r="Q295" s="301"/>
      <c r="R295" s="301"/>
      <c r="S295" s="301"/>
      <c r="T295" s="301"/>
      <c r="U295" s="301"/>
      <c r="V295" s="301"/>
      <c r="W295" s="301"/>
      <c r="X295" s="301"/>
      <c r="Y295" s="301"/>
      <c r="Z295" s="301"/>
      <c r="AA295" s="301"/>
      <c r="AB295" s="301"/>
      <c r="AC295" s="301"/>
      <c r="AD295" s="301"/>
      <c r="AE295" s="301"/>
    </row>
    <row r="296" spans="2:31" ht="14.5">
      <c r="B296" s="406">
        <f t="shared" si="7"/>
        <v>251</v>
      </c>
      <c r="C296" s="414" t="str" cm="1">
        <f t="array" aca="1" ref="C296" ca="1">IF(B296&lt;=$C$9,GetGetCDSName(B296),"")</f>
        <v/>
      </c>
      <c r="D296" s="374"/>
      <c r="E296" s="407"/>
      <c r="F296" s="326"/>
      <c r="G296" s="326"/>
      <c r="H296" s="326"/>
      <c r="I296" s="326"/>
      <c r="J296" s="326"/>
      <c r="K296" s="326"/>
      <c r="L296" s="326"/>
      <c r="M296" s="326"/>
      <c r="N296" s="408"/>
      <c r="O296" s="301"/>
      <c r="P296" s="301"/>
      <c r="Q296" s="301"/>
      <c r="R296" s="301"/>
      <c r="S296" s="301"/>
      <c r="T296" s="301"/>
      <c r="U296" s="301"/>
      <c r="V296" s="301"/>
      <c r="W296" s="301"/>
      <c r="X296" s="301"/>
      <c r="Y296" s="301"/>
      <c r="Z296" s="301"/>
      <c r="AA296" s="301"/>
      <c r="AB296" s="301"/>
      <c r="AC296" s="301"/>
      <c r="AD296" s="301"/>
      <c r="AE296" s="301"/>
    </row>
    <row r="297" spans="2:31" ht="14.5">
      <c r="B297" s="406">
        <f t="shared" si="7"/>
        <v>252</v>
      </c>
      <c r="C297" s="414" t="str" cm="1">
        <f t="array" aca="1" ref="C297" ca="1">IF(B297&lt;=$C$9,GetGetCDSName(B297),"")</f>
        <v/>
      </c>
      <c r="D297" s="374"/>
      <c r="E297" s="407"/>
      <c r="F297" s="326"/>
      <c r="G297" s="326"/>
      <c r="H297" s="326"/>
      <c r="I297" s="326"/>
      <c r="J297" s="326"/>
      <c r="K297" s="326"/>
      <c r="L297" s="326"/>
      <c r="M297" s="326"/>
      <c r="N297" s="408"/>
      <c r="O297" s="301"/>
      <c r="P297" s="301"/>
      <c r="Q297" s="301"/>
      <c r="R297" s="301"/>
      <c r="S297" s="301"/>
      <c r="T297" s="301"/>
      <c r="U297" s="301"/>
      <c r="V297" s="301"/>
      <c r="W297" s="301"/>
      <c r="X297" s="301"/>
      <c r="Y297" s="301"/>
      <c r="Z297" s="301"/>
      <c r="AA297" s="301"/>
      <c r="AB297" s="301"/>
      <c r="AC297" s="301"/>
      <c r="AD297" s="301"/>
      <c r="AE297" s="301"/>
    </row>
    <row r="298" spans="2:31" ht="14.5">
      <c r="B298" s="406">
        <f t="shared" si="7"/>
        <v>253</v>
      </c>
      <c r="C298" s="414" t="str" cm="1">
        <f t="array" aca="1" ref="C298" ca="1">IF(B298&lt;=$C$9,GetGetCDSName(B298),"")</f>
        <v/>
      </c>
      <c r="D298" s="374"/>
      <c r="E298" s="407"/>
      <c r="F298" s="326"/>
      <c r="G298" s="326"/>
      <c r="H298" s="326"/>
      <c r="I298" s="326"/>
      <c r="J298" s="326"/>
      <c r="K298" s="326"/>
      <c r="L298" s="326"/>
      <c r="M298" s="326"/>
      <c r="N298" s="408"/>
      <c r="O298" s="301"/>
      <c r="P298" s="301"/>
      <c r="Q298" s="301"/>
      <c r="R298" s="301"/>
      <c r="S298" s="301"/>
      <c r="T298" s="301"/>
      <c r="U298" s="301"/>
      <c r="V298" s="301"/>
      <c r="W298" s="301"/>
      <c r="X298" s="301"/>
      <c r="Y298" s="301"/>
      <c r="Z298" s="301"/>
      <c r="AA298" s="301"/>
      <c r="AB298" s="301"/>
      <c r="AC298" s="301"/>
      <c r="AD298" s="301"/>
      <c r="AE298" s="301"/>
    </row>
    <row r="299" spans="2:31" ht="14.5">
      <c r="B299" s="406">
        <f t="shared" si="7"/>
        <v>254</v>
      </c>
      <c r="C299" s="414" t="str" cm="1">
        <f t="array" aca="1" ref="C299" ca="1">IF(B299&lt;=$C$9,GetGetCDSName(B299),"")</f>
        <v/>
      </c>
      <c r="D299" s="374"/>
      <c r="E299" s="407"/>
      <c r="F299" s="326"/>
      <c r="G299" s="326"/>
      <c r="H299" s="326"/>
      <c r="I299" s="326"/>
      <c r="J299" s="326"/>
      <c r="K299" s="326"/>
      <c r="L299" s="326"/>
      <c r="M299" s="326"/>
      <c r="N299" s="408"/>
      <c r="O299" s="301"/>
      <c r="P299" s="301"/>
      <c r="Q299" s="301"/>
      <c r="R299" s="301"/>
      <c r="S299" s="301"/>
      <c r="T299" s="301"/>
      <c r="U299" s="301"/>
      <c r="V299" s="301"/>
      <c r="W299" s="301"/>
      <c r="X299" s="301"/>
      <c r="Y299" s="301"/>
      <c r="Z299" s="301"/>
      <c r="AA299" s="301"/>
      <c r="AB299" s="301"/>
      <c r="AC299" s="301"/>
      <c r="AD299" s="301"/>
      <c r="AE299" s="301"/>
    </row>
    <row r="300" spans="2:31" ht="14.5">
      <c r="B300" s="406">
        <f t="shared" si="7"/>
        <v>255</v>
      </c>
      <c r="C300" s="414" t="str" cm="1">
        <f t="array" aca="1" ref="C300" ca="1">IF(B300&lt;=$C$9,GetGetCDSName(B300),"")</f>
        <v/>
      </c>
      <c r="D300" s="374"/>
      <c r="E300" s="407"/>
      <c r="F300" s="326"/>
      <c r="G300" s="326"/>
      <c r="H300" s="326"/>
      <c r="I300" s="326"/>
      <c r="J300" s="326"/>
      <c r="K300" s="326"/>
      <c r="L300" s="326"/>
      <c r="M300" s="326"/>
      <c r="N300" s="408"/>
      <c r="O300" s="301"/>
      <c r="P300" s="301"/>
      <c r="Q300" s="301"/>
      <c r="R300" s="301"/>
      <c r="S300" s="301"/>
      <c r="T300" s="301"/>
      <c r="U300" s="301"/>
      <c r="V300" s="301"/>
      <c r="W300" s="301"/>
      <c r="X300" s="301"/>
      <c r="Y300" s="301"/>
      <c r="Z300" s="301"/>
      <c r="AA300" s="301"/>
      <c r="AB300" s="301"/>
      <c r="AC300" s="301"/>
      <c r="AD300" s="301"/>
      <c r="AE300" s="301"/>
    </row>
    <row r="301" spans="2:31" ht="14.5">
      <c r="B301" s="406">
        <f t="shared" si="7"/>
        <v>256</v>
      </c>
      <c r="C301" s="414" t="str" cm="1">
        <f t="array" aca="1" ref="C301" ca="1">IF(B301&lt;=$C$9,GetGetCDSName(B301),"")</f>
        <v/>
      </c>
      <c r="D301" s="374"/>
      <c r="E301" s="407"/>
      <c r="F301" s="326"/>
      <c r="G301" s="326"/>
      <c r="H301" s="326"/>
      <c r="I301" s="326"/>
      <c r="J301" s="326"/>
      <c r="K301" s="326"/>
      <c r="L301" s="326"/>
      <c r="M301" s="326"/>
      <c r="N301" s="408"/>
      <c r="O301" s="301"/>
      <c r="P301" s="301"/>
      <c r="Q301" s="301"/>
      <c r="R301" s="301"/>
      <c r="S301" s="301"/>
      <c r="T301" s="301"/>
      <c r="U301" s="301"/>
      <c r="V301" s="301"/>
      <c r="W301" s="301"/>
      <c r="X301" s="301"/>
      <c r="Y301" s="301"/>
      <c r="Z301" s="301"/>
      <c r="AA301" s="301"/>
      <c r="AB301" s="301"/>
      <c r="AC301" s="301"/>
      <c r="AD301" s="301"/>
      <c r="AE301" s="301"/>
    </row>
    <row r="302" spans="2:31" ht="14.5">
      <c r="B302" s="406">
        <f t="shared" si="7"/>
        <v>257</v>
      </c>
      <c r="C302" s="414" t="str" cm="1">
        <f t="array" aca="1" ref="C302" ca="1">IF(B302&lt;=$C$9,GetGetCDSName(B302),"")</f>
        <v/>
      </c>
      <c r="D302" s="374"/>
      <c r="E302" s="407"/>
      <c r="F302" s="326"/>
      <c r="G302" s="326"/>
      <c r="H302" s="326"/>
      <c r="I302" s="326"/>
      <c r="J302" s="326"/>
      <c r="K302" s="326"/>
      <c r="L302" s="326"/>
      <c r="M302" s="326"/>
      <c r="N302" s="408"/>
      <c r="O302" s="301"/>
      <c r="P302" s="301"/>
      <c r="Q302" s="301"/>
      <c r="R302" s="301"/>
      <c r="S302" s="301"/>
      <c r="T302" s="301"/>
      <c r="U302" s="301"/>
      <c r="V302" s="301"/>
      <c r="W302" s="301"/>
      <c r="X302" s="301"/>
      <c r="Y302" s="301"/>
      <c r="Z302" s="301"/>
      <c r="AA302" s="301"/>
      <c r="AB302" s="301"/>
      <c r="AC302" s="301"/>
      <c r="AD302" s="301"/>
      <c r="AE302" s="301"/>
    </row>
    <row r="303" spans="2:31" ht="14.5">
      <c r="B303" s="406">
        <f t="shared" ref="B303:B345" si="8">B302+1</f>
        <v>258</v>
      </c>
      <c r="C303" s="414" t="str" cm="1">
        <f t="array" aca="1" ref="C303" ca="1">IF(B303&lt;=$C$9,GetGetCDSName(B303),"")</f>
        <v/>
      </c>
      <c r="D303" s="374"/>
      <c r="E303" s="407"/>
      <c r="F303" s="326"/>
      <c r="G303" s="326"/>
      <c r="H303" s="326"/>
      <c r="I303" s="326"/>
      <c r="J303" s="326"/>
      <c r="K303" s="326"/>
      <c r="L303" s="326"/>
      <c r="M303" s="326"/>
      <c r="N303" s="408"/>
      <c r="O303" s="301"/>
      <c r="P303" s="301"/>
      <c r="Q303" s="301"/>
      <c r="R303" s="301"/>
      <c r="S303" s="301"/>
      <c r="T303" s="301"/>
      <c r="U303" s="301"/>
      <c r="V303" s="301"/>
      <c r="W303" s="301"/>
      <c r="X303" s="301"/>
      <c r="Y303" s="301"/>
      <c r="Z303" s="301"/>
      <c r="AA303" s="301"/>
      <c r="AB303" s="301"/>
      <c r="AC303" s="301"/>
      <c r="AD303" s="301"/>
      <c r="AE303" s="301"/>
    </row>
    <row r="304" spans="2:31" ht="14.5">
      <c r="B304" s="406">
        <f t="shared" si="8"/>
        <v>259</v>
      </c>
      <c r="C304" s="414" t="str" cm="1">
        <f t="array" aca="1" ref="C304" ca="1">IF(B304&lt;=$C$9,GetGetCDSName(B304),"")</f>
        <v/>
      </c>
      <c r="D304" s="374"/>
      <c r="E304" s="407"/>
      <c r="F304" s="326"/>
      <c r="G304" s="326"/>
      <c r="H304" s="326"/>
      <c r="I304" s="326"/>
      <c r="J304" s="326"/>
      <c r="K304" s="326"/>
      <c r="L304" s="326"/>
      <c r="M304" s="326"/>
      <c r="N304" s="408"/>
      <c r="O304" s="301"/>
      <c r="P304" s="301"/>
      <c r="Q304" s="301"/>
      <c r="R304" s="301"/>
      <c r="S304" s="301"/>
      <c r="T304" s="301"/>
      <c r="U304" s="301"/>
      <c r="V304" s="301"/>
      <c r="W304" s="301"/>
      <c r="X304" s="301"/>
      <c r="Y304" s="301"/>
      <c r="Z304" s="301"/>
      <c r="AA304" s="301"/>
      <c r="AB304" s="301"/>
      <c r="AC304" s="301"/>
      <c r="AD304" s="301"/>
      <c r="AE304" s="301"/>
    </row>
    <row r="305" spans="2:31" ht="14.5">
      <c r="B305" s="406">
        <f t="shared" si="8"/>
        <v>260</v>
      </c>
      <c r="C305" s="414" t="str" cm="1">
        <f t="array" aca="1" ref="C305" ca="1">IF(B305&lt;=$C$9,GetGetCDSName(B305),"")</f>
        <v/>
      </c>
      <c r="D305" s="374"/>
      <c r="E305" s="407"/>
      <c r="F305" s="326"/>
      <c r="G305" s="326"/>
      <c r="H305" s="326"/>
      <c r="I305" s="326"/>
      <c r="J305" s="326"/>
      <c r="K305" s="326"/>
      <c r="L305" s="326"/>
      <c r="M305" s="326"/>
      <c r="N305" s="408"/>
      <c r="O305" s="301"/>
      <c r="P305" s="301"/>
      <c r="Q305" s="301"/>
      <c r="R305" s="301"/>
      <c r="S305" s="301"/>
      <c r="T305" s="301"/>
      <c r="U305" s="301"/>
      <c r="V305" s="301"/>
      <c r="W305" s="301"/>
      <c r="X305" s="301"/>
      <c r="Y305" s="301"/>
      <c r="Z305" s="301"/>
      <c r="AA305" s="301"/>
      <c r="AB305" s="301"/>
      <c r="AC305" s="301"/>
      <c r="AD305" s="301"/>
      <c r="AE305" s="301"/>
    </row>
    <row r="306" spans="2:31" ht="14.5">
      <c r="B306" s="406">
        <f t="shared" si="8"/>
        <v>261</v>
      </c>
      <c r="C306" s="414" t="str" cm="1">
        <f t="array" aca="1" ref="C306" ca="1">IF(B306&lt;=$C$9,GetGetCDSName(B306),"")</f>
        <v/>
      </c>
      <c r="D306" s="374"/>
      <c r="E306" s="407"/>
      <c r="F306" s="326"/>
      <c r="G306" s="326"/>
      <c r="H306" s="326"/>
      <c r="I306" s="326"/>
      <c r="J306" s="326"/>
      <c r="K306" s="326"/>
      <c r="L306" s="326"/>
      <c r="M306" s="326"/>
      <c r="N306" s="408"/>
      <c r="O306" s="301"/>
      <c r="P306" s="301"/>
      <c r="Q306" s="301"/>
      <c r="R306" s="301"/>
      <c r="S306" s="301"/>
      <c r="T306" s="301"/>
      <c r="U306" s="301"/>
      <c r="V306" s="301"/>
      <c r="W306" s="301"/>
      <c r="X306" s="301"/>
      <c r="Y306" s="301"/>
      <c r="Z306" s="301"/>
      <c r="AA306" s="301"/>
      <c r="AB306" s="301"/>
      <c r="AC306" s="301"/>
      <c r="AD306" s="301"/>
      <c r="AE306" s="301"/>
    </row>
    <row r="307" spans="2:31" ht="14.5">
      <c r="B307" s="406">
        <f t="shared" si="8"/>
        <v>262</v>
      </c>
      <c r="C307" s="414" t="str" cm="1">
        <f t="array" aca="1" ref="C307" ca="1">IF(B307&lt;=$C$9,GetGetCDSName(B307),"")</f>
        <v/>
      </c>
      <c r="D307" s="374"/>
      <c r="E307" s="407"/>
      <c r="F307" s="326"/>
      <c r="G307" s="326"/>
      <c r="H307" s="326"/>
      <c r="I307" s="326"/>
      <c r="J307" s="326"/>
      <c r="K307" s="326"/>
      <c r="L307" s="326"/>
      <c r="M307" s="326"/>
      <c r="N307" s="408"/>
      <c r="O307" s="301"/>
      <c r="P307" s="301"/>
      <c r="Q307" s="301"/>
      <c r="R307" s="301"/>
      <c r="S307" s="301"/>
      <c r="T307" s="301"/>
      <c r="U307" s="301"/>
      <c r="V307" s="301"/>
      <c r="W307" s="301"/>
      <c r="X307" s="301"/>
      <c r="Y307" s="301"/>
      <c r="Z307" s="301"/>
      <c r="AA307" s="301"/>
      <c r="AB307" s="301"/>
      <c r="AC307" s="301"/>
      <c r="AD307" s="301"/>
      <c r="AE307" s="301"/>
    </row>
    <row r="308" spans="2:31" ht="14.5">
      <c r="B308" s="406">
        <f t="shared" si="8"/>
        <v>263</v>
      </c>
      <c r="C308" s="414" t="str" cm="1">
        <f t="array" aca="1" ref="C308" ca="1">IF(B308&lt;=$C$9,GetGetCDSName(B308),"")</f>
        <v/>
      </c>
      <c r="D308" s="374"/>
      <c r="E308" s="407"/>
      <c r="F308" s="326"/>
      <c r="G308" s="326"/>
      <c r="H308" s="326"/>
      <c r="I308" s="326"/>
      <c r="J308" s="326"/>
      <c r="K308" s="326"/>
      <c r="L308" s="326"/>
      <c r="M308" s="326"/>
      <c r="N308" s="408"/>
      <c r="O308" s="301"/>
      <c r="P308" s="301"/>
      <c r="Q308" s="301"/>
      <c r="R308" s="301"/>
      <c r="S308" s="301"/>
      <c r="T308" s="301"/>
      <c r="U308" s="301"/>
      <c r="V308" s="301"/>
      <c r="W308" s="301"/>
      <c r="X308" s="301"/>
      <c r="Y308" s="301"/>
      <c r="Z308" s="301"/>
      <c r="AA308" s="301"/>
      <c r="AB308" s="301"/>
      <c r="AC308" s="301"/>
      <c r="AD308" s="301"/>
      <c r="AE308" s="301"/>
    </row>
    <row r="309" spans="2:31" ht="14.5">
      <c r="B309" s="406">
        <f t="shared" si="8"/>
        <v>264</v>
      </c>
      <c r="C309" s="414" t="str" cm="1">
        <f t="array" aca="1" ref="C309" ca="1">IF(B309&lt;=$C$9,GetGetCDSName(B309),"")</f>
        <v/>
      </c>
      <c r="D309" s="374"/>
      <c r="E309" s="407"/>
      <c r="F309" s="326"/>
      <c r="G309" s="326"/>
      <c r="H309" s="326"/>
      <c r="I309" s="326"/>
      <c r="J309" s="326"/>
      <c r="K309" s="326"/>
      <c r="L309" s="326"/>
      <c r="M309" s="326"/>
      <c r="N309" s="408"/>
      <c r="O309" s="301"/>
      <c r="P309" s="301"/>
      <c r="Q309" s="301"/>
      <c r="R309" s="301"/>
      <c r="S309" s="301"/>
      <c r="T309" s="301"/>
      <c r="U309" s="301"/>
      <c r="V309" s="301"/>
      <c r="W309" s="301"/>
      <c r="X309" s="301"/>
      <c r="Y309" s="301"/>
      <c r="Z309" s="301"/>
      <c r="AA309" s="301"/>
      <c r="AB309" s="301"/>
      <c r="AC309" s="301"/>
      <c r="AD309" s="301"/>
      <c r="AE309" s="301"/>
    </row>
    <row r="310" spans="2:31" ht="14.5">
      <c r="B310" s="406">
        <f t="shared" si="8"/>
        <v>265</v>
      </c>
      <c r="C310" s="414" t="str" cm="1">
        <f t="array" aca="1" ref="C310" ca="1">IF(B310&lt;=$C$9,GetGetCDSName(B310),"")</f>
        <v/>
      </c>
      <c r="D310" s="374"/>
      <c r="E310" s="407"/>
      <c r="F310" s="326"/>
      <c r="G310" s="326"/>
      <c r="H310" s="326"/>
      <c r="I310" s="326"/>
      <c r="J310" s="326"/>
      <c r="K310" s="326"/>
      <c r="L310" s="326"/>
      <c r="M310" s="326"/>
      <c r="N310" s="408"/>
      <c r="O310" s="301"/>
      <c r="P310" s="301"/>
      <c r="Q310" s="301"/>
      <c r="R310" s="301"/>
      <c r="S310" s="301"/>
      <c r="T310" s="301"/>
      <c r="U310" s="301"/>
      <c r="V310" s="301"/>
      <c r="W310" s="301"/>
      <c r="X310" s="301"/>
      <c r="Y310" s="301"/>
      <c r="Z310" s="301"/>
      <c r="AA310" s="301"/>
      <c r="AB310" s="301"/>
      <c r="AC310" s="301"/>
      <c r="AD310" s="301"/>
      <c r="AE310" s="301"/>
    </row>
    <row r="311" spans="2:31" ht="14.5">
      <c r="B311" s="406">
        <f t="shared" si="8"/>
        <v>266</v>
      </c>
      <c r="C311" s="414" t="str" cm="1">
        <f t="array" aca="1" ref="C311" ca="1">IF(B311&lt;=$C$9,GetGetCDSName(B311),"")</f>
        <v/>
      </c>
      <c r="D311" s="374"/>
      <c r="E311" s="407"/>
      <c r="F311" s="326"/>
      <c r="G311" s="326"/>
      <c r="H311" s="326"/>
      <c r="I311" s="326"/>
      <c r="J311" s="326"/>
      <c r="K311" s="326"/>
      <c r="L311" s="326"/>
      <c r="M311" s="326"/>
      <c r="N311" s="408"/>
      <c r="O311" s="301"/>
      <c r="P311" s="301"/>
      <c r="Q311" s="301"/>
      <c r="R311" s="301"/>
      <c r="S311" s="301"/>
      <c r="T311" s="301"/>
      <c r="U311" s="301"/>
      <c r="V311" s="301"/>
      <c r="W311" s="301"/>
      <c r="X311" s="301"/>
      <c r="Y311" s="301"/>
      <c r="Z311" s="301"/>
      <c r="AA311" s="301"/>
      <c r="AB311" s="301"/>
      <c r="AC311" s="301"/>
      <c r="AD311" s="301"/>
      <c r="AE311" s="301"/>
    </row>
    <row r="312" spans="2:31" ht="14.5">
      <c r="B312" s="406">
        <f t="shared" si="8"/>
        <v>267</v>
      </c>
      <c r="C312" s="414" t="str" cm="1">
        <f t="array" aca="1" ref="C312" ca="1">IF(B312&lt;=$C$9,GetGetCDSName(B312),"")</f>
        <v/>
      </c>
      <c r="D312" s="374"/>
      <c r="E312" s="407"/>
      <c r="F312" s="326"/>
      <c r="G312" s="326"/>
      <c r="H312" s="326"/>
      <c r="I312" s="326"/>
      <c r="J312" s="326"/>
      <c r="K312" s="326"/>
      <c r="L312" s="326"/>
      <c r="M312" s="326"/>
      <c r="N312" s="408"/>
      <c r="O312" s="301"/>
      <c r="P312" s="301"/>
      <c r="Q312" s="301"/>
      <c r="R312" s="301"/>
      <c r="S312" s="301"/>
      <c r="T312" s="301"/>
      <c r="U312" s="301"/>
      <c r="V312" s="301"/>
      <c r="W312" s="301"/>
      <c r="X312" s="301"/>
      <c r="Y312" s="301"/>
      <c r="Z312" s="301"/>
      <c r="AA312" s="301"/>
      <c r="AB312" s="301"/>
      <c r="AC312" s="301"/>
      <c r="AD312" s="301"/>
      <c r="AE312" s="301"/>
    </row>
    <row r="313" spans="2:31" ht="14.5">
      <c r="B313" s="406">
        <f t="shared" si="8"/>
        <v>268</v>
      </c>
      <c r="C313" s="414" t="str" cm="1">
        <f t="array" aca="1" ref="C313" ca="1">IF(B313&lt;=$C$9,GetGetCDSName(B313),"")</f>
        <v/>
      </c>
      <c r="D313" s="374"/>
      <c r="E313" s="407"/>
      <c r="F313" s="326"/>
      <c r="G313" s="326"/>
      <c r="H313" s="326"/>
      <c r="I313" s="326"/>
      <c r="J313" s="326"/>
      <c r="K313" s="326"/>
      <c r="L313" s="326"/>
      <c r="M313" s="326"/>
      <c r="N313" s="408"/>
      <c r="O313" s="301"/>
      <c r="P313" s="301"/>
      <c r="Q313" s="301"/>
      <c r="R313" s="301"/>
      <c r="S313" s="301"/>
      <c r="T313" s="301"/>
      <c r="U313" s="301"/>
      <c r="V313" s="301"/>
      <c r="W313" s="301"/>
      <c r="X313" s="301"/>
      <c r="Y313" s="301"/>
      <c r="Z313" s="301"/>
      <c r="AA313" s="301"/>
      <c r="AB313" s="301"/>
      <c r="AC313" s="301"/>
      <c r="AD313" s="301"/>
      <c r="AE313" s="301"/>
    </row>
    <row r="314" spans="2:31" ht="14.5">
      <c r="B314" s="406">
        <f t="shared" si="8"/>
        <v>269</v>
      </c>
      <c r="C314" s="414" t="str" cm="1">
        <f t="array" aca="1" ref="C314" ca="1">IF(B314&lt;=$C$9,GetGetCDSName(B314),"")</f>
        <v/>
      </c>
      <c r="D314" s="374"/>
      <c r="E314" s="407"/>
      <c r="F314" s="326"/>
      <c r="G314" s="326"/>
      <c r="H314" s="326"/>
      <c r="I314" s="326"/>
      <c r="J314" s="326"/>
      <c r="K314" s="326"/>
      <c r="L314" s="326"/>
      <c r="M314" s="326"/>
      <c r="N314" s="408"/>
      <c r="O314" s="301"/>
      <c r="P314" s="301"/>
      <c r="Q314" s="301"/>
      <c r="R314" s="301"/>
      <c r="S314" s="301"/>
      <c r="T314" s="301"/>
      <c r="U314" s="301"/>
      <c r="V314" s="301"/>
      <c r="W314" s="301"/>
      <c r="X314" s="301"/>
      <c r="Y314" s="301"/>
      <c r="Z314" s="301"/>
      <c r="AA314" s="301"/>
      <c r="AB314" s="301"/>
      <c r="AC314" s="301"/>
      <c r="AD314" s="301"/>
      <c r="AE314" s="301"/>
    </row>
    <row r="315" spans="2:31" ht="14.5">
      <c r="B315" s="406">
        <f t="shared" si="8"/>
        <v>270</v>
      </c>
      <c r="C315" s="414" t="str" cm="1">
        <f t="array" aca="1" ref="C315" ca="1">IF(B315&lt;=$C$9,GetGetCDSName(B315),"")</f>
        <v/>
      </c>
      <c r="D315" s="374"/>
      <c r="E315" s="407"/>
      <c r="F315" s="326"/>
      <c r="G315" s="326"/>
      <c r="H315" s="326"/>
      <c r="I315" s="326"/>
      <c r="J315" s="326"/>
      <c r="K315" s="326"/>
      <c r="L315" s="326"/>
      <c r="M315" s="326"/>
      <c r="N315" s="408"/>
      <c r="O315" s="301"/>
      <c r="P315" s="301"/>
      <c r="Q315" s="301"/>
      <c r="R315" s="301"/>
      <c r="S315" s="301"/>
      <c r="T315" s="301"/>
      <c r="U315" s="301"/>
      <c r="V315" s="301"/>
      <c r="W315" s="301"/>
      <c r="X315" s="301"/>
      <c r="Y315" s="301"/>
      <c r="Z315" s="301"/>
      <c r="AA315" s="301"/>
      <c r="AB315" s="301"/>
      <c r="AC315" s="301"/>
      <c r="AD315" s="301"/>
      <c r="AE315" s="301"/>
    </row>
    <row r="316" spans="2:31" ht="14.5">
      <c r="B316" s="406">
        <f t="shared" si="8"/>
        <v>271</v>
      </c>
      <c r="C316" s="414" t="str" cm="1">
        <f t="array" aca="1" ref="C316" ca="1">IF(B316&lt;=$C$9,GetGetCDSName(B316),"")</f>
        <v/>
      </c>
      <c r="D316" s="374"/>
      <c r="E316" s="407"/>
      <c r="F316" s="326"/>
      <c r="G316" s="326"/>
      <c r="H316" s="326"/>
      <c r="I316" s="326"/>
      <c r="J316" s="326"/>
      <c r="K316" s="326"/>
      <c r="L316" s="326"/>
      <c r="M316" s="326"/>
      <c r="N316" s="408"/>
      <c r="O316" s="301"/>
      <c r="P316" s="301"/>
      <c r="Q316" s="301"/>
      <c r="R316" s="301"/>
      <c r="S316" s="301"/>
      <c r="T316" s="301"/>
      <c r="U316" s="301"/>
      <c r="V316" s="301"/>
      <c r="W316" s="301"/>
      <c r="X316" s="301"/>
      <c r="Y316" s="301"/>
      <c r="Z316" s="301"/>
      <c r="AA316" s="301"/>
      <c r="AB316" s="301"/>
      <c r="AC316" s="301"/>
      <c r="AD316" s="301"/>
      <c r="AE316" s="301"/>
    </row>
    <row r="317" spans="2:31" ht="14.5">
      <c r="B317" s="406">
        <f t="shared" si="8"/>
        <v>272</v>
      </c>
      <c r="C317" s="414" t="str" cm="1">
        <f t="array" aca="1" ref="C317" ca="1">IF(B317&lt;=$C$9,GetGetCDSName(B317),"")</f>
        <v/>
      </c>
      <c r="D317" s="374"/>
      <c r="E317" s="407"/>
      <c r="F317" s="326"/>
      <c r="G317" s="326"/>
      <c r="H317" s="326"/>
      <c r="I317" s="326"/>
      <c r="J317" s="326"/>
      <c r="K317" s="326"/>
      <c r="L317" s="326"/>
      <c r="M317" s="326"/>
      <c r="N317" s="408"/>
      <c r="O317" s="301"/>
      <c r="P317" s="301"/>
      <c r="Q317" s="301"/>
      <c r="R317" s="301"/>
      <c r="S317" s="301"/>
      <c r="T317" s="301"/>
      <c r="U317" s="301"/>
      <c r="V317" s="301"/>
      <c r="W317" s="301"/>
      <c r="X317" s="301"/>
      <c r="Y317" s="301"/>
      <c r="Z317" s="301"/>
      <c r="AA317" s="301"/>
      <c r="AB317" s="301"/>
      <c r="AC317" s="301"/>
      <c r="AD317" s="301"/>
      <c r="AE317" s="301"/>
    </row>
    <row r="318" spans="2:31" ht="14.5">
      <c r="B318" s="406">
        <f t="shared" si="8"/>
        <v>273</v>
      </c>
      <c r="C318" s="414" t="str" cm="1">
        <f t="array" aca="1" ref="C318" ca="1">IF(B318&lt;=$C$9,GetGetCDSName(B318),"")</f>
        <v/>
      </c>
      <c r="D318" s="374"/>
      <c r="E318" s="407"/>
      <c r="F318" s="326"/>
      <c r="G318" s="326"/>
      <c r="H318" s="326"/>
      <c r="I318" s="326"/>
      <c r="J318" s="326"/>
      <c r="K318" s="326"/>
      <c r="L318" s="326"/>
      <c r="M318" s="326"/>
      <c r="N318" s="408"/>
      <c r="O318" s="301"/>
      <c r="P318" s="301"/>
      <c r="Q318" s="301"/>
      <c r="R318" s="301"/>
      <c r="S318" s="301"/>
      <c r="T318" s="301"/>
      <c r="U318" s="301"/>
      <c r="V318" s="301"/>
      <c r="W318" s="301"/>
      <c r="X318" s="301"/>
      <c r="Y318" s="301"/>
      <c r="Z318" s="301"/>
      <c r="AA318" s="301"/>
      <c r="AB318" s="301"/>
      <c r="AC318" s="301"/>
      <c r="AD318" s="301"/>
      <c r="AE318" s="301"/>
    </row>
    <row r="319" spans="2:31" ht="14.5">
      <c r="B319" s="406">
        <f t="shared" si="8"/>
        <v>274</v>
      </c>
      <c r="C319" s="414" t="str" cm="1">
        <f t="array" aca="1" ref="C319" ca="1">IF(B319&lt;=$C$9,GetGetCDSName(B319),"")</f>
        <v/>
      </c>
      <c r="D319" s="374"/>
      <c r="E319" s="407"/>
      <c r="F319" s="326"/>
      <c r="G319" s="326"/>
      <c r="H319" s="326"/>
      <c r="I319" s="326"/>
      <c r="J319" s="326"/>
      <c r="K319" s="326"/>
      <c r="L319" s="326"/>
      <c r="M319" s="326"/>
      <c r="N319" s="408"/>
      <c r="O319" s="301"/>
      <c r="P319" s="301"/>
      <c r="Q319" s="301"/>
      <c r="R319" s="301"/>
      <c r="S319" s="301"/>
      <c r="T319" s="301"/>
      <c r="U319" s="301"/>
      <c r="V319" s="301"/>
      <c r="W319" s="301"/>
      <c r="X319" s="301"/>
      <c r="Y319" s="301"/>
      <c r="Z319" s="301"/>
      <c r="AA319" s="301"/>
      <c r="AB319" s="301"/>
      <c r="AC319" s="301"/>
      <c r="AD319" s="301"/>
      <c r="AE319" s="301"/>
    </row>
    <row r="320" spans="2:31" ht="14.5">
      <c r="B320" s="406">
        <f t="shared" si="8"/>
        <v>275</v>
      </c>
      <c r="C320" s="414" t="str" cm="1">
        <f t="array" aca="1" ref="C320" ca="1">IF(B320&lt;=$C$9,GetGetCDSName(B320),"")</f>
        <v/>
      </c>
      <c r="D320" s="374"/>
      <c r="E320" s="407"/>
      <c r="F320" s="326"/>
      <c r="G320" s="326"/>
      <c r="H320" s="326"/>
      <c r="I320" s="326"/>
      <c r="J320" s="326"/>
      <c r="K320" s="326"/>
      <c r="L320" s="326"/>
      <c r="M320" s="326"/>
      <c r="N320" s="408"/>
      <c r="O320" s="301"/>
      <c r="P320" s="301"/>
      <c r="Q320" s="301"/>
      <c r="R320" s="301"/>
      <c r="S320" s="301"/>
      <c r="T320" s="301"/>
      <c r="U320" s="301"/>
      <c r="V320" s="301"/>
      <c r="W320" s="301"/>
      <c r="X320" s="301"/>
      <c r="Y320" s="301"/>
      <c r="Z320" s="301"/>
      <c r="AA320" s="301"/>
      <c r="AB320" s="301"/>
      <c r="AC320" s="301"/>
      <c r="AD320" s="301"/>
      <c r="AE320" s="301"/>
    </row>
    <row r="321" spans="2:31" ht="14.5">
      <c r="B321" s="406">
        <f t="shared" si="8"/>
        <v>276</v>
      </c>
      <c r="C321" s="414" t="str" cm="1">
        <f t="array" aca="1" ref="C321" ca="1">IF(B321&lt;=$C$9,GetGetCDSName(B321),"")</f>
        <v/>
      </c>
      <c r="D321" s="374"/>
      <c r="E321" s="407"/>
      <c r="F321" s="326"/>
      <c r="G321" s="326"/>
      <c r="H321" s="326"/>
      <c r="I321" s="326"/>
      <c r="J321" s="326"/>
      <c r="K321" s="326"/>
      <c r="L321" s="326"/>
      <c r="M321" s="326"/>
      <c r="N321" s="408"/>
      <c r="O321" s="301"/>
      <c r="P321" s="301"/>
      <c r="Q321" s="301"/>
      <c r="R321" s="301"/>
      <c r="S321" s="301"/>
      <c r="T321" s="301"/>
      <c r="U321" s="301"/>
      <c r="V321" s="301"/>
      <c r="W321" s="301"/>
      <c r="X321" s="301"/>
      <c r="Y321" s="301"/>
      <c r="Z321" s="301"/>
      <c r="AA321" s="301"/>
      <c r="AB321" s="301"/>
      <c r="AC321" s="301"/>
      <c r="AD321" s="301"/>
      <c r="AE321" s="301"/>
    </row>
    <row r="322" spans="2:31" ht="14.5">
      <c r="B322" s="406">
        <f t="shared" si="8"/>
        <v>277</v>
      </c>
      <c r="C322" s="414" t="str" cm="1">
        <f t="array" aca="1" ref="C322" ca="1">IF(B322&lt;=$C$9,GetGetCDSName(B322),"")</f>
        <v/>
      </c>
      <c r="D322" s="374"/>
      <c r="E322" s="407"/>
      <c r="F322" s="326"/>
      <c r="G322" s="326"/>
      <c r="H322" s="326"/>
      <c r="I322" s="326"/>
      <c r="J322" s="326"/>
      <c r="K322" s="326"/>
      <c r="L322" s="326"/>
      <c r="M322" s="326"/>
      <c r="N322" s="408"/>
      <c r="O322" s="301"/>
      <c r="P322" s="301"/>
      <c r="Q322" s="301"/>
      <c r="R322" s="301"/>
      <c r="S322" s="301"/>
      <c r="T322" s="301"/>
      <c r="U322" s="301"/>
      <c r="V322" s="301"/>
      <c r="W322" s="301"/>
      <c r="X322" s="301"/>
      <c r="Y322" s="301"/>
      <c r="Z322" s="301"/>
      <c r="AA322" s="301"/>
      <c r="AB322" s="301"/>
      <c r="AC322" s="301"/>
      <c r="AD322" s="301"/>
      <c r="AE322" s="301"/>
    </row>
    <row r="323" spans="2:31" ht="14.5">
      <c r="B323" s="406">
        <f t="shared" si="8"/>
        <v>278</v>
      </c>
      <c r="C323" s="414" t="str" cm="1">
        <f t="array" aca="1" ref="C323" ca="1">IF(B323&lt;=$C$9,GetGetCDSName(B323),"")</f>
        <v/>
      </c>
      <c r="D323" s="374"/>
      <c r="E323" s="407"/>
      <c r="F323" s="326"/>
      <c r="G323" s="326"/>
      <c r="H323" s="326"/>
      <c r="I323" s="326"/>
      <c r="J323" s="326"/>
      <c r="K323" s="326"/>
      <c r="L323" s="326"/>
      <c r="M323" s="326"/>
      <c r="N323" s="408"/>
      <c r="O323" s="301"/>
      <c r="P323" s="301"/>
      <c r="Q323" s="301"/>
      <c r="R323" s="301"/>
      <c r="S323" s="301"/>
      <c r="T323" s="301"/>
      <c r="U323" s="301"/>
      <c r="V323" s="301"/>
      <c r="W323" s="301"/>
      <c r="X323" s="301"/>
      <c r="Y323" s="301"/>
      <c r="Z323" s="301"/>
      <c r="AA323" s="301"/>
      <c r="AB323" s="301"/>
      <c r="AC323" s="301"/>
      <c r="AD323" s="301"/>
      <c r="AE323" s="301"/>
    </row>
    <row r="324" spans="2:31" ht="14.5">
      <c r="B324" s="406">
        <f t="shared" si="8"/>
        <v>279</v>
      </c>
      <c r="C324" s="414" t="str" cm="1">
        <f t="array" aca="1" ref="C324" ca="1">IF(B324&lt;=$C$9,GetGetCDSName(B324),"")</f>
        <v/>
      </c>
      <c r="D324" s="374"/>
      <c r="E324" s="407"/>
      <c r="F324" s="326"/>
      <c r="G324" s="326"/>
      <c r="H324" s="326"/>
      <c r="I324" s="326"/>
      <c r="J324" s="326"/>
      <c r="K324" s="326"/>
      <c r="L324" s="326"/>
      <c r="M324" s="326"/>
      <c r="N324" s="408"/>
      <c r="O324" s="301"/>
      <c r="P324" s="301"/>
      <c r="Q324" s="301"/>
      <c r="R324" s="301"/>
      <c r="S324" s="301"/>
      <c r="T324" s="301"/>
      <c r="U324" s="301"/>
      <c r="V324" s="301"/>
      <c r="W324" s="301"/>
      <c r="X324" s="301"/>
      <c r="Y324" s="301"/>
      <c r="Z324" s="301"/>
      <c r="AA324" s="301"/>
      <c r="AB324" s="301"/>
      <c r="AC324" s="301"/>
      <c r="AD324" s="301"/>
      <c r="AE324" s="301"/>
    </row>
    <row r="325" spans="2:31" ht="14.5">
      <c r="B325" s="406">
        <f t="shared" si="8"/>
        <v>280</v>
      </c>
      <c r="C325" s="414" t="str" cm="1">
        <f t="array" aca="1" ref="C325" ca="1">IF(B325&lt;=$C$9,GetGetCDSName(B325),"")</f>
        <v/>
      </c>
      <c r="D325" s="374"/>
      <c r="E325" s="407"/>
      <c r="F325" s="326"/>
      <c r="G325" s="326"/>
      <c r="H325" s="326"/>
      <c r="I325" s="326"/>
      <c r="J325" s="326"/>
      <c r="K325" s="326"/>
      <c r="L325" s="326"/>
      <c r="M325" s="326"/>
      <c r="N325" s="408"/>
      <c r="O325" s="301"/>
      <c r="P325" s="301"/>
      <c r="Q325" s="301"/>
      <c r="R325" s="301"/>
      <c r="S325" s="301"/>
      <c r="T325" s="301"/>
      <c r="U325" s="301"/>
      <c r="V325" s="301"/>
      <c r="W325" s="301"/>
      <c r="X325" s="301"/>
      <c r="Y325" s="301"/>
      <c r="Z325" s="301"/>
      <c r="AA325" s="301"/>
      <c r="AB325" s="301"/>
      <c r="AC325" s="301"/>
      <c r="AD325" s="301"/>
      <c r="AE325" s="301"/>
    </row>
    <row r="326" spans="2:31" ht="14.5">
      <c r="B326" s="406">
        <f t="shared" si="8"/>
        <v>281</v>
      </c>
      <c r="C326" s="414" t="str" cm="1">
        <f t="array" aca="1" ref="C326" ca="1">IF(B326&lt;=$C$9,GetGetCDSName(B326),"")</f>
        <v/>
      </c>
      <c r="D326" s="374"/>
      <c r="E326" s="407"/>
      <c r="F326" s="326"/>
      <c r="G326" s="326"/>
      <c r="H326" s="326"/>
      <c r="I326" s="326"/>
      <c r="J326" s="326"/>
      <c r="K326" s="326"/>
      <c r="L326" s="326"/>
      <c r="M326" s="326"/>
      <c r="N326" s="408"/>
      <c r="O326" s="301"/>
      <c r="P326" s="301"/>
      <c r="Q326" s="301"/>
      <c r="R326" s="301"/>
      <c r="S326" s="301"/>
      <c r="T326" s="301"/>
      <c r="U326" s="301"/>
      <c r="V326" s="301"/>
      <c r="W326" s="301"/>
      <c r="X326" s="301"/>
      <c r="Y326" s="301"/>
      <c r="Z326" s="301"/>
      <c r="AA326" s="301"/>
      <c r="AB326" s="301"/>
      <c r="AC326" s="301"/>
      <c r="AD326" s="301"/>
      <c r="AE326" s="301"/>
    </row>
    <row r="327" spans="2:31" ht="14.5">
      <c r="B327" s="406">
        <f t="shared" si="8"/>
        <v>282</v>
      </c>
      <c r="C327" s="414" t="str" cm="1">
        <f t="array" aca="1" ref="C327" ca="1">IF(B327&lt;=$C$9,GetGetCDSName(B327),"")</f>
        <v/>
      </c>
      <c r="D327" s="374"/>
      <c r="E327" s="407"/>
      <c r="F327" s="326"/>
      <c r="G327" s="326"/>
      <c r="H327" s="326"/>
      <c r="I327" s="326"/>
      <c r="J327" s="326"/>
      <c r="K327" s="326"/>
      <c r="L327" s="326"/>
      <c r="M327" s="326"/>
      <c r="N327" s="408"/>
      <c r="O327" s="301"/>
      <c r="P327" s="301"/>
      <c r="Q327" s="301"/>
      <c r="R327" s="301"/>
      <c r="S327" s="301"/>
      <c r="T327" s="301"/>
      <c r="U327" s="301"/>
      <c r="V327" s="301"/>
      <c r="W327" s="301"/>
      <c r="X327" s="301"/>
      <c r="Y327" s="301"/>
      <c r="Z327" s="301"/>
      <c r="AA327" s="301"/>
      <c r="AB327" s="301"/>
      <c r="AC327" s="301"/>
      <c r="AD327" s="301"/>
      <c r="AE327" s="301"/>
    </row>
    <row r="328" spans="2:31" ht="14.5">
      <c r="B328" s="406">
        <f t="shared" si="8"/>
        <v>283</v>
      </c>
      <c r="C328" s="414" t="str" cm="1">
        <f t="array" aca="1" ref="C328" ca="1">IF(B328&lt;=$C$9,GetGetCDSName(B328),"")</f>
        <v/>
      </c>
      <c r="D328" s="374"/>
      <c r="E328" s="407"/>
      <c r="F328" s="326"/>
      <c r="G328" s="326"/>
      <c r="H328" s="326"/>
      <c r="I328" s="326"/>
      <c r="J328" s="326"/>
      <c r="K328" s="326"/>
      <c r="L328" s="326"/>
      <c r="M328" s="326"/>
      <c r="N328" s="408"/>
      <c r="O328" s="301"/>
      <c r="P328" s="301"/>
      <c r="Q328" s="301"/>
      <c r="R328" s="301"/>
      <c r="S328" s="301"/>
      <c r="T328" s="301"/>
      <c r="U328" s="301"/>
      <c r="V328" s="301"/>
      <c r="W328" s="301"/>
      <c r="X328" s="301"/>
      <c r="Y328" s="301"/>
      <c r="Z328" s="301"/>
      <c r="AA328" s="301"/>
      <c r="AB328" s="301"/>
      <c r="AC328" s="301"/>
      <c r="AD328" s="301"/>
      <c r="AE328" s="301"/>
    </row>
    <row r="329" spans="2:31" ht="14.5">
      <c r="B329" s="406">
        <f t="shared" si="8"/>
        <v>284</v>
      </c>
      <c r="C329" s="414" t="str" cm="1">
        <f t="array" aca="1" ref="C329" ca="1">IF(B329&lt;=$C$9,GetGetCDSName(B329),"")</f>
        <v/>
      </c>
      <c r="D329" s="374"/>
      <c r="E329" s="407"/>
      <c r="F329" s="326"/>
      <c r="G329" s="326"/>
      <c r="H329" s="326"/>
      <c r="I329" s="326"/>
      <c r="J329" s="326"/>
      <c r="K329" s="326"/>
      <c r="L329" s="326"/>
      <c r="M329" s="326"/>
      <c r="N329" s="408"/>
      <c r="O329" s="301"/>
      <c r="P329" s="301"/>
      <c r="Q329" s="301"/>
      <c r="R329" s="301"/>
      <c r="S329" s="301"/>
      <c r="T329" s="301"/>
      <c r="U329" s="301"/>
      <c r="V329" s="301"/>
      <c r="W329" s="301"/>
      <c r="X329" s="301"/>
      <c r="Y329" s="301"/>
      <c r="Z329" s="301"/>
      <c r="AA329" s="301"/>
      <c r="AB329" s="301"/>
      <c r="AC329" s="301"/>
      <c r="AD329" s="301"/>
      <c r="AE329" s="301"/>
    </row>
    <row r="330" spans="2:31" ht="14.5">
      <c r="B330" s="406">
        <f t="shared" si="8"/>
        <v>285</v>
      </c>
      <c r="C330" s="414" t="str" cm="1">
        <f t="array" aca="1" ref="C330" ca="1">IF(B330&lt;=$C$9,GetGetCDSName(B330),"")</f>
        <v/>
      </c>
      <c r="D330" s="374"/>
      <c r="E330" s="407"/>
      <c r="F330" s="326"/>
      <c r="G330" s="326"/>
      <c r="H330" s="326"/>
      <c r="I330" s="326"/>
      <c r="J330" s="326"/>
      <c r="K330" s="326"/>
      <c r="L330" s="326"/>
      <c r="M330" s="326"/>
      <c r="N330" s="408"/>
      <c r="O330" s="301"/>
      <c r="P330" s="301"/>
      <c r="Q330" s="301"/>
      <c r="R330" s="301"/>
      <c r="S330" s="301"/>
      <c r="T330" s="301"/>
      <c r="U330" s="301"/>
      <c r="V330" s="301"/>
      <c r="W330" s="301"/>
      <c r="X330" s="301"/>
      <c r="Y330" s="301"/>
      <c r="Z330" s="301"/>
      <c r="AA330" s="301"/>
      <c r="AB330" s="301"/>
      <c r="AC330" s="301"/>
      <c r="AD330" s="301"/>
      <c r="AE330" s="301"/>
    </row>
    <row r="331" spans="2:31" ht="14.5">
      <c r="B331" s="406">
        <f t="shared" si="8"/>
        <v>286</v>
      </c>
      <c r="C331" s="414" t="str" cm="1">
        <f t="array" aca="1" ref="C331" ca="1">IF(B331&lt;=$C$9,GetGetCDSName(B331),"")</f>
        <v/>
      </c>
      <c r="D331" s="374"/>
      <c r="E331" s="407"/>
      <c r="F331" s="326"/>
      <c r="G331" s="326"/>
      <c r="H331" s="326"/>
      <c r="I331" s="326"/>
      <c r="J331" s="326"/>
      <c r="K331" s="326"/>
      <c r="L331" s="326"/>
      <c r="M331" s="326"/>
      <c r="N331" s="408"/>
      <c r="O331" s="301"/>
      <c r="P331" s="301"/>
      <c r="Q331" s="301"/>
      <c r="R331" s="301"/>
      <c r="S331" s="301"/>
      <c r="T331" s="301"/>
      <c r="U331" s="301"/>
      <c r="V331" s="301"/>
      <c r="W331" s="301"/>
      <c r="X331" s="301"/>
      <c r="Y331" s="301"/>
      <c r="Z331" s="301"/>
      <c r="AA331" s="301"/>
      <c r="AB331" s="301"/>
      <c r="AC331" s="301"/>
      <c r="AD331" s="301"/>
      <c r="AE331" s="301"/>
    </row>
    <row r="332" spans="2:31" ht="14.5">
      <c r="B332" s="406">
        <f t="shared" si="8"/>
        <v>287</v>
      </c>
      <c r="C332" s="414" t="str" cm="1">
        <f t="array" aca="1" ref="C332" ca="1">IF(B332&lt;=$C$9,GetGetCDSName(B332),"")</f>
        <v/>
      </c>
      <c r="D332" s="374"/>
      <c r="E332" s="407"/>
      <c r="F332" s="326"/>
      <c r="G332" s="326"/>
      <c r="H332" s="326"/>
      <c r="I332" s="326"/>
      <c r="J332" s="326"/>
      <c r="K332" s="326"/>
      <c r="L332" s="326"/>
      <c r="M332" s="326"/>
      <c r="N332" s="408"/>
      <c r="O332" s="301"/>
      <c r="P332" s="301"/>
      <c r="Q332" s="301"/>
      <c r="R332" s="301"/>
      <c r="S332" s="301"/>
      <c r="T332" s="301"/>
      <c r="U332" s="301"/>
      <c r="V332" s="301"/>
      <c r="W332" s="301"/>
      <c r="X332" s="301"/>
      <c r="Y332" s="301"/>
      <c r="Z332" s="301"/>
      <c r="AA332" s="301"/>
      <c r="AB332" s="301"/>
      <c r="AC332" s="301"/>
      <c r="AD332" s="301"/>
      <c r="AE332" s="301"/>
    </row>
    <row r="333" spans="2:31" ht="14.5">
      <c r="B333" s="406">
        <f t="shared" si="8"/>
        <v>288</v>
      </c>
      <c r="C333" s="414" t="str" cm="1">
        <f t="array" aca="1" ref="C333" ca="1">IF(B333&lt;=$C$9,GetGetCDSName(B333),"")</f>
        <v/>
      </c>
      <c r="D333" s="374"/>
      <c r="E333" s="407"/>
      <c r="F333" s="326"/>
      <c r="G333" s="326"/>
      <c r="H333" s="326"/>
      <c r="I333" s="326"/>
      <c r="J333" s="326"/>
      <c r="K333" s="326"/>
      <c r="L333" s="326"/>
      <c r="M333" s="326"/>
      <c r="N333" s="408"/>
      <c r="O333" s="301"/>
      <c r="P333" s="301"/>
      <c r="Q333" s="301"/>
      <c r="R333" s="301"/>
      <c r="S333" s="301"/>
      <c r="T333" s="301"/>
      <c r="U333" s="301"/>
      <c r="V333" s="301"/>
      <c r="W333" s="301"/>
      <c r="X333" s="301"/>
      <c r="Y333" s="301"/>
      <c r="Z333" s="301"/>
      <c r="AA333" s="301"/>
      <c r="AB333" s="301"/>
      <c r="AC333" s="301"/>
      <c r="AD333" s="301"/>
      <c r="AE333" s="301"/>
    </row>
    <row r="334" spans="2:31" ht="14.5">
      <c r="B334" s="406">
        <f t="shared" si="8"/>
        <v>289</v>
      </c>
      <c r="C334" s="414" t="str" cm="1">
        <f t="array" aca="1" ref="C334" ca="1">IF(B334&lt;=$C$9,GetGetCDSName(B334),"")</f>
        <v/>
      </c>
      <c r="D334" s="374"/>
      <c r="E334" s="407"/>
      <c r="F334" s="326"/>
      <c r="G334" s="326"/>
      <c r="H334" s="326"/>
      <c r="I334" s="326"/>
      <c r="J334" s="326"/>
      <c r="K334" s="326"/>
      <c r="L334" s="326"/>
      <c r="M334" s="326"/>
      <c r="N334" s="408"/>
      <c r="O334" s="301"/>
      <c r="P334" s="301"/>
      <c r="Q334" s="301"/>
      <c r="R334" s="301"/>
      <c r="S334" s="301"/>
      <c r="T334" s="301"/>
      <c r="U334" s="301"/>
      <c r="V334" s="301"/>
      <c r="W334" s="301"/>
      <c r="X334" s="301"/>
      <c r="Y334" s="301"/>
      <c r="Z334" s="301"/>
      <c r="AA334" s="301"/>
      <c r="AB334" s="301"/>
      <c r="AC334" s="301"/>
      <c r="AD334" s="301"/>
      <c r="AE334" s="301"/>
    </row>
    <row r="335" spans="2:31" ht="14.5">
      <c r="B335" s="406">
        <f t="shared" si="8"/>
        <v>290</v>
      </c>
      <c r="C335" s="414" t="str" cm="1">
        <f t="array" aca="1" ref="C335" ca="1">IF(B335&lt;=$C$9,GetGetCDSName(B335),"")</f>
        <v/>
      </c>
      <c r="D335" s="374"/>
      <c r="E335" s="407"/>
      <c r="F335" s="326"/>
      <c r="G335" s="326"/>
      <c r="H335" s="326"/>
      <c r="I335" s="326"/>
      <c r="J335" s="326"/>
      <c r="K335" s="326"/>
      <c r="L335" s="326"/>
      <c r="M335" s="326"/>
      <c r="N335" s="408"/>
      <c r="O335" s="301"/>
      <c r="P335" s="301"/>
      <c r="Q335" s="301"/>
      <c r="R335" s="301"/>
      <c r="S335" s="301"/>
      <c r="T335" s="301"/>
      <c r="U335" s="301"/>
      <c r="V335" s="301"/>
      <c r="W335" s="301"/>
      <c r="X335" s="301"/>
      <c r="Y335" s="301"/>
      <c r="Z335" s="301"/>
      <c r="AA335" s="301"/>
      <c r="AB335" s="301"/>
      <c r="AC335" s="301"/>
      <c r="AD335" s="301"/>
      <c r="AE335" s="301"/>
    </row>
    <row r="336" spans="2:31" ht="14.5">
      <c r="B336" s="406">
        <f t="shared" si="8"/>
        <v>291</v>
      </c>
      <c r="C336" s="414" t="str" cm="1">
        <f t="array" aca="1" ref="C336" ca="1">IF(B336&lt;=$C$9,GetGetCDSName(B336),"")</f>
        <v/>
      </c>
      <c r="D336" s="374"/>
      <c r="E336" s="407"/>
      <c r="F336" s="326"/>
      <c r="G336" s="326"/>
      <c r="H336" s="326"/>
      <c r="I336" s="326"/>
      <c r="J336" s="326"/>
      <c r="K336" s="326"/>
      <c r="L336" s="326"/>
      <c r="M336" s="326"/>
      <c r="N336" s="408"/>
      <c r="O336" s="301"/>
      <c r="P336" s="301"/>
      <c r="Q336" s="301"/>
      <c r="R336" s="301"/>
      <c r="S336" s="301"/>
      <c r="T336" s="301"/>
      <c r="U336" s="301"/>
      <c r="V336" s="301"/>
      <c r="W336" s="301"/>
      <c r="X336" s="301"/>
      <c r="Y336" s="301"/>
      <c r="Z336" s="301"/>
      <c r="AA336" s="301"/>
      <c r="AB336" s="301"/>
      <c r="AC336" s="301"/>
      <c r="AD336" s="301"/>
      <c r="AE336" s="301"/>
    </row>
    <row r="337" spans="2:31" ht="14.5">
      <c r="B337" s="406">
        <f t="shared" si="8"/>
        <v>292</v>
      </c>
      <c r="C337" s="414" t="str" cm="1">
        <f t="array" aca="1" ref="C337" ca="1">IF(B337&lt;=$C$9,GetGetCDSName(B337),"")</f>
        <v/>
      </c>
      <c r="D337" s="374"/>
      <c r="E337" s="407"/>
      <c r="F337" s="326"/>
      <c r="G337" s="326"/>
      <c r="H337" s="326"/>
      <c r="I337" s="326"/>
      <c r="J337" s="326"/>
      <c r="K337" s="326"/>
      <c r="L337" s="326"/>
      <c r="M337" s="326"/>
      <c r="N337" s="408"/>
      <c r="O337" s="301"/>
      <c r="P337" s="301"/>
      <c r="Q337" s="301"/>
      <c r="R337" s="301"/>
      <c r="S337" s="301"/>
      <c r="T337" s="301"/>
      <c r="U337" s="301"/>
      <c r="V337" s="301"/>
      <c r="W337" s="301"/>
      <c r="X337" s="301"/>
      <c r="Y337" s="301"/>
      <c r="Z337" s="301"/>
      <c r="AA337" s="301"/>
      <c r="AB337" s="301"/>
      <c r="AC337" s="301"/>
      <c r="AD337" s="301"/>
      <c r="AE337" s="301"/>
    </row>
    <row r="338" spans="2:31" ht="14.5">
      <c r="B338" s="406">
        <f t="shared" si="8"/>
        <v>293</v>
      </c>
      <c r="C338" s="414" t="str" cm="1">
        <f t="array" aca="1" ref="C338" ca="1">IF(B338&lt;=$C$9,GetGetCDSName(B338),"")</f>
        <v/>
      </c>
      <c r="D338" s="374"/>
      <c r="E338" s="407"/>
      <c r="F338" s="326"/>
      <c r="G338" s="326"/>
      <c r="H338" s="326"/>
      <c r="I338" s="326"/>
      <c r="J338" s="326"/>
      <c r="K338" s="326"/>
      <c r="L338" s="326"/>
      <c r="M338" s="326"/>
      <c r="N338" s="408"/>
      <c r="O338" s="301"/>
      <c r="P338" s="301"/>
      <c r="Q338" s="301"/>
      <c r="R338" s="301"/>
      <c r="S338" s="301"/>
      <c r="T338" s="301"/>
      <c r="U338" s="301"/>
      <c r="V338" s="301"/>
      <c r="W338" s="301"/>
      <c r="X338" s="301"/>
      <c r="Y338" s="301"/>
      <c r="Z338" s="301"/>
      <c r="AA338" s="301"/>
      <c r="AB338" s="301"/>
      <c r="AC338" s="301"/>
      <c r="AD338" s="301"/>
      <c r="AE338" s="301"/>
    </row>
    <row r="339" spans="2:31" ht="14.5">
      <c r="B339" s="406">
        <f t="shared" si="8"/>
        <v>294</v>
      </c>
      <c r="C339" s="414" t="str" cm="1">
        <f t="array" aca="1" ref="C339" ca="1">IF(B339&lt;=$C$9,GetGetCDSName(B339),"")</f>
        <v/>
      </c>
      <c r="D339" s="374"/>
      <c r="E339" s="407"/>
      <c r="F339" s="326"/>
      <c r="G339" s="326"/>
      <c r="H339" s="326"/>
      <c r="I339" s="326"/>
      <c r="J339" s="326"/>
      <c r="K339" s="326"/>
      <c r="L339" s="326"/>
      <c r="M339" s="326"/>
      <c r="N339" s="408"/>
      <c r="O339" s="301"/>
      <c r="P339" s="301"/>
      <c r="Q339" s="301"/>
      <c r="R339" s="301"/>
      <c r="S339" s="301"/>
      <c r="T339" s="301"/>
      <c r="U339" s="301"/>
      <c r="V339" s="301"/>
      <c r="W339" s="301"/>
      <c r="X339" s="301"/>
      <c r="Y339" s="301"/>
      <c r="Z339" s="301"/>
      <c r="AA339" s="301"/>
      <c r="AB339" s="301"/>
      <c r="AC339" s="301"/>
      <c r="AD339" s="301"/>
      <c r="AE339" s="301"/>
    </row>
    <row r="340" spans="2:31" ht="14.5">
      <c r="B340" s="406">
        <f t="shared" si="8"/>
        <v>295</v>
      </c>
      <c r="C340" s="414" t="str" cm="1">
        <f t="array" aca="1" ref="C340" ca="1">IF(B340&lt;=$C$9,GetGetCDSName(B340),"")</f>
        <v/>
      </c>
      <c r="D340" s="374"/>
      <c r="E340" s="407"/>
      <c r="F340" s="326"/>
      <c r="G340" s="326"/>
      <c r="H340" s="326"/>
      <c r="I340" s="326"/>
      <c r="J340" s="326"/>
      <c r="K340" s="326"/>
      <c r="L340" s="326"/>
      <c r="M340" s="326"/>
      <c r="N340" s="408"/>
      <c r="O340" s="301"/>
      <c r="P340" s="301"/>
      <c r="Q340" s="301"/>
      <c r="R340" s="301"/>
      <c r="S340" s="301"/>
      <c r="T340" s="301"/>
      <c r="U340" s="301"/>
      <c r="V340" s="301"/>
      <c r="W340" s="301"/>
      <c r="X340" s="301"/>
      <c r="Y340" s="301"/>
      <c r="Z340" s="301"/>
      <c r="AA340" s="301"/>
      <c r="AB340" s="301"/>
      <c r="AC340" s="301"/>
      <c r="AD340" s="301"/>
      <c r="AE340" s="301"/>
    </row>
    <row r="341" spans="2:31" ht="14.5">
      <c r="B341" s="406">
        <f t="shared" si="8"/>
        <v>296</v>
      </c>
      <c r="C341" s="414" t="str" cm="1">
        <f t="array" aca="1" ref="C341" ca="1">IF(B341&lt;=$C$9,GetGetCDSName(B341),"")</f>
        <v/>
      </c>
      <c r="D341" s="374"/>
      <c r="E341" s="407"/>
      <c r="F341" s="326"/>
      <c r="G341" s="326"/>
      <c r="H341" s="326"/>
      <c r="I341" s="326"/>
      <c r="J341" s="326"/>
      <c r="K341" s="326"/>
      <c r="L341" s="326"/>
      <c r="M341" s="326"/>
      <c r="N341" s="408"/>
      <c r="O341" s="301"/>
      <c r="P341" s="301"/>
      <c r="Q341" s="301"/>
      <c r="R341" s="301"/>
      <c r="S341" s="301"/>
      <c r="T341" s="301"/>
      <c r="U341" s="301"/>
      <c r="V341" s="301"/>
      <c r="W341" s="301"/>
      <c r="X341" s="301"/>
      <c r="Y341" s="301"/>
      <c r="Z341" s="301"/>
      <c r="AA341" s="301"/>
      <c r="AB341" s="301"/>
      <c r="AC341" s="301"/>
      <c r="AD341" s="301"/>
      <c r="AE341" s="301"/>
    </row>
    <row r="342" spans="2:31" ht="14.5">
      <c r="B342" s="406">
        <f t="shared" si="8"/>
        <v>297</v>
      </c>
      <c r="C342" s="414" t="str" cm="1">
        <f t="array" aca="1" ref="C342" ca="1">IF(B342&lt;=$C$9,GetGetCDSName(B342),"")</f>
        <v/>
      </c>
      <c r="D342" s="374"/>
      <c r="E342" s="407"/>
      <c r="F342" s="326"/>
      <c r="G342" s="326"/>
      <c r="H342" s="326"/>
      <c r="I342" s="326"/>
      <c r="J342" s="326"/>
      <c r="K342" s="326"/>
      <c r="L342" s="326"/>
      <c r="M342" s="326"/>
      <c r="N342" s="408"/>
      <c r="O342" s="301"/>
      <c r="P342" s="301"/>
      <c r="Q342" s="301"/>
      <c r="R342" s="301"/>
      <c r="S342" s="301"/>
      <c r="T342" s="301"/>
      <c r="U342" s="301"/>
      <c r="V342" s="301"/>
      <c r="W342" s="301"/>
      <c r="X342" s="301"/>
      <c r="Y342" s="301"/>
      <c r="Z342" s="301"/>
      <c r="AA342" s="301"/>
      <c r="AB342" s="301"/>
      <c r="AC342" s="301"/>
      <c r="AD342" s="301"/>
      <c r="AE342" s="301"/>
    </row>
    <row r="343" spans="2:31" ht="14.5">
      <c r="B343" s="406">
        <f t="shared" si="8"/>
        <v>298</v>
      </c>
      <c r="C343" s="414" t="str" cm="1">
        <f t="array" aca="1" ref="C343" ca="1">IF(B343&lt;=$C$9,GetGetCDSName(B343),"")</f>
        <v/>
      </c>
      <c r="D343" s="374"/>
      <c r="E343" s="407"/>
      <c r="F343" s="326"/>
      <c r="G343" s="326"/>
      <c r="H343" s="326"/>
      <c r="I343" s="326"/>
      <c r="J343" s="326"/>
      <c r="K343" s="326"/>
      <c r="L343" s="326"/>
      <c r="M343" s="326"/>
      <c r="N343" s="408"/>
      <c r="O343" s="301"/>
      <c r="P343" s="301"/>
      <c r="Q343" s="301"/>
      <c r="R343" s="301"/>
      <c r="S343" s="301"/>
      <c r="T343" s="301"/>
      <c r="U343" s="301"/>
      <c r="V343" s="301"/>
      <c r="W343" s="301"/>
      <c r="X343" s="301"/>
      <c r="Y343" s="301"/>
      <c r="Z343" s="301"/>
      <c r="AA343" s="301"/>
      <c r="AB343" s="301"/>
      <c r="AC343" s="301"/>
      <c r="AD343" s="301"/>
      <c r="AE343" s="301"/>
    </row>
    <row r="344" spans="2:31" ht="14.5">
      <c r="B344" s="406">
        <f t="shared" si="8"/>
        <v>299</v>
      </c>
      <c r="C344" s="414" t="str" cm="1">
        <f t="array" aca="1" ref="C344" ca="1">IF(B344&lt;=$C$9,GetGetCDSName(B344),"")</f>
        <v/>
      </c>
      <c r="D344" s="374"/>
      <c r="E344" s="407"/>
      <c r="F344" s="326"/>
      <c r="G344" s="326"/>
      <c r="H344" s="326"/>
      <c r="I344" s="326"/>
      <c r="J344" s="326"/>
      <c r="K344" s="326"/>
      <c r="L344" s="326"/>
      <c r="M344" s="326"/>
      <c r="N344" s="408"/>
      <c r="O344" s="301"/>
      <c r="P344" s="301"/>
      <c r="Q344" s="301"/>
      <c r="R344" s="301"/>
      <c r="S344" s="301"/>
      <c r="T344" s="301"/>
      <c r="U344" s="301"/>
      <c r="V344" s="301"/>
      <c r="W344" s="301"/>
      <c r="X344" s="301"/>
      <c r="Y344" s="301"/>
      <c r="Z344" s="301"/>
      <c r="AA344" s="301"/>
      <c r="AB344" s="301"/>
      <c r="AC344" s="301"/>
      <c r="AD344" s="301"/>
      <c r="AE344" s="301"/>
    </row>
    <row r="345" spans="2:31" ht="15" thickBot="1">
      <c r="B345" s="409">
        <f t="shared" si="8"/>
        <v>300</v>
      </c>
      <c r="C345" s="414" t="str" cm="1">
        <f t="array" aca="1" ref="C345" ca="1">IF(B345&lt;=$C$9,GetGetCDSName(B345),"")</f>
        <v/>
      </c>
      <c r="D345" s="410"/>
      <c r="E345" s="411"/>
      <c r="F345" s="412"/>
      <c r="G345" s="412"/>
      <c r="H345" s="412"/>
      <c r="I345" s="412"/>
      <c r="J345" s="412"/>
      <c r="K345" s="412"/>
      <c r="L345" s="412"/>
      <c r="M345" s="412"/>
      <c r="N345" s="413"/>
      <c r="O345" s="301"/>
      <c r="P345" s="301"/>
      <c r="Q345" s="301"/>
      <c r="R345" s="301"/>
      <c r="S345" s="301"/>
      <c r="T345" s="301"/>
      <c r="U345" s="301"/>
      <c r="V345" s="301"/>
      <c r="W345" s="301"/>
      <c r="X345" s="301"/>
      <c r="Y345" s="301"/>
      <c r="Z345" s="301"/>
      <c r="AA345" s="301"/>
      <c r="AB345" s="301"/>
      <c r="AC345" s="301"/>
      <c r="AD345" s="301"/>
      <c r="AE345" s="301"/>
    </row>
    <row r="346" spans="2:31">
      <c r="O346" s="301"/>
      <c r="P346" s="301"/>
      <c r="Q346" s="301"/>
      <c r="R346" s="301"/>
      <c r="S346" s="301"/>
      <c r="T346" s="301"/>
      <c r="U346" s="301"/>
      <c r="V346" s="301"/>
      <c r="W346" s="301"/>
      <c r="X346" s="301"/>
      <c r="Y346" s="301"/>
      <c r="Z346" s="301"/>
      <c r="AA346" s="301"/>
      <c r="AB346" s="301"/>
      <c r="AC346" s="301"/>
      <c r="AD346" s="301"/>
      <c r="AE346" s="301"/>
    </row>
    <row r="347" spans="2:31">
      <c r="O347" s="301"/>
      <c r="P347" s="301"/>
      <c r="Q347" s="301"/>
      <c r="R347" s="301"/>
      <c r="S347" s="301"/>
      <c r="T347" s="301"/>
      <c r="U347" s="301"/>
      <c r="V347" s="301"/>
      <c r="W347" s="301"/>
      <c r="X347" s="301"/>
      <c r="Y347" s="301"/>
      <c r="Z347" s="301"/>
      <c r="AA347" s="301"/>
      <c r="AB347" s="301"/>
      <c r="AC347" s="301"/>
      <c r="AD347" s="301"/>
      <c r="AE347" s="301"/>
    </row>
    <row r="348" spans="2:31">
      <c r="O348" s="301"/>
      <c r="P348" s="301"/>
      <c r="Q348" s="301"/>
      <c r="R348" s="301"/>
      <c r="S348" s="301"/>
      <c r="T348" s="301"/>
      <c r="U348" s="301"/>
      <c r="V348" s="301"/>
      <c r="W348" s="301"/>
      <c r="X348" s="301"/>
      <c r="Y348" s="301"/>
      <c r="Z348" s="301"/>
      <c r="AA348" s="301"/>
      <c r="AB348" s="301"/>
      <c r="AC348" s="301"/>
      <c r="AD348" s="301"/>
      <c r="AE348" s="301"/>
    </row>
    <row r="349" spans="2:31">
      <c r="O349" s="301"/>
      <c r="P349" s="301"/>
      <c r="Q349" s="301"/>
      <c r="R349" s="301"/>
      <c r="S349" s="301"/>
      <c r="T349" s="301"/>
      <c r="U349" s="301"/>
      <c r="V349" s="301"/>
      <c r="W349" s="301"/>
      <c r="X349" s="301"/>
      <c r="Y349" s="301"/>
      <c r="Z349" s="301"/>
      <c r="AA349" s="301"/>
      <c r="AB349" s="301"/>
      <c r="AC349" s="301"/>
      <c r="AD349" s="301"/>
      <c r="AE349" s="301"/>
    </row>
    <row r="350" spans="2:31">
      <c r="O350" s="301"/>
      <c r="P350" s="301"/>
      <c r="Q350" s="301"/>
      <c r="R350" s="301"/>
      <c r="S350" s="301"/>
      <c r="T350" s="301"/>
      <c r="U350" s="301"/>
      <c r="V350" s="301"/>
      <c r="W350" s="301"/>
      <c r="X350" s="301"/>
      <c r="Y350" s="301"/>
      <c r="Z350" s="301"/>
      <c r="AA350" s="301"/>
      <c r="AB350" s="301"/>
      <c r="AC350" s="301"/>
      <c r="AD350" s="301"/>
      <c r="AE350" s="301"/>
    </row>
    <row r="351" spans="2:31">
      <c r="O351" s="301"/>
      <c r="P351" s="301"/>
      <c r="Q351" s="301"/>
      <c r="R351" s="301"/>
      <c r="S351" s="301"/>
      <c r="T351" s="301"/>
      <c r="U351" s="301"/>
      <c r="V351" s="301"/>
      <c r="W351" s="301"/>
      <c r="X351" s="301"/>
      <c r="Y351" s="301"/>
      <c r="Z351" s="301"/>
      <c r="AA351" s="301"/>
      <c r="AB351" s="301"/>
      <c r="AC351" s="301"/>
      <c r="AD351" s="301"/>
      <c r="AE351" s="301"/>
    </row>
    <row r="352" spans="2:31">
      <c r="O352" s="301"/>
      <c r="P352" s="301"/>
      <c r="Q352" s="301"/>
      <c r="R352" s="301"/>
      <c r="S352" s="301"/>
      <c r="T352" s="301"/>
      <c r="U352" s="301"/>
      <c r="V352" s="301"/>
      <c r="W352" s="301"/>
      <c r="X352" s="301"/>
      <c r="Y352" s="301"/>
      <c r="Z352" s="301"/>
      <c r="AA352" s="301"/>
      <c r="AB352" s="301"/>
      <c r="AC352" s="301"/>
      <c r="AD352" s="301"/>
      <c r="AE352" s="301"/>
    </row>
    <row r="353" spans="15:31">
      <c r="O353" s="301"/>
      <c r="P353" s="301"/>
      <c r="Q353" s="301"/>
      <c r="R353" s="301"/>
      <c r="S353" s="301"/>
      <c r="T353" s="301"/>
      <c r="U353" s="301"/>
      <c r="V353" s="301"/>
      <c r="W353" s="301"/>
      <c r="X353" s="301"/>
      <c r="Y353" s="301"/>
      <c r="Z353" s="301"/>
      <c r="AA353" s="301"/>
      <c r="AB353" s="301"/>
      <c r="AC353" s="301"/>
      <c r="AD353" s="301"/>
      <c r="AE353" s="301"/>
    </row>
    <row r="354" spans="15:31">
      <c r="O354" s="301"/>
      <c r="P354" s="301"/>
      <c r="Q354" s="301"/>
      <c r="R354" s="301"/>
      <c r="S354" s="301"/>
      <c r="T354" s="301"/>
      <c r="U354" s="301"/>
      <c r="V354" s="301"/>
      <c r="W354" s="301"/>
      <c r="X354" s="301"/>
      <c r="Y354" s="301"/>
      <c r="Z354" s="301"/>
      <c r="AA354" s="301"/>
      <c r="AB354" s="301"/>
      <c r="AC354" s="301"/>
      <c r="AD354" s="301"/>
      <c r="AE354" s="301"/>
    </row>
    <row r="355" spans="15:31">
      <c r="O355" s="301"/>
      <c r="P355" s="301"/>
      <c r="Q355" s="301"/>
      <c r="R355" s="301"/>
      <c r="S355" s="301"/>
      <c r="T355" s="301"/>
      <c r="U355" s="301"/>
      <c r="V355" s="301"/>
      <c r="W355" s="301"/>
      <c r="X355" s="301"/>
      <c r="Y355" s="301"/>
      <c r="Z355" s="301"/>
      <c r="AA355" s="301"/>
      <c r="AB355" s="301"/>
      <c r="AC355" s="301"/>
      <c r="AD355" s="301"/>
      <c r="AE355" s="301"/>
    </row>
    <row r="356" spans="15:31">
      <c r="O356" s="301"/>
      <c r="P356" s="301"/>
      <c r="Q356" s="301"/>
      <c r="R356" s="301"/>
      <c r="S356" s="301"/>
      <c r="T356" s="301"/>
      <c r="U356" s="301"/>
      <c r="V356" s="301"/>
      <c r="W356" s="301"/>
      <c r="X356" s="301"/>
      <c r="Y356" s="301"/>
      <c r="Z356" s="301"/>
      <c r="AA356" s="301"/>
      <c r="AB356" s="301"/>
      <c r="AC356" s="301"/>
      <c r="AD356" s="301"/>
      <c r="AE356" s="301"/>
    </row>
    <row r="357" spans="15:31">
      <c r="O357" s="301"/>
      <c r="P357" s="301"/>
      <c r="Q357" s="301"/>
      <c r="R357" s="301"/>
      <c r="S357" s="301"/>
      <c r="T357" s="301"/>
      <c r="U357" s="301"/>
      <c r="V357" s="301"/>
      <c r="W357" s="301"/>
      <c r="X357" s="301"/>
      <c r="Y357" s="301"/>
      <c r="Z357" s="301"/>
      <c r="AA357" s="301"/>
      <c r="AB357" s="301"/>
      <c r="AC357" s="301"/>
      <c r="AD357" s="301"/>
      <c r="AE357" s="301"/>
    </row>
    <row r="358" spans="15:31">
      <c r="O358" s="301"/>
      <c r="P358" s="301"/>
      <c r="Q358" s="301"/>
      <c r="R358" s="301"/>
      <c r="S358" s="301"/>
      <c r="T358" s="301"/>
      <c r="U358" s="301"/>
      <c r="V358" s="301"/>
      <c r="W358" s="301"/>
      <c r="X358" s="301"/>
      <c r="Y358" s="301"/>
      <c r="Z358" s="301"/>
      <c r="AA358" s="301"/>
      <c r="AB358" s="301"/>
      <c r="AC358" s="301"/>
      <c r="AD358" s="301"/>
      <c r="AE358" s="301"/>
    </row>
    <row r="359" spans="15:31">
      <c r="O359" s="301"/>
      <c r="P359" s="301"/>
      <c r="Q359" s="301"/>
      <c r="R359" s="301"/>
      <c r="S359" s="301"/>
      <c r="T359" s="301"/>
      <c r="U359" s="301"/>
      <c r="V359" s="301"/>
      <c r="W359" s="301"/>
      <c r="X359" s="301"/>
      <c r="Y359" s="301"/>
      <c r="Z359" s="301"/>
      <c r="AA359" s="301"/>
      <c r="AB359" s="301"/>
      <c r="AC359" s="301"/>
      <c r="AD359" s="301"/>
      <c r="AE359" s="301"/>
    </row>
    <row r="360" spans="15:31">
      <c r="O360" s="301"/>
      <c r="P360" s="301"/>
      <c r="Q360" s="301"/>
      <c r="R360" s="301"/>
      <c r="S360" s="301"/>
      <c r="T360" s="301"/>
      <c r="U360" s="301"/>
      <c r="V360" s="301"/>
      <c r="W360" s="301"/>
      <c r="X360" s="301"/>
      <c r="Y360" s="301"/>
      <c r="Z360" s="301"/>
      <c r="AA360" s="301"/>
      <c r="AB360" s="301"/>
      <c r="AC360" s="301"/>
      <c r="AD360" s="301"/>
      <c r="AE360" s="301"/>
    </row>
    <row r="361" spans="15:31">
      <c r="O361" s="301"/>
      <c r="P361" s="301"/>
      <c r="Q361" s="301"/>
      <c r="R361" s="301"/>
      <c r="S361" s="301"/>
      <c r="T361" s="301"/>
      <c r="U361" s="301"/>
      <c r="V361" s="301"/>
      <c r="W361" s="301"/>
      <c r="X361" s="301"/>
      <c r="Y361" s="301"/>
      <c r="Z361" s="301"/>
      <c r="AA361" s="301"/>
      <c r="AB361" s="301"/>
      <c r="AC361" s="301"/>
      <c r="AD361" s="301"/>
      <c r="AE361" s="301"/>
    </row>
    <row r="362" spans="15:31">
      <c r="O362" s="301"/>
      <c r="P362" s="301"/>
      <c r="Q362" s="301"/>
      <c r="R362" s="301"/>
      <c r="S362" s="301"/>
      <c r="T362" s="301"/>
      <c r="U362" s="301"/>
      <c r="V362" s="301"/>
      <c r="W362" s="301"/>
      <c r="X362" s="301"/>
      <c r="Y362" s="301"/>
      <c r="Z362" s="301"/>
      <c r="AA362" s="301"/>
      <c r="AB362" s="301"/>
      <c r="AC362" s="301"/>
      <c r="AD362" s="301"/>
      <c r="AE362" s="301"/>
    </row>
    <row r="363" spans="15:31">
      <c r="O363" s="301"/>
      <c r="P363" s="301"/>
      <c r="Q363" s="301"/>
      <c r="R363" s="301"/>
      <c r="S363" s="301"/>
      <c r="T363" s="301"/>
      <c r="U363" s="301"/>
      <c r="V363" s="301"/>
      <c r="W363" s="301"/>
      <c r="X363" s="301"/>
      <c r="Y363" s="301"/>
      <c r="Z363" s="301"/>
      <c r="AA363" s="301"/>
      <c r="AB363" s="301"/>
      <c r="AC363" s="301"/>
      <c r="AD363" s="301"/>
      <c r="AE363" s="301"/>
    </row>
    <row r="364" spans="15:31">
      <c r="O364" s="301"/>
      <c r="P364" s="301"/>
      <c r="Q364" s="301"/>
      <c r="R364" s="301"/>
      <c r="S364" s="301"/>
      <c r="T364" s="301"/>
      <c r="U364" s="301"/>
      <c r="V364" s="301"/>
      <c r="W364" s="301"/>
      <c r="X364" s="301"/>
      <c r="Y364" s="301"/>
      <c r="Z364" s="301"/>
      <c r="AA364" s="301"/>
      <c r="AB364" s="301"/>
      <c r="AC364" s="301"/>
      <c r="AD364" s="301"/>
      <c r="AE364" s="301"/>
    </row>
    <row r="365" spans="15:31">
      <c r="O365" s="301"/>
      <c r="P365" s="301"/>
      <c r="Q365" s="301"/>
      <c r="R365" s="301"/>
      <c r="S365" s="301"/>
      <c r="T365" s="301"/>
      <c r="U365" s="301"/>
      <c r="V365" s="301"/>
      <c r="W365" s="301"/>
      <c r="X365" s="301"/>
      <c r="Y365" s="301"/>
      <c r="Z365" s="301"/>
      <c r="AA365" s="301"/>
      <c r="AB365" s="301"/>
      <c r="AC365" s="301"/>
      <c r="AD365" s="301"/>
      <c r="AE365" s="301"/>
    </row>
    <row r="366" spans="15:31">
      <c r="O366" s="301"/>
      <c r="P366" s="301"/>
      <c r="Q366" s="301"/>
      <c r="R366" s="301"/>
      <c r="S366" s="301"/>
      <c r="T366" s="301"/>
      <c r="U366" s="301"/>
      <c r="V366" s="301"/>
      <c r="W366" s="301"/>
      <c r="X366" s="301"/>
      <c r="Y366" s="301"/>
      <c r="Z366" s="301"/>
      <c r="AA366" s="301"/>
      <c r="AB366" s="301"/>
      <c r="AC366" s="301"/>
      <c r="AD366" s="301"/>
      <c r="AE366" s="301"/>
    </row>
    <row r="367" spans="15:31">
      <c r="O367" s="301"/>
      <c r="P367" s="301"/>
      <c r="Q367" s="301"/>
      <c r="R367" s="301"/>
      <c r="S367" s="301"/>
      <c r="T367" s="301"/>
      <c r="U367" s="301"/>
      <c r="V367" s="301"/>
      <c r="W367" s="301"/>
      <c r="X367" s="301"/>
      <c r="Y367" s="301"/>
      <c r="Z367" s="301"/>
      <c r="AA367" s="301"/>
      <c r="AB367" s="301"/>
      <c r="AC367" s="301"/>
      <c r="AD367" s="301"/>
      <c r="AE367" s="301"/>
    </row>
    <row r="368" spans="15:31">
      <c r="O368" s="301"/>
      <c r="P368" s="301"/>
      <c r="Q368" s="301"/>
      <c r="R368" s="301"/>
      <c r="S368" s="301"/>
      <c r="T368" s="301"/>
      <c r="U368" s="301"/>
      <c r="V368" s="301"/>
      <c r="W368" s="301"/>
      <c r="X368" s="301"/>
      <c r="Y368" s="301"/>
      <c r="Z368" s="301"/>
      <c r="AA368" s="301"/>
      <c r="AB368" s="301"/>
      <c r="AC368" s="301"/>
      <c r="AD368" s="301"/>
      <c r="AE368" s="301"/>
    </row>
    <row r="369" spans="15:31">
      <c r="O369" s="301"/>
      <c r="P369" s="301"/>
      <c r="Q369" s="301"/>
      <c r="R369" s="301"/>
      <c r="S369" s="301"/>
      <c r="T369" s="301"/>
      <c r="U369" s="301"/>
      <c r="V369" s="301"/>
      <c r="W369" s="301"/>
      <c r="X369" s="301"/>
      <c r="Y369" s="301"/>
      <c r="Z369" s="301"/>
      <c r="AA369" s="301"/>
      <c r="AB369" s="301"/>
      <c r="AC369" s="301"/>
      <c r="AD369" s="301"/>
      <c r="AE369" s="301"/>
    </row>
    <row r="370" spans="15:31">
      <c r="O370" s="301"/>
      <c r="P370" s="301"/>
      <c r="Q370" s="301"/>
      <c r="R370" s="301"/>
      <c r="S370" s="301"/>
      <c r="T370" s="301"/>
      <c r="U370" s="301"/>
      <c r="V370" s="301"/>
      <c r="W370" s="301"/>
      <c r="X370" s="301"/>
      <c r="Y370" s="301"/>
      <c r="Z370" s="301"/>
      <c r="AA370" s="301"/>
      <c r="AB370" s="301"/>
      <c r="AC370" s="301"/>
      <c r="AD370" s="301"/>
      <c r="AE370" s="301"/>
    </row>
    <row r="371" spans="15:31">
      <c r="O371" s="301"/>
      <c r="P371" s="301"/>
      <c r="Q371" s="301"/>
      <c r="R371" s="301"/>
      <c r="S371" s="301"/>
      <c r="T371" s="301"/>
      <c r="U371" s="301"/>
      <c r="V371" s="301"/>
      <c r="W371" s="301"/>
      <c r="X371" s="301"/>
      <c r="Y371" s="301"/>
      <c r="Z371" s="301"/>
      <c r="AA371" s="301"/>
      <c r="AB371" s="301"/>
      <c r="AC371" s="301"/>
      <c r="AD371" s="301"/>
      <c r="AE371" s="301"/>
    </row>
    <row r="372" spans="15:31">
      <c r="O372" s="301"/>
      <c r="P372" s="301"/>
      <c r="Q372" s="301"/>
      <c r="R372" s="301"/>
      <c r="S372" s="301"/>
      <c r="T372" s="301"/>
      <c r="U372" s="301"/>
      <c r="V372" s="301"/>
      <c r="W372" s="301"/>
      <c r="X372" s="301"/>
      <c r="Y372" s="301"/>
      <c r="Z372" s="301"/>
      <c r="AA372" s="301"/>
      <c r="AB372" s="301"/>
      <c r="AC372" s="301"/>
      <c r="AD372" s="301"/>
      <c r="AE372" s="301"/>
    </row>
    <row r="373" spans="15:31">
      <c r="O373" s="301"/>
      <c r="P373" s="301"/>
      <c r="Q373" s="301"/>
      <c r="R373" s="301"/>
      <c r="S373" s="301"/>
      <c r="T373" s="301"/>
      <c r="U373" s="301"/>
      <c r="V373" s="301"/>
      <c r="W373" s="301"/>
      <c r="X373" s="301"/>
      <c r="Y373" s="301"/>
      <c r="Z373" s="301"/>
      <c r="AA373" s="301"/>
      <c r="AB373" s="301"/>
      <c r="AC373" s="301"/>
      <c r="AD373" s="301"/>
      <c r="AE373" s="301"/>
    </row>
    <row r="374" spans="15:31">
      <c r="O374" s="301"/>
      <c r="P374" s="301"/>
      <c r="Q374" s="301"/>
      <c r="R374" s="301"/>
      <c r="S374" s="301"/>
      <c r="T374" s="301"/>
      <c r="U374" s="301"/>
      <c r="V374" s="301"/>
      <c r="W374" s="301"/>
      <c r="X374" s="301"/>
      <c r="Y374" s="301"/>
      <c r="Z374" s="301"/>
      <c r="AA374" s="301"/>
      <c r="AB374" s="301"/>
      <c r="AC374" s="301"/>
      <c r="AD374" s="301"/>
      <c r="AE374" s="301"/>
    </row>
    <row r="375" spans="15:31">
      <c r="O375" s="301"/>
      <c r="P375" s="301"/>
      <c r="Q375" s="301"/>
      <c r="R375" s="301"/>
      <c r="S375" s="301"/>
      <c r="T375" s="301"/>
      <c r="U375" s="301"/>
      <c r="V375" s="301"/>
      <c r="W375" s="301"/>
      <c r="X375" s="301"/>
      <c r="Y375" s="301"/>
      <c r="Z375" s="301"/>
      <c r="AA375" s="301"/>
      <c r="AB375" s="301"/>
      <c r="AC375" s="301"/>
      <c r="AD375" s="301"/>
      <c r="AE375" s="301"/>
    </row>
    <row r="376" spans="15:31">
      <c r="O376" s="301"/>
      <c r="P376" s="301"/>
      <c r="Q376" s="301"/>
      <c r="R376" s="301"/>
      <c r="S376" s="301"/>
      <c r="T376" s="301"/>
      <c r="U376" s="301"/>
      <c r="V376" s="301"/>
      <c r="W376" s="301"/>
      <c r="X376" s="301"/>
      <c r="Y376" s="301"/>
      <c r="Z376" s="301"/>
      <c r="AA376" s="301"/>
      <c r="AB376" s="301"/>
      <c r="AC376" s="301"/>
      <c r="AD376" s="301"/>
      <c r="AE376" s="301"/>
    </row>
    <row r="377" spans="15:31">
      <c r="O377" s="301"/>
      <c r="P377" s="301"/>
      <c r="Q377" s="301"/>
      <c r="R377" s="301"/>
      <c r="S377" s="301"/>
      <c r="T377" s="301"/>
      <c r="U377" s="301"/>
      <c r="V377" s="301"/>
      <c r="W377" s="301"/>
      <c r="X377" s="301"/>
      <c r="Y377" s="301"/>
      <c r="Z377" s="301"/>
      <c r="AA377" s="301"/>
      <c r="AB377" s="301"/>
      <c r="AC377" s="301"/>
      <c r="AD377" s="301"/>
      <c r="AE377" s="301"/>
    </row>
    <row r="378" spans="15:31">
      <c r="O378" s="301"/>
      <c r="P378" s="301"/>
      <c r="Q378" s="301"/>
      <c r="R378" s="301"/>
      <c r="S378" s="301"/>
      <c r="T378" s="301"/>
      <c r="U378" s="301"/>
      <c r="V378" s="301"/>
      <c r="W378" s="301"/>
      <c r="X378" s="301"/>
      <c r="Y378" s="301"/>
      <c r="Z378" s="301"/>
      <c r="AA378" s="301"/>
      <c r="AB378" s="301"/>
      <c r="AC378" s="301"/>
      <c r="AD378" s="301"/>
      <c r="AE378" s="301"/>
    </row>
    <row r="379" spans="15:31">
      <c r="O379" s="301"/>
      <c r="P379" s="301"/>
      <c r="Q379" s="301"/>
      <c r="R379" s="301"/>
      <c r="S379" s="301"/>
      <c r="T379" s="301"/>
      <c r="U379" s="301"/>
      <c r="V379" s="301"/>
      <c r="W379" s="301"/>
      <c r="X379" s="301"/>
      <c r="Y379" s="301"/>
      <c r="Z379" s="301"/>
      <c r="AA379" s="301"/>
      <c r="AB379" s="301"/>
      <c r="AC379" s="301"/>
      <c r="AD379" s="301"/>
      <c r="AE379" s="301"/>
    </row>
    <row r="380" spans="15:31">
      <c r="O380" s="301"/>
      <c r="P380" s="301"/>
      <c r="Q380" s="301"/>
      <c r="R380" s="301"/>
      <c r="S380" s="301"/>
      <c r="T380" s="301"/>
      <c r="U380" s="301"/>
      <c r="V380" s="301"/>
      <c r="W380" s="301"/>
      <c r="X380" s="301"/>
      <c r="Y380" s="301"/>
      <c r="Z380" s="301"/>
      <c r="AA380" s="301"/>
      <c r="AB380" s="301"/>
      <c r="AC380" s="301"/>
      <c r="AD380" s="301"/>
      <c r="AE380" s="301"/>
    </row>
    <row r="381" spans="15:31">
      <c r="O381" s="301"/>
      <c r="P381" s="301"/>
      <c r="Q381" s="301"/>
      <c r="R381" s="301"/>
      <c r="S381" s="301"/>
      <c r="T381" s="301"/>
      <c r="U381" s="301"/>
      <c r="V381" s="301"/>
      <c r="W381" s="301"/>
      <c r="X381" s="301"/>
      <c r="Y381" s="301"/>
      <c r="Z381" s="301"/>
      <c r="AA381" s="301"/>
      <c r="AB381" s="301"/>
      <c r="AC381" s="301"/>
      <c r="AD381" s="301"/>
      <c r="AE381" s="301"/>
    </row>
    <row r="382" spans="15:31">
      <c r="O382" s="301"/>
      <c r="P382" s="301"/>
      <c r="Q382" s="301"/>
      <c r="R382" s="301"/>
      <c r="S382" s="301"/>
      <c r="T382" s="301"/>
      <c r="U382" s="301"/>
      <c r="V382" s="301"/>
      <c r="W382" s="301"/>
      <c r="X382" s="301"/>
      <c r="Y382" s="301"/>
      <c r="Z382" s="301"/>
      <c r="AA382" s="301"/>
      <c r="AB382" s="301"/>
      <c r="AC382" s="301"/>
      <c r="AD382" s="301"/>
      <c r="AE382" s="301"/>
    </row>
    <row r="383" spans="15:31">
      <c r="O383" s="301"/>
      <c r="P383" s="301"/>
      <c r="Q383" s="301"/>
      <c r="R383" s="301"/>
      <c r="S383" s="301"/>
      <c r="T383" s="301"/>
      <c r="U383" s="301"/>
      <c r="V383" s="301"/>
      <c r="W383" s="301"/>
      <c r="X383" s="301"/>
      <c r="Y383" s="301"/>
      <c r="Z383" s="301"/>
      <c r="AA383" s="301"/>
      <c r="AB383" s="301"/>
      <c r="AC383" s="301"/>
      <c r="AD383" s="301"/>
      <c r="AE383" s="301"/>
    </row>
    <row r="384" spans="15:31">
      <c r="O384" s="301"/>
      <c r="P384" s="301"/>
      <c r="Q384" s="301"/>
      <c r="R384" s="301"/>
      <c r="S384" s="301"/>
      <c r="T384" s="301"/>
      <c r="U384" s="301"/>
      <c r="V384" s="301"/>
      <c r="W384" s="301"/>
      <c r="X384" s="301"/>
      <c r="Y384" s="301"/>
      <c r="Z384" s="301"/>
      <c r="AA384" s="301"/>
      <c r="AB384" s="301"/>
      <c r="AC384" s="301"/>
      <c r="AD384" s="301"/>
      <c r="AE384" s="301"/>
    </row>
    <row r="385" spans="15:31">
      <c r="O385" s="301"/>
      <c r="P385" s="301"/>
      <c r="Q385" s="301"/>
      <c r="R385" s="301"/>
      <c r="S385" s="301"/>
      <c r="T385" s="301"/>
      <c r="U385" s="301"/>
      <c r="V385" s="301"/>
      <c r="W385" s="301"/>
      <c r="X385" s="301"/>
      <c r="Y385" s="301"/>
      <c r="Z385" s="301"/>
      <c r="AA385" s="301"/>
      <c r="AB385" s="301"/>
      <c r="AC385" s="301"/>
      <c r="AD385" s="301"/>
      <c r="AE385" s="301"/>
    </row>
    <row r="386" spans="15:31">
      <c r="O386" s="301"/>
      <c r="P386" s="301"/>
      <c r="Q386" s="301"/>
      <c r="R386" s="301"/>
      <c r="S386" s="301"/>
      <c r="T386" s="301"/>
      <c r="U386" s="301"/>
      <c r="V386" s="301"/>
      <c r="W386" s="301"/>
      <c r="X386" s="301"/>
      <c r="Y386" s="301"/>
      <c r="Z386" s="301"/>
      <c r="AA386" s="301"/>
      <c r="AB386" s="301"/>
      <c r="AC386" s="301"/>
      <c r="AD386" s="301"/>
      <c r="AE386" s="301"/>
    </row>
    <row r="387" spans="15:31">
      <c r="O387" s="301"/>
      <c r="P387" s="301"/>
      <c r="Q387" s="301"/>
      <c r="R387" s="301"/>
      <c r="S387" s="301"/>
      <c r="T387" s="301"/>
      <c r="U387" s="301"/>
      <c r="V387" s="301"/>
      <c r="W387" s="301"/>
      <c r="X387" s="301"/>
      <c r="Y387" s="301"/>
      <c r="Z387" s="301"/>
      <c r="AA387" s="301"/>
      <c r="AB387" s="301"/>
      <c r="AC387" s="301"/>
      <c r="AD387" s="301"/>
      <c r="AE387" s="301"/>
    </row>
    <row r="388" spans="15:31">
      <c r="O388" s="301"/>
      <c r="P388" s="301"/>
      <c r="Q388" s="301"/>
      <c r="R388" s="301"/>
      <c r="S388" s="301"/>
      <c r="T388" s="301"/>
      <c r="U388" s="301"/>
      <c r="V388" s="301"/>
      <c r="W388" s="301"/>
      <c r="X388" s="301"/>
      <c r="Y388" s="301"/>
      <c r="Z388" s="301"/>
      <c r="AA388" s="301"/>
      <c r="AB388" s="301"/>
      <c r="AC388" s="301"/>
      <c r="AD388" s="301"/>
      <c r="AE388" s="301"/>
    </row>
    <row r="389" spans="15:31">
      <c r="O389" s="301"/>
      <c r="P389" s="301"/>
      <c r="Q389" s="301"/>
      <c r="R389" s="301"/>
      <c r="S389" s="301"/>
      <c r="T389" s="301"/>
      <c r="U389" s="301"/>
      <c r="V389" s="301"/>
      <c r="W389" s="301"/>
      <c r="X389" s="301"/>
      <c r="Y389" s="301"/>
      <c r="Z389" s="301"/>
      <c r="AA389" s="301"/>
      <c r="AB389" s="301"/>
      <c r="AC389" s="301"/>
      <c r="AD389" s="301"/>
      <c r="AE389" s="301"/>
    </row>
    <row r="390" spans="15:31">
      <c r="O390" s="301"/>
      <c r="P390" s="301"/>
      <c r="Q390" s="301"/>
      <c r="R390" s="301"/>
      <c r="S390" s="301"/>
      <c r="T390" s="301"/>
      <c r="U390" s="301"/>
      <c r="V390" s="301"/>
      <c r="W390" s="301"/>
      <c r="X390" s="301"/>
      <c r="Y390" s="301"/>
      <c r="Z390" s="301"/>
      <c r="AA390" s="301"/>
      <c r="AB390" s="301"/>
      <c r="AC390" s="301"/>
      <c r="AD390" s="301"/>
      <c r="AE390" s="301"/>
    </row>
    <row r="391" spans="15:31">
      <c r="O391" s="301"/>
      <c r="P391" s="301"/>
      <c r="Q391" s="301"/>
      <c r="R391" s="301"/>
      <c r="S391" s="301"/>
      <c r="T391" s="301"/>
      <c r="U391" s="301"/>
      <c r="V391" s="301"/>
      <c r="W391" s="301"/>
      <c r="X391" s="301"/>
      <c r="Y391" s="301"/>
      <c r="Z391" s="301"/>
      <c r="AA391" s="301"/>
      <c r="AB391" s="301"/>
      <c r="AC391" s="301"/>
      <c r="AD391" s="301"/>
      <c r="AE391" s="301"/>
    </row>
    <row r="392" spans="15:31">
      <c r="O392" s="301"/>
      <c r="P392" s="301"/>
      <c r="Q392" s="301"/>
      <c r="R392" s="301"/>
      <c r="S392" s="301"/>
      <c r="T392" s="301"/>
      <c r="U392" s="301"/>
      <c r="V392" s="301"/>
      <c r="W392" s="301"/>
      <c r="X392" s="301"/>
      <c r="Y392" s="301"/>
      <c r="Z392" s="301"/>
      <c r="AA392" s="301"/>
      <c r="AB392" s="301"/>
      <c r="AC392" s="301"/>
      <c r="AD392" s="301"/>
      <c r="AE392" s="301"/>
    </row>
    <row r="393" spans="15:31">
      <c r="O393" s="301"/>
      <c r="P393" s="301"/>
      <c r="Q393" s="301"/>
      <c r="R393" s="301"/>
      <c r="S393" s="301"/>
      <c r="T393" s="301"/>
      <c r="U393" s="301"/>
      <c r="V393" s="301"/>
      <c r="W393" s="301"/>
      <c r="X393" s="301"/>
      <c r="Y393" s="301"/>
      <c r="Z393" s="301"/>
      <c r="AA393" s="301"/>
      <c r="AB393" s="301"/>
      <c r="AC393" s="301"/>
      <c r="AD393" s="301"/>
      <c r="AE393" s="301"/>
    </row>
    <row r="394" spans="15:31">
      <c r="O394" s="301"/>
      <c r="P394" s="301"/>
      <c r="Q394" s="301"/>
      <c r="R394" s="301"/>
      <c r="S394" s="301"/>
      <c r="T394" s="301"/>
      <c r="U394" s="301"/>
      <c r="V394" s="301"/>
      <c r="W394" s="301"/>
      <c r="X394" s="301"/>
      <c r="Y394" s="301"/>
      <c r="Z394" s="301"/>
      <c r="AA394" s="301"/>
      <c r="AB394" s="301"/>
      <c r="AC394" s="301"/>
      <c r="AD394" s="301"/>
      <c r="AE394" s="301"/>
    </row>
    <row r="395" spans="15:31">
      <c r="O395" s="301"/>
      <c r="P395" s="301"/>
      <c r="Q395" s="301"/>
      <c r="R395" s="301"/>
      <c r="S395" s="301"/>
      <c r="T395" s="301"/>
      <c r="U395" s="301"/>
      <c r="V395" s="301"/>
      <c r="W395" s="301"/>
      <c r="X395" s="301"/>
      <c r="Y395" s="301"/>
      <c r="Z395" s="301"/>
      <c r="AA395" s="301"/>
      <c r="AB395" s="301"/>
      <c r="AC395" s="301"/>
      <c r="AD395" s="301"/>
      <c r="AE395" s="301"/>
    </row>
    <row r="396" spans="15:31">
      <c r="O396" s="301"/>
      <c r="P396" s="301"/>
      <c r="Q396" s="301"/>
      <c r="R396" s="301"/>
      <c r="S396" s="301"/>
      <c r="T396" s="301"/>
      <c r="U396" s="301"/>
      <c r="V396" s="301"/>
      <c r="W396" s="301"/>
      <c r="X396" s="301"/>
      <c r="Y396" s="301"/>
      <c r="Z396" s="301"/>
      <c r="AA396" s="301"/>
      <c r="AB396" s="301"/>
      <c r="AC396" s="301"/>
      <c r="AD396" s="301"/>
      <c r="AE396" s="301"/>
    </row>
    <row r="397" spans="15:31">
      <c r="O397" s="301"/>
      <c r="P397" s="301"/>
      <c r="Q397" s="301"/>
      <c r="R397" s="301"/>
      <c r="S397" s="301"/>
      <c r="T397" s="301"/>
      <c r="U397" s="301"/>
      <c r="V397" s="301"/>
      <c r="W397" s="301"/>
      <c r="X397" s="301"/>
      <c r="Y397" s="301"/>
      <c r="Z397" s="301"/>
      <c r="AA397" s="301"/>
      <c r="AB397" s="301"/>
      <c r="AC397" s="301"/>
      <c r="AD397" s="301"/>
      <c r="AE397" s="301"/>
    </row>
    <row r="398" spans="15:31">
      <c r="O398" s="301"/>
      <c r="P398" s="301"/>
      <c r="Q398" s="301"/>
      <c r="R398" s="301"/>
      <c r="S398" s="301"/>
      <c r="T398" s="301"/>
      <c r="U398" s="301"/>
      <c r="V398" s="301"/>
      <c r="W398" s="301"/>
      <c r="X398" s="301"/>
      <c r="Y398" s="301"/>
      <c r="Z398" s="301"/>
      <c r="AA398" s="301"/>
      <c r="AB398" s="301"/>
      <c r="AC398" s="301"/>
      <c r="AD398" s="301"/>
      <c r="AE398" s="301"/>
    </row>
    <row r="399" spans="15:31">
      <c r="O399" s="301"/>
      <c r="P399" s="301"/>
      <c r="Q399" s="301"/>
      <c r="R399" s="301"/>
      <c r="S399" s="301"/>
      <c r="T399" s="301"/>
      <c r="U399" s="301"/>
      <c r="V399" s="301"/>
      <c r="W399" s="301"/>
      <c r="X399" s="301"/>
      <c r="Y399" s="301"/>
      <c r="Z399" s="301"/>
      <c r="AA399" s="301"/>
      <c r="AB399" s="301"/>
      <c r="AC399" s="301"/>
      <c r="AD399" s="301"/>
      <c r="AE399" s="301"/>
    </row>
    <row r="400" spans="15:31">
      <c r="O400" s="301"/>
      <c r="P400" s="301"/>
      <c r="Q400" s="301"/>
      <c r="R400" s="301"/>
      <c r="S400" s="301"/>
      <c r="T400" s="301"/>
      <c r="U400" s="301"/>
      <c r="V400" s="301"/>
      <c r="W400" s="301"/>
      <c r="X400" s="301"/>
      <c r="Y400" s="301"/>
      <c r="Z400" s="301"/>
      <c r="AA400" s="301"/>
      <c r="AB400" s="301"/>
      <c r="AC400" s="301"/>
      <c r="AD400" s="301"/>
      <c r="AE400" s="301"/>
    </row>
    <row r="401" spans="15:31">
      <c r="O401" s="301"/>
      <c r="P401" s="301"/>
      <c r="Q401" s="301"/>
      <c r="R401" s="301"/>
      <c r="S401" s="301"/>
      <c r="T401" s="301"/>
      <c r="U401" s="301"/>
      <c r="V401" s="301"/>
      <c r="W401" s="301"/>
      <c r="X401" s="301"/>
      <c r="Y401" s="301"/>
      <c r="Z401" s="301"/>
      <c r="AA401" s="301"/>
      <c r="AB401" s="301"/>
      <c r="AC401" s="301"/>
      <c r="AD401" s="301"/>
      <c r="AE401" s="301"/>
    </row>
    <row r="402" spans="15:31">
      <c r="O402" s="301"/>
      <c r="P402" s="301"/>
      <c r="Q402" s="301"/>
      <c r="R402" s="301"/>
      <c r="S402" s="301"/>
      <c r="T402" s="301"/>
      <c r="U402" s="301"/>
      <c r="V402" s="301"/>
      <c r="W402" s="301"/>
      <c r="X402" s="301"/>
      <c r="Y402" s="301"/>
      <c r="Z402" s="301"/>
      <c r="AA402" s="301"/>
      <c r="AB402" s="301"/>
      <c r="AC402" s="301"/>
      <c r="AD402" s="301"/>
      <c r="AE402" s="301"/>
    </row>
    <row r="403" spans="15:31">
      <c r="O403" s="301"/>
      <c r="P403" s="301"/>
      <c r="Q403" s="301"/>
      <c r="R403" s="301"/>
      <c r="S403" s="301"/>
      <c r="T403" s="301"/>
      <c r="U403" s="301"/>
      <c r="V403" s="301"/>
      <c r="W403" s="301"/>
      <c r="X403" s="301"/>
      <c r="Y403" s="301"/>
      <c r="Z403" s="301"/>
      <c r="AA403" s="301"/>
      <c r="AB403" s="301"/>
      <c r="AC403" s="301"/>
      <c r="AD403" s="301"/>
      <c r="AE403" s="301"/>
    </row>
    <row r="404" spans="15:31">
      <c r="O404" s="301"/>
      <c r="P404" s="301"/>
      <c r="Q404" s="301"/>
      <c r="R404" s="301"/>
      <c r="S404" s="301"/>
      <c r="T404" s="301"/>
      <c r="U404" s="301"/>
      <c r="V404" s="301"/>
      <c r="W404" s="301"/>
      <c r="X404" s="301"/>
      <c r="Y404" s="301"/>
      <c r="Z404" s="301"/>
      <c r="AA404" s="301"/>
      <c r="AB404" s="301"/>
      <c r="AC404" s="301"/>
      <c r="AD404" s="301"/>
      <c r="AE404" s="301"/>
    </row>
    <row r="405" spans="15:31">
      <c r="O405" s="301"/>
      <c r="P405" s="301"/>
      <c r="Q405" s="301"/>
      <c r="R405" s="301"/>
      <c r="S405" s="301"/>
      <c r="T405" s="301"/>
      <c r="U405" s="301"/>
      <c r="V405" s="301"/>
      <c r="W405" s="301"/>
      <c r="X405" s="301"/>
      <c r="Y405" s="301"/>
      <c r="Z405" s="301"/>
      <c r="AA405" s="301"/>
      <c r="AB405" s="301"/>
      <c r="AC405" s="301"/>
      <c r="AD405" s="301"/>
      <c r="AE405" s="301"/>
    </row>
    <row r="406" spans="15:31">
      <c r="O406" s="301"/>
      <c r="P406" s="301"/>
      <c r="Q406" s="301"/>
      <c r="R406" s="301"/>
      <c r="S406" s="301"/>
      <c r="T406" s="301"/>
      <c r="U406" s="301"/>
      <c r="V406" s="301"/>
      <c r="W406" s="301"/>
      <c r="X406" s="301"/>
      <c r="Y406" s="301"/>
      <c r="Z406" s="301"/>
      <c r="AA406" s="301"/>
      <c r="AB406" s="301"/>
      <c r="AC406" s="301"/>
      <c r="AD406" s="301"/>
      <c r="AE406" s="301"/>
    </row>
    <row r="407" spans="15:31">
      <c r="O407" s="301"/>
      <c r="P407" s="301"/>
      <c r="Q407" s="301"/>
      <c r="R407" s="301"/>
      <c r="S407" s="301"/>
      <c r="T407" s="301"/>
      <c r="U407" s="301"/>
      <c r="V407" s="301"/>
      <c r="W407" s="301"/>
      <c r="X407" s="301"/>
      <c r="Y407" s="301"/>
      <c r="Z407" s="301"/>
      <c r="AA407" s="301"/>
      <c r="AB407" s="301"/>
      <c r="AC407" s="301"/>
      <c r="AD407" s="301"/>
      <c r="AE407" s="301"/>
    </row>
    <row r="408" spans="15:31">
      <c r="O408" s="301"/>
      <c r="P408" s="301"/>
      <c r="Q408" s="301"/>
      <c r="R408" s="301"/>
      <c r="S408" s="301"/>
      <c r="T408" s="301"/>
      <c r="U408" s="301"/>
      <c r="V408" s="301"/>
      <c r="W408" s="301"/>
      <c r="X408" s="301"/>
      <c r="Y408" s="301"/>
      <c r="Z408" s="301"/>
      <c r="AA408" s="301"/>
      <c r="AB408" s="301"/>
      <c r="AC408" s="301"/>
      <c r="AD408" s="301"/>
      <c r="AE408" s="301"/>
    </row>
    <row r="409" spans="15:31">
      <c r="O409" s="301"/>
      <c r="P409" s="301"/>
      <c r="Q409" s="301"/>
      <c r="R409" s="301"/>
      <c r="S409" s="301"/>
      <c r="T409" s="301"/>
      <c r="U409" s="301"/>
      <c r="V409" s="301"/>
      <c r="W409" s="301"/>
      <c r="X409" s="301"/>
      <c r="Y409" s="301"/>
      <c r="Z409" s="301"/>
      <c r="AA409" s="301"/>
      <c r="AB409" s="301"/>
      <c r="AC409" s="301"/>
      <c r="AD409" s="301"/>
      <c r="AE409" s="301"/>
    </row>
    <row r="410" spans="15:31">
      <c r="O410" s="301"/>
      <c r="P410" s="301"/>
      <c r="Q410" s="301"/>
      <c r="R410" s="301"/>
      <c r="S410" s="301"/>
      <c r="T410" s="301"/>
      <c r="U410" s="301"/>
      <c r="V410" s="301"/>
      <c r="W410" s="301"/>
      <c r="X410" s="301"/>
      <c r="Y410" s="301"/>
      <c r="Z410" s="301"/>
      <c r="AA410" s="301"/>
      <c r="AB410" s="301"/>
      <c r="AC410" s="301"/>
      <c r="AD410" s="301"/>
      <c r="AE410" s="301"/>
    </row>
    <row r="411" spans="15:31">
      <c r="O411" s="301"/>
      <c r="P411" s="301"/>
      <c r="Q411" s="301"/>
      <c r="R411" s="301"/>
      <c r="S411" s="301"/>
      <c r="T411" s="301"/>
      <c r="U411" s="301"/>
      <c r="V411" s="301"/>
      <c r="W411" s="301"/>
      <c r="X411" s="301"/>
      <c r="Y411" s="301"/>
      <c r="Z411" s="301"/>
      <c r="AA411" s="301"/>
      <c r="AB411" s="301"/>
      <c r="AC411" s="301"/>
      <c r="AD411" s="301"/>
      <c r="AE411" s="301"/>
    </row>
    <row r="412" spans="15:31">
      <c r="O412" s="301"/>
      <c r="P412" s="301"/>
      <c r="Q412" s="301"/>
      <c r="R412" s="301"/>
      <c r="S412" s="301"/>
      <c r="T412" s="301"/>
      <c r="U412" s="301"/>
      <c r="V412" s="301"/>
      <c r="W412" s="301"/>
      <c r="X412" s="301"/>
      <c r="Y412" s="301"/>
      <c r="Z412" s="301"/>
      <c r="AA412" s="301"/>
      <c r="AB412" s="301"/>
      <c r="AC412" s="301"/>
      <c r="AD412" s="301"/>
      <c r="AE412" s="301"/>
    </row>
    <row r="413" spans="15:31">
      <c r="O413" s="301"/>
      <c r="P413" s="301"/>
      <c r="Q413" s="301"/>
      <c r="R413" s="301"/>
      <c r="S413" s="301"/>
      <c r="T413" s="301"/>
      <c r="U413" s="301"/>
      <c r="V413" s="301"/>
      <c r="W413" s="301"/>
      <c r="X413" s="301"/>
      <c r="Y413" s="301"/>
      <c r="Z413" s="301"/>
      <c r="AA413" s="301"/>
      <c r="AB413" s="301"/>
      <c r="AC413" s="301"/>
      <c r="AD413" s="301"/>
      <c r="AE413" s="301"/>
    </row>
    <row r="414" spans="15:31">
      <c r="O414" s="301"/>
      <c r="P414" s="301"/>
      <c r="Q414" s="301"/>
      <c r="R414" s="301"/>
      <c r="S414" s="301"/>
      <c r="T414" s="301"/>
      <c r="U414" s="301"/>
      <c r="V414" s="301"/>
      <c r="W414" s="301"/>
      <c r="X414" s="301"/>
      <c r="Y414" s="301"/>
      <c r="Z414" s="301"/>
      <c r="AA414" s="301"/>
      <c r="AB414" s="301"/>
      <c r="AC414" s="301"/>
      <c r="AD414" s="301"/>
      <c r="AE414" s="301"/>
    </row>
    <row r="415" spans="15:31">
      <c r="O415" s="301"/>
      <c r="P415" s="301"/>
      <c r="Q415" s="301"/>
      <c r="R415" s="301"/>
      <c r="S415" s="301"/>
      <c r="T415" s="301"/>
      <c r="U415" s="301"/>
      <c r="V415" s="301"/>
      <c r="W415" s="301"/>
      <c r="X415" s="301"/>
      <c r="Y415" s="301"/>
      <c r="Z415" s="301"/>
      <c r="AA415" s="301"/>
      <c r="AB415" s="301"/>
      <c r="AC415" s="301"/>
      <c r="AD415" s="301"/>
      <c r="AE415" s="301"/>
    </row>
    <row r="416" spans="15:31">
      <c r="O416" s="301"/>
      <c r="P416" s="301"/>
      <c r="Q416" s="301"/>
      <c r="R416" s="301"/>
      <c r="S416" s="301"/>
      <c r="T416" s="301"/>
      <c r="U416" s="301"/>
      <c r="V416" s="301"/>
      <c r="W416" s="301"/>
      <c r="X416" s="301"/>
      <c r="Y416" s="301"/>
      <c r="Z416" s="301"/>
      <c r="AA416" s="301"/>
      <c r="AB416" s="301"/>
      <c r="AC416" s="301"/>
      <c r="AD416" s="301"/>
      <c r="AE416" s="301"/>
    </row>
    <row r="417" spans="15:31">
      <c r="O417" s="301"/>
      <c r="P417" s="301"/>
      <c r="Q417" s="301"/>
      <c r="R417" s="301"/>
      <c r="S417" s="301"/>
      <c r="T417" s="301"/>
      <c r="U417" s="301"/>
      <c r="V417" s="301"/>
      <c r="W417" s="301"/>
      <c r="X417" s="301"/>
      <c r="Y417" s="301"/>
      <c r="Z417" s="301"/>
      <c r="AA417" s="301"/>
      <c r="AB417" s="301"/>
      <c r="AC417" s="301"/>
      <c r="AD417" s="301"/>
      <c r="AE417" s="301"/>
    </row>
    <row r="418" spans="15:31">
      <c r="O418" s="301"/>
      <c r="P418" s="301"/>
      <c r="Q418" s="301"/>
      <c r="R418" s="301"/>
      <c r="S418" s="301"/>
      <c r="T418" s="301"/>
      <c r="U418" s="301"/>
      <c r="V418" s="301"/>
      <c r="W418" s="301"/>
      <c r="X418" s="301"/>
      <c r="Y418" s="301"/>
      <c r="Z418" s="301"/>
      <c r="AA418" s="301"/>
      <c r="AB418" s="301"/>
      <c r="AC418" s="301"/>
      <c r="AD418" s="301"/>
      <c r="AE418" s="301"/>
    </row>
    <row r="419" spans="15:31">
      <c r="O419" s="301"/>
      <c r="P419" s="301"/>
      <c r="Q419" s="301"/>
      <c r="R419" s="301"/>
      <c r="S419" s="301"/>
      <c r="T419" s="301"/>
      <c r="U419" s="301"/>
      <c r="V419" s="301"/>
      <c r="W419" s="301"/>
      <c r="X419" s="301"/>
      <c r="Y419" s="301"/>
      <c r="Z419" s="301"/>
      <c r="AA419" s="301"/>
      <c r="AB419" s="301"/>
      <c r="AC419" s="301"/>
      <c r="AD419" s="301"/>
      <c r="AE419" s="301"/>
    </row>
    <row r="420" spans="15:31">
      <c r="O420" s="301"/>
      <c r="P420" s="301"/>
      <c r="Q420" s="301"/>
      <c r="R420" s="301"/>
      <c r="S420" s="301"/>
      <c r="T420" s="301"/>
      <c r="U420" s="301"/>
      <c r="V420" s="301"/>
      <c r="W420" s="301"/>
      <c r="X420" s="301"/>
      <c r="Y420" s="301"/>
      <c r="Z420" s="301"/>
      <c r="AA420" s="301"/>
      <c r="AB420" s="301"/>
      <c r="AC420" s="301"/>
      <c r="AD420" s="301"/>
      <c r="AE420" s="301"/>
    </row>
    <row r="421" spans="15:31">
      <c r="O421" s="301"/>
      <c r="P421" s="301"/>
      <c r="Q421" s="301"/>
      <c r="R421" s="301"/>
      <c r="S421" s="301"/>
      <c r="T421" s="301"/>
      <c r="U421" s="301"/>
      <c r="V421" s="301"/>
      <c r="W421" s="301"/>
      <c r="X421" s="301"/>
      <c r="Y421" s="301"/>
      <c r="Z421" s="301"/>
      <c r="AA421" s="301"/>
      <c r="AB421" s="301"/>
      <c r="AC421" s="301"/>
      <c r="AD421" s="301"/>
      <c r="AE421" s="301"/>
    </row>
    <row r="422" spans="15:31">
      <c r="O422" s="301"/>
      <c r="P422" s="301"/>
      <c r="Q422" s="301"/>
      <c r="R422" s="301"/>
      <c r="S422" s="301"/>
      <c r="T422" s="301"/>
      <c r="U422" s="301"/>
      <c r="V422" s="301"/>
      <c r="W422" s="301"/>
      <c r="X422" s="301"/>
      <c r="Y422" s="301"/>
      <c r="Z422" s="301"/>
      <c r="AA422" s="301"/>
      <c r="AB422" s="301"/>
      <c r="AC422" s="301"/>
      <c r="AD422" s="301"/>
      <c r="AE422" s="301"/>
    </row>
    <row r="423" spans="15:31">
      <c r="O423" s="301"/>
      <c r="P423" s="301"/>
      <c r="Q423" s="301"/>
      <c r="R423" s="301"/>
      <c r="S423" s="301"/>
      <c r="T423" s="301"/>
      <c r="U423" s="301"/>
      <c r="V423" s="301"/>
      <c r="W423" s="301"/>
      <c r="X423" s="301"/>
      <c r="Y423" s="301"/>
      <c r="Z423" s="301"/>
      <c r="AA423" s="301"/>
      <c r="AB423" s="301"/>
      <c r="AC423" s="301"/>
      <c r="AD423" s="301"/>
      <c r="AE423" s="301"/>
    </row>
    <row r="424" spans="15:31">
      <c r="O424" s="301"/>
      <c r="P424" s="301"/>
      <c r="Q424" s="301"/>
      <c r="R424" s="301"/>
      <c r="S424" s="301"/>
      <c r="T424" s="301"/>
      <c r="U424" s="301"/>
      <c r="V424" s="301"/>
      <c r="W424" s="301"/>
      <c r="X424" s="301"/>
      <c r="Y424" s="301"/>
      <c r="Z424" s="301"/>
      <c r="AA424" s="301"/>
      <c r="AB424" s="301"/>
      <c r="AC424" s="301"/>
      <c r="AD424" s="301"/>
      <c r="AE424" s="301"/>
    </row>
    <row r="425" spans="15:31">
      <c r="O425" s="301"/>
      <c r="P425" s="301"/>
      <c r="Q425" s="301"/>
      <c r="R425" s="301"/>
      <c r="S425" s="301"/>
      <c r="T425" s="301"/>
      <c r="U425" s="301"/>
      <c r="V425" s="301"/>
      <c r="W425" s="301"/>
      <c r="X425" s="301"/>
      <c r="Y425" s="301"/>
      <c r="Z425" s="301"/>
      <c r="AA425" s="301"/>
      <c r="AB425" s="301"/>
      <c r="AC425" s="301"/>
      <c r="AD425" s="301"/>
      <c r="AE425" s="301"/>
    </row>
    <row r="426" spans="15:31">
      <c r="O426" s="301"/>
      <c r="P426" s="301"/>
      <c r="Q426" s="301"/>
      <c r="R426" s="301"/>
      <c r="S426" s="301"/>
      <c r="T426" s="301"/>
      <c r="U426" s="301"/>
      <c r="V426" s="301"/>
      <c r="W426" s="301"/>
      <c r="X426" s="301"/>
      <c r="Y426" s="301"/>
      <c r="Z426" s="301"/>
      <c r="AA426" s="301"/>
      <c r="AB426" s="301"/>
      <c r="AC426" s="301"/>
      <c r="AD426" s="301"/>
      <c r="AE426" s="301"/>
    </row>
    <row r="427" spans="15:31">
      <c r="O427" s="301"/>
      <c r="P427" s="301"/>
      <c r="Q427" s="301"/>
      <c r="R427" s="301"/>
      <c r="S427" s="301"/>
      <c r="T427" s="301"/>
      <c r="U427" s="301"/>
      <c r="V427" s="301"/>
      <c r="W427" s="301"/>
      <c r="X427" s="301"/>
      <c r="Y427" s="301"/>
      <c r="Z427" s="301"/>
      <c r="AA427" s="301"/>
      <c r="AB427" s="301"/>
      <c r="AC427" s="301"/>
      <c r="AD427" s="301"/>
      <c r="AE427" s="301"/>
    </row>
    <row r="428" spans="15:31">
      <c r="O428" s="301"/>
      <c r="P428" s="301"/>
      <c r="Q428" s="301"/>
      <c r="R428" s="301"/>
      <c r="S428" s="301"/>
      <c r="T428" s="301"/>
      <c r="U428" s="301"/>
      <c r="V428" s="301"/>
      <c r="W428" s="301"/>
      <c r="X428" s="301"/>
      <c r="Y428" s="301"/>
      <c r="Z428" s="301"/>
      <c r="AA428" s="301"/>
      <c r="AB428" s="301"/>
      <c r="AC428" s="301"/>
      <c r="AD428" s="301"/>
      <c r="AE428" s="301"/>
    </row>
    <row r="429" spans="15:31">
      <c r="O429" s="301"/>
      <c r="P429" s="301"/>
      <c r="Q429" s="301"/>
      <c r="R429" s="301"/>
      <c r="S429" s="301"/>
      <c r="T429" s="301"/>
      <c r="U429" s="301"/>
      <c r="V429" s="301"/>
      <c r="W429" s="301"/>
      <c r="X429" s="301"/>
      <c r="Y429" s="301"/>
      <c r="Z429" s="301"/>
      <c r="AA429" s="301"/>
      <c r="AB429" s="301"/>
      <c r="AC429" s="301"/>
      <c r="AD429" s="301"/>
      <c r="AE429" s="301"/>
    </row>
    <row r="430" spans="15:31">
      <c r="O430" s="301"/>
      <c r="P430" s="301"/>
      <c r="Q430" s="301"/>
      <c r="R430" s="301"/>
      <c r="S430" s="301"/>
      <c r="T430" s="301"/>
      <c r="U430" s="301"/>
      <c r="V430" s="301"/>
      <c r="W430" s="301"/>
      <c r="X430" s="301"/>
      <c r="Y430" s="301"/>
      <c r="Z430" s="301"/>
      <c r="AA430" s="301"/>
      <c r="AB430" s="301"/>
      <c r="AC430" s="301"/>
      <c r="AD430" s="301"/>
      <c r="AE430" s="301"/>
    </row>
    <row r="431" spans="15:31">
      <c r="O431" s="301"/>
      <c r="P431" s="301"/>
      <c r="Q431" s="301"/>
      <c r="R431" s="301"/>
      <c r="S431" s="301"/>
      <c r="T431" s="301"/>
      <c r="U431" s="301"/>
      <c r="V431" s="301"/>
      <c r="W431" s="301"/>
      <c r="X431" s="301"/>
      <c r="Y431" s="301"/>
      <c r="Z431" s="301"/>
      <c r="AA431" s="301"/>
      <c r="AB431" s="301"/>
      <c r="AC431" s="301"/>
      <c r="AD431" s="301"/>
      <c r="AE431" s="301"/>
    </row>
    <row r="432" spans="15:31">
      <c r="O432" s="301"/>
      <c r="P432" s="301"/>
      <c r="Q432" s="301"/>
      <c r="R432" s="301"/>
      <c r="S432" s="301"/>
      <c r="T432" s="301"/>
      <c r="U432" s="301"/>
      <c r="V432" s="301"/>
      <c r="W432" s="301"/>
      <c r="X432" s="301"/>
      <c r="Y432" s="301"/>
      <c r="Z432" s="301"/>
      <c r="AA432" s="301"/>
      <c r="AB432" s="301"/>
      <c r="AC432" s="301"/>
      <c r="AD432" s="301"/>
      <c r="AE432" s="301"/>
    </row>
    <row r="433" spans="15:31">
      <c r="O433" s="301"/>
      <c r="P433" s="301"/>
      <c r="Q433" s="301"/>
      <c r="R433" s="301"/>
      <c r="S433" s="301"/>
      <c r="T433" s="301"/>
      <c r="U433" s="301"/>
      <c r="V433" s="301"/>
      <c r="W433" s="301"/>
      <c r="X433" s="301"/>
      <c r="Y433" s="301"/>
      <c r="Z433" s="301"/>
      <c r="AA433" s="301"/>
      <c r="AB433" s="301"/>
      <c r="AC433" s="301"/>
      <c r="AD433" s="301"/>
      <c r="AE433" s="301"/>
    </row>
    <row r="434" spans="15:31">
      <c r="O434" s="301"/>
      <c r="P434" s="301"/>
      <c r="Q434" s="301"/>
      <c r="R434" s="301"/>
      <c r="S434" s="301"/>
      <c r="T434" s="301"/>
      <c r="U434" s="301"/>
      <c r="V434" s="301"/>
      <c r="W434" s="301"/>
      <c r="X434" s="301"/>
      <c r="Y434" s="301"/>
      <c r="Z434" s="301"/>
      <c r="AA434" s="301"/>
      <c r="AB434" s="301"/>
      <c r="AC434" s="301"/>
      <c r="AD434" s="301"/>
      <c r="AE434" s="301"/>
    </row>
    <row r="435" spans="15:31">
      <c r="O435" s="301"/>
      <c r="P435" s="301"/>
      <c r="Q435" s="301"/>
      <c r="R435" s="301"/>
      <c r="S435" s="301"/>
      <c r="T435" s="301"/>
      <c r="U435" s="301"/>
      <c r="V435" s="301"/>
      <c r="W435" s="301"/>
      <c r="X435" s="301"/>
      <c r="Y435" s="301"/>
      <c r="Z435" s="301"/>
      <c r="AA435" s="301"/>
      <c r="AB435" s="301"/>
      <c r="AC435" s="301"/>
      <c r="AD435" s="301"/>
      <c r="AE435" s="301"/>
    </row>
    <row r="436" spans="15:31">
      <c r="O436" s="301"/>
      <c r="P436" s="301"/>
      <c r="Q436" s="301"/>
      <c r="R436" s="301"/>
      <c r="S436" s="301"/>
      <c r="T436" s="301"/>
      <c r="U436" s="301"/>
      <c r="V436" s="301"/>
      <c r="W436" s="301"/>
      <c r="X436" s="301"/>
      <c r="Y436" s="301"/>
      <c r="Z436" s="301"/>
      <c r="AA436" s="301"/>
      <c r="AB436" s="301"/>
      <c r="AC436" s="301"/>
      <c r="AD436" s="301"/>
      <c r="AE436" s="301"/>
    </row>
    <row r="437" spans="15:31">
      <c r="O437" s="301"/>
      <c r="P437" s="301"/>
      <c r="Q437" s="301"/>
      <c r="R437" s="301"/>
      <c r="S437" s="301"/>
      <c r="T437" s="301"/>
      <c r="U437" s="301"/>
      <c r="V437" s="301"/>
      <c r="W437" s="301"/>
      <c r="X437" s="301"/>
      <c r="Y437" s="301"/>
      <c r="Z437" s="301"/>
      <c r="AA437" s="301"/>
      <c r="AB437" s="301"/>
      <c r="AC437" s="301"/>
      <c r="AD437" s="301"/>
      <c r="AE437" s="301"/>
    </row>
    <row r="438" spans="15:31">
      <c r="O438" s="301"/>
      <c r="P438" s="301"/>
      <c r="Q438" s="301"/>
      <c r="R438" s="301"/>
      <c r="S438" s="301"/>
      <c r="T438" s="301"/>
      <c r="U438" s="301"/>
      <c r="V438" s="301"/>
      <c r="W438" s="301"/>
      <c r="X438" s="301"/>
      <c r="Y438" s="301"/>
      <c r="Z438" s="301"/>
      <c r="AA438" s="301"/>
      <c r="AB438" s="301"/>
      <c r="AC438" s="301"/>
      <c r="AD438" s="301"/>
      <c r="AE438" s="301"/>
    </row>
    <row r="439" spans="15:31">
      <c r="O439" s="301"/>
      <c r="P439" s="301"/>
      <c r="Q439" s="301"/>
      <c r="R439" s="301"/>
      <c r="S439" s="301"/>
      <c r="T439" s="301"/>
      <c r="U439" s="301"/>
      <c r="V439" s="301"/>
      <c r="W439" s="301"/>
      <c r="X439" s="301"/>
      <c r="Y439" s="301"/>
      <c r="Z439" s="301"/>
      <c r="AA439" s="301"/>
      <c r="AB439" s="301"/>
      <c r="AC439" s="301"/>
      <c r="AD439" s="301"/>
      <c r="AE439" s="301"/>
    </row>
    <row r="440" spans="15:31">
      <c r="O440" s="301"/>
      <c r="P440" s="301"/>
      <c r="Q440" s="301"/>
      <c r="R440" s="301"/>
      <c r="S440" s="301"/>
      <c r="T440" s="301"/>
      <c r="U440" s="301"/>
      <c r="V440" s="301"/>
      <c r="W440" s="301"/>
      <c r="X440" s="301"/>
      <c r="Y440" s="301"/>
      <c r="Z440" s="301"/>
      <c r="AA440" s="301"/>
      <c r="AB440" s="301"/>
      <c r="AC440" s="301"/>
      <c r="AD440" s="301"/>
      <c r="AE440" s="301"/>
    </row>
    <row r="441" spans="15:31">
      <c r="O441" s="301"/>
      <c r="P441" s="301"/>
      <c r="Q441" s="301"/>
      <c r="R441" s="301"/>
      <c r="S441" s="301"/>
      <c r="T441" s="301"/>
      <c r="U441" s="301"/>
      <c r="V441" s="301"/>
      <c r="W441" s="301"/>
      <c r="X441" s="301"/>
      <c r="Y441" s="301"/>
      <c r="Z441" s="301"/>
      <c r="AA441" s="301"/>
      <c r="AB441" s="301"/>
      <c r="AC441" s="301"/>
      <c r="AD441" s="301"/>
      <c r="AE441" s="301"/>
    </row>
    <row r="442" spans="15:31">
      <c r="O442" s="301"/>
      <c r="P442" s="301"/>
      <c r="Q442" s="301"/>
      <c r="R442" s="301"/>
      <c r="S442" s="301"/>
      <c r="T442" s="301"/>
      <c r="U442" s="301"/>
      <c r="V442" s="301"/>
      <c r="W442" s="301"/>
      <c r="X442" s="301"/>
      <c r="Y442" s="301"/>
      <c r="Z442" s="301"/>
      <c r="AA442" s="301"/>
      <c r="AB442" s="301"/>
      <c r="AC442" s="301"/>
      <c r="AD442" s="301"/>
      <c r="AE442" s="301"/>
    </row>
    <row r="443" spans="15:31">
      <c r="O443" s="301"/>
      <c r="P443" s="301"/>
      <c r="Q443" s="301"/>
      <c r="R443" s="301"/>
      <c r="S443" s="301"/>
      <c r="T443" s="301"/>
      <c r="U443" s="301"/>
      <c r="V443" s="301"/>
      <c r="W443" s="301"/>
      <c r="X443" s="301"/>
      <c r="Y443" s="301"/>
      <c r="Z443" s="301"/>
      <c r="AA443" s="301"/>
      <c r="AB443" s="301"/>
      <c r="AC443" s="301"/>
      <c r="AD443" s="301"/>
      <c r="AE443" s="301"/>
    </row>
    <row r="444" spans="15:31">
      <c r="O444" s="301"/>
      <c r="P444" s="301"/>
      <c r="Q444" s="301"/>
      <c r="R444" s="301"/>
      <c r="S444" s="301"/>
      <c r="T444" s="301"/>
      <c r="U444" s="301"/>
      <c r="V444" s="301"/>
      <c r="W444" s="301"/>
      <c r="X444" s="301"/>
      <c r="Y444" s="301"/>
      <c r="Z444" s="301"/>
      <c r="AA444" s="301"/>
      <c r="AB444" s="301"/>
      <c r="AC444" s="301"/>
      <c r="AD444" s="301"/>
      <c r="AE444" s="301"/>
    </row>
    <row r="445" spans="15:31">
      <c r="O445" s="301"/>
      <c r="P445" s="301"/>
      <c r="Q445" s="301"/>
      <c r="R445" s="301"/>
      <c r="S445" s="301"/>
      <c r="T445" s="301"/>
      <c r="U445" s="301"/>
      <c r="V445" s="301"/>
      <c r="W445" s="301"/>
      <c r="X445" s="301"/>
      <c r="Y445" s="301"/>
      <c r="Z445" s="301"/>
      <c r="AA445" s="301"/>
      <c r="AB445" s="301"/>
      <c r="AC445" s="301"/>
      <c r="AD445" s="301"/>
      <c r="AE445" s="301"/>
    </row>
    <row r="446" spans="15:31">
      <c r="O446" s="301"/>
      <c r="P446" s="301"/>
      <c r="Q446" s="301"/>
      <c r="R446" s="301"/>
      <c r="S446" s="301"/>
      <c r="T446" s="301"/>
      <c r="U446" s="301"/>
      <c r="V446" s="301"/>
      <c r="W446" s="301"/>
      <c r="X446" s="301"/>
      <c r="Y446" s="301"/>
      <c r="Z446" s="301"/>
      <c r="AA446" s="301"/>
      <c r="AB446" s="301"/>
      <c r="AC446" s="301"/>
      <c r="AD446" s="301"/>
      <c r="AE446" s="301"/>
    </row>
    <row r="447" spans="15:31">
      <c r="O447" s="301"/>
      <c r="P447" s="301"/>
      <c r="Q447" s="301"/>
      <c r="R447" s="301"/>
      <c r="S447" s="301"/>
      <c r="T447" s="301"/>
      <c r="U447" s="301"/>
      <c r="V447" s="301"/>
      <c r="W447" s="301"/>
      <c r="X447" s="301"/>
      <c r="Y447" s="301"/>
      <c r="Z447" s="301"/>
      <c r="AA447" s="301"/>
      <c r="AB447" s="301"/>
      <c r="AC447" s="301"/>
      <c r="AD447" s="301"/>
      <c r="AE447" s="301"/>
    </row>
    <row r="448" spans="15:31">
      <c r="O448" s="301"/>
      <c r="P448" s="301"/>
      <c r="Q448" s="301"/>
      <c r="R448" s="301"/>
      <c r="S448" s="301"/>
      <c r="T448" s="301"/>
      <c r="U448" s="301"/>
      <c r="V448" s="301"/>
      <c r="W448" s="301"/>
      <c r="X448" s="301"/>
      <c r="Y448" s="301"/>
      <c r="Z448" s="301"/>
      <c r="AA448" s="301"/>
      <c r="AB448" s="301"/>
      <c r="AC448" s="301"/>
      <c r="AD448" s="301"/>
      <c r="AE448" s="301"/>
    </row>
    <row r="449" spans="15:31">
      <c r="O449" s="301"/>
      <c r="P449" s="301"/>
      <c r="Q449" s="301"/>
      <c r="R449" s="301"/>
      <c r="S449" s="301"/>
      <c r="T449" s="301"/>
      <c r="U449" s="301"/>
      <c r="V449" s="301"/>
      <c r="W449" s="301"/>
      <c r="X449" s="301"/>
      <c r="Y449" s="301"/>
      <c r="Z449" s="301"/>
      <c r="AA449" s="301"/>
      <c r="AB449" s="301"/>
      <c r="AC449" s="301"/>
      <c r="AD449" s="301"/>
      <c r="AE449" s="301"/>
    </row>
    <row r="450" spans="15:31">
      <c r="O450" s="301"/>
      <c r="P450" s="301"/>
      <c r="Q450" s="301"/>
      <c r="R450" s="301"/>
      <c r="S450" s="301"/>
      <c r="T450" s="301"/>
      <c r="U450" s="301"/>
      <c r="V450" s="301"/>
      <c r="W450" s="301"/>
      <c r="X450" s="301"/>
      <c r="Y450" s="301"/>
      <c r="Z450" s="301"/>
      <c r="AA450" s="301"/>
      <c r="AB450" s="301"/>
      <c r="AC450" s="301"/>
      <c r="AD450" s="301"/>
      <c r="AE450" s="301"/>
    </row>
    <row r="451" spans="15:31">
      <c r="O451" s="301"/>
      <c r="P451" s="301"/>
      <c r="Q451" s="301"/>
      <c r="R451" s="301"/>
      <c r="S451" s="301"/>
      <c r="T451" s="301"/>
      <c r="U451" s="301"/>
      <c r="V451" s="301"/>
      <c r="W451" s="301"/>
      <c r="X451" s="301"/>
      <c r="Y451" s="301"/>
      <c r="Z451" s="301"/>
      <c r="AA451" s="301"/>
      <c r="AB451" s="301"/>
      <c r="AC451" s="301"/>
      <c r="AD451" s="301"/>
      <c r="AE451" s="301"/>
    </row>
    <row r="452" spans="15:31">
      <c r="O452" s="301"/>
      <c r="P452" s="301"/>
      <c r="Q452" s="301"/>
      <c r="R452" s="301"/>
      <c r="S452" s="301"/>
      <c r="T452" s="301"/>
      <c r="U452" s="301"/>
      <c r="V452" s="301"/>
      <c r="W452" s="301"/>
      <c r="X452" s="301"/>
      <c r="Y452" s="301"/>
      <c r="Z452" s="301"/>
      <c r="AA452" s="301"/>
      <c r="AB452" s="301"/>
      <c r="AC452" s="301"/>
      <c r="AD452" s="301"/>
      <c r="AE452" s="301"/>
    </row>
    <row r="453" spans="15:31">
      <c r="O453" s="301"/>
      <c r="P453" s="301"/>
      <c r="Q453" s="301"/>
      <c r="R453" s="301"/>
      <c r="S453" s="301"/>
      <c r="T453" s="301"/>
      <c r="U453" s="301"/>
      <c r="V453" s="301"/>
      <c r="W453" s="301"/>
      <c r="X453" s="301"/>
      <c r="Y453" s="301"/>
      <c r="Z453" s="301"/>
      <c r="AA453" s="301"/>
      <c r="AB453" s="301"/>
      <c r="AC453" s="301"/>
      <c r="AD453" s="301"/>
      <c r="AE453" s="301"/>
    </row>
    <row r="454" spans="15:31">
      <c r="O454" s="301"/>
      <c r="P454" s="301"/>
      <c r="Q454" s="301"/>
      <c r="R454" s="301"/>
      <c r="S454" s="301"/>
      <c r="T454" s="301"/>
      <c r="U454" s="301"/>
      <c r="V454" s="301"/>
      <c r="W454" s="301"/>
      <c r="X454" s="301"/>
      <c r="Y454" s="301"/>
      <c r="Z454" s="301"/>
      <c r="AA454" s="301"/>
      <c r="AB454" s="301"/>
      <c r="AC454" s="301"/>
      <c r="AD454" s="301"/>
      <c r="AE454" s="301"/>
    </row>
    <row r="455" spans="15:31">
      <c r="O455" s="301"/>
      <c r="P455" s="301"/>
      <c r="Q455" s="301"/>
      <c r="R455" s="301"/>
      <c r="S455" s="301"/>
      <c r="T455" s="301"/>
      <c r="U455" s="301"/>
      <c r="V455" s="301"/>
      <c r="W455" s="301"/>
      <c r="X455" s="301"/>
      <c r="Y455" s="301"/>
      <c r="Z455" s="301"/>
      <c r="AA455" s="301"/>
      <c r="AB455" s="301"/>
      <c r="AC455" s="301"/>
      <c r="AD455" s="301"/>
      <c r="AE455" s="301"/>
    </row>
    <row r="456" spans="15:31">
      <c r="O456" s="301"/>
      <c r="P456" s="301"/>
      <c r="Q456" s="301"/>
      <c r="R456" s="301"/>
      <c r="S456" s="301"/>
      <c r="T456" s="301"/>
      <c r="U456" s="301"/>
      <c r="V456" s="301"/>
      <c r="W456" s="301"/>
      <c r="X456" s="301"/>
      <c r="Y456" s="301"/>
      <c r="Z456" s="301"/>
      <c r="AA456" s="301"/>
      <c r="AB456" s="301"/>
      <c r="AC456" s="301"/>
      <c r="AD456" s="301"/>
      <c r="AE456" s="301"/>
    </row>
    <row r="457" spans="15:31">
      <c r="O457" s="301"/>
      <c r="P457" s="301"/>
      <c r="Q457" s="301"/>
      <c r="R457" s="301"/>
      <c r="S457" s="301"/>
      <c r="T457" s="301"/>
      <c r="U457" s="301"/>
      <c r="V457" s="301"/>
      <c r="W457" s="301"/>
      <c r="X457" s="301"/>
      <c r="Y457" s="301"/>
      <c r="Z457" s="301"/>
      <c r="AA457" s="301"/>
      <c r="AB457" s="301"/>
      <c r="AC457" s="301"/>
      <c r="AD457" s="301"/>
      <c r="AE457" s="301"/>
    </row>
    <row r="458" spans="15:31">
      <c r="O458" s="301"/>
      <c r="P458" s="301"/>
      <c r="Q458" s="301"/>
      <c r="R458" s="301"/>
      <c r="S458" s="301"/>
      <c r="T458" s="301"/>
      <c r="U458" s="301"/>
      <c r="V458" s="301"/>
      <c r="W458" s="301"/>
      <c r="X458" s="301"/>
      <c r="Y458" s="301"/>
      <c r="Z458" s="301"/>
      <c r="AA458" s="301"/>
      <c r="AB458" s="301"/>
      <c r="AC458" s="301"/>
      <c r="AD458" s="301"/>
      <c r="AE458" s="301"/>
    </row>
    <row r="459" spans="15:31">
      <c r="O459" s="301"/>
      <c r="P459" s="301"/>
      <c r="Q459" s="301"/>
      <c r="R459" s="301"/>
      <c r="S459" s="301"/>
      <c r="T459" s="301"/>
      <c r="U459" s="301"/>
      <c r="V459" s="301"/>
      <c r="W459" s="301"/>
      <c r="X459" s="301"/>
      <c r="Y459" s="301"/>
      <c r="Z459" s="301"/>
      <c r="AA459" s="301"/>
      <c r="AB459" s="301"/>
      <c r="AC459" s="301"/>
      <c r="AD459" s="301"/>
      <c r="AE459" s="301"/>
    </row>
    <row r="460" spans="15:31">
      <c r="O460" s="301"/>
      <c r="P460" s="301"/>
      <c r="Q460" s="301"/>
      <c r="R460" s="301"/>
      <c r="S460" s="301"/>
      <c r="T460" s="301"/>
      <c r="U460" s="301"/>
      <c r="V460" s="301"/>
      <c r="W460" s="301"/>
      <c r="X460" s="301"/>
      <c r="Y460" s="301"/>
      <c r="Z460" s="301"/>
      <c r="AA460" s="301"/>
      <c r="AB460" s="301"/>
      <c r="AC460" s="301"/>
      <c r="AD460" s="301"/>
      <c r="AE460" s="301"/>
    </row>
    <row r="461" spans="15:31">
      <c r="O461" s="301"/>
      <c r="P461" s="301"/>
      <c r="Q461" s="301"/>
      <c r="R461" s="301"/>
      <c r="S461" s="301"/>
      <c r="T461" s="301"/>
      <c r="U461" s="301"/>
      <c r="V461" s="301"/>
      <c r="W461" s="301"/>
      <c r="X461" s="301"/>
      <c r="Y461" s="301"/>
      <c r="Z461" s="301"/>
      <c r="AA461" s="301"/>
      <c r="AB461" s="301"/>
      <c r="AC461" s="301"/>
      <c r="AD461" s="301"/>
      <c r="AE461" s="301"/>
    </row>
    <row r="462" spans="15:31">
      <c r="O462" s="301"/>
      <c r="P462" s="301"/>
      <c r="Q462" s="301"/>
      <c r="R462" s="301"/>
      <c r="S462" s="301"/>
      <c r="T462" s="301"/>
      <c r="U462" s="301"/>
      <c r="V462" s="301"/>
      <c r="W462" s="301"/>
      <c r="X462" s="301"/>
      <c r="Y462" s="301"/>
      <c r="Z462" s="301"/>
      <c r="AA462" s="301"/>
      <c r="AB462" s="301"/>
      <c r="AC462" s="301"/>
      <c r="AD462" s="301"/>
      <c r="AE462" s="301"/>
    </row>
    <row r="463" spans="15:31">
      <c r="O463" s="301"/>
      <c r="P463" s="301"/>
      <c r="Q463" s="301"/>
      <c r="R463" s="301"/>
      <c r="S463" s="301"/>
      <c r="T463" s="301"/>
      <c r="U463" s="301"/>
      <c r="V463" s="301"/>
      <c r="W463" s="301"/>
      <c r="X463" s="301"/>
      <c r="Y463" s="301"/>
      <c r="Z463" s="301"/>
      <c r="AA463" s="301"/>
      <c r="AB463" s="301"/>
      <c r="AC463" s="301"/>
      <c r="AD463" s="301"/>
      <c r="AE463" s="301"/>
    </row>
    <row r="464" spans="15:31">
      <c r="O464" s="301"/>
      <c r="P464" s="301"/>
      <c r="Q464" s="301"/>
      <c r="R464" s="301"/>
      <c r="S464" s="301"/>
      <c r="T464" s="301"/>
      <c r="U464" s="301"/>
      <c r="V464" s="301"/>
      <c r="W464" s="301"/>
      <c r="X464" s="301"/>
      <c r="Y464" s="301"/>
      <c r="Z464" s="301"/>
      <c r="AA464" s="301"/>
      <c r="AB464" s="301"/>
      <c r="AC464" s="301"/>
      <c r="AD464" s="301"/>
      <c r="AE464" s="301"/>
    </row>
    <row r="465" spans="15:31">
      <c r="O465" s="301"/>
      <c r="P465" s="301"/>
      <c r="Q465" s="301"/>
      <c r="R465" s="301"/>
      <c r="S465" s="301"/>
      <c r="T465" s="301"/>
      <c r="U465" s="301"/>
      <c r="V465" s="301"/>
      <c r="W465" s="301"/>
      <c r="X465" s="301"/>
      <c r="Y465" s="301"/>
      <c r="Z465" s="301"/>
      <c r="AA465" s="301"/>
      <c r="AB465" s="301"/>
      <c r="AC465" s="301"/>
      <c r="AD465" s="301"/>
      <c r="AE465" s="301"/>
    </row>
    <row r="466" spans="15:31">
      <c r="O466" s="301"/>
      <c r="P466" s="301"/>
      <c r="Q466" s="301"/>
      <c r="R466" s="301"/>
      <c r="S466" s="301"/>
      <c r="T466" s="301"/>
      <c r="U466" s="301"/>
      <c r="V466" s="301"/>
      <c r="W466" s="301"/>
      <c r="X466" s="301"/>
      <c r="Y466" s="301"/>
      <c r="Z466" s="301"/>
      <c r="AA466" s="301"/>
      <c r="AB466" s="301"/>
      <c r="AC466" s="301"/>
      <c r="AD466" s="301"/>
      <c r="AE466" s="301"/>
    </row>
    <row r="467" spans="15:31">
      <c r="O467" s="301"/>
      <c r="P467" s="301"/>
      <c r="Q467" s="301"/>
      <c r="R467" s="301"/>
      <c r="S467" s="301"/>
      <c r="T467" s="301"/>
      <c r="U467" s="301"/>
      <c r="V467" s="301"/>
      <c r="W467" s="301"/>
      <c r="X467" s="301"/>
      <c r="Y467" s="301"/>
      <c r="Z467" s="301"/>
      <c r="AA467" s="301"/>
      <c r="AB467" s="301"/>
      <c r="AC467" s="301"/>
      <c r="AD467" s="301"/>
      <c r="AE467" s="301"/>
    </row>
    <row r="468" spans="15:31">
      <c r="O468" s="301"/>
      <c r="P468" s="301"/>
      <c r="Q468" s="301"/>
      <c r="R468" s="301"/>
      <c r="S468" s="301"/>
      <c r="T468" s="301"/>
      <c r="U468" s="301"/>
      <c r="V468" s="301"/>
      <c r="W468" s="301"/>
      <c r="X468" s="301"/>
      <c r="Y468" s="301"/>
      <c r="Z468" s="301"/>
      <c r="AA468" s="301"/>
      <c r="AB468" s="301"/>
      <c r="AC468" s="301"/>
      <c r="AD468" s="301"/>
      <c r="AE468" s="301"/>
    </row>
    <row r="469" spans="15:31">
      <c r="O469" s="301"/>
      <c r="P469" s="301"/>
      <c r="Q469" s="301"/>
      <c r="R469" s="301"/>
      <c r="S469" s="301"/>
      <c r="T469" s="301"/>
      <c r="U469" s="301"/>
      <c r="V469" s="301"/>
      <c r="W469" s="301"/>
      <c r="X469" s="301"/>
      <c r="Y469" s="301"/>
      <c r="Z469" s="301"/>
      <c r="AA469" s="301"/>
      <c r="AB469" s="301"/>
      <c r="AC469" s="301"/>
      <c r="AD469" s="301"/>
      <c r="AE469" s="301"/>
    </row>
    <row r="470" spans="15:31">
      <c r="O470" s="301"/>
      <c r="P470" s="301"/>
      <c r="Q470" s="301"/>
      <c r="R470" s="301"/>
      <c r="S470" s="301"/>
      <c r="T470" s="301"/>
      <c r="U470" s="301"/>
      <c r="V470" s="301"/>
      <c r="W470" s="301"/>
      <c r="X470" s="301"/>
      <c r="Y470" s="301"/>
      <c r="Z470" s="301"/>
      <c r="AA470" s="301"/>
      <c r="AB470" s="301"/>
      <c r="AC470" s="301"/>
      <c r="AD470" s="301"/>
      <c r="AE470" s="301"/>
    </row>
    <row r="471" spans="15:31">
      <c r="O471" s="301"/>
      <c r="P471" s="301"/>
      <c r="Q471" s="301"/>
      <c r="R471" s="301"/>
      <c r="S471" s="301"/>
      <c r="T471" s="301"/>
      <c r="U471" s="301"/>
      <c r="V471" s="301"/>
      <c r="W471" s="301"/>
      <c r="X471" s="301"/>
      <c r="Y471" s="301"/>
      <c r="Z471" s="301"/>
      <c r="AA471" s="301"/>
      <c r="AB471" s="301"/>
      <c r="AC471" s="301"/>
      <c r="AD471" s="301"/>
      <c r="AE471" s="301"/>
    </row>
    <row r="472" spans="15:31">
      <c r="O472" s="301"/>
      <c r="P472" s="301"/>
      <c r="Q472" s="301"/>
      <c r="R472" s="301"/>
      <c r="S472" s="301"/>
      <c r="T472" s="301"/>
      <c r="U472" s="301"/>
      <c r="V472" s="301"/>
      <c r="W472" s="301"/>
      <c r="X472" s="301"/>
      <c r="Y472" s="301"/>
      <c r="Z472" s="301"/>
      <c r="AA472" s="301"/>
      <c r="AB472" s="301"/>
      <c r="AC472" s="301"/>
      <c r="AD472" s="301"/>
      <c r="AE472" s="301"/>
    </row>
    <row r="473" spans="15:31">
      <c r="O473" s="301"/>
      <c r="P473" s="301"/>
      <c r="Q473" s="301"/>
      <c r="R473" s="301"/>
      <c r="S473" s="301"/>
      <c r="T473" s="301"/>
      <c r="U473" s="301"/>
      <c r="V473" s="301"/>
      <c r="W473" s="301"/>
      <c r="X473" s="301"/>
      <c r="Y473" s="301"/>
      <c r="Z473" s="301"/>
      <c r="AA473" s="301"/>
      <c r="AB473" s="301"/>
      <c r="AC473" s="301"/>
      <c r="AD473" s="301"/>
      <c r="AE473" s="301"/>
    </row>
    <row r="474" spans="15:31">
      <c r="O474" s="301"/>
      <c r="P474" s="301"/>
      <c r="Q474" s="301"/>
      <c r="R474" s="301"/>
      <c r="S474" s="301"/>
      <c r="T474" s="301"/>
      <c r="U474" s="301"/>
      <c r="V474" s="301"/>
      <c r="W474" s="301"/>
      <c r="X474" s="301"/>
      <c r="Y474" s="301"/>
      <c r="Z474" s="301"/>
      <c r="AA474" s="301"/>
      <c r="AB474" s="301"/>
      <c r="AC474" s="301"/>
      <c r="AD474" s="301"/>
      <c r="AE474" s="301"/>
    </row>
    <row r="475" spans="15:31">
      <c r="O475" s="301"/>
      <c r="P475" s="301"/>
      <c r="Q475" s="301"/>
      <c r="R475" s="301"/>
      <c r="S475" s="301"/>
      <c r="T475" s="301"/>
      <c r="U475" s="301"/>
      <c r="V475" s="301"/>
      <c r="W475" s="301"/>
      <c r="X475" s="301"/>
      <c r="Y475" s="301"/>
      <c r="Z475" s="301"/>
      <c r="AA475" s="301"/>
      <c r="AB475" s="301"/>
      <c r="AC475" s="301"/>
      <c r="AD475" s="301"/>
      <c r="AE475" s="301"/>
    </row>
    <row r="476" spans="15:31">
      <c r="O476" s="301"/>
      <c r="P476" s="301"/>
      <c r="Q476" s="301"/>
      <c r="R476" s="301"/>
      <c r="S476" s="301"/>
      <c r="T476" s="301"/>
      <c r="U476" s="301"/>
      <c r="V476" s="301"/>
      <c r="W476" s="301"/>
      <c r="X476" s="301"/>
      <c r="Y476" s="301"/>
      <c r="Z476" s="301"/>
      <c r="AA476" s="301"/>
      <c r="AB476" s="301"/>
      <c r="AC476" s="301"/>
      <c r="AD476" s="301"/>
      <c r="AE476" s="301"/>
    </row>
    <row r="477" spans="15:31">
      <c r="O477" s="301"/>
      <c r="P477" s="301"/>
      <c r="Q477" s="301"/>
      <c r="R477" s="301"/>
      <c r="S477" s="301"/>
      <c r="T477" s="301"/>
      <c r="U477" s="301"/>
      <c r="V477" s="301"/>
      <c r="W477" s="301"/>
      <c r="X477" s="301"/>
      <c r="Y477" s="301"/>
      <c r="Z477" s="301"/>
      <c r="AA477" s="301"/>
      <c r="AB477" s="301"/>
      <c r="AC477" s="301"/>
      <c r="AD477" s="301"/>
      <c r="AE477" s="301"/>
    </row>
    <row r="478" spans="15:31">
      <c r="O478" s="301"/>
      <c r="P478" s="301"/>
      <c r="Q478" s="301"/>
      <c r="R478" s="301"/>
      <c r="S478" s="301"/>
      <c r="T478" s="301"/>
      <c r="U478" s="301"/>
      <c r="V478" s="301"/>
      <c r="W478" s="301"/>
      <c r="X478" s="301"/>
      <c r="Y478" s="301"/>
      <c r="Z478" s="301"/>
      <c r="AA478" s="301"/>
      <c r="AB478" s="301"/>
      <c r="AC478" s="301"/>
      <c r="AD478" s="301"/>
      <c r="AE478" s="301"/>
    </row>
    <row r="479" spans="15:31">
      <c r="O479" s="301"/>
      <c r="P479" s="301"/>
      <c r="Q479" s="301"/>
      <c r="R479" s="301"/>
      <c r="S479" s="301"/>
      <c r="T479" s="301"/>
      <c r="U479" s="301"/>
      <c r="V479" s="301"/>
      <c r="W479" s="301"/>
      <c r="X479" s="301"/>
      <c r="Y479" s="301"/>
      <c r="Z479" s="301"/>
      <c r="AA479" s="301"/>
      <c r="AB479" s="301"/>
      <c r="AC479" s="301"/>
      <c r="AD479" s="301"/>
      <c r="AE479" s="301"/>
    </row>
    <row r="480" spans="15:31">
      <c r="O480" s="301"/>
      <c r="P480" s="301"/>
      <c r="Q480" s="301"/>
      <c r="R480" s="301"/>
      <c r="S480" s="301"/>
      <c r="T480" s="301"/>
      <c r="U480" s="301"/>
      <c r="V480" s="301"/>
      <c r="W480" s="301"/>
      <c r="X480" s="301"/>
      <c r="Y480" s="301"/>
      <c r="Z480" s="301"/>
      <c r="AA480" s="301"/>
      <c r="AB480" s="301"/>
      <c r="AC480" s="301"/>
      <c r="AD480" s="301"/>
      <c r="AE480" s="301"/>
    </row>
    <row r="481" spans="15:31">
      <c r="O481" s="301"/>
      <c r="P481" s="301"/>
      <c r="Q481" s="301"/>
      <c r="R481" s="301"/>
      <c r="S481" s="301"/>
      <c r="T481" s="301"/>
      <c r="U481" s="301"/>
      <c r="V481" s="301"/>
      <c r="W481" s="301"/>
      <c r="X481" s="301"/>
      <c r="Y481" s="301"/>
      <c r="Z481" s="301"/>
      <c r="AA481" s="301"/>
      <c r="AB481" s="301"/>
      <c r="AC481" s="301"/>
      <c r="AD481" s="301"/>
      <c r="AE481" s="301"/>
    </row>
    <row r="482" spans="15:31">
      <c r="O482" s="301"/>
      <c r="P482" s="301"/>
      <c r="Q482" s="301"/>
      <c r="R482" s="301"/>
      <c r="S482" s="301"/>
      <c r="T482" s="301"/>
      <c r="U482" s="301"/>
      <c r="V482" s="301"/>
      <c r="W482" s="301"/>
      <c r="X482" s="301"/>
      <c r="Y482" s="301"/>
      <c r="Z482" s="301"/>
      <c r="AA482" s="301"/>
      <c r="AB482" s="301"/>
      <c r="AC482" s="301"/>
      <c r="AD482" s="301"/>
      <c r="AE482" s="301"/>
    </row>
    <row r="483" spans="15:31">
      <c r="O483" s="301"/>
      <c r="P483" s="301"/>
      <c r="Q483" s="301"/>
      <c r="R483" s="301"/>
      <c r="S483" s="301"/>
      <c r="T483" s="301"/>
      <c r="U483" s="301"/>
      <c r="V483" s="301"/>
      <c r="W483" s="301"/>
      <c r="X483" s="301"/>
      <c r="Y483" s="301"/>
      <c r="Z483" s="301"/>
      <c r="AA483" s="301"/>
      <c r="AB483" s="301"/>
      <c r="AC483" s="301"/>
      <c r="AD483" s="301"/>
      <c r="AE483" s="301"/>
    </row>
    <row r="484" spans="15:31">
      <c r="O484" s="301"/>
      <c r="P484" s="301"/>
      <c r="Q484" s="301"/>
      <c r="R484" s="301"/>
      <c r="S484" s="301"/>
      <c r="T484" s="301"/>
      <c r="U484" s="301"/>
      <c r="V484" s="301"/>
      <c r="W484" s="301"/>
      <c r="X484" s="301"/>
      <c r="Y484" s="301"/>
      <c r="Z484" s="301"/>
      <c r="AA484" s="301"/>
      <c r="AB484" s="301"/>
      <c r="AC484" s="301"/>
      <c r="AD484" s="301"/>
      <c r="AE484" s="301"/>
    </row>
    <row r="485" spans="15:31">
      <c r="O485" s="301"/>
      <c r="P485" s="301"/>
      <c r="Q485" s="301"/>
      <c r="R485" s="301"/>
      <c r="S485" s="301"/>
      <c r="T485" s="301"/>
      <c r="U485" s="301"/>
      <c r="V485" s="301"/>
      <c r="W485" s="301"/>
      <c r="X485" s="301"/>
      <c r="Y485" s="301"/>
      <c r="Z485" s="301"/>
      <c r="AA485" s="301"/>
      <c r="AB485" s="301"/>
      <c r="AC485" s="301"/>
      <c r="AD485" s="301"/>
      <c r="AE485" s="301"/>
    </row>
    <row r="486" spans="15:31">
      <c r="O486" s="301"/>
      <c r="P486" s="301"/>
      <c r="Q486" s="301"/>
      <c r="R486" s="301"/>
      <c r="S486" s="301"/>
      <c r="T486" s="301"/>
      <c r="U486" s="301"/>
      <c r="V486" s="301"/>
      <c r="W486" s="301"/>
      <c r="X486" s="301"/>
      <c r="Y486" s="301"/>
      <c r="Z486" s="301"/>
      <c r="AA486" s="301"/>
      <c r="AB486" s="301"/>
      <c r="AC486" s="301"/>
      <c r="AD486" s="301"/>
      <c r="AE486" s="301"/>
    </row>
    <row r="487" spans="15:31">
      <c r="O487" s="301"/>
      <c r="P487" s="301"/>
      <c r="Q487" s="301"/>
      <c r="R487" s="301"/>
      <c r="S487" s="301"/>
      <c r="T487" s="301"/>
      <c r="U487" s="301"/>
      <c r="V487" s="301"/>
      <c r="W487" s="301"/>
      <c r="X487" s="301"/>
      <c r="Y487" s="301"/>
      <c r="Z487" s="301"/>
      <c r="AA487" s="301"/>
      <c r="AB487" s="301"/>
      <c r="AC487" s="301"/>
      <c r="AD487" s="301"/>
      <c r="AE487" s="301"/>
    </row>
    <row r="488" spans="15:31">
      <c r="O488" s="301"/>
      <c r="P488" s="301"/>
      <c r="Q488" s="301"/>
      <c r="R488" s="301"/>
      <c r="S488" s="301"/>
      <c r="T488" s="301"/>
      <c r="U488" s="301"/>
      <c r="V488" s="301"/>
      <c r="W488" s="301"/>
      <c r="X488" s="301"/>
      <c r="Y488" s="301"/>
      <c r="Z488" s="301"/>
      <c r="AA488" s="301"/>
      <c r="AB488" s="301"/>
      <c r="AC488" s="301"/>
      <c r="AD488" s="301"/>
      <c r="AE488" s="301"/>
    </row>
    <row r="489" spans="15:31">
      <c r="O489" s="301"/>
      <c r="P489" s="301"/>
      <c r="Q489" s="301"/>
      <c r="R489" s="301"/>
      <c r="S489" s="301"/>
      <c r="T489" s="301"/>
      <c r="U489" s="301"/>
      <c r="V489" s="301"/>
      <c r="W489" s="301"/>
      <c r="X489" s="301"/>
      <c r="Y489" s="301"/>
      <c r="Z489" s="301"/>
      <c r="AA489" s="301"/>
      <c r="AB489" s="301"/>
      <c r="AC489" s="301"/>
      <c r="AD489" s="301"/>
      <c r="AE489" s="301"/>
    </row>
    <row r="490" spans="15:31">
      <c r="O490" s="301"/>
      <c r="P490" s="301"/>
      <c r="Q490" s="301"/>
      <c r="R490" s="301"/>
      <c r="S490" s="301"/>
      <c r="T490" s="301"/>
      <c r="U490" s="301"/>
      <c r="V490" s="301"/>
      <c r="W490" s="301"/>
      <c r="X490" s="301"/>
      <c r="Y490" s="301"/>
      <c r="Z490" s="301"/>
      <c r="AA490" s="301"/>
      <c r="AB490" s="301"/>
      <c r="AC490" s="301"/>
      <c r="AD490" s="301"/>
      <c r="AE490" s="301"/>
    </row>
    <row r="491" spans="15:31">
      <c r="O491" s="301"/>
      <c r="P491" s="301"/>
      <c r="Q491" s="301"/>
      <c r="R491" s="301"/>
      <c r="S491" s="301"/>
      <c r="T491" s="301"/>
      <c r="U491" s="301"/>
      <c r="V491" s="301"/>
      <c r="W491" s="301"/>
      <c r="X491" s="301"/>
      <c r="Y491" s="301"/>
      <c r="Z491" s="301"/>
      <c r="AA491" s="301"/>
      <c r="AB491" s="301"/>
      <c r="AC491" s="301"/>
      <c r="AD491" s="301"/>
      <c r="AE491" s="301"/>
    </row>
    <row r="492" spans="15:31">
      <c r="O492" s="301"/>
      <c r="P492" s="301"/>
      <c r="Q492" s="301"/>
      <c r="R492" s="301"/>
      <c r="S492" s="301"/>
      <c r="T492" s="301"/>
      <c r="U492" s="301"/>
      <c r="V492" s="301"/>
      <c r="W492" s="301"/>
      <c r="X492" s="301"/>
      <c r="Y492" s="301"/>
      <c r="Z492" s="301"/>
      <c r="AA492" s="301"/>
      <c r="AB492" s="301"/>
      <c r="AC492" s="301"/>
      <c r="AD492" s="301"/>
      <c r="AE492" s="301"/>
    </row>
    <row r="493" spans="15:31">
      <c r="O493" s="301"/>
      <c r="P493" s="301"/>
      <c r="Q493" s="301"/>
      <c r="R493" s="301"/>
      <c r="S493" s="301"/>
      <c r="T493" s="301"/>
      <c r="U493" s="301"/>
      <c r="V493" s="301"/>
      <c r="W493" s="301"/>
      <c r="X493" s="301"/>
      <c r="Y493" s="301"/>
      <c r="Z493" s="301"/>
      <c r="AA493" s="301"/>
      <c r="AB493" s="301"/>
      <c r="AC493" s="301"/>
      <c r="AD493" s="301"/>
      <c r="AE493" s="301"/>
    </row>
    <row r="494" spans="15:31">
      <c r="O494" s="301"/>
      <c r="P494" s="301"/>
      <c r="Q494" s="301"/>
      <c r="R494" s="301"/>
      <c r="S494" s="301"/>
      <c r="T494" s="301"/>
      <c r="U494" s="301"/>
      <c r="V494" s="301"/>
      <c r="W494" s="301"/>
      <c r="X494" s="301"/>
      <c r="Y494" s="301"/>
      <c r="Z494" s="301"/>
      <c r="AA494" s="301"/>
      <c r="AB494" s="301"/>
      <c r="AC494" s="301"/>
      <c r="AD494" s="301"/>
      <c r="AE494" s="301"/>
    </row>
    <row r="495" spans="15:31">
      <c r="O495" s="301"/>
      <c r="P495" s="301"/>
      <c r="Q495" s="301"/>
      <c r="R495" s="301"/>
      <c r="S495" s="301"/>
      <c r="T495" s="301"/>
      <c r="U495" s="301"/>
      <c r="V495" s="301"/>
      <c r="W495" s="301"/>
      <c r="X495" s="301"/>
      <c r="Y495" s="301"/>
      <c r="Z495" s="301"/>
      <c r="AA495" s="301"/>
      <c r="AB495" s="301"/>
      <c r="AC495" s="301"/>
      <c r="AD495" s="301"/>
      <c r="AE495" s="301"/>
    </row>
    <row r="496" spans="15:31">
      <c r="O496" s="301"/>
      <c r="P496" s="301"/>
      <c r="Q496" s="301"/>
      <c r="R496" s="301"/>
      <c r="S496" s="301"/>
      <c r="T496" s="301"/>
      <c r="U496" s="301"/>
      <c r="V496" s="301"/>
      <c r="W496" s="301"/>
      <c r="X496" s="301"/>
      <c r="Y496" s="301"/>
      <c r="Z496" s="301"/>
      <c r="AA496" s="301"/>
      <c r="AB496" s="301"/>
      <c r="AC496" s="301"/>
      <c r="AD496" s="301"/>
      <c r="AE496" s="301"/>
    </row>
    <row r="497" spans="15:31">
      <c r="O497" s="301"/>
      <c r="P497" s="301"/>
      <c r="Q497" s="301"/>
      <c r="R497" s="301"/>
      <c r="S497" s="301"/>
      <c r="T497" s="301"/>
      <c r="U497" s="301"/>
      <c r="V497" s="301"/>
      <c r="W497" s="301"/>
      <c r="X497" s="301"/>
      <c r="Y497" s="301"/>
      <c r="Z497" s="301"/>
      <c r="AA497" s="301"/>
      <c r="AB497" s="301"/>
      <c r="AC497" s="301"/>
      <c r="AD497" s="301"/>
      <c r="AE497" s="301"/>
    </row>
    <row r="498" spans="15:31">
      <c r="O498" s="301"/>
      <c r="P498" s="301"/>
      <c r="Q498" s="301"/>
      <c r="R498" s="301"/>
      <c r="S498" s="301"/>
      <c r="T498" s="301"/>
      <c r="U498" s="301"/>
      <c r="V498" s="301"/>
      <c r="W498" s="301"/>
      <c r="X498" s="301"/>
      <c r="Y498" s="301"/>
      <c r="Z498" s="301"/>
      <c r="AA498" s="301"/>
      <c r="AB498" s="301"/>
      <c r="AC498" s="301"/>
      <c r="AD498" s="301"/>
      <c r="AE498" s="301"/>
    </row>
    <row r="499" spans="15:31">
      <c r="O499" s="301"/>
      <c r="P499" s="301"/>
      <c r="Q499" s="301"/>
      <c r="R499" s="301"/>
      <c r="S499" s="301"/>
      <c r="T499" s="301"/>
      <c r="U499" s="301"/>
      <c r="V499" s="301"/>
      <c r="W499" s="301"/>
      <c r="X499" s="301"/>
      <c r="Y499" s="301"/>
      <c r="Z499" s="301"/>
      <c r="AA499" s="301"/>
      <c r="AB499" s="301"/>
      <c r="AC499" s="301"/>
      <c r="AD499" s="301"/>
      <c r="AE499" s="301"/>
    </row>
    <row r="500" spans="15:31">
      <c r="O500" s="301"/>
      <c r="P500" s="301"/>
      <c r="Q500" s="301"/>
      <c r="R500" s="301"/>
      <c r="S500" s="301"/>
      <c r="T500" s="301"/>
      <c r="U500" s="301"/>
      <c r="V500" s="301"/>
      <c r="W500" s="301"/>
      <c r="X500" s="301"/>
      <c r="Y500" s="301"/>
      <c r="Z500" s="301"/>
      <c r="AA500" s="301"/>
      <c r="AB500" s="301"/>
      <c r="AC500" s="301"/>
      <c r="AD500" s="301"/>
      <c r="AE500" s="301"/>
    </row>
    <row r="501" spans="15:31">
      <c r="O501" s="301"/>
      <c r="P501" s="301"/>
      <c r="Q501" s="301"/>
      <c r="R501" s="301"/>
      <c r="S501" s="301"/>
      <c r="T501" s="301"/>
      <c r="U501" s="301"/>
      <c r="V501" s="301"/>
      <c r="W501" s="301"/>
      <c r="X501" s="301"/>
      <c r="Y501" s="301"/>
      <c r="Z501" s="301"/>
      <c r="AA501" s="301"/>
      <c r="AB501" s="301"/>
      <c r="AC501" s="301"/>
      <c r="AD501" s="301"/>
      <c r="AE501" s="301"/>
    </row>
    <row r="502" spans="15:31">
      <c r="O502" s="301"/>
      <c r="P502" s="301"/>
      <c r="Q502" s="301"/>
      <c r="R502" s="301"/>
      <c r="S502" s="301"/>
      <c r="T502" s="301"/>
      <c r="U502" s="301"/>
      <c r="V502" s="301"/>
      <c r="W502" s="301"/>
      <c r="X502" s="301"/>
      <c r="Y502" s="301"/>
      <c r="Z502" s="301"/>
      <c r="AA502" s="301"/>
      <c r="AB502" s="301"/>
      <c r="AC502" s="301"/>
      <c r="AD502" s="301"/>
      <c r="AE502" s="301"/>
    </row>
    <row r="503" spans="15:31">
      <c r="O503" s="301"/>
      <c r="P503" s="301"/>
      <c r="Q503" s="301"/>
      <c r="R503" s="301"/>
      <c r="S503" s="301"/>
      <c r="T503" s="301"/>
      <c r="U503" s="301"/>
      <c r="V503" s="301"/>
      <c r="W503" s="301"/>
      <c r="X503" s="301"/>
      <c r="Y503" s="301"/>
      <c r="Z503" s="301"/>
      <c r="AA503" s="301"/>
      <c r="AB503" s="301"/>
      <c r="AC503" s="301"/>
      <c r="AD503" s="301"/>
      <c r="AE503" s="301"/>
    </row>
    <row r="504" spans="15:31">
      <c r="O504" s="301"/>
      <c r="P504" s="301"/>
      <c r="Q504" s="301"/>
      <c r="R504" s="301"/>
      <c r="S504" s="301"/>
      <c r="T504" s="301"/>
      <c r="U504" s="301"/>
      <c r="V504" s="301"/>
      <c r="W504" s="301"/>
      <c r="X504" s="301"/>
      <c r="Y504" s="301"/>
      <c r="Z504" s="301"/>
      <c r="AA504" s="301"/>
      <c r="AB504" s="301"/>
      <c r="AC504" s="301"/>
      <c r="AD504" s="301"/>
      <c r="AE504" s="301"/>
    </row>
    <row r="505" spans="15:31">
      <c r="O505" s="301"/>
      <c r="P505" s="301"/>
      <c r="Q505" s="301"/>
      <c r="R505" s="301"/>
      <c r="S505" s="301"/>
      <c r="T505" s="301"/>
      <c r="U505" s="301"/>
      <c r="V505" s="301"/>
      <c r="W505" s="301"/>
      <c r="X505" s="301"/>
      <c r="Y505" s="301"/>
      <c r="Z505" s="301"/>
      <c r="AA505" s="301"/>
      <c r="AB505" s="301"/>
      <c r="AC505" s="301"/>
      <c r="AD505" s="301"/>
      <c r="AE505" s="301"/>
    </row>
    <row r="506" spans="15:31">
      <c r="O506" s="301"/>
      <c r="P506" s="301"/>
      <c r="Q506" s="301"/>
      <c r="R506" s="301"/>
      <c r="S506" s="301"/>
      <c r="T506" s="301"/>
      <c r="U506" s="301"/>
      <c r="V506" s="301"/>
      <c r="W506" s="301"/>
      <c r="X506" s="301"/>
      <c r="Y506" s="301"/>
      <c r="Z506" s="301"/>
      <c r="AA506" s="301"/>
      <c r="AB506" s="301"/>
      <c r="AC506" s="301"/>
      <c r="AD506" s="301"/>
      <c r="AE506" s="301"/>
    </row>
    <row r="507" spans="15:31">
      <c r="O507" s="301"/>
      <c r="P507" s="301"/>
      <c r="Q507" s="301"/>
      <c r="R507" s="301"/>
      <c r="S507" s="301"/>
      <c r="T507" s="301"/>
      <c r="U507" s="301"/>
      <c r="V507" s="301"/>
      <c r="W507" s="301"/>
      <c r="X507" s="301"/>
      <c r="Y507" s="301"/>
      <c r="Z507" s="301"/>
      <c r="AA507" s="301"/>
      <c r="AB507" s="301"/>
      <c r="AC507" s="301"/>
      <c r="AD507" s="301"/>
      <c r="AE507" s="301"/>
    </row>
    <row r="508" spans="15:31">
      <c r="O508" s="301"/>
      <c r="P508" s="301"/>
      <c r="Q508" s="301"/>
      <c r="R508" s="301"/>
      <c r="S508" s="301"/>
      <c r="T508" s="301"/>
      <c r="U508" s="301"/>
      <c r="V508" s="301"/>
      <c r="W508" s="301"/>
      <c r="X508" s="301"/>
      <c r="Y508" s="301"/>
      <c r="Z508" s="301"/>
      <c r="AA508" s="301"/>
      <c r="AB508" s="301"/>
      <c r="AC508" s="301"/>
      <c r="AD508" s="301"/>
      <c r="AE508" s="301"/>
    </row>
    <row r="509" spans="15:31">
      <c r="O509" s="301"/>
      <c r="P509" s="301"/>
      <c r="Q509" s="301"/>
      <c r="R509" s="301"/>
      <c r="S509" s="301"/>
      <c r="T509" s="301"/>
      <c r="U509" s="301"/>
      <c r="V509" s="301"/>
      <c r="W509" s="301"/>
      <c r="X509" s="301"/>
      <c r="Y509" s="301"/>
      <c r="Z509" s="301"/>
      <c r="AA509" s="301"/>
      <c r="AB509" s="301"/>
      <c r="AC509" s="301"/>
      <c r="AD509" s="301"/>
      <c r="AE509" s="301"/>
    </row>
    <row r="510" spans="15:31">
      <c r="O510" s="301"/>
      <c r="P510" s="301"/>
      <c r="Q510" s="301"/>
      <c r="R510" s="301"/>
      <c r="S510" s="301"/>
      <c r="T510" s="301"/>
      <c r="U510" s="301"/>
      <c r="V510" s="301"/>
      <c r="W510" s="301"/>
      <c r="X510" s="301"/>
      <c r="Y510" s="301"/>
      <c r="Z510" s="301"/>
      <c r="AA510" s="301"/>
      <c r="AB510" s="301"/>
      <c r="AC510" s="301"/>
      <c r="AD510" s="301"/>
      <c r="AE510" s="301"/>
    </row>
    <row r="511" spans="15:31">
      <c r="O511" s="301"/>
      <c r="P511" s="301"/>
      <c r="Q511" s="301"/>
      <c r="R511" s="301"/>
      <c r="S511" s="301"/>
      <c r="T511" s="301"/>
      <c r="U511" s="301"/>
      <c r="V511" s="301"/>
      <c r="W511" s="301"/>
      <c r="X511" s="301"/>
      <c r="Y511" s="301"/>
      <c r="Z511" s="301"/>
      <c r="AA511" s="301"/>
      <c r="AB511" s="301"/>
      <c r="AC511" s="301"/>
      <c r="AD511" s="301"/>
      <c r="AE511" s="301"/>
    </row>
    <row r="512" spans="15:31">
      <c r="O512" s="301"/>
      <c r="P512" s="301"/>
      <c r="Q512" s="301"/>
      <c r="R512" s="301"/>
      <c r="S512" s="301"/>
      <c r="T512" s="301"/>
      <c r="U512" s="301"/>
      <c r="V512" s="301"/>
      <c r="W512" s="301"/>
      <c r="X512" s="301"/>
      <c r="Y512" s="301"/>
      <c r="Z512" s="301"/>
      <c r="AA512" s="301"/>
      <c r="AB512" s="301"/>
      <c r="AC512" s="301"/>
      <c r="AD512" s="301"/>
      <c r="AE512" s="301"/>
    </row>
    <row r="513" spans="15:31">
      <c r="O513" s="301"/>
      <c r="P513" s="301"/>
      <c r="Q513" s="301"/>
      <c r="R513" s="301"/>
      <c r="S513" s="301"/>
      <c r="T513" s="301"/>
      <c r="U513" s="301"/>
      <c r="V513" s="301"/>
      <c r="W513" s="301"/>
      <c r="X513" s="301"/>
      <c r="Y513" s="301"/>
      <c r="Z513" s="301"/>
      <c r="AA513" s="301"/>
      <c r="AB513" s="301"/>
      <c r="AC513" s="301"/>
      <c r="AD513" s="301"/>
      <c r="AE513" s="301"/>
    </row>
    <row r="514" spans="15:31">
      <c r="O514" s="301"/>
      <c r="P514" s="301"/>
      <c r="Q514" s="301"/>
      <c r="R514" s="301"/>
      <c r="S514" s="301"/>
      <c r="T514" s="301"/>
      <c r="U514" s="301"/>
      <c r="V514" s="301"/>
      <c r="W514" s="301"/>
      <c r="X514" s="301"/>
      <c r="Y514" s="301"/>
      <c r="Z514" s="301"/>
      <c r="AA514" s="301"/>
      <c r="AB514" s="301"/>
      <c r="AC514" s="301"/>
      <c r="AD514" s="301"/>
      <c r="AE514" s="301"/>
    </row>
    <row r="515" spans="15:31">
      <c r="O515" s="301"/>
      <c r="P515" s="301"/>
      <c r="Q515" s="301"/>
      <c r="R515" s="301"/>
      <c r="S515" s="301"/>
      <c r="T515" s="301"/>
      <c r="U515" s="301"/>
      <c r="V515" s="301"/>
      <c r="W515" s="301"/>
      <c r="X515" s="301"/>
      <c r="Y515" s="301"/>
      <c r="Z515" s="301"/>
      <c r="AA515" s="301"/>
      <c r="AB515" s="301"/>
      <c r="AC515" s="301"/>
      <c r="AD515" s="301"/>
      <c r="AE515" s="301"/>
    </row>
    <row r="516" spans="15:31">
      <c r="O516" s="301"/>
      <c r="P516" s="301"/>
      <c r="Q516" s="301"/>
      <c r="R516" s="301"/>
      <c r="S516" s="301"/>
      <c r="T516" s="301"/>
      <c r="U516" s="301"/>
      <c r="V516" s="301"/>
      <c r="W516" s="301"/>
      <c r="X516" s="301"/>
      <c r="Y516" s="301"/>
      <c r="Z516" s="301"/>
      <c r="AA516" s="301"/>
      <c r="AB516" s="301"/>
      <c r="AC516" s="301"/>
      <c r="AD516" s="301"/>
      <c r="AE516" s="301"/>
    </row>
    <row r="517" spans="15:31">
      <c r="O517" s="301"/>
      <c r="P517" s="301"/>
      <c r="Q517" s="301"/>
      <c r="R517" s="301"/>
      <c r="S517" s="301"/>
      <c r="T517" s="301"/>
      <c r="U517" s="301"/>
      <c r="V517" s="301"/>
      <c r="W517" s="301"/>
      <c r="X517" s="301"/>
      <c r="Y517" s="301"/>
      <c r="Z517" s="301"/>
      <c r="AA517" s="301"/>
      <c r="AB517" s="301"/>
      <c r="AC517" s="301"/>
      <c r="AD517" s="301"/>
      <c r="AE517" s="301"/>
    </row>
    <row r="518" spans="15:31">
      <c r="O518" s="301"/>
      <c r="P518" s="301"/>
      <c r="Q518" s="301"/>
      <c r="R518" s="301"/>
      <c r="S518" s="301"/>
      <c r="T518" s="301"/>
      <c r="U518" s="301"/>
      <c r="V518" s="301"/>
      <c r="W518" s="301"/>
      <c r="X518" s="301"/>
      <c r="Y518" s="301"/>
      <c r="Z518" s="301"/>
      <c r="AA518" s="301"/>
      <c r="AB518" s="301"/>
      <c r="AC518" s="301"/>
      <c r="AD518" s="301"/>
      <c r="AE518" s="301"/>
    </row>
    <row r="519" spans="15:31">
      <c r="O519" s="301"/>
      <c r="P519" s="301"/>
      <c r="Q519" s="301"/>
      <c r="R519" s="301"/>
      <c r="S519" s="301"/>
      <c r="T519" s="301"/>
      <c r="U519" s="301"/>
      <c r="V519" s="301"/>
      <c r="W519" s="301"/>
      <c r="X519" s="301"/>
      <c r="Y519" s="301"/>
      <c r="Z519" s="301"/>
      <c r="AA519" s="301"/>
      <c r="AB519" s="301"/>
      <c r="AC519" s="301"/>
      <c r="AD519" s="301"/>
      <c r="AE519" s="301"/>
    </row>
    <row r="520" spans="15:31">
      <c r="O520" s="301"/>
      <c r="P520" s="301"/>
      <c r="Q520" s="301"/>
      <c r="R520" s="301"/>
      <c r="S520" s="301"/>
      <c r="T520" s="301"/>
      <c r="U520" s="301"/>
      <c r="V520" s="301"/>
      <c r="W520" s="301"/>
      <c r="X520" s="301"/>
      <c r="Y520" s="301"/>
      <c r="Z520" s="301"/>
      <c r="AA520" s="301"/>
      <c r="AB520" s="301"/>
      <c r="AC520" s="301"/>
      <c r="AD520" s="301"/>
      <c r="AE520" s="301"/>
    </row>
    <row r="521" spans="15:31">
      <c r="O521" s="301"/>
      <c r="P521" s="301"/>
      <c r="Q521" s="301"/>
      <c r="R521" s="301"/>
      <c r="S521" s="301"/>
      <c r="T521" s="301"/>
      <c r="U521" s="301"/>
      <c r="V521" s="301"/>
      <c r="W521" s="301"/>
      <c r="X521" s="301"/>
      <c r="Y521" s="301"/>
      <c r="Z521" s="301"/>
      <c r="AA521" s="301"/>
      <c r="AB521" s="301"/>
      <c r="AC521" s="301"/>
      <c r="AD521" s="301"/>
      <c r="AE521" s="301"/>
    </row>
    <row r="522" spans="15:31">
      <c r="O522" s="301"/>
      <c r="P522" s="301"/>
      <c r="Q522" s="301"/>
      <c r="R522" s="301"/>
      <c r="S522" s="301"/>
      <c r="T522" s="301"/>
      <c r="U522" s="301"/>
      <c r="V522" s="301"/>
      <c r="W522" s="301"/>
      <c r="X522" s="301"/>
      <c r="Y522" s="301"/>
      <c r="Z522" s="301"/>
      <c r="AA522" s="301"/>
      <c r="AB522" s="301"/>
      <c r="AC522" s="301"/>
      <c r="AD522" s="301"/>
      <c r="AE522" s="301"/>
    </row>
    <row r="523" spans="15:31">
      <c r="O523" s="301"/>
      <c r="P523" s="301"/>
      <c r="Q523" s="301"/>
      <c r="R523" s="301"/>
      <c r="S523" s="301"/>
      <c r="T523" s="301"/>
      <c r="U523" s="301"/>
      <c r="V523" s="301"/>
      <c r="W523" s="301"/>
      <c r="X523" s="301"/>
      <c r="Y523" s="301"/>
      <c r="Z523" s="301"/>
      <c r="AA523" s="301"/>
      <c r="AB523" s="301"/>
      <c r="AC523" s="301"/>
      <c r="AD523" s="301"/>
      <c r="AE523" s="301"/>
    </row>
    <row r="524" spans="15:31">
      <c r="O524" s="301"/>
      <c r="P524" s="301"/>
      <c r="Q524" s="301"/>
      <c r="R524" s="301"/>
      <c r="S524" s="301"/>
      <c r="T524" s="301"/>
      <c r="U524" s="301"/>
      <c r="V524" s="301"/>
      <c r="W524" s="301"/>
      <c r="X524" s="301"/>
      <c r="Y524" s="301"/>
      <c r="Z524" s="301"/>
      <c r="AA524" s="301"/>
      <c r="AB524" s="301"/>
      <c r="AC524" s="301"/>
      <c r="AD524" s="301"/>
      <c r="AE524" s="301"/>
    </row>
    <row r="525" spans="15:31">
      <c r="O525" s="301"/>
      <c r="P525" s="301"/>
      <c r="Q525" s="301"/>
      <c r="R525" s="301"/>
      <c r="S525" s="301"/>
      <c r="T525" s="301"/>
      <c r="U525" s="301"/>
      <c r="V525" s="301"/>
      <c r="W525" s="301"/>
      <c r="X525" s="301"/>
      <c r="Y525" s="301"/>
      <c r="Z525" s="301"/>
      <c r="AA525" s="301"/>
      <c r="AB525" s="301"/>
      <c r="AC525" s="301"/>
      <c r="AD525" s="301"/>
      <c r="AE525" s="301"/>
    </row>
    <row r="526" spans="15:31">
      <c r="O526" s="301"/>
      <c r="P526" s="301"/>
      <c r="Q526" s="301"/>
      <c r="R526" s="301"/>
      <c r="S526" s="301"/>
      <c r="T526" s="301"/>
      <c r="U526" s="301"/>
      <c r="V526" s="301"/>
      <c r="W526" s="301"/>
      <c r="X526" s="301"/>
      <c r="Y526" s="301"/>
      <c r="Z526" s="301"/>
      <c r="AA526" s="301"/>
      <c r="AB526" s="301"/>
      <c r="AC526" s="301"/>
      <c r="AD526" s="301"/>
      <c r="AE526" s="301"/>
    </row>
    <row r="527" spans="15:31">
      <c r="O527" s="301"/>
      <c r="P527" s="301"/>
      <c r="Q527" s="301"/>
      <c r="R527" s="301"/>
      <c r="S527" s="301"/>
      <c r="T527" s="301"/>
      <c r="U527" s="301"/>
      <c r="V527" s="301"/>
      <c r="W527" s="301"/>
      <c r="X527" s="301"/>
      <c r="Y527" s="301"/>
      <c r="Z527" s="301"/>
      <c r="AA527" s="301"/>
      <c r="AB527" s="301"/>
      <c r="AC527" s="301"/>
      <c r="AD527" s="301"/>
      <c r="AE527" s="301"/>
    </row>
    <row r="528" spans="15:31">
      <c r="O528" s="301"/>
      <c r="P528" s="301"/>
      <c r="Q528" s="301"/>
      <c r="R528" s="301"/>
      <c r="S528" s="301"/>
      <c r="T528" s="301"/>
      <c r="U528" s="301"/>
      <c r="V528" s="301"/>
      <c r="W528" s="301"/>
      <c r="X528" s="301"/>
      <c r="Y528" s="301"/>
      <c r="Z528" s="301"/>
      <c r="AA528" s="301"/>
      <c r="AB528" s="301"/>
      <c r="AC528" s="301"/>
      <c r="AD528" s="301"/>
      <c r="AE528" s="301"/>
    </row>
    <row r="529" spans="15:31">
      <c r="O529" s="301"/>
      <c r="P529" s="301"/>
      <c r="Q529" s="301"/>
      <c r="R529" s="301"/>
      <c r="S529" s="301"/>
      <c r="T529" s="301"/>
      <c r="U529" s="301"/>
      <c r="V529" s="301"/>
      <c r="W529" s="301"/>
      <c r="X529" s="301"/>
      <c r="Y529" s="301"/>
      <c r="Z529" s="301"/>
      <c r="AA529" s="301"/>
      <c r="AB529" s="301"/>
      <c r="AC529" s="301"/>
      <c r="AD529" s="301"/>
      <c r="AE529" s="301"/>
    </row>
    <row r="530" spans="15:31">
      <c r="O530" s="301"/>
      <c r="P530" s="301"/>
      <c r="Q530" s="301"/>
      <c r="R530" s="301"/>
      <c r="S530" s="301"/>
      <c r="T530" s="301"/>
      <c r="U530" s="301"/>
      <c r="V530" s="301"/>
      <c r="W530" s="301"/>
      <c r="X530" s="301"/>
      <c r="Y530" s="301"/>
      <c r="Z530" s="301"/>
      <c r="AA530" s="301"/>
      <c r="AB530" s="301"/>
      <c r="AC530" s="301"/>
      <c r="AD530" s="301"/>
      <c r="AE530" s="301"/>
    </row>
    <row r="531" spans="15:31">
      <c r="O531" s="301"/>
      <c r="P531" s="301"/>
      <c r="Q531" s="301"/>
      <c r="R531" s="301"/>
      <c r="S531" s="301"/>
      <c r="T531" s="301"/>
      <c r="U531" s="301"/>
      <c r="V531" s="301"/>
      <c r="W531" s="301"/>
      <c r="X531" s="301"/>
      <c r="Y531" s="301"/>
      <c r="Z531" s="301"/>
      <c r="AA531" s="301"/>
      <c r="AB531" s="301"/>
      <c r="AC531" s="301"/>
      <c r="AD531" s="301"/>
      <c r="AE531" s="301"/>
    </row>
    <row r="532" spans="15:31">
      <c r="O532" s="301"/>
      <c r="P532" s="301"/>
      <c r="Q532" s="301"/>
      <c r="R532" s="301"/>
      <c r="S532" s="301"/>
      <c r="T532" s="301"/>
      <c r="U532" s="301"/>
      <c r="V532" s="301"/>
      <c r="W532" s="301"/>
      <c r="X532" s="301"/>
      <c r="Y532" s="301"/>
      <c r="Z532" s="301"/>
      <c r="AA532" s="301"/>
      <c r="AB532" s="301"/>
      <c r="AC532" s="301"/>
      <c r="AD532" s="301"/>
      <c r="AE532" s="301"/>
    </row>
    <row r="533" spans="15:31">
      <c r="O533" s="301"/>
      <c r="P533" s="301"/>
      <c r="Q533" s="301"/>
      <c r="R533" s="301"/>
      <c r="S533" s="301"/>
      <c r="T533" s="301"/>
      <c r="U533" s="301"/>
      <c r="V533" s="301"/>
      <c r="W533" s="301"/>
      <c r="X533" s="301"/>
      <c r="Y533" s="301"/>
      <c r="Z533" s="301"/>
      <c r="AA533" s="301"/>
      <c r="AB533" s="301"/>
      <c r="AC533" s="301"/>
      <c r="AD533" s="301"/>
      <c r="AE533" s="301"/>
    </row>
    <row r="534" spans="15:31">
      <c r="O534" s="301"/>
      <c r="P534" s="301"/>
      <c r="Q534" s="301"/>
      <c r="R534" s="301"/>
      <c r="S534" s="301"/>
      <c r="T534" s="301"/>
      <c r="U534" s="301"/>
      <c r="V534" s="301"/>
      <c r="W534" s="301"/>
      <c r="X534" s="301"/>
      <c r="Y534" s="301"/>
      <c r="Z534" s="301"/>
      <c r="AA534" s="301"/>
      <c r="AB534" s="301"/>
      <c r="AC534" s="301"/>
      <c r="AD534" s="301"/>
      <c r="AE534" s="301"/>
    </row>
    <row r="535" spans="15:31">
      <c r="O535" s="301"/>
      <c r="P535" s="301"/>
      <c r="Q535" s="301"/>
      <c r="R535" s="301"/>
      <c r="S535" s="301"/>
      <c r="T535" s="301"/>
      <c r="U535" s="301"/>
      <c r="V535" s="301"/>
      <c r="W535" s="301"/>
      <c r="X535" s="301"/>
      <c r="Y535" s="301"/>
      <c r="Z535" s="301"/>
      <c r="AA535" s="301"/>
      <c r="AB535" s="301"/>
      <c r="AC535" s="301"/>
      <c r="AD535" s="301"/>
      <c r="AE535" s="301"/>
    </row>
    <row r="536" spans="15:31">
      <c r="O536" s="301"/>
      <c r="P536" s="301"/>
      <c r="Q536" s="301"/>
      <c r="R536" s="301"/>
      <c r="S536" s="301"/>
      <c r="T536" s="301"/>
      <c r="U536" s="301"/>
      <c r="V536" s="301"/>
      <c r="W536" s="301"/>
      <c r="X536" s="301"/>
      <c r="Y536" s="301"/>
      <c r="Z536" s="301"/>
      <c r="AA536" s="301"/>
      <c r="AB536" s="301"/>
      <c r="AC536" s="301"/>
      <c r="AD536" s="301"/>
      <c r="AE536" s="301"/>
    </row>
    <row r="537" spans="15:31">
      <c r="O537" s="301"/>
      <c r="P537" s="301"/>
      <c r="Q537" s="301"/>
      <c r="R537" s="301"/>
      <c r="S537" s="301"/>
      <c r="T537" s="301"/>
      <c r="U537" s="301"/>
      <c r="V537" s="301"/>
      <c r="W537" s="301"/>
      <c r="X537" s="301"/>
      <c r="Y537" s="301"/>
      <c r="Z537" s="301"/>
      <c r="AA537" s="301"/>
      <c r="AB537" s="301"/>
      <c r="AC537" s="301"/>
      <c r="AD537" s="301"/>
      <c r="AE537" s="301"/>
    </row>
    <row r="538" spans="15:31">
      <c r="O538" s="301"/>
      <c r="P538" s="301"/>
      <c r="Q538" s="301"/>
      <c r="R538" s="301"/>
      <c r="S538" s="301"/>
      <c r="T538" s="301"/>
      <c r="U538" s="301"/>
      <c r="V538" s="301"/>
      <c r="W538" s="301"/>
      <c r="X538" s="301"/>
      <c r="Y538" s="301"/>
      <c r="Z538" s="301"/>
      <c r="AA538" s="301"/>
      <c r="AB538" s="301"/>
      <c r="AC538" s="301"/>
      <c r="AD538" s="301"/>
      <c r="AE538" s="301"/>
    </row>
    <row r="539" spans="15:31">
      <c r="O539" s="301"/>
      <c r="P539" s="301"/>
      <c r="Q539" s="301"/>
      <c r="R539" s="301"/>
      <c r="S539" s="301"/>
      <c r="T539" s="301"/>
      <c r="U539" s="301"/>
      <c r="V539" s="301"/>
      <c r="W539" s="301"/>
      <c r="X539" s="301"/>
      <c r="Y539" s="301"/>
      <c r="Z539" s="301"/>
      <c r="AA539" s="301"/>
      <c r="AB539" s="301"/>
      <c r="AC539" s="301"/>
      <c r="AD539" s="301"/>
      <c r="AE539" s="301"/>
    </row>
    <row r="540" spans="15:31">
      <c r="O540" s="301"/>
      <c r="P540" s="301"/>
      <c r="Q540" s="301"/>
      <c r="R540" s="301"/>
      <c r="S540" s="301"/>
      <c r="T540" s="301"/>
      <c r="U540" s="301"/>
      <c r="V540" s="301"/>
      <c r="W540" s="301"/>
      <c r="X540" s="301"/>
      <c r="Y540" s="301"/>
      <c r="Z540" s="301"/>
      <c r="AA540" s="301"/>
      <c r="AB540" s="301"/>
      <c r="AC540" s="301"/>
      <c r="AD540" s="301"/>
      <c r="AE540" s="301"/>
    </row>
    <row r="541" spans="15:31">
      <c r="O541" s="301"/>
      <c r="P541" s="301"/>
      <c r="Q541" s="301"/>
      <c r="R541" s="301"/>
      <c r="S541" s="301"/>
      <c r="T541" s="301"/>
      <c r="U541" s="301"/>
      <c r="V541" s="301"/>
      <c r="W541" s="301"/>
      <c r="X541" s="301"/>
      <c r="Y541" s="301"/>
      <c r="Z541" s="301"/>
      <c r="AA541" s="301"/>
      <c r="AB541" s="301"/>
      <c r="AC541" s="301"/>
      <c r="AD541" s="301"/>
      <c r="AE541" s="301"/>
    </row>
    <row r="542" spans="15:31">
      <c r="O542" s="301"/>
      <c r="P542" s="301"/>
      <c r="Q542" s="301"/>
      <c r="R542" s="301"/>
      <c r="S542" s="301"/>
      <c r="T542" s="301"/>
      <c r="U542" s="301"/>
      <c r="V542" s="301"/>
      <c r="W542" s="301"/>
      <c r="X542" s="301"/>
      <c r="Y542" s="301"/>
      <c r="Z542" s="301"/>
      <c r="AA542" s="301"/>
      <c r="AB542" s="301"/>
      <c r="AC542" s="301"/>
      <c r="AD542" s="301"/>
      <c r="AE542" s="301"/>
    </row>
    <row r="543" spans="15:31">
      <c r="O543" s="301"/>
      <c r="P543" s="301"/>
      <c r="Q543" s="301"/>
      <c r="R543" s="301"/>
      <c r="S543" s="301"/>
      <c r="T543" s="301"/>
      <c r="U543" s="301"/>
      <c r="V543" s="301"/>
      <c r="W543" s="301"/>
      <c r="X543" s="301"/>
      <c r="Y543" s="301"/>
      <c r="Z543" s="301"/>
      <c r="AA543" s="301"/>
      <c r="AB543" s="301"/>
      <c r="AC543" s="301"/>
      <c r="AD543" s="301"/>
      <c r="AE543" s="301"/>
    </row>
    <row r="544" spans="15:31">
      <c r="O544" s="301"/>
      <c r="P544" s="301"/>
      <c r="Q544" s="301"/>
      <c r="R544" s="301"/>
      <c r="S544" s="301"/>
      <c r="T544" s="301"/>
      <c r="U544" s="301"/>
      <c r="V544" s="301"/>
      <c r="W544" s="301"/>
      <c r="X544" s="301"/>
      <c r="Y544" s="301"/>
      <c r="Z544" s="301"/>
      <c r="AA544" s="301"/>
      <c r="AB544" s="301"/>
      <c r="AC544" s="301"/>
      <c r="AD544" s="301"/>
      <c r="AE544" s="301"/>
    </row>
    <row r="545" spans="15:31">
      <c r="O545" s="301"/>
      <c r="P545" s="301"/>
      <c r="Q545" s="301"/>
      <c r="R545" s="301"/>
      <c r="S545" s="301"/>
      <c r="T545" s="301"/>
      <c r="U545" s="301"/>
      <c r="V545" s="301"/>
      <c r="W545" s="301"/>
      <c r="X545" s="301"/>
      <c r="Y545" s="301"/>
      <c r="Z545" s="301"/>
      <c r="AA545" s="301"/>
      <c r="AB545" s="301"/>
      <c r="AC545" s="301"/>
      <c r="AD545" s="301"/>
      <c r="AE545" s="301"/>
    </row>
    <row r="546" spans="15:31">
      <c r="O546" s="301"/>
      <c r="P546" s="301"/>
      <c r="Q546" s="301"/>
      <c r="R546" s="301"/>
      <c r="S546" s="301"/>
      <c r="T546" s="301"/>
      <c r="U546" s="301"/>
      <c r="V546" s="301"/>
      <c r="W546" s="301"/>
      <c r="X546" s="301"/>
      <c r="Y546" s="301"/>
      <c r="Z546" s="301"/>
      <c r="AA546" s="301"/>
      <c r="AB546" s="301"/>
      <c r="AC546" s="301"/>
      <c r="AD546" s="301"/>
      <c r="AE546" s="301"/>
    </row>
    <row r="547" spans="15:31">
      <c r="O547" s="301"/>
      <c r="P547" s="301"/>
      <c r="Q547" s="301"/>
      <c r="R547" s="301"/>
      <c r="S547" s="301"/>
      <c r="T547" s="301"/>
      <c r="U547" s="301"/>
      <c r="V547" s="301"/>
      <c r="W547" s="301"/>
      <c r="X547" s="301"/>
      <c r="Y547" s="301"/>
      <c r="Z547" s="301"/>
      <c r="AA547" s="301"/>
      <c r="AB547" s="301"/>
      <c r="AC547" s="301"/>
      <c r="AD547" s="301"/>
      <c r="AE547" s="301"/>
    </row>
    <row r="548" spans="15:31">
      <c r="O548" s="301"/>
      <c r="P548" s="301"/>
      <c r="Q548" s="301"/>
      <c r="R548" s="301"/>
      <c r="S548" s="301"/>
      <c r="T548" s="301"/>
      <c r="U548" s="301"/>
      <c r="V548" s="301"/>
      <c r="W548" s="301"/>
      <c r="X548" s="301"/>
      <c r="Y548" s="301"/>
      <c r="Z548" s="301"/>
      <c r="AA548" s="301"/>
      <c r="AB548" s="301"/>
      <c r="AC548" s="301"/>
      <c r="AD548" s="301"/>
      <c r="AE548" s="301"/>
    </row>
    <row r="549" spans="15:31">
      <c r="O549" s="301"/>
      <c r="P549" s="301"/>
      <c r="Q549" s="301"/>
      <c r="R549" s="301"/>
      <c r="S549" s="301"/>
      <c r="T549" s="301"/>
      <c r="U549" s="301"/>
      <c r="V549" s="301"/>
      <c r="W549" s="301"/>
      <c r="X549" s="301"/>
      <c r="Y549" s="301"/>
      <c r="Z549" s="301"/>
      <c r="AA549" s="301"/>
      <c r="AB549" s="301"/>
      <c r="AC549" s="301"/>
      <c r="AD549" s="301"/>
      <c r="AE549" s="301"/>
    </row>
    <row r="550" spans="15:31">
      <c r="O550" s="301"/>
      <c r="P550" s="301"/>
      <c r="Q550" s="301"/>
      <c r="R550" s="301"/>
      <c r="S550" s="301"/>
      <c r="T550" s="301"/>
      <c r="U550" s="301"/>
      <c r="V550" s="301"/>
      <c r="W550" s="301"/>
      <c r="X550" s="301"/>
      <c r="Y550" s="301"/>
      <c r="Z550" s="301"/>
      <c r="AA550" s="301"/>
      <c r="AB550" s="301"/>
      <c r="AC550" s="301"/>
      <c r="AD550" s="301"/>
      <c r="AE550" s="301"/>
    </row>
    <row r="551" spans="15:31">
      <c r="O551" s="301"/>
      <c r="P551" s="301"/>
      <c r="Q551" s="301"/>
      <c r="R551" s="301"/>
      <c r="S551" s="301"/>
      <c r="T551" s="301"/>
      <c r="U551" s="301"/>
      <c r="V551" s="301"/>
      <c r="W551" s="301"/>
      <c r="X551" s="301"/>
      <c r="Y551" s="301"/>
      <c r="Z551" s="301"/>
      <c r="AA551" s="301"/>
      <c r="AB551" s="301"/>
      <c r="AC551" s="301"/>
      <c r="AD551" s="301"/>
      <c r="AE551" s="301"/>
    </row>
    <row r="552" spans="15:31">
      <c r="O552" s="301"/>
      <c r="P552" s="301"/>
      <c r="Q552" s="301"/>
      <c r="R552" s="301"/>
      <c r="S552" s="301"/>
      <c r="T552" s="301"/>
      <c r="U552" s="301"/>
      <c r="V552" s="301"/>
      <c r="W552" s="301"/>
      <c r="X552" s="301"/>
      <c r="Y552" s="301"/>
      <c r="Z552" s="301"/>
      <c r="AA552" s="301"/>
      <c r="AB552" s="301"/>
      <c r="AC552" s="301"/>
      <c r="AD552" s="301"/>
      <c r="AE552" s="301"/>
    </row>
    <row r="553" spans="15:31">
      <c r="O553" s="301"/>
      <c r="P553" s="301"/>
      <c r="Q553" s="301"/>
      <c r="R553" s="301"/>
      <c r="S553" s="301"/>
      <c r="T553" s="301"/>
      <c r="U553" s="301"/>
      <c r="V553" s="301"/>
      <c r="W553" s="301"/>
      <c r="X553" s="301"/>
      <c r="Y553" s="301"/>
      <c r="Z553" s="301"/>
      <c r="AA553" s="301"/>
      <c r="AB553" s="301"/>
      <c r="AC553" s="301"/>
      <c r="AD553" s="301"/>
      <c r="AE553" s="301"/>
    </row>
    <row r="554" spans="15:31">
      <c r="O554" s="301"/>
      <c r="P554" s="301"/>
      <c r="Q554" s="301"/>
      <c r="R554" s="301"/>
      <c r="S554" s="301"/>
      <c r="T554" s="301"/>
      <c r="U554" s="301"/>
      <c r="V554" s="301"/>
      <c r="W554" s="301"/>
      <c r="X554" s="301"/>
      <c r="Y554" s="301"/>
      <c r="Z554" s="301"/>
      <c r="AA554" s="301"/>
      <c r="AB554" s="301"/>
      <c r="AC554" s="301"/>
      <c r="AD554" s="301"/>
      <c r="AE554" s="301"/>
    </row>
    <row r="555" spans="15:31">
      <c r="O555" s="301"/>
      <c r="P555" s="301"/>
      <c r="Q555" s="301"/>
      <c r="R555" s="301"/>
      <c r="S555" s="301"/>
      <c r="T555" s="301"/>
      <c r="U555" s="301"/>
      <c r="V555" s="301"/>
      <c r="W555" s="301"/>
      <c r="X555" s="301"/>
      <c r="Y555" s="301"/>
      <c r="Z555" s="301"/>
      <c r="AA555" s="301"/>
      <c r="AB555" s="301"/>
      <c r="AC555" s="301"/>
      <c r="AD555" s="301"/>
      <c r="AE555" s="301"/>
    </row>
    <row r="556" spans="15:31">
      <c r="O556" s="301"/>
      <c r="P556" s="301"/>
      <c r="Q556" s="301"/>
      <c r="R556" s="301"/>
      <c r="S556" s="301"/>
      <c r="T556" s="301"/>
      <c r="U556" s="301"/>
      <c r="V556" s="301"/>
      <c r="W556" s="301"/>
      <c r="X556" s="301"/>
      <c r="Y556" s="301"/>
      <c r="Z556" s="301"/>
      <c r="AA556" s="301"/>
      <c r="AB556" s="301"/>
      <c r="AC556" s="301"/>
      <c r="AD556" s="301"/>
      <c r="AE556" s="301"/>
    </row>
    <row r="557" spans="15:31">
      <c r="O557" s="301"/>
      <c r="P557" s="301"/>
      <c r="Q557" s="301"/>
      <c r="R557" s="301"/>
      <c r="S557" s="301"/>
      <c r="T557" s="301"/>
      <c r="U557" s="301"/>
      <c r="V557" s="301"/>
      <c r="W557" s="301"/>
      <c r="X557" s="301"/>
      <c r="Y557" s="301"/>
      <c r="Z557" s="301"/>
      <c r="AA557" s="301"/>
      <c r="AB557" s="301"/>
      <c r="AC557" s="301"/>
      <c r="AD557" s="301"/>
      <c r="AE557" s="301"/>
    </row>
    <row r="558" spans="15:31">
      <c r="O558" s="301"/>
      <c r="P558" s="301"/>
      <c r="Q558" s="301"/>
      <c r="R558" s="301"/>
      <c r="S558" s="301"/>
      <c r="T558" s="301"/>
      <c r="U558" s="301"/>
      <c r="V558" s="301"/>
      <c r="W558" s="301"/>
      <c r="X558" s="301"/>
      <c r="Y558" s="301"/>
      <c r="Z558" s="301"/>
      <c r="AA558" s="301"/>
      <c r="AB558" s="301"/>
      <c r="AC558" s="301"/>
      <c r="AD558" s="301"/>
      <c r="AE558" s="301"/>
    </row>
    <row r="559" spans="15:31">
      <c r="O559" s="301"/>
      <c r="P559" s="301"/>
      <c r="Q559" s="301"/>
      <c r="R559" s="301"/>
      <c r="S559" s="301"/>
      <c r="T559" s="301"/>
      <c r="U559" s="301"/>
      <c r="V559" s="301"/>
      <c r="W559" s="301"/>
      <c r="X559" s="301"/>
      <c r="Y559" s="301"/>
      <c r="Z559" s="301"/>
      <c r="AA559" s="301"/>
      <c r="AB559" s="301"/>
      <c r="AC559" s="301"/>
      <c r="AD559" s="301"/>
      <c r="AE559" s="301"/>
    </row>
    <row r="560" spans="15:31">
      <c r="O560" s="301"/>
      <c r="P560" s="301"/>
      <c r="Q560" s="301"/>
      <c r="R560" s="301"/>
      <c r="S560" s="301"/>
      <c r="T560" s="301"/>
      <c r="U560" s="301"/>
      <c r="V560" s="301"/>
      <c r="W560" s="301"/>
      <c r="X560" s="301"/>
      <c r="Y560" s="301"/>
      <c r="Z560" s="301"/>
      <c r="AA560" s="301"/>
      <c r="AB560" s="301"/>
      <c r="AC560" s="301"/>
      <c r="AD560" s="301"/>
      <c r="AE560" s="301"/>
    </row>
    <row r="561" spans="15:31">
      <c r="O561" s="301"/>
      <c r="P561" s="301"/>
      <c r="Q561" s="301"/>
      <c r="R561" s="301"/>
      <c r="S561" s="301"/>
      <c r="T561" s="301"/>
      <c r="U561" s="301"/>
      <c r="V561" s="301"/>
      <c r="W561" s="301"/>
      <c r="X561" s="301"/>
      <c r="Y561" s="301"/>
      <c r="Z561" s="301"/>
      <c r="AA561" s="301"/>
      <c r="AB561" s="301"/>
      <c r="AC561" s="301"/>
      <c r="AD561" s="301"/>
      <c r="AE561" s="301"/>
    </row>
    <row r="562" spans="15:31">
      <c r="O562" s="301"/>
      <c r="P562" s="301"/>
      <c r="Q562" s="301"/>
      <c r="R562" s="301"/>
      <c r="S562" s="301"/>
      <c r="T562" s="301"/>
      <c r="U562" s="301"/>
      <c r="V562" s="301"/>
      <c r="W562" s="301"/>
      <c r="X562" s="301"/>
      <c r="Y562" s="301"/>
      <c r="Z562" s="301"/>
      <c r="AA562" s="301"/>
      <c r="AB562" s="301"/>
      <c r="AC562" s="301"/>
      <c r="AD562" s="301"/>
      <c r="AE562" s="301"/>
    </row>
    <row r="563" spans="15:31">
      <c r="O563" s="301"/>
      <c r="P563" s="301"/>
      <c r="Q563" s="301"/>
      <c r="R563" s="301"/>
      <c r="S563" s="301"/>
      <c r="T563" s="301"/>
      <c r="U563" s="301"/>
      <c r="V563" s="301"/>
      <c r="W563" s="301"/>
      <c r="X563" s="301"/>
      <c r="Y563" s="301"/>
      <c r="Z563" s="301"/>
      <c r="AA563" s="301"/>
      <c r="AB563" s="301"/>
      <c r="AC563" s="301"/>
      <c r="AD563" s="301"/>
      <c r="AE563" s="301"/>
    </row>
    <row r="564" spans="15:31">
      <c r="O564" s="301"/>
      <c r="P564" s="301"/>
      <c r="Q564" s="301"/>
      <c r="R564" s="301"/>
      <c r="S564" s="301"/>
      <c r="T564" s="301"/>
      <c r="U564" s="301"/>
      <c r="V564" s="301"/>
      <c r="W564" s="301"/>
      <c r="X564" s="301"/>
      <c r="Y564" s="301"/>
      <c r="Z564" s="301"/>
      <c r="AA564" s="301"/>
      <c r="AB564" s="301"/>
      <c r="AC564" s="301"/>
      <c r="AD564" s="301"/>
      <c r="AE564" s="301"/>
    </row>
    <row r="565" spans="15:31">
      <c r="O565" s="301"/>
      <c r="P565" s="301"/>
      <c r="Q565" s="301"/>
      <c r="R565" s="301"/>
      <c r="S565" s="301"/>
      <c r="T565" s="301"/>
      <c r="U565" s="301"/>
      <c r="V565" s="301"/>
      <c r="W565" s="301"/>
      <c r="X565" s="301"/>
      <c r="Y565" s="301"/>
      <c r="Z565" s="301"/>
      <c r="AA565" s="301"/>
      <c r="AB565" s="301"/>
      <c r="AC565" s="301"/>
      <c r="AD565" s="301"/>
      <c r="AE565" s="301"/>
    </row>
    <row r="566" spans="15:31">
      <c r="O566" s="301"/>
      <c r="P566" s="301"/>
      <c r="Q566" s="301"/>
      <c r="R566" s="301"/>
      <c r="S566" s="301"/>
      <c r="T566" s="301"/>
      <c r="U566" s="301"/>
      <c r="V566" s="301"/>
      <c r="W566" s="301"/>
      <c r="X566" s="301"/>
      <c r="Y566" s="301"/>
      <c r="Z566" s="301"/>
      <c r="AA566" s="301"/>
      <c r="AB566" s="301"/>
      <c r="AC566" s="301"/>
      <c r="AD566" s="301"/>
      <c r="AE566" s="301"/>
    </row>
    <row r="567" spans="15:31">
      <c r="O567" s="301"/>
      <c r="P567" s="301"/>
      <c r="Q567" s="301"/>
      <c r="R567" s="301"/>
      <c r="S567" s="301"/>
      <c r="T567" s="301"/>
      <c r="U567" s="301"/>
      <c r="V567" s="301"/>
      <c r="W567" s="301"/>
      <c r="X567" s="301"/>
      <c r="Y567" s="301"/>
      <c r="Z567" s="301"/>
      <c r="AA567" s="301"/>
      <c r="AB567" s="301"/>
      <c r="AC567" s="301"/>
      <c r="AD567" s="301"/>
      <c r="AE567" s="301"/>
    </row>
    <row r="568" spans="15:31">
      <c r="O568" s="301"/>
      <c r="P568" s="301"/>
      <c r="Q568" s="301"/>
      <c r="R568" s="301"/>
      <c r="S568" s="301"/>
      <c r="T568" s="301"/>
      <c r="U568" s="301"/>
      <c r="V568" s="301"/>
      <c r="W568" s="301"/>
      <c r="X568" s="301"/>
      <c r="Y568" s="301"/>
      <c r="Z568" s="301"/>
      <c r="AA568" s="301"/>
      <c r="AB568" s="301"/>
      <c r="AC568" s="301"/>
      <c r="AD568" s="301"/>
      <c r="AE568" s="301"/>
    </row>
    <row r="569" spans="15:31">
      <c r="O569" s="301"/>
      <c r="P569" s="301"/>
      <c r="Q569" s="301"/>
      <c r="R569" s="301"/>
      <c r="S569" s="301"/>
      <c r="T569" s="301"/>
      <c r="U569" s="301"/>
      <c r="V569" s="301"/>
      <c r="W569" s="301"/>
      <c r="X569" s="301"/>
      <c r="Y569" s="301"/>
      <c r="Z569" s="301"/>
      <c r="AA569" s="301"/>
      <c r="AB569" s="301"/>
      <c r="AC569" s="301"/>
      <c r="AD569" s="301"/>
      <c r="AE569" s="301"/>
    </row>
    <row r="570" spans="15:31">
      <c r="O570" s="301"/>
      <c r="P570" s="301"/>
      <c r="Q570" s="301"/>
      <c r="R570" s="301"/>
      <c r="S570" s="301"/>
      <c r="T570" s="301"/>
      <c r="U570" s="301"/>
      <c r="V570" s="301"/>
      <c r="W570" s="301"/>
      <c r="X570" s="301"/>
      <c r="Y570" s="301"/>
      <c r="Z570" s="301"/>
      <c r="AA570" s="301"/>
      <c r="AB570" s="301"/>
      <c r="AC570" s="301"/>
      <c r="AD570" s="301"/>
      <c r="AE570" s="301"/>
    </row>
    <row r="571" spans="15:31">
      <c r="O571" s="301"/>
      <c r="P571" s="301"/>
      <c r="Q571" s="301"/>
      <c r="R571" s="301"/>
      <c r="S571" s="301"/>
      <c r="T571" s="301"/>
      <c r="U571" s="301"/>
      <c r="V571" s="301"/>
      <c r="W571" s="301"/>
      <c r="X571" s="301"/>
      <c r="Y571" s="301"/>
      <c r="Z571" s="301"/>
      <c r="AA571" s="301"/>
      <c r="AB571" s="301"/>
      <c r="AC571" s="301"/>
      <c r="AD571" s="301"/>
      <c r="AE571" s="301"/>
    </row>
    <row r="572" spans="15:31">
      <c r="O572" s="301"/>
      <c r="P572" s="301"/>
      <c r="Q572" s="301"/>
      <c r="R572" s="301"/>
      <c r="S572" s="301"/>
      <c r="T572" s="301"/>
      <c r="U572" s="301"/>
      <c r="V572" s="301"/>
      <c r="W572" s="301"/>
      <c r="X572" s="301"/>
      <c r="Y572" s="301"/>
      <c r="Z572" s="301"/>
      <c r="AA572" s="301"/>
      <c r="AB572" s="301"/>
      <c r="AC572" s="301"/>
      <c r="AD572" s="301"/>
      <c r="AE572" s="301"/>
    </row>
    <row r="573" spans="15:31">
      <c r="O573" s="301"/>
      <c r="P573" s="301"/>
      <c r="Q573" s="301"/>
      <c r="R573" s="301"/>
      <c r="S573" s="301"/>
      <c r="T573" s="301"/>
      <c r="U573" s="301"/>
      <c r="V573" s="301"/>
      <c r="W573" s="301"/>
      <c r="X573" s="301"/>
      <c r="Y573" s="301"/>
      <c r="Z573" s="301"/>
      <c r="AA573" s="301"/>
      <c r="AB573" s="301"/>
      <c r="AC573" s="301"/>
      <c r="AD573" s="301"/>
      <c r="AE573" s="301"/>
    </row>
    <row r="574" spans="15:31">
      <c r="O574" s="301"/>
      <c r="P574" s="301"/>
      <c r="Q574" s="301"/>
      <c r="R574" s="301"/>
      <c r="S574" s="301"/>
      <c r="T574" s="301"/>
      <c r="U574" s="301"/>
      <c r="V574" s="301"/>
      <c r="W574" s="301"/>
      <c r="X574" s="301"/>
      <c r="Y574" s="301"/>
      <c r="Z574" s="301"/>
      <c r="AA574" s="301"/>
      <c r="AB574" s="301"/>
      <c r="AC574" s="301"/>
      <c r="AD574" s="301"/>
      <c r="AE574" s="301"/>
    </row>
    <row r="575" spans="15:31">
      <c r="O575" s="301"/>
      <c r="P575" s="301"/>
      <c r="Q575" s="301"/>
      <c r="R575" s="301"/>
      <c r="S575" s="301"/>
      <c r="T575" s="301"/>
      <c r="U575" s="301"/>
      <c r="V575" s="301"/>
      <c r="W575" s="301"/>
      <c r="X575" s="301"/>
      <c r="Y575" s="301"/>
      <c r="Z575" s="301"/>
      <c r="AA575" s="301"/>
      <c r="AB575" s="301"/>
      <c r="AC575" s="301"/>
      <c r="AD575" s="301"/>
      <c r="AE575" s="301"/>
    </row>
    <row r="576" spans="15:31">
      <c r="O576" s="301"/>
      <c r="P576" s="301"/>
      <c r="Q576" s="301"/>
      <c r="R576" s="301"/>
      <c r="S576" s="301"/>
      <c r="T576" s="301"/>
      <c r="U576" s="301"/>
      <c r="V576" s="301"/>
      <c r="W576" s="301"/>
      <c r="X576" s="301"/>
      <c r="Y576" s="301"/>
      <c r="Z576" s="301"/>
      <c r="AA576" s="301"/>
      <c r="AB576" s="301"/>
      <c r="AC576" s="301"/>
      <c r="AD576" s="301"/>
      <c r="AE576" s="301"/>
    </row>
    <row r="577" spans="15:31">
      <c r="O577" s="301"/>
      <c r="P577" s="301"/>
      <c r="Q577" s="301"/>
      <c r="R577" s="301"/>
      <c r="S577" s="301"/>
      <c r="T577" s="301"/>
      <c r="U577" s="301"/>
      <c r="V577" s="301"/>
      <c r="W577" s="301"/>
      <c r="X577" s="301"/>
      <c r="Y577" s="301"/>
      <c r="Z577" s="301"/>
      <c r="AA577" s="301"/>
      <c r="AB577" s="301"/>
      <c r="AC577" s="301"/>
      <c r="AD577" s="301"/>
      <c r="AE577" s="301"/>
    </row>
    <row r="578" spans="15:31">
      <c r="O578" s="301"/>
      <c r="P578" s="301"/>
      <c r="Q578" s="301"/>
      <c r="R578" s="301"/>
      <c r="S578" s="301"/>
      <c r="T578" s="301"/>
      <c r="U578" s="301"/>
      <c r="V578" s="301"/>
      <c r="W578" s="301"/>
      <c r="X578" s="301"/>
      <c r="Y578" s="301"/>
      <c r="Z578" s="301"/>
      <c r="AA578" s="301"/>
      <c r="AB578" s="301"/>
      <c r="AC578" s="301"/>
      <c r="AD578" s="301"/>
      <c r="AE578" s="301"/>
    </row>
    <row r="579" spans="15:31">
      <c r="O579" s="301"/>
      <c r="P579" s="301"/>
      <c r="Q579" s="301"/>
      <c r="R579" s="301"/>
      <c r="S579" s="301"/>
      <c r="T579" s="301"/>
      <c r="U579" s="301"/>
      <c r="V579" s="301"/>
      <c r="W579" s="301"/>
      <c r="X579" s="301"/>
      <c r="Y579" s="301"/>
      <c r="Z579" s="301"/>
      <c r="AA579" s="301"/>
      <c r="AB579" s="301"/>
      <c r="AC579" s="301"/>
      <c r="AD579" s="301"/>
      <c r="AE579" s="301"/>
    </row>
    <row r="580" spans="15:31">
      <c r="O580" s="301"/>
      <c r="P580" s="301"/>
      <c r="Q580" s="301"/>
      <c r="R580" s="301"/>
      <c r="S580" s="301"/>
      <c r="T580" s="301"/>
      <c r="U580" s="301"/>
      <c r="V580" s="301"/>
      <c r="W580" s="301"/>
      <c r="X580" s="301"/>
      <c r="Y580" s="301"/>
      <c r="Z580" s="301"/>
      <c r="AA580" s="301"/>
      <c r="AB580" s="301"/>
      <c r="AC580" s="301"/>
      <c r="AD580" s="301"/>
      <c r="AE580" s="301"/>
    </row>
    <row r="581" spans="15:31">
      <c r="O581" s="301"/>
      <c r="P581" s="301"/>
      <c r="Q581" s="301"/>
      <c r="R581" s="301"/>
      <c r="S581" s="301"/>
      <c r="T581" s="301"/>
      <c r="U581" s="301"/>
      <c r="V581" s="301"/>
      <c r="W581" s="301"/>
      <c r="X581" s="301"/>
      <c r="Y581" s="301"/>
      <c r="Z581" s="301"/>
      <c r="AA581" s="301"/>
      <c r="AB581" s="301"/>
      <c r="AC581" s="301"/>
      <c r="AD581" s="301"/>
      <c r="AE581" s="301"/>
    </row>
    <row r="582" spans="15:31">
      <c r="O582" s="301"/>
      <c r="P582" s="301"/>
      <c r="Q582" s="301"/>
      <c r="R582" s="301"/>
      <c r="S582" s="301"/>
      <c r="T582" s="301"/>
      <c r="U582" s="301"/>
      <c r="V582" s="301"/>
      <c r="W582" s="301"/>
      <c r="X582" s="301"/>
      <c r="Y582" s="301"/>
      <c r="Z582" s="301"/>
      <c r="AA582" s="301"/>
      <c r="AB582" s="301"/>
      <c r="AC582" s="301"/>
      <c r="AD582" s="301"/>
      <c r="AE582" s="301"/>
    </row>
    <row r="583" spans="15:31">
      <c r="O583" s="301"/>
      <c r="P583" s="301"/>
      <c r="Q583" s="301"/>
      <c r="R583" s="301"/>
      <c r="S583" s="301"/>
      <c r="T583" s="301"/>
      <c r="U583" s="301"/>
      <c r="V583" s="301"/>
      <c r="W583" s="301"/>
      <c r="X583" s="301"/>
      <c r="Y583" s="301"/>
      <c r="Z583" s="301"/>
      <c r="AA583" s="301"/>
      <c r="AB583" s="301"/>
      <c r="AC583" s="301"/>
      <c r="AD583" s="301"/>
      <c r="AE583" s="301"/>
    </row>
    <row r="584" spans="15:31">
      <c r="O584" s="301"/>
      <c r="P584" s="301"/>
      <c r="Q584" s="301"/>
      <c r="R584" s="301"/>
      <c r="S584" s="301"/>
      <c r="T584" s="301"/>
      <c r="U584" s="301"/>
      <c r="V584" s="301"/>
      <c r="W584" s="301"/>
      <c r="X584" s="301"/>
      <c r="Y584" s="301"/>
      <c r="Z584" s="301"/>
      <c r="AA584" s="301"/>
      <c r="AB584" s="301"/>
      <c r="AC584" s="301"/>
      <c r="AD584" s="301"/>
      <c r="AE584" s="301"/>
    </row>
    <row r="585" spans="15:31">
      <c r="O585" s="301"/>
      <c r="P585" s="301"/>
      <c r="Q585" s="301"/>
      <c r="R585" s="301"/>
      <c r="S585" s="301"/>
      <c r="T585" s="301"/>
      <c r="U585" s="301"/>
      <c r="V585" s="301"/>
      <c r="W585" s="301"/>
      <c r="X585" s="301"/>
      <c r="Y585" s="301"/>
      <c r="Z585" s="301"/>
      <c r="AA585" s="301"/>
      <c r="AB585" s="301"/>
      <c r="AC585" s="301"/>
      <c r="AD585" s="301"/>
      <c r="AE585" s="301"/>
    </row>
    <row r="586" spans="15:31">
      <c r="O586" s="301"/>
      <c r="P586" s="301"/>
      <c r="Q586" s="301"/>
      <c r="R586" s="301"/>
      <c r="S586" s="301"/>
      <c r="T586" s="301"/>
      <c r="U586" s="301"/>
      <c r="V586" s="301"/>
      <c r="W586" s="301"/>
      <c r="X586" s="301"/>
      <c r="Y586" s="301"/>
      <c r="Z586" s="301"/>
      <c r="AA586" s="301"/>
      <c r="AB586" s="301"/>
      <c r="AC586" s="301"/>
      <c r="AD586" s="301"/>
      <c r="AE586" s="301"/>
    </row>
    <row r="587" spans="15:31">
      <c r="O587" s="301"/>
      <c r="P587" s="301"/>
      <c r="Q587" s="301"/>
      <c r="R587" s="301"/>
      <c r="S587" s="301"/>
      <c r="T587" s="301"/>
      <c r="U587" s="301"/>
      <c r="V587" s="301"/>
      <c r="W587" s="301"/>
      <c r="X587" s="301"/>
      <c r="Y587" s="301"/>
      <c r="Z587" s="301"/>
      <c r="AA587" s="301"/>
      <c r="AB587" s="301"/>
      <c r="AC587" s="301"/>
      <c r="AD587" s="301"/>
      <c r="AE587" s="301"/>
    </row>
    <row r="588" spans="15:31">
      <c r="O588" s="301"/>
      <c r="P588" s="301"/>
      <c r="Q588" s="301"/>
      <c r="R588" s="301"/>
      <c r="S588" s="301"/>
      <c r="T588" s="301"/>
      <c r="U588" s="301"/>
      <c r="V588" s="301"/>
      <c r="W588" s="301"/>
      <c r="X588" s="301"/>
      <c r="Y588" s="301"/>
      <c r="Z588" s="301"/>
      <c r="AA588" s="301"/>
      <c r="AB588" s="301"/>
      <c r="AC588" s="301"/>
      <c r="AD588" s="301"/>
      <c r="AE588" s="301"/>
    </row>
    <row r="589" spans="15:31">
      <c r="O589" s="301"/>
      <c r="P589" s="301"/>
      <c r="Q589" s="301"/>
      <c r="R589" s="301"/>
      <c r="S589" s="301"/>
      <c r="T589" s="301"/>
      <c r="U589" s="301"/>
      <c r="V589" s="301"/>
      <c r="W589" s="301"/>
      <c r="X589" s="301"/>
      <c r="Y589" s="301"/>
      <c r="Z589" s="301"/>
      <c r="AA589" s="301"/>
      <c r="AB589" s="301"/>
      <c r="AC589" s="301"/>
      <c r="AD589" s="301"/>
      <c r="AE589" s="301"/>
    </row>
    <row r="590" spans="15:31">
      <c r="O590" s="301"/>
      <c r="P590" s="301"/>
      <c r="Q590" s="301"/>
      <c r="R590" s="301"/>
      <c r="S590" s="301"/>
      <c r="T590" s="301"/>
      <c r="U590" s="301"/>
      <c r="V590" s="301"/>
      <c r="W590" s="301"/>
      <c r="X590" s="301"/>
      <c r="Y590" s="301"/>
      <c r="Z590" s="301"/>
      <c r="AA590" s="301"/>
      <c r="AB590" s="301"/>
      <c r="AC590" s="301"/>
      <c r="AD590" s="301"/>
      <c r="AE590" s="301"/>
    </row>
    <row r="591" spans="15:31">
      <c r="O591" s="301"/>
      <c r="P591" s="301"/>
      <c r="Q591" s="301"/>
      <c r="R591" s="301"/>
      <c r="S591" s="301"/>
      <c r="T591" s="301"/>
      <c r="U591" s="301"/>
      <c r="V591" s="301"/>
      <c r="W591" s="301"/>
      <c r="X591" s="301"/>
      <c r="Y591" s="301"/>
      <c r="Z591" s="301"/>
      <c r="AA591" s="301"/>
      <c r="AB591" s="301"/>
      <c r="AC591" s="301"/>
      <c r="AD591" s="301"/>
      <c r="AE591" s="301"/>
    </row>
    <row r="592" spans="15:31">
      <c r="O592" s="301"/>
      <c r="P592" s="301"/>
      <c r="Q592" s="301"/>
      <c r="R592" s="301"/>
      <c r="S592" s="301"/>
      <c r="T592" s="301"/>
      <c r="U592" s="301"/>
      <c r="V592" s="301"/>
      <c r="W592" s="301"/>
      <c r="X592" s="301"/>
      <c r="Y592" s="301"/>
      <c r="Z592" s="301"/>
      <c r="AA592" s="301"/>
      <c r="AB592" s="301"/>
      <c r="AC592" s="301"/>
      <c r="AD592" s="301"/>
      <c r="AE592" s="301"/>
    </row>
    <row r="593" spans="15:31">
      <c r="O593" s="301"/>
      <c r="P593" s="301"/>
      <c r="Q593" s="301"/>
      <c r="R593" s="301"/>
      <c r="S593" s="301"/>
      <c r="T593" s="301"/>
      <c r="U593" s="301"/>
      <c r="V593" s="301"/>
      <c r="W593" s="301"/>
      <c r="X593" s="301"/>
      <c r="Y593" s="301"/>
      <c r="Z593" s="301"/>
      <c r="AA593" s="301"/>
      <c r="AB593" s="301"/>
      <c r="AC593" s="301"/>
      <c r="AD593" s="301"/>
      <c r="AE593" s="301"/>
    </row>
    <row r="594" spans="15:31">
      <c r="O594" s="301"/>
      <c r="P594" s="301"/>
      <c r="Q594" s="301"/>
      <c r="R594" s="301"/>
      <c r="S594" s="301"/>
      <c r="T594" s="301"/>
      <c r="U594" s="301"/>
      <c r="V594" s="301"/>
      <c r="W594" s="301"/>
      <c r="X594" s="301"/>
      <c r="Y594" s="301"/>
      <c r="Z594" s="301"/>
      <c r="AA594" s="301"/>
      <c r="AB594" s="301"/>
      <c r="AC594" s="301"/>
      <c r="AD594" s="301"/>
      <c r="AE594" s="301"/>
    </row>
    <row r="595" spans="15:31">
      <c r="O595" s="301"/>
      <c r="P595" s="301"/>
      <c r="Q595" s="301"/>
      <c r="R595" s="301"/>
      <c r="S595" s="301"/>
      <c r="T595" s="301"/>
      <c r="U595" s="301"/>
      <c r="V595" s="301"/>
      <c r="W595" s="301"/>
      <c r="X595" s="301"/>
      <c r="Y595" s="301"/>
      <c r="Z595" s="301"/>
      <c r="AA595" s="301"/>
      <c r="AB595" s="301"/>
      <c r="AC595" s="301"/>
      <c r="AD595" s="301"/>
      <c r="AE595" s="301"/>
    </row>
    <row r="596" spans="15:31">
      <c r="O596" s="301"/>
      <c r="P596" s="301"/>
      <c r="Q596" s="301"/>
      <c r="R596" s="301"/>
      <c r="S596" s="301"/>
      <c r="T596" s="301"/>
      <c r="U596" s="301"/>
      <c r="V596" s="301"/>
      <c r="W596" s="301"/>
      <c r="X596" s="301"/>
      <c r="Y596" s="301"/>
      <c r="Z596" s="301"/>
      <c r="AA596" s="301"/>
      <c r="AB596" s="301"/>
      <c r="AC596" s="301"/>
      <c r="AD596" s="301"/>
      <c r="AE596" s="301"/>
    </row>
    <row r="597" spans="15:31">
      <c r="O597" s="301"/>
      <c r="P597" s="301"/>
      <c r="Q597" s="301"/>
      <c r="R597" s="301"/>
      <c r="S597" s="301"/>
      <c r="T597" s="301"/>
      <c r="U597" s="301"/>
      <c r="V597" s="301"/>
      <c r="W597" s="301"/>
      <c r="X597" s="301"/>
      <c r="Y597" s="301"/>
      <c r="Z597" s="301"/>
      <c r="AA597" s="301"/>
      <c r="AB597" s="301"/>
      <c r="AC597" s="301"/>
      <c r="AD597" s="301"/>
      <c r="AE597" s="301"/>
    </row>
    <row r="598" spans="15:31">
      <c r="O598" s="301"/>
      <c r="P598" s="301"/>
      <c r="Q598" s="301"/>
      <c r="R598" s="301"/>
      <c r="S598" s="301"/>
      <c r="T598" s="301"/>
      <c r="U598" s="301"/>
      <c r="V598" s="301"/>
      <c r="W598" s="301"/>
      <c r="X598" s="301"/>
      <c r="Y598" s="301"/>
      <c r="Z598" s="301"/>
      <c r="AA598" s="301"/>
      <c r="AB598" s="301"/>
      <c r="AC598" s="301"/>
      <c r="AD598" s="301"/>
      <c r="AE598" s="301"/>
    </row>
    <row r="599" spans="15:31">
      <c r="O599" s="301"/>
      <c r="P599" s="301"/>
      <c r="Q599" s="301"/>
      <c r="R599" s="301"/>
      <c r="S599" s="301"/>
      <c r="T599" s="301"/>
      <c r="U599" s="301"/>
      <c r="V599" s="301"/>
      <c r="W599" s="301"/>
      <c r="X599" s="301"/>
      <c r="Y599" s="301"/>
      <c r="Z599" s="301"/>
      <c r="AA599" s="301"/>
      <c r="AB599" s="301"/>
      <c r="AC599" s="301"/>
      <c r="AD599" s="301"/>
      <c r="AE599" s="301"/>
    </row>
    <row r="600" spans="15:31">
      <c r="O600" s="301"/>
      <c r="P600" s="301"/>
      <c r="Q600" s="301"/>
      <c r="R600" s="301"/>
      <c r="S600" s="301"/>
      <c r="T600" s="301"/>
      <c r="U600" s="301"/>
      <c r="V600" s="301"/>
      <c r="W600" s="301"/>
      <c r="X600" s="301"/>
      <c r="Y600" s="301"/>
      <c r="Z600" s="301"/>
      <c r="AA600" s="301"/>
      <c r="AB600" s="301"/>
      <c r="AC600" s="301"/>
      <c r="AD600" s="301"/>
      <c r="AE600" s="301"/>
    </row>
    <row r="601" spans="15:31">
      <c r="O601" s="301"/>
      <c r="P601" s="301"/>
      <c r="Q601" s="301"/>
      <c r="R601" s="301"/>
      <c r="S601" s="301"/>
      <c r="T601" s="301"/>
      <c r="U601" s="301"/>
      <c r="V601" s="301"/>
      <c r="W601" s="301"/>
      <c r="X601" s="301"/>
      <c r="Y601" s="301"/>
      <c r="Z601" s="301"/>
      <c r="AA601" s="301"/>
      <c r="AB601" s="301"/>
      <c r="AC601" s="301"/>
      <c r="AD601" s="301"/>
      <c r="AE601" s="301"/>
    </row>
    <row r="602" spans="15:31">
      <c r="O602" s="301"/>
      <c r="P602" s="301"/>
      <c r="Q602" s="301"/>
      <c r="R602" s="301"/>
      <c r="S602" s="301"/>
      <c r="T602" s="301"/>
      <c r="U602" s="301"/>
      <c r="V602" s="301"/>
      <c r="W602" s="301"/>
      <c r="X602" s="301"/>
      <c r="Y602" s="301"/>
      <c r="Z602" s="301"/>
      <c r="AA602" s="301"/>
      <c r="AB602" s="301"/>
      <c r="AC602" s="301"/>
      <c r="AD602" s="301"/>
      <c r="AE602" s="301"/>
    </row>
    <row r="603" spans="15:31">
      <c r="O603" s="301"/>
      <c r="P603" s="301"/>
      <c r="Q603" s="301"/>
      <c r="R603" s="301"/>
      <c r="S603" s="301"/>
      <c r="T603" s="301"/>
      <c r="U603" s="301"/>
      <c r="V603" s="301"/>
      <c r="W603" s="301"/>
      <c r="X603" s="301"/>
      <c r="Y603" s="301"/>
      <c r="Z603" s="301"/>
      <c r="AA603" s="301"/>
      <c r="AB603" s="301"/>
      <c r="AC603" s="301"/>
      <c r="AD603" s="301"/>
      <c r="AE603" s="301"/>
    </row>
    <row r="604" spans="15:31">
      <c r="O604" s="301"/>
      <c r="P604" s="301"/>
      <c r="Q604" s="301"/>
      <c r="R604" s="301"/>
      <c r="S604" s="301"/>
      <c r="T604" s="301"/>
      <c r="U604" s="301"/>
      <c r="V604" s="301"/>
      <c r="W604" s="301"/>
      <c r="X604" s="301"/>
      <c r="Y604" s="301"/>
      <c r="Z604" s="301"/>
      <c r="AA604" s="301"/>
      <c r="AB604" s="301"/>
      <c r="AC604" s="301"/>
      <c r="AD604" s="301"/>
      <c r="AE604" s="301"/>
    </row>
    <row r="605" spans="15:31">
      <c r="O605" s="301"/>
      <c r="P605" s="301"/>
      <c r="Q605" s="301"/>
      <c r="R605" s="301"/>
      <c r="S605" s="301"/>
      <c r="T605" s="301"/>
      <c r="U605" s="301"/>
      <c r="V605" s="301"/>
      <c r="W605" s="301"/>
      <c r="X605" s="301"/>
      <c r="Y605" s="301"/>
      <c r="Z605" s="301"/>
      <c r="AA605" s="301"/>
      <c r="AB605" s="301"/>
      <c r="AC605" s="301"/>
      <c r="AD605" s="301"/>
      <c r="AE605" s="301"/>
    </row>
    <row r="606" spans="15:31">
      <c r="O606" s="301"/>
      <c r="P606" s="301"/>
      <c r="Q606" s="301"/>
      <c r="R606" s="301"/>
      <c r="S606" s="301"/>
      <c r="T606" s="301"/>
      <c r="U606" s="301"/>
      <c r="V606" s="301"/>
      <c r="W606" s="301"/>
      <c r="X606" s="301"/>
      <c r="Y606" s="301"/>
      <c r="Z606" s="301"/>
      <c r="AA606" s="301"/>
      <c r="AB606" s="301"/>
      <c r="AC606" s="301"/>
      <c r="AD606" s="301"/>
      <c r="AE606" s="301"/>
    </row>
    <row r="607" spans="15:31">
      <c r="O607" s="301"/>
      <c r="P607" s="301"/>
      <c r="Q607" s="301"/>
      <c r="R607" s="301"/>
      <c r="S607" s="301"/>
      <c r="T607" s="301"/>
      <c r="U607" s="301"/>
      <c r="V607" s="301"/>
      <c r="W607" s="301"/>
      <c r="X607" s="301"/>
      <c r="Y607" s="301"/>
      <c r="Z607" s="301"/>
      <c r="AA607" s="301"/>
      <c r="AB607" s="301"/>
      <c r="AC607" s="301"/>
      <c r="AD607" s="301"/>
      <c r="AE607" s="301"/>
    </row>
    <row r="608" spans="15:31">
      <c r="O608" s="301"/>
      <c r="P608" s="301"/>
      <c r="Q608" s="301"/>
      <c r="R608" s="301"/>
      <c r="S608" s="301"/>
      <c r="T608" s="301"/>
      <c r="U608" s="301"/>
      <c r="V608" s="301"/>
      <c r="W608" s="301"/>
      <c r="X608" s="301"/>
      <c r="Y608" s="301"/>
      <c r="Z608" s="301"/>
      <c r="AA608" s="301"/>
      <c r="AB608" s="301"/>
      <c r="AC608" s="301"/>
      <c r="AD608" s="301"/>
      <c r="AE608" s="301"/>
    </row>
    <row r="609" spans="15:31">
      <c r="O609" s="301"/>
      <c r="P609" s="301"/>
      <c r="Q609" s="301"/>
      <c r="R609" s="301"/>
      <c r="S609" s="301"/>
      <c r="T609" s="301"/>
      <c r="U609" s="301"/>
      <c r="V609" s="301"/>
      <c r="W609" s="301"/>
      <c r="X609" s="301"/>
      <c r="Y609" s="301"/>
      <c r="Z609" s="301"/>
      <c r="AA609" s="301"/>
      <c r="AB609" s="301"/>
      <c r="AC609" s="301"/>
      <c r="AD609" s="301"/>
      <c r="AE609" s="301"/>
    </row>
    <row r="610" spans="15:31">
      <c r="O610" s="301"/>
      <c r="P610" s="301"/>
      <c r="Q610" s="301"/>
      <c r="R610" s="301"/>
      <c r="S610" s="301"/>
      <c r="T610" s="301"/>
      <c r="U610" s="301"/>
      <c r="V610" s="301"/>
      <c r="W610" s="301"/>
      <c r="X610" s="301"/>
      <c r="Y610" s="301"/>
      <c r="Z610" s="301"/>
      <c r="AA610" s="301"/>
      <c r="AB610" s="301"/>
      <c r="AC610" s="301"/>
      <c r="AD610" s="301"/>
      <c r="AE610" s="301"/>
    </row>
    <row r="611" spans="15:31">
      <c r="O611" s="301"/>
      <c r="P611" s="301"/>
      <c r="Q611" s="301"/>
      <c r="R611" s="301"/>
      <c r="S611" s="301"/>
      <c r="T611" s="301"/>
      <c r="U611" s="301"/>
      <c r="V611" s="301"/>
      <c r="W611" s="301"/>
      <c r="X611" s="301"/>
      <c r="Y611" s="301"/>
      <c r="Z611" s="301"/>
      <c r="AA611" s="301"/>
      <c r="AB611" s="301"/>
      <c r="AC611" s="301"/>
      <c r="AD611" s="301"/>
      <c r="AE611" s="301"/>
    </row>
    <row r="612" spans="15:31">
      <c r="O612" s="301"/>
      <c r="P612" s="301"/>
      <c r="Q612" s="301"/>
      <c r="R612" s="301"/>
      <c r="S612" s="301"/>
      <c r="T612" s="301"/>
      <c r="U612" s="301"/>
      <c r="V612" s="301"/>
      <c r="W612" s="301"/>
      <c r="X612" s="301"/>
      <c r="Y612" s="301"/>
      <c r="Z612" s="301"/>
      <c r="AA612" s="301"/>
      <c r="AB612" s="301"/>
      <c r="AC612" s="301"/>
      <c r="AD612" s="301"/>
      <c r="AE612" s="301"/>
    </row>
    <row r="613" spans="15:31">
      <c r="O613" s="301"/>
      <c r="P613" s="301"/>
      <c r="Q613" s="301"/>
      <c r="R613" s="301"/>
      <c r="S613" s="301"/>
      <c r="T613" s="301"/>
      <c r="U613" s="301"/>
      <c r="V613" s="301"/>
      <c r="W613" s="301"/>
      <c r="X613" s="301"/>
      <c r="Y613" s="301"/>
      <c r="Z613" s="301"/>
      <c r="AA613" s="301"/>
      <c r="AB613" s="301"/>
      <c r="AC613" s="301"/>
      <c r="AD613" s="301"/>
      <c r="AE613" s="301"/>
    </row>
    <row r="614" spans="15:31">
      <c r="O614" s="301"/>
      <c r="P614" s="301"/>
      <c r="Q614" s="301"/>
      <c r="R614" s="301"/>
      <c r="S614" s="301"/>
      <c r="T614" s="301"/>
      <c r="U614" s="301"/>
      <c r="V614" s="301"/>
      <c r="W614" s="301"/>
      <c r="X614" s="301"/>
      <c r="Y614" s="301"/>
      <c r="Z614" s="301"/>
      <c r="AA614" s="301"/>
      <c r="AB614" s="301"/>
      <c r="AC614" s="301"/>
      <c r="AD614" s="301"/>
      <c r="AE614" s="301"/>
    </row>
    <row r="615" spans="15:31">
      <c r="O615" s="301"/>
      <c r="P615" s="301"/>
      <c r="Q615" s="301"/>
      <c r="R615" s="301"/>
      <c r="S615" s="301"/>
      <c r="T615" s="301"/>
      <c r="U615" s="301"/>
      <c r="V615" s="301"/>
      <c r="W615" s="301"/>
      <c r="X615" s="301"/>
      <c r="Y615" s="301"/>
      <c r="Z615" s="301"/>
      <c r="AA615" s="301"/>
      <c r="AB615" s="301"/>
      <c r="AC615" s="301"/>
      <c r="AD615" s="301"/>
      <c r="AE615" s="301"/>
    </row>
    <row r="616" spans="15:31">
      <c r="O616" s="301"/>
      <c r="P616" s="301"/>
      <c r="Q616" s="301"/>
      <c r="R616" s="301"/>
      <c r="S616" s="301"/>
      <c r="T616" s="301"/>
      <c r="U616" s="301"/>
      <c r="V616" s="301"/>
      <c r="W616" s="301"/>
      <c r="X616" s="301"/>
      <c r="Y616" s="301"/>
      <c r="Z616" s="301"/>
      <c r="AA616" s="301"/>
      <c r="AB616" s="301"/>
      <c r="AC616" s="301"/>
      <c r="AD616" s="301"/>
      <c r="AE616" s="301"/>
    </row>
    <row r="617" spans="15:31">
      <c r="O617" s="301"/>
      <c r="P617" s="301"/>
      <c r="Q617" s="301"/>
      <c r="R617" s="301"/>
      <c r="S617" s="301"/>
      <c r="T617" s="301"/>
      <c r="U617" s="301"/>
      <c r="V617" s="301"/>
      <c r="W617" s="301"/>
      <c r="X617" s="301"/>
      <c r="Y617" s="301"/>
      <c r="Z617" s="301"/>
      <c r="AA617" s="301"/>
      <c r="AB617" s="301"/>
      <c r="AC617" s="301"/>
      <c r="AD617" s="301"/>
      <c r="AE617" s="301"/>
    </row>
    <row r="618" spans="15:31">
      <c r="O618" s="301"/>
      <c r="P618" s="301"/>
      <c r="Q618" s="301"/>
      <c r="R618" s="301"/>
      <c r="S618" s="301"/>
      <c r="T618" s="301"/>
      <c r="U618" s="301"/>
      <c r="V618" s="301"/>
      <c r="W618" s="301"/>
      <c r="X618" s="301"/>
      <c r="Y618" s="301"/>
      <c r="Z618" s="301"/>
      <c r="AA618" s="301"/>
      <c r="AB618" s="301"/>
      <c r="AC618" s="301"/>
      <c r="AD618" s="301"/>
      <c r="AE618" s="301"/>
    </row>
    <row r="619" spans="15:31">
      <c r="O619" s="301"/>
      <c r="P619" s="301"/>
      <c r="Q619" s="301"/>
      <c r="R619" s="301"/>
      <c r="S619" s="301"/>
      <c r="T619" s="301"/>
      <c r="U619" s="301"/>
      <c r="V619" s="301"/>
      <c r="W619" s="301"/>
      <c r="X619" s="301"/>
      <c r="Y619" s="301"/>
      <c r="Z619" s="301"/>
      <c r="AA619" s="301"/>
      <c r="AB619" s="301"/>
      <c r="AC619" s="301"/>
      <c r="AD619" s="301"/>
      <c r="AE619" s="301"/>
    </row>
    <row r="620" spans="15:31">
      <c r="O620" s="301"/>
      <c r="P620" s="301"/>
      <c r="Q620" s="301"/>
      <c r="R620" s="301"/>
      <c r="S620" s="301"/>
      <c r="T620" s="301"/>
      <c r="U620" s="301"/>
      <c r="V620" s="301"/>
      <c r="W620" s="301"/>
      <c r="X620" s="301"/>
      <c r="Y620" s="301"/>
      <c r="Z620" s="301"/>
      <c r="AA620" s="301"/>
      <c r="AB620" s="301"/>
      <c r="AC620" s="301"/>
      <c r="AD620" s="301"/>
      <c r="AE620" s="301"/>
    </row>
    <row r="621" spans="15:31">
      <c r="O621" s="301"/>
      <c r="P621" s="301"/>
      <c r="Q621" s="301"/>
      <c r="R621" s="301"/>
      <c r="S621" s="301"/>
      <c r="T621" s="301"/>
      <c r="U621" s="301"/>
      <c r="V621" s="301"/>
      <c r="W621" s="301"/>
      <c r="X621" s="301"/>
      <c r="Y621" s="301"/>
      <c r="Z621" s="301"/>
      <c r="AA621" s="301"/>
      <c r="AB621" s="301"/>
      <c r="AC621" s="301"/>
      <c r="AD621" s="301"/>
      <c r="AE621" s="301"/>
    </row>
    <row r="622" spans="15:31">
      <c r="O622" s="301"/>
      <c r="P622" s="301"/>
      <c r="Q622" s="301"/>
      <c r="R622" s="301"/>
      <c r="S622" s="301"/>
      <c r="T622" s="301"/>
      <c r="U622" s="301"/>
      <c r="V622" s="301"/>
      <c r="W622" s="301"/>
      <c r="X622" s="301"/>
      <c r="Y622" s="301"/>
      <c r="Z622" s="301"/>
      <c r="AA622" s="301"/>
      <c r="AB622" s="301"/>
      <c r="AC622" s="301"/>
      <c r="AD622" s="301"/>
      <c r="AE622" s="301"/>
    </row>
    <row r="623" spans="15:31">
      <c r="O623" s="301"/>
      <c r="P623" s="301"/>
      <c r="Q623" s="301"/>
      <c r="R623" s="301"/>
      <c r="S623" s="301"/>
      <c r="T623" s="301"/>
      <c r="U623" s="301"/>
      <c r="V623" s="301"/>
      <c r="W623" s="301"/>
      <c r="X623" s="301"/>
      <c r="Y623" s="301"/>
      <c r="Z623" s="301"/>
      <c r="AA623" s="301"/>
      <c r="AB623" s="301"/>
      <c r="AC623" s="301"/>
      <c r="AD623" s="301"/>
      <c r="AE623" s="301"/>
    </row>
    <row r="624" spans="15:31">
      <c r="O624" s="301"/>
      <c r="P624" s="301"/>
      <c r="Q624" s="301"/>
      <c r="R624" s="301"/>
      <c r="S624" s="301"/>
      <c r="T624" s="301"/>
      <c r="U624" s="301"/>
      <c r="V624" s="301"/>
      <c r="W624" s="301"/>
      <c r="X624" s="301"/>
      <c r="Y624" s="301"/>
      <c r="Z624" s="301"/>
      <c r="AA624" s="301"/>
      <c r="AB624" s="301"/>
      <c r="AC624" s="301"/>
      <c r="AD624" s="301"/>
      <c r="AE624" s="301"/>
    </row>
    <row r="625" spans="15:31">
      <c r="O625" s="301"/>
      <c r="P625" s="301"/>
      <c r="Q625" s="301"/>
      <c r="R625" s="301"/>
      <c r="S625" s="301"/>
      <c r="T625" s="301"/>
      <c r="U625" s="301"/>
      <c r="V625" s="301"/>
      <c r="W625" s="301"/>
      <c r="X625" s="301"/>
      <c r="Y625" s="301"/>
      <c r="Z625" s="301"/>
      <c r="AA625" s="301"/>
      <c r="AB625" s="301"/>
      <c r="AC625" s="301"/>
      <c r="AD625" s="301"/>
      <c r="AE625" s="301"/>
    </row>
    <row r="626" spans="15:31">
      <c r="O626" s="301"/>
      <c r="P626" s="301"/>
      <c r="Q626" s="301"/>
      <c r="R626" s="301"/>
      <c r="S626" s="301"/>
      <c r="T626" s="301"/>
      <c r="U626" s="301"/>
      <c r="V626" s="301"/>
      <c r="W626" s="301"/>
      <c r="X626" s="301"/>
      <c r="Y626" s="301"/>
      <c r="Z626" s="301"/>
      <c r="AA626" s="301"/>
      <c r="AB626" s="301"/>
      <c r="AC626" s="301"/>
      <c r="AD626" s="301"/>
      <c r="AE626" s="301"/>
    </row>
    <row r="627" spans="15:31">
      <c r="O627" s="301"/>
      <c r="P627" s="301"/>
      <c r="Q627" s="301"/>
      <c r="R627" s="301"/>
      <c r="S627" s="301"/>
      <c r="T627" s="301"/>
      <c r="U627" s="301"/>
      <c r="V627" s="301"/>
      <c r="W627" s="301"/>
      <c r="X627" s="301"/>
      <c r="Y627" s="301"/>
      <c r="Z627" s="301"/>
      <c r="AA627" s="301"/>
      <c r="AB627" s="301"/>
      <c r="AC627" s="301"/>
      <c r="AD627" s="301"/>
      <c r="AE627" s="301"/>
    </row>
    <row r="628" spans="15:31">
      <c r="O628" s="301"/>
      <c r="P628" s="301"/>
      <c r="Q628" s="301"/>
      <c r="R628" s="301"/>
      <c r="S628" s="301"/>
      <c r="T628" s="301"/>
      <c r="U628" s="301"/>
      <c r="V628" s="301"/>
      <c r="W628" s="301"/>
      <c r="X628" s="301"/>
      <c r="Y628" s="301"/>
      <c r="Z628" s="301"/>
      <c r="AA628" s="301"/>
      <c r="AB628" s="301"/>
      <c r="AC628" s="301"/>
      <c r="AD628" s="301"/>
      <c r="AE628" s="301"/>
    </row>
    <row r="629" spans="15:31">
      <c r="O629" s="301"/>
      <c r="P629" s="301"/>
      <c r="Q629" s="301"/>
      <c r="R629" s="301"/>
      <c r="S629" s="301"/>
      <c r="T629" s="301"/>
      <c r="U629" s="301"/>
      <c r="V629" s="301"/>
      <c r="W629" s="301"/>
      <c r="X629" s="301"/>
      <c r="Y629" s="301"/>
      <c r="Z629" s="301"/>
      <c r="AA629" s="301"/>
      <c r="AB629" s="301"/>
      <c r="AC629" s="301"/>
      <c r="AD629" s="301"/>
      <c r="AE629" s="301"/>
    </row>
    <row r="630" spans="15:31">
      <c r="O630" s="301"/>
      <c r="P630" s="301"/>
      <c r="Q630" s="301"/>
      <c r="R630" s="301"/>
      <c r="S630" s="301"/>
      <c r="T630" s="301"/>
      <c r="U630" s="301"/>
      <c r="V630" s="301"/>
      <c r="W630" s="301"/>
      <c r="X630" s="301"/>
      <c r="Y630" s="301"/>
      <c r="Z630" s="301"/>
      <c r="AA630" s="301"/>
      <c r="AB630" s="301"/>
      <c r="AC630" s="301"/>
      <c r="AD630" s="301"/>
      <c r="AE630" s="301"/>
    </row>
    <row r="631" spans="15:31">
      <c r="O631" s="301"/>
      <c r="P631" s="301"/>
      <c r="Q631" s="301"/>
      <c r="R631" s="301"/>
      <c r="S631" s="301"/>
      <c r="T631" s="301"/>
      <c r="U631" s="301"/>
      <c r="V631" s="301"/>
      <c r="W631" s="301"/>
      <c r="X631" s="301"/>
      <c r="Y631" s="301"/>
      <c r="Z631" s="301"/>
      <c r="AA631" s="301"/>
      <c r="AB631" s="301"/>
      <c r="AC631" s="301"/>
      <c r="AD631" s="301"/>
      <c r="AE631" s="301"/>
    </row>
    <row r="632" spans="15:31">
      <c r="O632" s="301"/>
      <c r="P632" s="301"/>
      <c r="Q632" s="301"/>
      <c r="R632" s="301"/>
      <c r="S632" s="301"/>
      <c r="T632" s="301"/>
      <c r="U632" s="301"/>
      <c r="V632" s="301"/>
      <c r="W632" s="301"/>
      <c r="X632" s="301"/>
      <c r="Y632" s="301"/>
      <c r="Z632" s="301"/>
      <c r="AA632" s="301"/>
      <c r="AB632" s="301"/>
      <c r="AC632" s="301"/>
      <c r="AD632" s="301"/>
      <c r="AE632" s="301"/>
    </row>
    <row r="633" spans="15:31">
      <c r="O633" s="301"/>
      <c r="P633" s="301"/>
      <c r="Q633" s="301"/>
      <c r="R633" s="301"/>
      <c r="S633" s="301"/>
      <c r="T633" s="301"/>
      <c r="U633" s="301"/>
      <c r="V633" s="301"/>
      <c r="W633" s="301"/>
      <c r="X633" s="301"/>
      <c r="Y633" s="301"/>
      <c r="Z633" s="301"/>
      <c r="AA633" s="301"/>
      <c r="AB633" s="301"/>
      <c r="AC633" s="301"/>
      <c r="AD633" s="301"/>
      <c r="AE633" s="301"/>
    </row>
    <row r="634" spans="15:31">
      <c r="O634" s="301"/>
      <c r="P634" s="301"/>
      <c r="Q634" s="301"/>
      <c r="R634" s="301"/>
      <c r="S634" s="301"/>
      <c r="T634" s="301"/>
      <c r="U634" s="301"/>
      <c r="V634" s="301"/>
      <c r="W634" s="301"/>
      <c r="X634" s="301"/>
      <c r="Y634" s="301"/>
      <c r="Z634" s="301"/>
      <c r="AA634" s="301"/>
      <c r="AB634" s="301"/>
      <c r="AC634" s="301"/>
      <c r="AD634" s="301"/>
      <c r="AE634" s="301"/>
    </row>
    <row r="635" spans="15:31">
      <c r="O635" s="301"/>
      <c r="P635" s="301"/>
      <c r="Q635" s="301"/>
      <c r="R635" s="301"/>
      <c r="S635" s="301"/>
      <c r="T635" s="301"/>
      <c r="U635" s="301"/>
      <c r="V635" s="301"/>
      <c r="W635" s="301"/>
      <c r="X635" s="301"/>
      <c r="Y635" s="301"/>
      <c r="Z635" s="301"/>
      <c r="AA635" s="301"/>
      <c r="AB635" s="301"/>
      <c r="AC635" s="301"/>
      <c r="AD635" s="301"/>
      <c r="AE635" s="301"/>
    </row>
    <row r="636" spans="15:31">
      <c r="O636" s="301"/>
      <c r="P636" s="301"/>
      <c r="Q636" s="301"/>
      <c r="R636" s="301"/>
      <c r="S636" s="301"/>
      <c r="T636" s="301"/>
      <c r="U636" s="301"/>
      <c r="V636" s="301"/>
      <c r="W636" s="301"/>
      <c r="X636" s="301"/>
      <c r="Y636" s="301"/>
      <c r="Z636" s="301"/>
      <c r="AA636" s="301"/>
      <c r="AB636" s="301"/>
      <c r="AC636" s="301"/>
      <c r="AD636" s="301"/>
      <c r="AE636" s="301"/>
    </row>
    <row r="637" spans="15:31">
      <c r="O637" s="301"/>
      <c r="P637" s="301"/>
      <c r="Q637" s="301"/>
      <c r="R637" s="301"/>
      <c r="S637" s="301"/>
      <c r="T637" s="301"/>
      <c r="U637" s="301"/>
      <c r="V637" s="301"/>
      <c r="W637" s="301"/>
      <c r="X637" s="301"/>
      <c r="Y637" s="301"/>
      <c r="Z637" s="301"/>
      <c r="AA637" s="301"/>
      <c r="AB637" s="301"/>
      <c r="AC637" s="301"/>
      <c r="AD637" s="301"/>
      <c r="AE637" s="301"/>
    </row>
    <row r="638" spans="15:31">
      <c r="O638" s="301"/>
      <c r="P638" s="301"/>
      <c r="Q638" s="301"/>
      <c r="R638" s="301"/>
      <c r="S638" s="301"/>
      <c r="T638" s="301"/>
      <c r="U638" s="301"/>
      <c r="V638" s="301"/>
      <c r="W638" s="301"/>
      <c r="X638" s="301"/>
      <c r="Y638" s="301"/>
      <c r="Z638" s="301"/>
      <c r="AA638" s="301"/>
      <c r="AB638" s="301"/>
      <c r="AC638" s="301"/>
      <c r="AD638" s="301"/>
      <c r="AE638" s="301"/>
    </row>
    <row r="639" spans="15:31">
      <c r="O639" s="301"/>
      <c r="P639" s="301"/>
      <c r="Q639" s="301"/>
      <c r="R639" s="301"/>
      <c r="S639" s="301"/>
      <c r="T639" s="301"/>
      <c r="U639" s="301"/>
      <c r="V639" s="301"/>
      <c r="W639" s="301"/>
      <c r="X639" s="301"/>
      <c r="Y639" s="301"/>
      <c r="Z639" s="301"/>
      <c r="AA639" s="301"/>
      <c r="AB639" s="301"/>
      <c r="AC639" s="301"/>
      <c r="AD639" s="301"/>
      <c r="AE639" s="301"/>
    </row>
    <row r="640" spans="15:31">
      <c r="O640" s="301"/>
      <c r="P640" s="301"/>
      <c r="Q640" s="301"/>
      <c r="R640" s="301"/>
      <c r="S640" s="301"/>
      <c r="T640" s="301"/>
      <c r="U640" s="301"/>
      <c r="V640" s="301"/>
      <c r="W640" s="301"/>
      <c r="X640" s="301"/>
      <c r="Y640" s="301"/>
      <c r="Z640" s="301"/>
      <c r="AA640" s="301"/>
      <c r="AB640" s="301"/>
      <c r="AC640" s="301"/>
      <c r="AD640" s="301"/>
      <c r="AE640" s="301"/>
    </row>
    <row r="641" spans="15:31">
      <c r="O641" s="301"/>
      <c r="P641" s="301"/>
      <c r="Q641" s="301"/>
      <c r="R641" s="301"/>
      <c r="S641" s="301"/>
      <c r="T641" s="301"/>
      <c r="U641" s="301"/>
      <c r="V641" s="301"/>
      <c r="W641" s="301"/>
      <c r="X641" s="301"/>
      <c r="Y641" s="301"/>
      <c r="Z641" s="301"/>
      <c r="AA641" s="301"/>
      <c r="AB641" s="301"/>
      <c r="AC641" s="301"/>
      <c r="AD641" s="301"/>
      <c r="AE641" s="301"/>
    </row>
    <row r="642" spans="15:31">
      <c r="O642" s="301"/>
      <c r="P642" s="301"/>
      <c r="Q642" s="301"/>
      <c r="R642" s="301"/>
      <c r="S642" s="301"/>
      <c r="T642" s="301"/>
      <c r="U642" s="301"/>
      <c r="V642" s="301"/>
      <c r="W642" s="301"/>
      <c r="X642" s="301"/>
      <c r="Y642" s="301"/>
      <c r="Z642" s="301"/>
      <c r="AA642" s="301"/>
      <c r="AB642" s="301"/>
      <c r="AC642" s="301"/>
      <c r="AD642" s="301"/>
      <c r="AE642" s="301"/>
    </row>
    <row r="643" spans="15:31">
      <c r="O643" s="301"/>
      <c r="P643" s="301"/>
      <c r="Q643" s="301"/>
      <c r="R643" s="301"/>
      <c r="S643" s="301"/>
      <c r="T643" s="301"/>
      <c r="U643" s="301"/>
      <c r="V643" s="301"/>
      <c r="W643" s="301"/>
      <c r="X643" s="301"/>
      <c r="Y643" s="301"/>
      <c r="Z643" s="301"/>
      <c r="AA643" s="301"/>
      <c r="AB643" s="301"/>
      <c r="AC643" s="301"/>
      <c r="AD643" s="301"/>
      <c r="AE643" s="301"/>
    </row>
    <row r="644" spans="15:31">
      <c r="O644" s="301"/>
      <c r="P644" s="301"/>
      <c r="Q644" s="301"/>
      <c r="R644" s="301"/>
      <c r="S644" s="301"/>
      <c r="T644" s="301"/>
      <c r="U644" s="301"/>
      <c r="V644" s="301"/>
      <c r="W644" s="301"/>
      <c r="X644" s="301"/>
      <c r="Y644" s="301"/>
      <c r="Z644" s="301"/>
      <c r="AA644" s="301"/>
      <c r="AB644" s="301"/>
      <c r="AC644" s="301"/>
      <c r="AD644" s="301"/>
      <c r="AE644" s="301"/>
    </row>
    <row r="645" spans="15:31">
      <c r="O645" s="301"/>
      <c r="P645" s="301"/>
      <c r="Q645" s="301"/>
      <c r="R645" s="301"/>
      <c r="S645" s="301"/>
      <c r="T645" s="301"/>
      <c r="U645" s="301"/>
      <c r="V645" s="301"/>
      <c r="W645" s="301"/>
      <c r="X645" s="301"/>
      <c r="Y645" s="301"/>
      <c r="Z645" s="301"/>
      <c r="AA645" s="301"/>
      <c r="AB645" s="301"/>
      <c r="AC645" s="301"/>
      <c r="AD645" s="301"/>
      <c r="AE645" s="301"/>
    </row>
    <row r="646" spans="15:31">
      <c r="O646" s="301"/>
      <c r="P646" s="301"/>
      <c r="Q646" s="301"/>
      <c r="R646" s="301"/>
      <c r="S646" s="301"/>
      <c r="T646" s="301"/>
      <c r="U646" s="301"/>
      <c r="V646" s="301"/>
      <c r="W646" s="301"/>
      <c r="X646" s="301"/>
      <c r="Y646" s="301"/>
      <c r="Z646" s="301"/>
      <c r="AA646" s="301"/>
      <c r="AB646" s="301"/>
      <c r="AC646" s="301"/>
      <c r="AD646" s="301"/>
      <c r="AE646" s="301"/>
    </row>
    <row r="647" spans="15:31">
      <c r="O647" s="301"/>
      <c r="P647" s="301"/>
      <c r="Q647" s="301"/>
      <c r="R647" s="301"/>
      <c r="S647" s="301"/>
      <c r="T647" s="301"/>
      <c r="U647" s="301"/>
      <c r="V647" s="301"/>
      <c r="W647" s="301"/>
      <c r="X647" s="301"/>
      <c r="Y647" s="301"/>
      <c r="Z647" s="301"/>
      <c r="AA647" s="301"/>
      <c r="AB647" s="301"/>
      <c r="AC647" s="301"/>
      <c r="AD647" s="301"/>
      <c r="AE647" s="301"/>
    </row>
    <row r="648" spans="15:31">
      <c r="O648" s="301"/>
      <c r="P648" s="301"/>
      <c r="Q648" s="301"/>
      <c r="R648" s="301"/>
      <c r="S648" s="301"/>
      <c r="T648" s="301"/>
      <c r="U648" s="301"/>
      <c r="V648" s="301"/>
      <c r="W648" s="301"/>
      <c r="X648" s="301"/>
      <c r="Y648" s="301"/>
      <c r="Z648" s="301"/>
      <c r="AA648" s="301"/>
      <c r="AB648" s="301"/>
      <c r="AC648" s="301"/>
      <c r="AD648" s="301"/>
      <c r="AE648" s="301"/>
    </row>
    <row r="649" spans="15:31">
      <c r="O649" s="301"/>
      <c r="P649" s="301"/>
      <c r="Q649" s="301"/>
      <c r="R649" s="301"/>
      <c r="S649" s="301"/>
      <c r="T649" s="301"/>
      <c r="U649" s="301"/>
      <c r="V649" s="301"/>
      <c r="W649" s="301"/>
      <c r="X649" s="301"/>
      <c r="Y649" s="301"/>
      <c r="Z649" s="301"/>
      <c r="AA649" s="301"/>
      <c r="AB649" s="301"/>
      <c r="AC649" s="301"/>
      <c r="AD649" s="301"/>
      <c r="AE649" s="301"/>
    </row>
    <row r="650" spans="15:31">
      <c r="O650" s="301"/>
      <c r="P650" s="301"/>
      <c r="Q650" s="301"/>
      <c r="R650" s="301"/>
      <c r="S650" s="301"/>
      <c r="T650" s="301"/>
      <c r="U650" s="301"/>
      <c r="V650" s="301"/>
      <c r="W650" s="301"/>
      <c r="X650" s="301"/>
      <c r="Y650" s="301"/>
      <c r="Z650" s="301"/>
      <c r="AA650" s="301"/>
      <c r="AB650" s="301"/>
      <c r="AC650" s="301"/>
      <c r="AD650" s="301"/>
      <c r="AE650" s="301"/>
    </row>
    <row r="651" spans="15:31">
      <c r="O651" s="301"/>
      <c r="P651" s="301"/>
      <c r="Q651" s="301"/>
      <c r="R651" s="301"/>
      <c r="S651" s="301"/>
      <c r="T651" s="301"/>
      <c r="U651" s="301"/>
      <c r="V651" s="301"/>
      <c r="W651" s="301"/>
      <c r="X651" s="301"/>
      <c r="Y651" s="301"/>
      <c r="Z651" s="301"/>
      <c r="AA651" s="301"/>
      <c r="AB651" s="301"/>
      <c r="AC651" s="301"/>
      <c r="AD651" s="301"/>
      <c r="AE651" s="301"/>
    </row>
    <row r="652" spans="15:31">
      <c r="O652" s="301"/>
      <c r="P652" s="301"/>
      <c r="Q652" s="301"/>
      <c r="R652" s="301"/>
      <c r="S652" s="301"/>
      <c r="T652" s="301"/>
      <c r="U652" s="301"/>
      <c r="V652" s="301"/>
      <c r="W652" s="301"/>
      <c r="X652" s="301"/>
      <c r="Y652" s="301"/>
      <c r="Z652" s="301"/>
      <c r="AA652" s="301"/>
      <c r="AB652" s="301"/>
      <c r="AC652" s="301"/>
      <c r="AD652" s="301"/>
      <c r="AE652" s="301"/>
    </row>
    <row r="653" spans="15:31">
      <c r="O653" s="301"/>
      <c r="P653" s="301"/>
      <c r="Q653" s="301"/>
      <c r="R653" s="301"/>
      <c r="S653" s="301"/>
      <c r="T653" s="301"/>
      <c r="U653" s="301"/>
      <c r="V653" s="301"/>
      <c r="W653" s="301"/>
      <c r="X653" s="301"/>
      <c r="Y653" s="301"/>
      <c r="Z653" s="301"/>
      <c r="AA653" s="301"/>
      <c r="AB653" s="301"/>
      <c r="AC653" s="301"/>
      <c r="AD653" s="301"/>
      <c r="AE653" s="301"/>
    </row>
    <row r="654" spans="15:31">
      <c r="O654" s="301"/>
      <c r="P654" s="301"/>
      <c r="Q654" s="301"/>
      <c r="R654" s="301"/>
      <c r="S654" s="301"/>
      <c r="T654" s="301"/>
      <c r="U654" s="301"/>
      <c r="V654" s="301"/>
      <c r="W654" s="301"/>
      <c r="X654" s="301"/>
      <c r="Y654" s="301"/>
      <c r="Z654" s="301"/>
      <c r="AA654" s="301"/>
      <c r="AB654" s="301"/>
      <c r="AC654" s="301"/>
      <c r="AD654" s="301"/>
      <c r="AE654" s="301"/>
    </row>
    <row r="655" spans="15:31">
      <c r="O655" s="301"/>
      <c r="P655" s="301"/>
      <c r="Q655" s="301"/>
      <c r="R655" s="301"/>
      <c r="S655" s="301"/>
      <c r="T655" s="301"/>
      <c r="U655" s="301"/>
      <c r="V655" s="301"/>
      <c r="W655" s="301"/>
      <c r="X655" s="301"/>
      <c r="Y655" s="301"/>
      <c r="Z655" s="301"/>
      <c r="AA655" s="301"/>
      <c r="AB655" s="301"/>
      <c r="AC655" s="301"/>
      <c r="AD655" s="301"/>
      <c r="AE655" s="301"/>
    </row>
    <row r="656" spans="15:31">
      <c r="O656" s="301"/>
      <c r="P656" s="301"/>
      <c r="Q656" s="301"/>
      <c r="R656" s="301"/>
      <c r="S656" s="301"/>
      <c r="T656" s="301"/>
      <c r="U656" s="301"/>
      <c r="V656" s="301"/>
      <c r="W656" s="301"/>
      <c r="X656" s="301"/>
      <c r="Y656" s="301"/>
      <c r="Z656" s="301"/>
      <c r="AA656" s="301"/>
      <c r="AB656" s="301"/>
      <c r="AC656" s="301"/>
      <c r="AD656" s="301"/>
      <c r="AE656" s="301"/>
    </row>
    <row r="657" spans="15:31">
      <c r="O657" s="301"/>
      <c r="P657" s="301"/>
      <c r="Q657" s="301"/>
      <c r="R657" s="301"/>
      <c r="S657" s="301"/>
      <c r="T657" s="301"/>
      <c r="U657" s="301"/>
      <c r="V657" s="301"/>
      <c r="W657" s="301"/>
      <c r="X657" s="301"/>
      <c r="Y657" s="301"/>
      <c r="Z657" s="301"/>
      <c r="AA657" s="301"/>
      <c r="AB657" s="301"/>
      <c r="AC657" s="301"/>
      <c r="AD657" s="301"/>
      <c r="AE657" s="301"/>
    </row>
    <row r="658" spans="15:31">
      <c r="O658" s="301"/>
      <c r="P658" s="301"/>
      <c r="Q658" s="301"/>
      <c r="R658" s="301"/>
      <c r="S658" s="301"/>
      <c r="T658" s="301"/>
      <c r="U658" s="301"/>
      <c r="V658" s="301"/>
      <c r="W658" s="301"/>
      <c r="X658" s="301"/>
      <c r="Y658" s="301"/>
      <c r="Z658" s="301"/>
      <c r="AA658" s="301"/>
      <c r="AB658" s="301"/>
      <c r="AC658" s="301"/>
      <c r="AD658" s="301"/>
      <c r="AE658" s="301"/>
    </row>
    <row r="659" spans="15:31">
      <c r="O659" s="301"/>
      <c r="P659" s="301"/>
      <c r="Q659" s="301"/>
      <c r="R659" s="301"/>
      <c r="S659" s="301"/>
      <c r="T659" s="301"/>
      <c r="U659" s="301"/>
      <c r="V659" s="301"/>
      <c r="W659" s="301"/>
      <c r="X659" s="301"/>
      <c r="Y659" s="301"/>
      <c r="Z659" s="301"/>
      <c r="AA659" s="301"/>
      <c r="AB659" s="301"/>
      <c r="AC659" s="301"/>
      <c r="AD659" s="301"/>
      <c r="AE659" s="301"/>
    </row>
    <row r="660" spans="15:31">
      <c r="O660" s="301"/>
      <c r="P660" s="301"/>
      <c r="Q660" s="301"/>
      <c r="R660" s="301"/>
      <c r="S660" s="301"/>
      <c r="T660" s="301"/>
      <c r="U660" s="301"/>
      <c r="V660" s="301"/>
      <c r="W660" s="301"/>
      <c r="X660" s="301"/>
      <c r="Y660" s="301"/>
      <c r="Z660" s="301"/>
      <c r="AA660" s="301"/>
      <c r="AB660" s="301"/>
      <c r="AC660" s="301"/>
      <c r="AD660" s="301"/>
      <c r="AE660" s="301"/>
    </row>
    <row r="661" spans="15:31">
      <c r="O661" s="301"/>
      <c r="P661" s="301"/>
      <c r="Q661" s="301"/>
      <c r="R661" s="301"/>
      <c r="S661" s="301"/>
      <c r="T661" s="301"/>
      <c r="U661" s="301"/>
      <c r="V661" s="301"/>
      <c r="W661" s="301"/>
      <c r="X661" s="301"/>
      <c r="Y661" s="301"/>
      <c r="Z661" s="301"/>
      <c r="AA661" s="301"/>
      <c r="AB661" s="301"/>
      <c r="AC661" s="301"/>
      <c r="AD661" s="301"/>
      <c r="AE661" s="301"/>
    </row>
    <row r="662" spans="15:31">
      <c r="O662" s="301"/>
      <c r="P662" s="301"/>
      <c r="Q662" s="301"/>
      <c r="R662" s="301"/>
      <c r="S662" s="301"/>
      <c r="T662" s="301"/>
      <c r="U662" s="301"/>
      <c r="V662" s="301"/>
      <c r="W662" s="301"/>
      <c r="X662" s="301"/>
      <c r="Y662" s="301"/>
      <c r="Z662" s="301"/>
      <c r="AA662" s="301"/>
      <c r="AB662" s="301"/>
      <c r="AC662" s="301"/>
      <c r="AD662" s="301"/>
      <c r="AE662" s="301"/>
    </row>
    <row r="663" spans="15:31">
      <c r="O663" s="301"/>
      <c r="P663" s="301"/>
      <c r="Q663" s="301"/>
      <c r="R663" s="301"/>
      <c r="S663" s="301"/>
      <c r="T663" s="301"/>
      <c r="U663" s="301"/>
      <c r="V663" s="301"/>
      <c r="W663" s="301"/>
      <c r="X663" s="301"/>
      <c r="Y663" s="301"/>
      <c r="Z663" s="301"/>
      <c r="AA663" s="301"/>
      <c r="AB663" s="301"/>
      <c r="AC663" s="301"/>
      <c r="AD663" s="301"/>
      <c r="AE663" s="301"/>
    </row>
    <row r="664" spans="15:31">
      <c r="O664" s="301"/>
      <c r="P664" s="301"/>
      <c r="Q664" s="301"/>
      <c r="R664" s="301"/>
      <c r="S664" s="301"/>
      <c r="T664" s="301"/>
      <c r="U664" s="301"/>
      <c r="V664" s="301"/>
      <c r="W664" s="301"/>
      <c r="X664" s="301"/>
      <c r="Y664" s="301"/>
      <c r="Z664" s="301"/>
      <c r="AA664" s="301"/>
      <c r="AB664" s="301"/>
      <c r="AC664" s="301"/>
      <c r="AD664" s="301"/>
      <c r="AE664" s="301"/>
    </row>
    <row r="665" spans="15:31">
      <c r="O665" s="301"/>
      <c r="P665" s="301"/>
      <c r="Q665" s="301"/>
      <c r="R665" s="301"/>
      <c r="S665" s="301"/>
      <c r="T665" s="301"/>
      <c r="U665" s="301"/>
      <c r="V665" s="301"/>
      <c r="W665" s="301"/>
      <c r="X665" s="301"/>
      <c r="Y665" s="301"/>
      <c r="Z665" s="301"/>
      <c r="AA665" s="301"/>
      <c r="AB665" s="301"/>
      <c r="AC665" s="301"/>
      <c r="AD665" s="301"/>
      <c r="AE665" s="301"/>
    </row>
    <row r="666" spans="15:31">
      <c r="O666" s="301"/>
      <c r="P666" s="301"/>
      <c r="Q666" s="301"/>
      <c r="R666" s="301"/>
      <c r="S666" s="301"/>
      <c r="T666" s="301"/>
      <c r="U666" s="301"/>
      <c r="V666" s="301"/>
      <c r="W666" s="301"/>
      <c r="X666" s="301"/>
      <c r="Y666" s="301"/>
      <c r="Z666" s="301"/>
      <c r="AA666" s="301"/>
      <c r="AB666" s="301"/>
      <c r="AC666" s="301"/>
      <c r="AD666" s="301"/>
      <c r="AE666" s="301"/>
    </row>
    <row r="667" spans="15:31">
      <c r="O667" s="301"/>
      <c r="P667" s="301"/>
      <c r="Q667" s="301"/>
      <c r="R667" s="301"/>
      <c r="S667" s="301"/>
      <c r="T667" s="301"/>
      <c r="U667" s="301"/>
      <c r="V667" s="301"/>
      <c r="W667" s="301"/>
      <c r="X667" s="301"/>
      <c r="Y667" s="301"/>
      <c r="Z667" s="301"/>
      <c r="AA667" s="301"/>
      <c r="AB667" s="301"/>
      <c r="AC667" s="301"/>
      <c r="AD667" s="301"/>
      <c r="AE667" s="301"/>
    </row>
    <row r="668" spans="15:31">
      <c r="O668" s="301"/>
      <c r="P668" s="301"/>
      <c r="Q668" s="301"/>
      <c r="R668" s="301"/>
      <c r="S668" s="301"/>
      <c r="T668" s="301"/>
      <c r="U668" s="301"/>
      <c r="V668" s="301"/>
      <c r="W668" s="301"/>
      <c r="X668" s="301"/>
      <c r="Y668" s="301"/>
      <c r="Z668" s="301"/>
      <c r="AA668" s="301"/>
      <c r="AB668" s="301"/>
      <c r="AC668" s="301"/>
      <c r="AD668" s="301"/>
      <c r="AE668" s="301"/>
    </row>
    <row r="669" spans="15:31">
      <c r="O669" s="301"/>
      <c r="P669" s="301"/>
      <c r="Q669" s="301"/>
      <c r="R669" s="301"/>
      <c r="S669" s="301"/>
      <c r="T669" s="301"/>
      <c r="U669" s="301"/>
      <c r="V669" s="301"/>
      <c r="W669" s="301"/>
      <c r="X669" s="301"/>
      <c r="Y669" s="301"/>
      <c r="Z669" s="301"/>
      <c r="AA669" s="301"/>
      <c r="AB669" s="301"/>
      <c r="AC669" s="301"/>
      <c r="AD669" s="301"/>
      <c r="AE669" s="301"/>
    </row>
    <row r="670" spans="15:31">
      <c r="O670" s="301"/>
      <c r="P670" s="301"/>
      <c r="Q670" s="301"/>
      <c r="R670" s="301"/>
      <c r="S670" s="301"/>
      <c r="T670" s="301"/>
      <c r="U670" s="301"/>
      <c r="V670" s="301"/>
      <c r="W670" s="301"/>
      <c r="X670" s="301"/>
      <c r="Y670" s="301"/>
      <c r="Z670" s="301"/>
      <c r="AA670" s="301"/>
      <c r="AB670" s="301"/>
      <c r="AC670" s="301"/>
      <c r="AD670" s="301"/>
      <c r="AE670" s="301"/>
    </row>
    <row r="671" spans="15:31">
      <c r="O671" s="301"/>
      <c r="P671" s="301"/>
      <c r="Q671" s="301"/>
      <c r="R671" s="301"/>
      <c r="S671" s="301"/>
      <c r="T671" s="301"/>
      <c r="U671" s="301"/>
      <c r="V671" s="301"/>
      <c r="W671" s="301"/>
      <c r="X671" s="301"/>
      <c r="Y671" s="301"/>
      <c r="Z671" s="301"/>
      <c r="AA671" s="301"/>
      <c r="AB671" s="301"/>
      <c r="AC671" s="301"/>
      <c r="AD671" s="301"/>
      <c r="AE671" s="301"/>
    </row>
    <row r="672" spans="15:31">
      <c r="O672" s="301"/>
      <c r="P672" s="301"/>
      <c r="Q672" s="301"/>
      <c r="R672" s="301"/>
      <c r="S672" s="301"/>
      <c r="T672" s="301"/>
      <c r="U672" s="301"/>
      <c r="V672" s="301"/>
      <c r="W672" s="301"/>
      <c r="X672" s="301"/>
      <c r="Y672" s="301"/>
      <c r="Z672" s="301"/>
      <c r="AA672" s="301"/>
      <c r="AB672" s="301"/>
      <c r="AC672" s="301"/>
      <c r="AD672" s="301"/>
      <c r="AE672" s="301"/>
    </row>
    <row r="673" spans="15:31">
      <c r="O673" s="301"/>
      <c r="P673" s="301"/>
      <c r="Q673" s="301"/>
      <c r="R673" s="301"/>
      <c r="S673" s="301"/>
      <c r="T673" s="301"/>
      <c r="U673" s="301"/>
      <c r="V673" s="301"/>
      <c r="W673" s="301"/>
      <c r="X673" s="301"/>
      <c r="Y673" s="301"/>
      <c r="Z673" s="301"/>
      <c r="AA673" s="301"/>
      <c r="AB673" s="301"/>
      <c r="AC673" s="301"/>
      <c r="AD673" s="301"/>
      <c r="AE673" s="301"/>
    </row>
    <row r="674" spans="15:31">
      <c r="O674" s="301"/>
      <c r="P674" s="301"/>
      <c r="Q674" s="301"/>
      <c r="R674" s="301"/>
      <c r="S674" s="301"/>
      <c r="T674" s="301"/>
      <c r="U674" s="301"/>
      <c r="V674" s="301"/>
      <c r="W674" s="301"/>
      <c r="X674" s="301"/>
      <c r="Y674" s="301"/>
      <c r="Z674" s="301"/>
      <c r="AA674" s="301"/>
      <c r="AB674" s="301"/>
      <c r="AC674" s="301"/>
      <c r="AD674" s="301"/>
      <c r="AE674" s="301"/>
    </row>
    <row r="675" spans="15:31">
      <c r="O675" s="301"/>
      <c r="P675" s="301"/>
      <c r="Q675" s="301"/>
      <c r="R675" s="301"/>
      <c r="S675" s="301"/>
      <c r="T675" s="301"/>
      <c r="U675" s="301"/>
      <c r="V675" s="301"/>
      <c r="W675" s="301"/>
      <c r="X675" s="301"/>
      <c r="Y675" s="301"/>
      <c r="Z675" s="301"/>
      <c r="AA675" s="301"/>
      <c r="AB675" s="301"/>
      <c r="AC675" s="301"/>
      <c r="AD675" s="301"/>
      <c r="AE675" s="301"/>
    </row>
    <row r="676" spans="15:31">
      <c r="O676" s="301"/>
      <c r="P676" s="301"/>
      <c r="Q676" s="301"/>
      <c r="R676" s="301"/>
      <c r="S676" s="301"/>
      <c r="T676" s="301"/>
      <c r="U676" s="301"/>
      <c r="V676" s="301"/>
      <c r="W676" s="301"/>
      <c r="X676" s="301"/>
      <c r="Y676" s="301"/>
      <c r="Z676" s="301"/>
      <c r="AA676" s="301"/>
      <c r="AB676" s="301"/>
      <c r="AC676" s="301"/>
      <c r="AD676" s="301"/>
      <c r="AE676" s="301"/>
    </row>
    <row r="677" spans="15:31">
      <c r="O677" s="301"/>
      <c r="P677" s="301"/>
      <c r="Q677" s="301"/>
      <c r="R677" s="301"/>
      <c r="S677" s="301"/>
      <c r="T677" s="301"/>
      <c r="U677" s="301"/>
      <c r="V677" s="301"/>
      <c r="W677" s="301"/>
      <c r="X677" s="301"/>
      <c r="Y677" s="301"/>
      <c r="Z677" s="301"/>
      <c r="AA677" s="301"/>
      <c r="AB677" s="301"/>
      <c r="AC677" s="301"/>
      <c r="AD677" s="301"/>
      <c r="AE677" s="301"/>
    </row>
    <row r="678" spans="15:31">
      <c r="O678" s="301"/>
      <c r="P678" s="301"/>
      <c r="Q678" s="301"/>
      <c r="R678" s="301"/>
      <c r="S678" s="301"/>
      <c r="T678" s="301"/>
      <c r="U678" s="301"/>
      <c r="V678" s="301"/>
      <c r="W678" s="301"/>
      <c r="X678" s="301"/>
      <c r="Y678" s="301"/>
      <c r="Z678" s="301"/>
      <c r="AA678" s="301"/>
      <c r="AB678" s="301"/>
      <c r="AC678" s="301"/>
      <c r="AD678" s="301"/>
      <c r="AE678" s="301"/>
    </row>
    <row r="679" spans="15:31">
      <c r="O679" s="301"/>
      <c r="P679" s="301"/>
      <c r="Q679" s="301"/>
      <c r="R679" s="301"/>
      <c r="S679" s="301"/>
      <c r="T679" s="301"/>
      <c r="U679" s="301"/>
      <c r="V679" s="301"/>
      <c r="W679" s="301"/>
      <c r="X679" s="301"/>
      <c r="Y679" s="301"/>
      <c r="Z679" s="301"/>
      <c r="AA679" s="301"/>
      <c r="AB679" s="301"/>
      <c r="AC679" s="301"/>
      <c r="AD679" s="301"/>
      <c r="AE679" s="301"/>
    </row>
    <row r="680" spans="15:31">
      <c r="O680" s="301"/>
      <c r="P680" s="301"/>
      <c r="Q680" s="301"/>
      <c r="R680" s="301"/>
      <c r="S680" s="301"/>
      <c r="T680" s="301"/>
      <c r="U680" s="301"/>
      <c r="V680" s="301"/>
      <c r="W680" s="301"/>
      <c r="X680" s="301"/>
      <c r="Y680" s="301"/>
      <c r="Z680" s="301"/>
      <c r="AA680" s="301"/>
      <c r="AB680" s="301"/>
      <c r="AC680" s="301"/>
      <c r="AD680" s="301"/>
      <c r="AE680" s="301"/>
    </row>
    <row r="681" spans="15:31">
      <c r="O681" s="301"/>
      <c r="P681" s="301"/>
      <c r="Q681" s="301"/>
      <c r="R681" s="301"/>
      <c r="S681" s="301"/>
      <c r="T681" s="301"/>
      <c r="U681" s="301"/>
      <c r="V681" s="301"/>
      <c r="W681" s="301"/>
      <c r="X681" s="301"/>
      <c r="Y681" s="301"/>
      <c r="Z681" s="301"/>
      <c r="AA681" s="301"/>
      <c r="AB681" s="301"/>
      <c r="AC681" s="301"/>
      <c r="AD681" s="301"/>
      <c r="AE681" s="301"/>
    </row>
    <row r="682" spans="15:31">
      <c r="O682" s="301"/>
      <c r="P682" s="301"/>
      <c r="Q682" s="301"/>
      <c r="R682" s="301"/>
      <c r="S682" s="301"/>
      <c r="T682" s="301"/>
      <c r="U682" s="301"/>
      <c r="V682" s="301"/>
      <c r="W682" s="301"/>
      <c r="X682" s="301"/>
      <c r="Y682" s="301"/>
      <c r="Z682" s="301"/>
      <c r="AA682" s="301"/>
      <c r="AB682" s="301"/>
      <c r="AC682" s="301"/>
      <c r="AD682" s="301"/>
      <c r="AE682" s="301"/>
    </row>
    <row r="683" spans="15:31">
      <c r="O683" s="301"/>
      <c r="P683" s="301"/>
      <c r="Q683" s="301"/>
      <c r="R683" s="301"/>
      <c r="S683" s="301"/>
      <c r="T683" s="301"/>
      <c r="U683" s="301"/>
      <c r="V683" s="301"/>
      <c r="W683" s="301"/>
      <c r="X683" s="301"/>
      <c r="Y683" s="301"/>
      <c r="Z683" s="301"/>
      <c r="AA683" s="301"/>
      <c r="AB683" s="301"/>
      <c r="AC683" s="301"/>
      <c r="AD683" s="301"/>
      <c r="AE683" s="301"/>
    </row>
    <row r="684" spans="15:31">
      <c r="O684" s="301"/>
      <c r="P684" s="301"/>
      <c r="Q684" s="301"/>
      <c r="R684" s="301"/>
      <c r="S684" s="301"/>
      <c r="T684" s="301"/>
      <c r="U684" s="301"/>
      <c r="V684" s="301"/>
      <c r="W684" s="301"/>
      <c r="X684" s="301"/>
      <c r="Y684" s="301"/>
      <c r="Z684" s="301"/>
      <c r="AA684" s="301"/>
      <c r="AB684" s="301"/>
      <c r="AC684" s="301"/>
      <c r="AD684" s="301"/>
      <c r="AE684" s="301"/>
    </row>
    <row r="685" spans="15:31">
      <c r="O685" s="301"/>
      <c r="P685" s="301"/>
      <c r="Q685" s="301"/>
      <c r="R685" s="301"/>
      <c r="S685" s="301"/>
      <c r="T685" s="301"/>
      <c r="U685" s="301"/>
      <c r="V685" s="301"/>
      <c r="W685" s="301"/>
      <c r="X685" s="301"/>
      <c r="Y685" s="301"/>
      <c r="Z685" s="301"/>
      <c r="AA685" s="301"/>
      <c r="AB685" s="301"/>
      <c r="AC685" s="301"/>
      <c r="AD685" s="301"/>
      <c r="AE685" s="301"/>
    </row>
    <row r="686" spans="15:31">
      <c r="O686" s="301"/>
      <c r="P686" s="301"/>
      <c r="Q686" s="301"/>
      <c r="R686" s="301"/>
      <c r="S686" s="301"/>
      <c r="T686" s="301"/>
      <c r="U686" s="301"/>
      <c r="V686" s="301"/>
      <c r="W686" s="301"/>
      <c r="X686" s="301"/>
      <c r="Y686" s="301"/>
      <c r="Z686" s="301"/>
      <c r="AA686" s="301"/>
      <c r="AB686" s="301"/>
      <c r="AC686" s="301"/>
      <c r="AD686" s="301"/>
      <c r="AE686" s="301"/>
    </row>
    <row r="687" spans="15:31">
      <c r="O687" s="301"/>
      <c r="P687" s="301"/>
      <c r="Q687" s="301"/>
      <c r="R687" s="301"/>
      <c r="S687" s="301"/>
      <c r="T687" s="301"/>
      <c r="U687" s="301"/>
      <c r="V687" s="301"/>
      <c r="W687" s="301"/>
      <c r="X687" s="301"/>
      <c r="Y687" s="301"/>
      <c r="Z687" s="301"/>
      <c r="AA687" s="301"/>
      <c r="AB687" s="301"/>
      <c r="AC687" s="301"/>
      <c r="AD687" s="301"/>
      <c r="AE687" s="301"/>
    </row>
    <row r="688" spans="15:31">
      <c r="O688" s="301"/>
      <c r="P688" s="301"/>
      <c r="Q688" s="301"/>
      <c r="R688" s="301"/>
      <c r="S688" s="301"/>
      <c r="T688" s="301"/>
      <c r="U688" s="301"/>
      <c r="V688" s="301"/>
      <c r="W688" s="301"/>
      <c r="X688" s="301"/>
      <c r="Y688" s="301"/>
      <c r="Z688" s="301"/>
      <c r="AA688" s="301"/>
      <c r="AB688" s="301"/>
      <c r="AC688" s="301"/>
      <c r="AD688" s="301"/>
      <c r="AE688" s="301"/>
    </row>
    <row r="689" spans="15:31">
      <c r="O689" s="301"/>
      <c r="P689" s="301"/>
      <c r="Q689" s="301"/>
      <c r="R689" s="301"/>
      <c r="S689" s="301"/>
      <c r="T689" s="301"/>
      <c r="U689" s="301"/>
      <c r="V689" s="301"/>
      <c r="W689" s="301"/>
      <c r="X689" s="301"/>
      <c r="Y689" s="301"/>
      <c r="Z689" s="301"/>
      <c r="AA689" s="301"/>
      <c r="AB689" s="301"/>
      <c r="AC689" s="301"/>
      <c r="AD689" s="301"/>
      <c r="AE689" s="301"/>
    </row>
    <row r="690" spans="15:31">
      <c r="O690" s="301"/>
      <c r="P690" s="301"/>
      <c r="Q690" s="301"/>
      <c r="R690" s="301"/>
      <c r="S690" s="301"/>
      <c r="T690" s="301"/>
      <c r="U690" s="301"/>
      <c r="V690" s="301"/>
      <c r="W690" s="301"/>
      <c r="X690" s="301"/>
      <c r="Y690" s="301"/>
      <c r="Z690" s="301"/>
      <c r="AA690" s="301"/>
      <c r="AB690" s="301"/>
      <c r="AC690" s="301"/>
      <c r="AD690" s="301"/>
      <c r="AE690" s="301"/>
    </row>
    <row r="691" spans="15:31">
      <c r="O691" s="301"/>
      <c r="P691" s="301"/>
      <c r="Q691" s="301"/>
      <c r="R691" s="301"/>
      <c r="S691" s="301"/>
      <c r="T691" s="301"/>
      <c r="U691" s="301"/>
      <c r="V691" s="301"/>
      <c r="W691" s="301"/>
      <c r="X691" s="301"/>
      <c r="Y691" s="301"/>
      <c r="Z691" s="301"/>
      <c r="AA691" s="301"/>
      <c r="AB691" s="301"/>
      <c r="AC691" s="301"/>
      <c r="AD691" s="301"/>
      <c r="AE691" s="301"/>
    </row>
    <row r="692" spans="15:31">
      <c r="O692" s="301"/>
      <c r="P692" s="301"/>
      <c r="Q692" s="301"/>
      <c r="R692" s="301"/>
      <c r="S692" s="301"/>
      <c r="T692" s="301"/>
      <c r="U692" s="301"/>
      <c r="V692" s="301"/>
      <c r="W692" s="301"/>
      <c r="X692" s="301"/>
      <c r="Y692" s="301"/>
      <c r="Z692" s="301"/>
      <c r="AA692" s="301"/>
      <c r="AB692" s="301"/>
      <c r="AC692" s="301"/>
      <c r="AD692" s="301"/>
      <c r="AE692" s="301"/>
    </row>
    <row r="693" spans="15:31">
      <c r="O693" s="301"/>
      <c r="P693" s="301"/>
      <c r="Q693" s="301"/>
      <c r="R693" s="301"/>
      <c r="S693" s="301"/>
      <c r="T693" s="301"/>
      <c r="U693" s="301"/>
      <c r="V693" s="301"/>
      <c r="W693" s="301"/>
      <c r="X693" s="301"/>
      <c r="Y693" s="301"/>
      <c r="Z693" s="301"/>
      <c r="AA693" s="301"/>
      <c r="AB693" s="301"/>
      <c r="AC693" s="301"/>
      <c r="AD693" s="301"/>
      <c r="AE693" s="301"/>
    </row>
    <row r="694" spans="15:31">
      <c r="O694" s="301"/>
      <c r="P694" s="301"/>
      <c r="Q694" s="301"/>
      <c r="R694" s="301"/>
      <c r="S694" s="301"/>
      <c r="T694" s="301"/>
      <c r="U694" s="301"/>
      <c r="V694" s="301"/>
      <c r="W694" s="301"/>
      <c r="X694" s="301"/>
      <c r="Y694" s="301"/>
      <c r="Z694" s="301"/>
      <c r="AA694" s="301"/>
      <c r="AB694" s="301"/>
      <c r="AC694" s="301"/>
      <c r="AD694" s="301"/>
      <c r="AE694" s="301"/>
    </row>
    <row r="695" spans="15:31">
      <c r="O695" s="301"/>
      <c r="P695" s="301"/>
      <c r="Q695" s="301"/>
      <c r="R695" s="301"/>
      <c r="S695" s="301"/>
      <c r="T695" s="301"/>
      <c r="U695" s="301"/>
      <c r="V695" s="301"/>
      <c r="W695" s="301"/>
      <c r="X695" s="301"/>
      <c r="Y695" s="301"/>
      <c r="Z695" s="301"/>
      <c r="AA695" s="301"/>
      <c r="AB695" s="301"/>
      <c r="AC695" s="301"/>
      <c r="AD695" s="301"/>
      <c r="AE695" s="301"/>
    </row>
    <row r="696" spans="15:31">
      <c r="O696" s="301"/>
      <c r="P696" s="301"/>
      <c r="Q696" s="301"/>
      <c r="R696" s="301"/>
      <c r="S696" s="301"/>
      <c r="T696" s="301"/>
      <c r="U696" s="301"/>
      <c r="V696" s="301"/>
      <c r="W696" s="301"/>
      <c r="X696" s="301"/>
      <c r="Y696" s="301"/>
      <c r="Z696" s="301"/>
      <c r="AA696" s="301"/>
      <c r="AB696" s="301"/>
      <c r="AC696" s="301"/>
      <c r="AD696" s="301"/>
      <c r="AE696" s="301"/>
    </row>
    <row r="697" spans="15:31">
      <c r="O697" s="301"/>
      <c r="P697" s="301"/>
      <c r="Q697" s="301"/>
      <c r="R697" s="301"/>
      <c r="S697" s="301"/>
      <c r="T697" s="301"/>
      <c r="U697" s="301"/>
      <c r="V697" s="301"/>
      <c r="W697" s="301"/>
      <c r="X697" s="301"/>
      <c r="Y697" s="301"/>
      <c r="Z697" s="301"/>
      <c r="AA697" s="301"/>
      <c r="AB697" s="301"/>
      <c r="AC697" s="301"/>
      <c r="AD697" s="301"/>
      <c r="AE697" s="301"/>
    </row>
    <row r="698" spans="15:31">
      <c r="O698" s="301"/>
      <c r="P698" s="301"/>
      <c r="Q698" s="301"/>
      <c r="R698" s="301"/>
      <c r="S698" s="301"/>
      <c r="T698" s="301"/>
      <c r="U698" s="301"/>
      <c r="V698" s="301"/>
      <c r="W698" s="301"/>
      <c r="X698" s="301"/>
      <c r="Y698" s="301"/>
      <c r="Z698" s="301"/>
      <c r="AA698" s="301"/>
      <c r="AB698" s="301"/>
      <c r="AC698" s="301"/>
      <c r="AD698" s="301"/>
      <c r="AE698" s="301"/>
    </row>
    <row r="699" spans="15:31">
      <c r="O699" s="301"/>
      <c r="P699" s="301"/>
      <c r="Q699" s="301"/>
      <c r="R699" s="301"/>
      <c r="S699" s="301"/>
      <c r="T699" s="301"/>
      <c r="U699" s="301"/>
      <c r="V699" s="301"/>
      <c r="W699" s="301"/>
      <c r="X699" s="301"/>
      <c r="Y699" s="301"/>
      <c r="Z699" s="301"/>
      <c r="AA699" s="301"/>
      <c r="AB699" s="301"/>
      <c r="AC699" s="301"/>
      <c r="AD699" s="301"/>
      <c r="AE699" s="301"/>
    </row>
    <row r="700" spans="15:31">
      <c r="O700" s="301"/>
      <c r="P700" s="301"/>
      <c r="Q700" s="301"/>
      <c r="R700" s="301"/>
      <c r="S700" s="301"/>
      <c r="T700" s="301"/>
      <c r="U700" s="301"/>
      <c r="V700" s="301"/>
      <c r="W700" s="301"/>
      <c r="X700" s="301"/>
      <c r="Y700" s="301"/>
      <c r="Z700" s="301"/>
      <c r="AA700" s="301"/>
      <c r="AB700" s="301"/>
      <c r="AC700" s="301"/>
      <c r="AD700" s="301"/>
      <c r="AE700" s="301"/>
    </row>
    <row r="701" spans="15:31">
      <c r="O701" s="301"/>
      <c r="P701" s="301"/>
      <c r="Q701" s="301"/>
      <c r="R701" s="301"/>
      <c r="S701" s="301"/>
      <c r="T701" s="301"/>
      <c r="U701" s="301"/>
      <c r="V701" s="301"/>
      <c r="W701" s="301"/>
      <c r="X701" s="301"/>
      <c r="Y701" s="301"/>
      <c r="Z701" s="301"/>
      <c r="AA701" s="301"/>
      <c r="AB701" s="301"/>
      <c r="AC701" s="301"/>
      <c r="AD701" s="301"/>
      <c r="AE701" s="301"/>
    </row>
    <row r="702" spans="15:31">
      <c r="O702" s="301"/>
      <c r="P702" s="301"/>
      <c r="Q702" s="301"/>
      <c r="R702" s="301"/>
      <c r="S702" s="301"/>
      <c r="T702" s="301"/>
      <c r="U702" s="301"/>
      <c r="V702" s="301"/>
      <c r="W702" s="301"/>
      <c r="X702" s="301"/>
      <c r="Y702" s="301"/>
      <c r="Z702" s="301"/>
      <c r="AA702" s="301"/>
      <c r="AB702" s="301"/>
      <c r="AC702" s="301"/>
      <c r="AD702" s="301"/>
      <c r="AE702" s="301"/>
    </row>
    <row r="703" spans="15:31">
      <c r="O703" s="301"/>
      <c r="P703" s="301"/>
      <c r="Q703" s="301"/>
      <c r="R703" s="301"/>
      <c r="S703" s="301"/>
      <c r="T703" s="301"/>
      <c r="U703" s="301"/>
      <c r="V703" s="301"/>
      <c r="W703" s="301"/>
      <c r="X703" s="301"/>
      <c r="Y703" s="301"/>
      <c r="Z703" s="301"/>
      <c r="AA703" s="301"/>
      <c r="AB703" s="301"/>
      <c r="AC703" s="301"/>
      <c r="AD703" s="301"/>
      <c r="AE703" s="301"/>
    </row>
    <row r="704" spans="15:31">
      <c r="O704" s="301"/>
      <c r="P704" s="301"/>
      <c r="Q704" s="301"/>
      <c r="R704" s="301"/>
      <c r="S704" s="301"/>
      <c r="T704" s="301"/>
      <c r="U704" s="301"/>
      <c r="V704" s="301"/>
      <c r="W704" s="301"/>
      <c r="X704" s="301"/>
      <c r="Y704" s="301"/>
      <c r="Z704" s="301"/>
      <c r="AA704" s="301"/>
      <c r="AB704" s="301"/>
      <c r="AC704" s="301"/>
      <c r="AD704" s="301"/>
      <c r="AE704" s="301"/>
    </row>
    <row r="705" spans="15:31">
      <c r="O705" s="301"/>
      <c r="P705" s="301"/>
      <c r="Q705" s="301"/>
      <c r="R705" s="301"/>
      <c r="S705" s="301"/>
      <c r="T705" s="301"/>
      <c r="U705" s="301"/>
      <c r="V705" s="301"/>
      <c r="W705" s="301"/>
      <c r="X705" s="301"/>
      <c r="Y705" s="301"/>
      <c r="Z705" s="301"/>
      <c r="AA705" s="301"/>
      <c r="AB705" s="301"/>
      <c r="AC705" s="301"/>
      <c r="AD705" s="301"/>
      <c r="AE705" s="301"/>
    </row>
    <row r="706" spans="15:31">
      <c r="O706" s="301"/>
      <c r="P706" s="301"/>
      <c r="Q706" s="301"/>
      <c r="R706" s="301"/>
      <c r="S706" s="301"/>
      <c r="T706" s="301"/>
      <c r="U706" s="301"/>
      <c r="V706" s="301"/>
      <c r="W706" s="301"/>
      <c r="X706" s="301"/>
      <c r="Y706" s="301"/>
      <c r="Z706" s="301"/>
      <c r="AA706" s="301"/>
      <c r="AB706" s="301"/>
      <c r="AC706" s="301"/>
      <c r="AD706" s="301"/>
      <c r="AE706" s="301"/>
    </row>
    <row r="707" spans="15:31">
      <c r="O707" s="301"/>
      <c r="P707" s="301"/>
      <c r="Q707" s="301"/>
      <c r="R707" s="301"/>
      <c r="S707" s="301"/>
      <c r="T707" s="301"/>
      <c r="U707" s="301"/>
      <c r="V707" s="301"/>
      <c r="W707" s="301"/>
      <c r="X707" s="301"/>
      <c r="Y707" s="301"/>
      <c r="Z707" s="301"/>
      <c r="AA707" s="301"/>
      <c r="AB707" s="301"/>
      <c r="AC707" s="301"/>
      <c r="AD707" s="301"/>
      <c r="AE707" s="301"/>
    </row>
    <row r="708" spans="15:31">
      <c r="O708" s="301"/>
      <c r="P708" s="301"/>
      <c r="Q708" s="301"/>
      <c r="R708" s="301"/>
      <c r="S708" s="301"/>
      <c r="T708" s="301"/>
      <c r="U708" s="301"/>
      <c r="V708" s="301"/>
      <c r="W708" s="301"/>
      <c r="X708" s="301"/>
      <c r="Y708" s="301"/>
      <c r="Z708" s="301"/>
      <c r="AA708" s="301"/>
      <c r="AB708" s="301"/>
      <c r="AC708" s="301"/>
      <c r="AD708" s="301"/>
      <c r="AE708" s="301"/>
    </row>
    <row r="709" spans="15:31">
      <c r="O709" s="301"/>
      <c r="P709" s="301"/>
      <c r="Q709" s="301"/>
      <c r="R709" s="301"/>
      <c r="S709" s="301"/>
      <c r="T709" s="301"/>
      <c r="U709" s="301"/>
      <c r="V709" s="301"/>
      <c r="W709" s="301"/>
      <c r="X709" s="301"/>
      <c r="Y709" s="301"/>
      <c r="Z709" s="301"/>
      <c r="AA709" s="301"/>
      <c r="AB709" s="301"/>
      <c r="AC709" s="301"/>
      <c r="AD709" s="301"/>
      <c r="AE709" s="301"/>
    </row>
    <row r="710" spans="15:31">
      <c r="O710" s="301"/>
      <c r="P710" s="301"/>
      <c r="Q710" s="301"/>
      <c r="R710" s="301"/>
      <c r="S710" s="301"/>
      <c r="T710" s="301"/>
      <c r="U710" s="301"/>
      <c r="V710" s="301"/>
      <c r="W710" s="301"/>
      <c r="X710" s="301"/>
      <c r="Y710" s="301"/>
      <c r="Z710" s="301"/>
      <c r="AA710" s="301"/>
      <c r="AB710" s="301"/>
      <c r="AC710" s="301"/>
      <c r="AD710" s="301"/>
      <c r="AE710" s="301"/>
    </row>
    <row r="711" spans="15:31">
      <c r="O711" s="301"/>
      <c r="P711" s="301"/>
      <c r="Q711" s="301"/>
      <c r="R711" s="301"/>
      <c r="S711" s="301"/>
      <c r="T711" s="301"/>
      <c r="U711" s="301"/>
      <c r="V711" s="301"/>
      <c r="W711" s="301"/>
      <c r="X711" s="301"/>
      <c r="Y711" s="301"/>
      <c r="Z711" s="301"/>
      <c r="AA711" s="301"/>
      <c r="AB711" s="301"/>
      <c r="AC711" s="301"/>
      <c r="AD711" s="301"/>
      <c r="AE711" s="301"/>
    </row>
    <row r="712" spans="15:31">
      <c r="O712" s="301"/>
      <c r="P712" s="301"/>
      <c r="Q712" s="301"/>
      <c r="R712" s="301"/>
      <c r="S712" s="301"/>
      <c r="T712" s="301"/>
      <c r="U712" s="301"/>
      <c r="V712" s="301"/>
      <c r="W712" s="301"/>
      <c r="X712" s="301"/>
      <c r="Y712" s="301"/>
      <c r="Z712" s="301"/>
      <c r="AA712" s="301"/>
      <c r="AB712" s="301"/>
      <c r="AC712" s="301"/>
      <c r="AD712" s="301"/>
      <c r="AE712" s="301"/>
    </row>
    <row r="713" spans="15:31">
      <c r="O713" s="301"/>
      <c r="P713" s="301"/>
      <c r="Q713" s="301"/>
      <c r="R713" s="301"/>
      <c r="S713" s="301"/>
      <c r="T713" s="301"/>
      <c r="U713" s="301"/>
      <c r="V713" s="301"/>
      <c r="W713" s="301"/>
      <c r="X713" s="301"/>
      <c r="Y713" s="301"/>
      <c r="Z713" s="301"/>
      <c r="AA713" s="301"/>
      <c r="AB713" s="301"/>
      <c r="AC713" s="301"/>
      <c r="AD713" s="301"/>
      <c r="AE713" s="301"/>
    </row>
    <row r="714" spans="15:31">
      <c r="O714" s="301"/>
      <c r="P714" s="301"/>
      <c r="Q714" s="301"/>
      <c r="R714" s="301"/>
      <c r="S714" s="301"/>
      <c r="T714" s="301"/>
      <c r="U714" s="301"/>
      <c r="V714" s="301"/>
      <c r="W714" s="301"/>
      <c r="X714" s="301"/>
      <c r="Y714" s="301"/>
      <c r="Z714" s="301"/>
      <c r="AA714" s="301"/>
      <c r="AB714" s="301"/>
      <c r="AC714" s="301"/>
      <c r="AD714" s="301"/>
      <c r="AE714" s="301"/>
    </row>
    <row r="715" spans="15:31">
      <c r="O715" s="301"/>
      <c r="P715" s="301"/>
      <c r="Q715" s="301"/>
      <c r="R715" s="301"/>
      <c r="S715" s="301"/>
      <c r="T715" s="301"/>
      <c r="U715" s="301"/>
      <c r="V715" s="301"/>
      <c r="W715" s="301"/>
      <c r="X715" s="301"/>
      <c r="Y715" s="301"/>
      <c r="Z715" s="301"/>
      <c r="AA715" s="301"/>
      <c r="AB715" s="301"/>
      <c r="AC715" s="301"/>
      <c r="AD715" s="301"/>
      <c r="AE715" s="301"/>
    </row>
    <row r="716" spans="15:31">
      <c r="O716" s="301"/>
      <c r="P716" s="301"/>
      <c r="Q716" s="301"/>
      <c r="R716" s="301"/>
      <c r="S716" s="301"/>
      <c r="T716" s="301"/>
      <c r="U716" s="301"/>
      <c r="V716" s="301"/>
      <c r="W716" s="301"/>
      <c r="X716" s="301"/>
      <c r="Y716" s="301"/>
      <c r="Z716" s="301"/>
      <c r="AA716" s="301"/>
      <c r="AB716" s="301"/>
      <c r="AC716" s="301"/>
      <c r="AD716" s="301"/>
      <c r="AE716" s="301"/>
    </row>
    <row r="717" spans="15:31">
      <c r="O717" s="301"/>
      <c r="P717" s="301"/>
      <c r="Q717" s="301"/>
      <c r="R717" s="301"/>
      <c r="S717" s="301"/>
      <c r="T717" s="301"/>
      <c r="U717" s="301"/>
      <c r="V717" s="301"/>
      <c r="W717" s="301"/>
      <c r="X717" s="301"/>
      <c r="Y717" s="301"/>
      <c r="Z717" s="301"/>
      <c r="AA717" s="301"/>
      <c r="AB717" s="301"/>
      <c r="AC717" s="301"/>
      <c r="AD717" s="301"/>
      <c r="AE717" s="301"/>
    </row>
    <row r="718" spans="15:31">
      <c r="O718" s="301"/>
      <c r="P718" s="301"/>
      <c r="Q718" s="301"/>
      <c r="R718" s="301"/>
      <c r="S718" s="301"/>
      <c r="T718" s="301"/>
      <c r="U718" s="301"/>
      <c r="V718" s="301"/>
      <c r="W718" s="301"/>
      <c r="X718" s="301"/>
      <c r="Y718" s="301"/>
      <c r="Z718" s="301"/>
      <c r="AA718" s="301"/>
      <c r="AB718" s="301"/>
      <c r="AC718" s="301"/>
      <c r="AD718" s="301"/>
      <c r="AE718" s="301"/>
    </row>
    <row r="719" spans="15:31">
      <c r="O719" s="301"/>
      <c r="P719" s="301"/>
      <c r="Q719" s="301"/>
      <c r="R719" s="301"/>
      <c r="S719" s="301"/>
      <c r="T719" s="301"/>
      <c r="U719" s="301"/>
      <c r="V719" s="301"/>
      <c r="W719" s="301"/>
      <c r="X719" s="301"/>
      <c r="Y719" s="301"/>
      <c r="Z719" s="301"/>
      <c r="AA719" s="301"/>
      <c r="AB719" s="301"/>
      <c r="AC719" s="301"/>
      <c r="AD719" s="301"/>
      <c r="AE719" s="301"/>
    </row>
    <row r="720" spans="15:31">
      <c r="O720" s="301"/>
      <c r="P720" s="301"/>
      <c r="Q720" s="301"/>
      <c r="R720" s="301"/>
      <c r="S720" s="301"/>
      <c r="T720" s="301"/>
      <c r="U720" s="301"/>
      <c r="V720" s="301"/>
      <c r="W720" s="301"/>
      <c r="X720" s="301"/>
      <c r="Y720" s="301"/>
      <c r="Z720" s="301"/>
      <c r="AA720" s="301"/>
      <c r="AB720" s="301"/>
      <c r="AC720" s="301"/>
      <c r="AD720" s="301"/>
      <c r="AE720" s="301"/>
    </row>
    <row r="721" spans="15:31">
      <c r="O721" s="301"/>
      <c r="P721" s="301"/>
      <c r="Q721" s="301"/>
      <c r="R721" s="301"/>
      <c r="S721" s="301"/>
      <c r="T721" s="301"/>
      <c r="U721" s="301"/>
      <c r="V721" s="301"/>
      <c r="W721" s="301"/>
      <c r="X721" s="301"/>
      <c r="Y721" s="301"/>
      <c r="Z721" s="301"/>
      <c r="AA721" s="301"/>
      <c r="AB721" s="301"/>
      <c r="AC721" s="301"/>
      <c r="AD721" s="301"/>
      <c r="AE721" s="301"/>
    </row>
    <row r="722" spans="15:31">
      <c r="O722" s="301"/>
      <c r="P722" s="301"/>
      <c r="Q722" s="301"/>
      <c r="R722" s="301"/>
      <c r="S722" s="301"/>
      <c r="T722" s="301"/>
      <c r="U722" s="301"/>
      <c r="V722" s="301"/>
      <c r="W722" s="301"/>
      <c r="X722" s="301"/>
      <c r="Y722" s="301"/>
      <c r="Z722" s="301"/>
      <c r="AA722" s="301"/>
      <c r="AB722" s="301"/>
      <c r="AC722" s="301"/>
      <c r="AD722" s="301"/>
      <c r="AE722" s="301"/>
    </row>
    <row r="723" spans="15:31">
      <c r="O723" s="301"/>
      <c r="P723" s="301"/>
      <c r="Q723" s="301"/>
      <c r="R723" s="301"/>
      <c r="S723" s="301"/>
      <c r="T723" s="301"/>
      <c r="U723" s="301"/>
      <c r="V723" s="301"/>
      <c r="W723" s="301"/>
      <c r="X723" s="301"/>
      <c r="Y723" s="301"/>
      <c r="Z723" s="301"/>
      <c r="AA723" s="301"/>
      <c r="AB723" s="301"/>
      <c r="AC723" s="301"/>
      <c r="AD723" s="301"/>
      <c r="AE723" s="301"/>
    </row>
    <row r="724" spans="15:31">
      <c r="O724" s="301"/>
      <c r="P724" s="301"/>
      <c r="Q724" s="301"/>
      <c r="R724" s="301"/>
      <c r="S724" s="301"/>
      <c r="T724" s="301"/>
      <c r="U724" s="301"/>
      <c r="V724" s="301"/>
      <c r="W724" s="301"/>
      <c r="X724" s="301"/>
      <c r="Y724" s="301"/>
      <c r="Z724" s="301"/>
      <c r="AA724" s="301"/>
      <c r="AB724" s="301"/>
      <c r="AC724" s="301"/>
      <c r="AD724" s="301"/>
      <c r="AE724" s="301"/>
    </row>
    <row r="725" spans="15:31">
      <c r="O725" s="301"/>
      <c r="P725" s="301"/>
      <c r="Q725" s="301"/>
      <c r="R725" s="301"/>
      <c r="S725" s="301"/>
      <c r="T725" s="301"/>
      <c r="U725" s="301"/>
      <c r="V725" s="301"/>
      <c r="W725" s="301"/>
      <c r="X725" s="301"/>
      <c r="Y725" s="301"/>
      <c r="Z725" s="301"/>
      <c r="AA725" s="301"/>
      <c r="AB725" s="301"/>
      <c r="AC725" s="301"/>
      <c r="AD725" s="301"/>
      <c r="AE725" s="301"/>
    </row>
    <row r="726" spans="15:31">
      <c r="O726" s="301"/>
      <c r="P726" s="301"/>
      <c r="Q726" s="301"/>
      <c r="R726" s="301"/>
      <c r="S726" s="301"/>
      <c r="T726" s="301"/>
      <c r="U726" s="301"/>
      <c r="V726" s="301"/>
      <c r="W726" s="301"/>
      <c r="X726" s="301"/>
      <c r="Y726" s="301"/>
      <c r="Z726" s="301"/>
      <c r="AA726" s="301"/>
      <c r="AB726" s="301"/>
      <c r="AC726" s="301"/>
      <c r="AD726" s="301"/>
      <c r="AE726" s="301"/>
    </row>
    <row r="727" spans="15:31">
      <c r="O727" s="301"/>
      <c r="P727" s="301"/>
      <c r="Q727" s="301"/>
      <c r="R727" s="301"/>
      <c r="S727" s="301"/>
      <c r="T727" s="301"/>
      <c r="U727" s="301"/>
      <c r="V727" s="301"/>
      <c r="W727" s="301"/>
      <c r="X727" s="301"/>
      <c r="Y727" s="301"/>
      <c r="Z727" s="301"/>
      <c r="AA727" s="301"/>
      <c r="AB727" s="301"/>
      <c r="AC727" s="301"/>
      <c r="AD727" s="301"/>
      <c r="AE727" s="301"/>
    </row>
    <row r="728" spans="15:31">
      <c r="O728" s="301"/>
      <c r="P728" s="301"/>
      <c r="Q728" s="301"/>
      <c r="R728" s="301"/>
      <c r="S728" s="301"/>
      <c r="T728" s="301"/>
      <c r="U728" s="301"/>
      <c r="V728" s="301"/>
      <c r="W728" s="301"/>
      <c r="X728" s="301"/>
      <c r="Y728" s="301"/>
      <c r="Z728" s="301"/>
      <c r="AA728" s="301"/>
      <c r="AB728" s="301"/>
      <c r="AC728" s="301"/>
      <c r="AD728" s="301"/>
      <c r="AE728" s="301"/>
    </row>
    <row r="729" spans="15:31">
      <c r="O729" s="301"/>
      <c r="P729" s="301"/>
      <c r="Q729" s="301"/>
      <c r="R729" s="301"/>
      <c r="S729" s="301"/>
      <c r="T729" s="301"/>
      <c r="U729" s="301"/>
      <c r="V729" s="301"/>
      <c r="W729" s="301"/>
      <c r="X729" s="301"/>
      <c r="Y729" s="301"/>
      <c r="Z729" s="301"/>
      <c r="AA729" s="301"/>
      <c r="AB729" s="301"/>
      <c r="AC729" s="301"/>
      <c r="AD729" s="301"/>
      <c r="AE729" s="301"/>
    </row>
    <row r="730" spans="15:31">
      <c r="O730" s="301"/>
      <c r="P730" s="301"/>
      <c r="Q730" s="301"/>
      <c r="R730" s="301"/>
      <c r="S730" s="301"/>
      <c r="T730" s="301"/>
      <c r="U730" s="301"/>
      <c r="V730" s="301"/>
      <c r="W730" s="301"/>
      <c r="X730" s="301"/>
      <c r="Y730" s="301"/>
      <c r="Z730" s="301"/>
      <c r="AA730" s="301"/>
      <c r="AB730" s="301"/>
      <c r="AC730" s="301"/>
      <c r="AD730" s="301"/>
      <c r="AE730" s="301"/>
    </row>
    <row r="731" spans="15:31">
      <c r="O731" s="301"/>
      <c r="P731" s="301"/>
      <c r="Q731" s="301"/>
      <c r="R731" s="301"/>
      <c r="S731" s="301"/>
      <c r="T731" s="301"/>
      <c r="U731" s="301"/>
      <c r="V731" s="301"/>
      <c r="W731" s="301"/>
      <c r="X731" s="301"/>
      <c r="Y731" s="301"/>
      <c r="Z731" s="301"/>
      <c r="AA731" s="301"/>
      <c r="AB731" s="301"/>
      <c r="AC731" s="301"/>
      <c r="AD731" s="301"/>
      <c r="AE731" s="301"/>
    </row>
    <row r="732" spans="15:31">
      <c r="O732" s="301"/>
      <c r="P732" s="301"/>
      <c r="Q732" s="301"/>
      <c r="R732" s="301"/>
      <c r="S732" s="301"/>
      <c r="T732" s="301"/>
      <c r="U732" s="301"/>
      <c r="V732" s="301"/>
      <c r="W732" s="301"/>
      <c r="X732" s="301"/>
      <c r="Y732" s="301"/>
      <c r="Z732" s="301"/>
      <c r="AA732" s="301"/>
      <c r="AB732" s="301"/>
      <c r="AC732" s="301"/>
      <c r="AD732" s="301"/>
      <c r="AE732" s="301"/>
    </row>
    <row r="733" spans="15:31">
      <c r="O733" s="301"/>
      <c r="P733" s="301"/>
      <c r="Q733" s="301"/>
      <c r="R733" s="301"/>
      <c r="S733" s="301"/>
      <c r="T733" s="301"/>
      <c r="U733" s="301"/>
      <c r="V733" s="301"/>
      <c r="W733" s="301"/>
      <c r="X733" s="301"/>
      <c r="Y733" s="301"/>
      <c r="Z733" s="301"/>
      <c r="AA733" s="301"/>
      <c r="AB733" s="301"/>
      <c r="AC733" s="301"/>
      <c r="AD733" s="301"/>
      <c r="AE733" s="301"/>
    </row>
    <row r="734" spans="15:31">
      <c r="O734" s="301"/>
      <c r="P734" s="301"/>
      <c r="Q734" s="301"/>
      <c r="R734" s="301"/>
      <c r="S734" s="301"/>
      <c r="T734" s="301"/>
      <c r="U734" s="301"/>
      <c r="V734" s="301"/>
      <c r="W734" s="301"/>
      <c r="X734" s="301"/>
      <c r="Y734" s="301"/>
      <c r="Z734" s="301"/>
      <c r="AA734" s="301"/>
      <c r="AB734" s="301"/>
      <c r="AC734" s="301"/>
      <c r="AD734" s="301"/>
      <c r="AE734" s="301"/>
    </row>
    <row r="735" spans="15:31">
      <c r="O735" s="301"/>
      <c r="P735" s="301"/>
      <c r="Q735" s="301"/>
      <c r="R735" s="301"/>
      <c r="S735" s="301"/>
      <c r="T735" s="301"/>
      <c r="U735" s="301"/>
      <c r="V735" s="301"/>
      <c r="W735" s="301"/>
      <c r="X735" s="301"/>
      <c r="Y735" s="301"/>
      <c r="Z735" s="301"/>
      <c r="AA735" s="301"/>
      <c r="AB735" s="301"/>
      <c r="AC735" s="301"/>
      <c r="AD735" s="301"/>
      <c r="AE735" s="301"/>
    </row>
    <row r="736" spans="15:31">
      <c r="O736" s="301"/>
      <c r="P736" s="301"/>
      <c r="Q736" s="301"/>
      <c r="R736" s="301"/>
      <c r="S736" s="301"/>
      <c r="T736" s="301"/>
      <c r="U736" s="301"/>
      <c r="V736" s="301"/>
      <c r="W736" s="301"/>
      <c r="X736" s="301"/>
      <c r="Y736" s="301"/>
      <c r="Z736" s="301"/>
      <c r="AA736" s="301"/>
      <c r="AB736" s="301"/>
      <c r="AC736" s="301"/>
      <c r="AD736" s="301"/>
      <c r="AE736" s="301"/>
    </row>
    <row r="737" spans="15:31">
      <c r="O737" s="301"/>
      <c r="P737" s="301"/>
      <c r="Q737" s="301"/>
      <c r="R737" s="301"/>
      <c r="S737" s="301"/>
      <c r="T737" s="301"/>
      <c r="U737" s="301"/>
      <c r="V737" s="301"/>
      <c r="W737" s="301"/>
      <c r="X737" s="301"/>
      <c r="Y737" s="301"/>
      <c r="Z737" s="301"/>
      <c r="AA737" s="301"/>
      <c r="AB737" s="301"/>
      <c r="AC737" s="301"/>
      <c r="AD737" s="301"/>
      <c r="AE737" s="301"/>
    </row>
    <row r="738" spans="15:31">
      <c r="O738" s="301"/>
      <c r="P738" s="301"/>
      <c r="Q738" s="301"/>
      <c r="R738" s="301"/>
      <c r="S738" s="301"/>
      <c r="T738" s="301"/>
      <c r="U738" s="301"/>
      <c r="V738" s="301"/>
      <c r="W738" s="301"/>
      <c r="X738" s="301"/>
      <c r="Y738" s="301"/>
      <c r="Z738" s="301"/>
      <c r="AA738" s="301"/>
      <c r="AB738" s="301"/>
      <c r="AC738" s="301"/>
      <c r="AD738" s="301"/>
      <c r="AE738" s="301"/>
    </row>
    <row r="739" spans="15:31">
      <c r="O739" s="301"/>
      <c r="P739" s="301"/>
      <c r="Q739" s="301"/>
      <c r="R739" s="301"/>
      <c r="S739" s="301"/>
      <c r="T739" s="301"/>
      <c r="U739" s="301"/>
      <c r="V739" s="301"/>
      <c r="W739" s="301"/>
      <c r="X739" s="301"/>
      <c r="Y739" s="301"/>
      <c r="Z739" s="301"/>
      <c r="AA739" s="301"/>
      <c r="AB739" s="301"/>
      <c r="AC739" s="301"/>
      <c r="AD739" s="301"/>
      <c r="AE739" s="301"/>
    </row>
    <row r="740" spans="15:31">
      <c r="O740" s="301"/>
      <c r="P740" s="301"/>
      <c r="Q740" s="301"/>
      <c r="R740" s="301"/>
      <c r="S740" s="301"/>
      <c r="T740" s="301"/>
      <c r="U740" s="301"/>
      <c r="V740" s="301"/>
      <c r="W740" s="301"/>
      <c r="X740" s="301"/>
      <c r="Y740" s="301"/>
      <c r="Z740" s="301"/>
      <c r="AA740" s="301"/>
      <c r="AB740" s="301"/>
      <c r="AC740" s="301"/>
      <c r="AD740" s="301"/>
      <c r="AE740" s="301"/>
    </row>
    <row r="741" spans="15:31">
      <c r="O741" s="301"/>
      <c r="P741" s="301"/>
      <c r="Q741" s="301"/>
      <c r="R741" s="301"/>
      <c r="S741" s="301"/>
      <c r="T741" s="301"/>
      <c r="U741" s="301"/>
      <c r="V741" s="301"/>
      <c r="W741" s="301"/>
      <c r="X741" s="301"/>
      <c r="Y741" s="301"/>
      <c r="Z741" s="301"/>
      <c r="AA741" s="301"/>
      <c r="AB741" s="301"/>
      <c r="AC741" s="301"/>
      <c r="AD741" s="301"/>
      <c r="AE741" s="301"/>
    </row>
    <row r="742" spans="15:31">
      <c r="O742" s="301"/>
      <c r="P742" s="301"/>
      <c r="Q742" s="301"/>
      <c r="R742" s="301"/>
      <c r="S742" s="301"/>
      <c r="T742" s="301"/>
      <c r="U742" s="301"/>
      <c r="V742" s="301"/>
      <c r="W742" s="301"/>
      <c r="X742" s="301"/>
      <c r="Y742" s="301"/>
      <c r="Z742" s="301"/>
      <c r="AA742" s="301"/>
      <c r="AB742" s="301"/>
      <c r="AC742" s="301"/>
      <c r="AD742" s="301"/>
      <c r="AE742" s="301"/>
    </row>
    <row r="743" spans="15:31">
      <c r="O743" s="301"/>
      <c r="P743" s="301"/>
      <c r="Q743" s="301"/>
      <c r="R743" s="301"/>
      <c r="S743" s="301"/>
      <c r="T743" s="301"/>
      <c r="U743" s="301"/>
      <c r="V743" s="301"/>
      <c r="W743" s="301"/>
      <c r="X743" s="301"/>
      <c r="Y743" s="301"/>
      <c r="Z743" s="301"/>
      <c r="AA743" s="301"/>
      <c r="AB743" s="301"/>
      <c r="AC743" s="301"/>
      <c r="AD743" s="301"/>
      <c r="AE743" s="301"/>
    </row>
    <row r="744" spans="15:31">
      <c r="O744" s="301"/>
      <c r="P744" s="301"/>
      <c r="Q744" s="301"/>
      <c r="R744" s="301"/>
      <c r="S744" s="301"/>
      <c r="T744" s="301"/>
      <c r="U744" s="301"/>
      <c r="V744" s="301"/>
      <c r="W744" s="301"/>
      <c r="X744" s="301"/>
      <c r="Y744" s="301"/>
      <c r="Z744" s="301"/>
      <c r="AA744" s="301"/>
      <c r="AB744" s="301"/>
      <c r="AC744" s="301"/>
      <c r="AD744" s="301"/>
      <c r="AE744" s="301"/>
    </row>
    <row r="745" spans="15:31">
      <c r="O745" s="301"/>
      <c r="P745" s="301"/>
      <c r="Q745" s="301"/>
      <c r="R745" s="301"/>
      <c r="S745" s="301"/>
      <c r="T745" s="301"/>
      <c r="U745" s="301"/>
      <c r="V745" s="301"/>
      <c r="W745" s="301"/>
      <c r="X745" s="301"/>
      <c r="Y745" s="301"/>
      <c r="Z745" s="301"/>
      <c r="AA745" s="301"/>
      <c r="AB745" s="301"/>
      <c r="AC745" s="301"/>
      <c r="AD745" s="301"/>
      <c r="AE745" s="301"/>
    </row>
    <row r="746" spans="15:31">
      <c r="O746" s="301"/>
      <c r="P746" s="301"/>
      <c r="Q746" s="301"/>
      <c r="R746" s="301"/>
      <c r="S746" s="301"/>
      <c r="T746" s="301"/>
      <c r="U746" s="301"/>
      <c r="V746" s="301"/>
      <c r="W746" s="301"/>
      <c r="X746" s="301"/>
      <c r="Y746" s="301"/>
      <c r="Z746" s="301"/>
      <c r="AA746" s="301"/>
      <c r="AB746" s="301"/>
      <c r="AC746" s="301"/>
      <c r="AD746" s="301"/>
      <c r="AE746" s="301"/>
    </row>
    <row r="747" spans="15:31">
      <c r="O747" s="301"/>
      <c r="P747" s="301"/>
      <c r="Q747" s="301"/>
      <c r="R747" s="301"/>
      <c r="S747" s="301"/>
      <c r="T747" s="301"/>
      <c r="U747" s="301"/>
      <c r="V747" s="301"/>
      <c r="W747" s="301"/>
      <c r="X747" s="301"/>
      <c r="Y747" s="301"/>
      <c r="Z747" s="301"/>
      <c r="AA747" s="301"/>
      <c r="AB747" s="301"/>
      <c r="AC747" s="301"/>
      <c r="AD747" s="301"/>
      <c r="AE747" s="301"/>
    </row>
    <row r="748" spans="15:31">
      <c r="O748" s="301"/>
      <c r="P748" s="301"/>
      <c r="Q748" s="301"/>
      <c r="R748" s="301"/>
      <c r="S748" s="301"/>
      <c r="T748" s="301"/>
      <c r="U748" s="301"/>
      <c r="V748" s="301"/>
      <c r="W748" s="301"/>
      <c r="X748" s="301"/>
      <c r="Y748" s="301"/>
      <c r="Z748" s="301"/>
      <c r="AA748" s="301"/>
      <c r="AB748" s="301"/>
      <c r="AC748" s="301"/>
      <c r="AD748" s="301"/>
      <c r="AE748" s="301"/>
    </row>
    <row r="749" spans="15:31">
      <c r="O749" s="301"/>
      <c r="P749" s="301"/>
      <c r="Q749" s="301"/>
      <c r="R749" s="301"/>
      <c r="S749" s="301"/>
      <c r="T749" s="301"/>
      <c r="U749" s="301"/>
      <c r="V749" s="301"/>
      <c r="W749" s="301"/>
      <c r="X749" s="301"/>
      <c r="Y749" s="301"/>
      <c r="Z749" s="301"/>
      <c r="AA749" s="301"/>
      <c r="AB749" s="301"/>
      <c r="AC749" s="301"/>
      <c r="AD749" s="301"/>
      <c r="AE749" s="301"/>
    </row>
    <row r="750" spans="15:31">
      <c r="O750" s="301"/>
      <c r="P750" s="301"/>
      <c r="Q750" s="301"/>
      <c r="R750" s="301"/>
      <c r="S750" s="301"/>
      <c r="T750" s="301"/>
      <c r="U750" s="301"/>
      <c r="V750" s="301"/>
      <c r="W750" s="301"/>
      <c r="X750" s="301"/>
      <c r="Y750" s="301"/>
      <c r="Z750" s="301"/>
      <c r="AA750" s="301"/>
      <c r="AB750" s="301"/>
      <c r="AC750" s="301"/>
      <c r="AD750" s="301"/>
      <c r="AE750" s="301"/>
    </row>
    <row r="751" spans="15:31">
      <c r="O751" s="301"/>
      <c r="P751" s="301"/>
      <c r="Q751" s="301"/>
      <c r="R751" s="301"/>
      <c r="S751" s="301"/>
      <c r="T751" s="301"/>
      <c r="U751" s="301"/>
      <c r="V751" s="301"/>
      <c r="W751" s="301"/>
      <c r="X751" s="301"/>
      <c r="Y751" s="301"/>
      <c r="Z751" s="301"/>
      <c r="AA751" s="301"/>
      <c r="AB751" s="301"/>
      <c r="AC751" s="301"/>
      <c r="AD751" s="301"/>
      <c r="AE751" s="301"/>
    </row>
    <row r="752" spans="15:31">
      <c r="O752" s="301"/>
      <c r="P752" s="301"/>
      <c r="Q752" s="301"/>
      <c r="R752" s="301"/>
      <c r="S752" s="301"/>
      <c r="T752" s="301"/>
      <c r="U752" s="301"/>
      <c r="V752" s="301"/>
      <c r="W752" s="301"/>
      <c r="X752" s="301"/>
      <c r="Y752" s="301"/>
      <c r="Z752" s="301"/>
      <c r="AA752" s="301"/>
      <c r="AB752" s="301"/>
      <c r="AC752" s="301"/>
      <c r="AD752" s="301"/>
      <c r="AE752" s="301"/>
    </row>
    <row r="753" spans="15:31">
      <c r="O753" s="301"/>
      <c r="P753" s="301"/>
      <c r="Q753" s="301"/>
      <c r="R753" s="301"/>
      <c r="S753" s="301"/>
      <c r="T753" s="301"/>
      <c r="U753" s="301"/>
      <c r="V753" s="301"/>
      <c r="W753" s="301"/>
      <c r="X753" s="301"/>
      <c r="Y753" s="301"/>
      <c r="Z753" s="301"/>
      <c r="AA753" s="301"/>
      <c r="AB753" s="301"/>
      <c r="AC753" s="301"/>
      <c r="AD753" s="301"/>
      <c r="AE753" s="301"/>
    </row>
    <row r="754" spans="15:31">
      <c r="O754" s="301"/>
      <c r="P754" s="301"/>
      <c r="Q754" s="301"/>
      <c r="R754" s="301"/>
      <c r="S754" s="301"/>
      <c r="T754" s="301"/>
      <c r="U754" s="301"/>
      <c r="V754" s="301"/>
      <c r="W754" s="301"/>
      <c r="X754" s="301"/>
      <c r="Y754" s="301"/>
      <c r="Z754" s="301"/>
      <c r="AA754" s="301"/>
      <c r="AB754" s="301"/>
      <c r="AC754" s="301"/>
      <c r="AD754" s="301"/>
      <c r="AE754" s="301"/>
    </row>
    <row r="755" spans="15:31">
      <c r="O755" s="301"/>
      <c r="P755" s="301"/>
      <c r="Q755" s="301"/>
      <c r="R755" s="301"/>
      <c r="S755" s="301"/>
      <c r="T755" s="301"/>
      <c r="U755" s="301"/>
      <c r="V755" s="301"/>
      <c r="W755" s="301"/>
      <c r="X755" s="301"/>
      <c r="Y755" s="301"/>
      <c r="Z755" s="301"/>
      <c r="AA755" s="301"/>
      <c r="AB755" s="301"/>
      <c r="AC755" s="301"/>
      <c r="AD755" s="301"/>
      <c r="AE755" s="301"/>
    </row>
    <row r="756" spans="15:31">
      <c r="O756" s="301"/>
      <c r="P756" s="301"/>
      <c r="Q756" s="301"/>
      <c r="R756" s="301"/>
      <c r="S756" s="301"/>
      <c r="T756" s="301"/>
      <c r="U756" s="301"/>
      <c r="V756" s="301"/>
      <c r="W756" s="301"/>
      <c r="X756" s="301"/>
      <c r="Y756" s="301"/>
      <c r="Z756" s="301"/>
      <c r="AA756" s="301"/>
      <c r="AB756" s="301"/>
      <c r="AC756" s="301"/>
      <c r="AD756" s="301"/>
      <c r="AE756" s="301"/>
    </row>
    <row r="757" spans="15:31">
      <c r="O757" s="301"/>
      <c r="P757" s="301"/>
      <c r="Q757" s="301"/>
      <c r="R757" s="301"/>
      <c r="S757" s="301"/>
      <c r="T757" s="301"/>
      <c r="U757" s="301"/>
      <c r="V757" s="301"/>
      <c r="W757" s="301"/>
      <c r="X757" s="301"/>
      <c r="Y757" s="301"/>
      <c r="Z757" s="301"/>
      <c r="AA757" s="301"/>
      <c r="AB757" s="301"/>
      <c r="AC757" s="301"/>
      <c r="AD757" s="301"/>
      <c r="AE757" s="301"/>
    </row>
    <row r="758" spans="15:31">
      <c r="O758" s="301"/>
      <c r="P758" s="301"/>
      <c r="Q758" s="301"/>
      <c r="R758" s="301"/>
      <c r="S758" s="301"/>
      <c r="T758" s="301"/>
      <c r="U758" s="301"/>
      <c r="V758" s="301"/>
      <c r="W758" s="301"/>
      <c r="X758" s="301"/>
      <c r="Y758" s="301"/>
      <c r="Z758" s="301"/>
      <c r="AA758" s="301"/>
      <c r="AB758" s="301"/>
      <c r="AC758" s="301"/>
      <c r="AD758" s="301"/>
      <c r="AE758" s="301"/>
    </row>
    <row r="759" spans="15:31">
      <c r="O759" s="301"/>
      <c r="P759" s="301"/>
      <c r="Q759" s="301"/>
      <c r="R759" s="301"/>
      <c r="S759" s="301"/>
      <c r="T759" s="301"/>
      <c r="U759" s="301"/>
      <c r="V759" s="301"/>
      <c r="W759" s="301"/>
      <c r="X759" s="301"/>
      <c r="Y759" s="301"/>
      <c r="Z759" s="301"/>
      <c r="AA759" s="301"/>
      <c r="AB759" s="301"/>
      <c r="AC759" s="301"/>
      <c r="AD759" s="301"/>
      <c r="AE759" s="301"/>
    </row>
    <row r="760" spans="15:31">
      <c r="O760" s="301"/>
      <c r="P760" s="301"/>
      <c r="Q760" s="301"/>
      <c r="R760" s="301"/>
      <c r="S760" s="301"/>
      <c r="T760" s="301"/>
      <c r="U760" s="301"/>
      <c r="V760" s="301"/>
      <c r="W760" s="301"/>
      <c r="X760" s="301"/>
      <c r="Y760" s="301"/>
      <c r="Z760" s="301"/>
      <c r="AA760" s="301"/>
      <c r="AB760" s="301"/>
      <c r="AC760" s="301"/>
      <c r="AD760" s="301"/>
      <c r="AE760" s="301"/>
    </row>
    <row r="761" spans="15:31">
      <c r="O761" s="301"/>
      <c r="P761" s="301"/>
      <c r="Q761" s="301"/>
      <c r="R761" s="301"/>
      <c r="S761" s="301"/>
      <c r="T761" s="301"/>
      <c r="U761" s="301"/>
      <c r="V761" s="301"/>
      <c r="W761" s="301"/>
      <c r="X761" s="301"/>
      <c r="Y761" s="301"/>
      <c r="Z761" s="301"/>
      <c r="AA761" s="301"/>
      <c r="AB761" s="301"/>
      <c r="AC761" s="301"/>
      <c r="AD761" s="301"/>
      <c r="AE761" s="301"/>
    </row>
    <row r="762" spans="15:31">
      <c r="O762" s="301"/>
      <c r="P762" s="301"/>
      <c r="Q762" s="301"/>
      <c r="R762" s="301"/>
      <c r="S762" s="301"/>
      <c r="T762" s="301"/>
      <c r="U762" s="301"/>
      <c r="V762" s="301"/>
      <c r="W762" s="301"/>
      <c r="X762" s="301"/>
      <c r="Y762" s="301"/>
      <c r="Z762" s="301"/>
      <c r="AA762" s="301"/>
      <c r="AB762" s="301"/>
      <c r="AC762" s="301"/>
      <c r="AD762" s="301"/>
      <c r="AE762" s="301"/>
    </row>
    <row r="763" spans="15:31">
      <c r="O763" s="301"/>
      <c r="P763" s="301"/>
      <c r="Q763" s="301"/>
      <c r="R763" s="301"/>
      <c r="S763" s="301"/>
      <c r="T763" s="301"/>
      <c r="U763" s="301"/>
      <c r="V763" s="301"/>
      <c r="W763" s="301"/>
      <c r="X763" s="301"/>
      <c r="Y763" s="301"/>
      <c r="Z763" s="301"/>
      <c r="AA763" s="301"/>
      <c r="AB763" s="301"/>
      <c r="AC763" s="301"/>
      <c r="AD763" s="301"/>
      <c r="AE763" s="301"/>
    </row>
    <row r="764" spans="15:31">
      <c r="O764" s="301"/>
      <c r="P764" s="301"/>
      <c r="Q764" s="301"/>
      <c r="R764" s="301"/>
      <c r="S764" s="301"/>
      <c r="T764" s="301"/>
      <c r="U764" s="301"/>
      <c r="V764" s="301"/>
      <c r="W764" s="301"/>
      <c r="X764" s="301"/>
      <c r="Y764" s="301"/>
      <c r="Z764" s="301"/>
      <c r="AA764" s="301"/>
      <c r="AB764" s="301"/>
      <c r="AC764" s="301"/>
      <c r="AD764" s="301"/>
      <c r="AE764" s="301"/>
    </row>
    <row r="765" spans="15:31">
      <c r="O765" s="301"/>
      <c r="P765" s="301"/>
      <c r="Q765" s="301"/>
      <c r="R765" s="301"/>
      <c r="S765" s="301"/>
      <c r="T765" s="301"/>
      <c r="U765" s="301"/>
      <c r="V765" s="301"/>
      <c r="W765" s="301"/>
      <c r="X765" s="301"/>
      <c r="Y765" s="301"/>
      <c r="Z765" s="301"/>
      <c r="AA765" s="301"/>
      <c r="AB765" s="301"/>
      <c r="AC765" s="301"/>
      <c r="AD765" s="301"/>
      <c r="AE765" s="301"/>
    </row>
    <row r="766" spans="15:31">
      <c r="O766" s="301"/>
      <c r="P766" s="301"/>
      <c r="Q766" s="301"/>
      <c r="R766" s="301"/>
      <c r="S766" s="301"/>
      <c r="T766" s="301"/>
      <c r="U766" s="301"/>
      <c r="V766" s="301"/>
      <c r="W766" s="301"/>
      <c r="X766" s="301"/>
      <c r="Y766" s="301"/>
      <c r="Z766" s="301"/>
      <c r="AA766" s="301"/>
      <c r="AB766" s="301"/>
      <c r="AC766" s="301"/>
      <c r="AD766" s="301"/>
      <c r="AE766" s="301"/>
    </row>
    <row r="767" spans="15:31">
      <c r="O767" s="301"/>
      <c r="P767" s="301"/>
      <c r="Q767" s="301"/>
      <c r="R767" s="301"/>
      <c r="S767" s="301"/>
      <c r="T767" s="301"/>
      <c r="U767" s="301"/>
      <c r="V767" s="301"/>
      <c r="W767" s="301"/>
      <c r="X767" s="301"/>
      <c r="Y767" s="301"/>
      <c r="Z767" s="301"/>
      <c r="AA767" s="301"/>
      <c r="AB767" s="301"/>
      <c r="AC767" s="301"/>
      <c r="AD767" s="301"/>
      <c r="AE767" s="301"/>
    </row>
    <row r="768" spans="15:31">
      <c r="O768" s="301"/>
      <c r="P768" s="301"/>
      <c r="Q768" s="301"/>
      <c r="R768" s="301"/>
      <c r="S768" s="301"/>
      <c r="T768" s="301"/>
      <c r="U768" s="301"/>
      <c r="V768" s="301"/>
      <c r="W768" s="301"/>
      <c r="X768" s="301"/>
      <c r="Y768" s="301"/>
      <c r="Z768" s="301"/>
      <c r="AA768" s="301"/>
      <c r="AB768" s="301"/>
      <c r="AC768" s="301"/>
      <c r="AD768" s="301"/>
      <c r="AE768" s="301"/>
    </row>
    <row r="769" spans="15:31">
      <c r="O769" s="301"/>
      <c r="P769" s="301"/>
      <c r="Q769" s="301"/>
      <c r="R769" s="301"/>
      <c r="S769" s="301"/>
      <c r="T769" s="301"/>
      <c r="U769" s="301"/>
      <c r="V769" s="301"/>
      <c r="W769" s="301"/>
      <c r="X769" s="301"/>
      <c r="Y769" s="301"/>
      <c r="Z769" s="301"/>
      <c r="AA769" s="301"/>
      <c r="AB769" s="301"/>
      <c r="AC769" s="301"/>
      <c r="AD769" s="301"/>
      <c r="AE769" s="301"/>
    </row>
    <row r="770" spans="15:31">
      <c r="O770" s="301"/>
      <c r="P770" s="301"/>
      <c r="Q770" s="301"/>
      <c r="R770" s="301"/>
      <c r="S770" s="301"/>
      <c r="T770" s="301"/>
      <c r="U770" s="301"/>
      <c r="V770" s="301"/>
      <c r="W770" s="301"/>
      <c r="X770" s="301"/>
      <c r="Y770" s="301"/>
      <c r="Z770" s="301"/>
      <c r="AA770" s="301"/>
      <c r="AB770" s="301"/>
      <c r="AC770" s="301"/>
      <c r="AD770" s="301"/>
      <c r="AE770" s="301"/>
    </row>
    <row r="771" spans="15:31">
      <c r="O771" s="301"/>
      <c r="P771" s="301"/>
      <c r="Q771" s="301"/>
      <c r="R771" s="301"/>
      <c r="S771" s="301"/>
      <c r="T771" s="301"/>
      <c r="U771" s="301"/>
      <c r="V771" s="301"/>
      <c r="W771" s="301"/>
      <c r="X771" s="301"/>
      <c r="Y771" s="301"/>
      <c r="Z771" s="301"/>
      <c r="AA771" s="301"/>
      <c r="AB771" s="301"/>
      <c r="AC771" s="301"/>
      <c r="AD771" s="301"/>
      <c r="AE771" s="301"/>
    </row>
    <row r="772" spans="15:31">
      <c r="O772" s="301"/>
      <c r="P772" s="301"/>
      <c r="Q772" s="301"/>
      <c r="R772" s="301"/>
      <c r="S772" s="301"/>
      <c r="T772" s="301"/>
      <c r="U772" s="301"/>
      <c r="V772" s="301"/>
      <c r="W772" s="301"/>
      <c r="X772" s="301"/>
      <c r="Y772" s="301"/>
      <c r="Z772" s="301"/>
      <c r="AA772" s="301"/>
      <c r="AB772" s="301"/>
      <c r="AC772" s="301"/>
      <c r="AD772" s="301"/>
      <c r="AE772" s="301"/>
    </row>
    <row r="773" spans="15:31">
      <c r="O773" s="301"/>
      <c r="P773" s="301"/>
      <c r="Q773" s="301"/>
      <c r="R773" s="301"/>
      <c r="S773" s="301"/>
      <c r="T773" s="301"/>
      <c r="U773" s="301"/>
      <c r="V773" s="301"/>
      <c r="W773" s="301"/>
      <c r="X773" s="301"/>
      <c r="Y773" s="301"/>
      <c r="Z773" s="301"/>
      <c r="AA773" s="301"/>
      <c r="AB773" s="301"/>
      <c r="AC773" s="301"/>
      <c r="AD773" s="301"/>
      <c r="AE773" s="301"/>
    </row>
    <row r="774" spans="15:31">
      <c r="O774" s="301"/>
      <c r="P774" s="301"/>
      <c r="Q774" s="301"/>
      <c r="R774" s="301"/>
      <c r="S774" s="301"/>
      <c r="T774" s="301"/>
      <c r="U774" s="301"/>
      <c r="V774" s="301"/>
      <c r="W774" s="301"/>
      <c r="X774" s="301"/>
      <c r="Y774" s="301"/>
      <c r="Z774" s="301"/>
      <c r="AA774" s="301"/>
      <c r="AB774" s="301"/>
      <c r="AC774" s="301"/>
      <c r="AD774" s="301"/>
      <c r="AE774" s="301"/>
    </row>
    <row r="775" spans="15:31">
      <c r="O775" s="301"/>
      <c r="P775" s="301"/>
      <c r="Q775" s="301"/>
      <c r="R775" s="301"/>
      <c r="S775" s="301"/>
      <c r="T775" s="301"/>
      <c r="U775" s="301"/>
      <c r="V775" s="301"/>
      <c r="W775" s="301"/>
      <c r="X775" s="301"/>
      <c r="Y775" s="301"/>
      <c r="Z775" s="301"/>
      <c r="AA775" s="301"/>
      <c r="AB775" s="301"/>
      <c r="AC775" s="301"/>
      <c r="AD775" s="301"/>
      <c r="AE775" s="301"/>
    </row>
    <row r="776" spans="15:31">
      <c r="O776" s="301"/>
      <c r="P776" s="301"/>
      <c r="Q776" s="301"/>
      <c r="R776" s="301"/>
      <c r="S776" s="301"/>
      <c r="T776" s="301"/>
      <c r="U776" s="301"/>
      <c r="V776" s="301"/>
      <c r="W776" s="301"/>
      <c r="X776" s="301"/>
      <c r="Y776" s="301"/>
      <c r="Z776" s="301"/>
      <c r="AA776" s="301"/>
      <c r="AB776" s="301"/>
      <c r="AC776" s="301"/>
      <c r="AD776" s="301"/>
      <c r="AE776" s="301"/>
    </row>
    <row r="777" spans="15:31">
      <c r="O777" s="301"/>
      <c r="P777" s="301"/>
      <c r="Q777" s="301"/>
      <c r="R777" s="301"/>
      <c r="S777" s="301"/>
      <c r="T777" s="301"/>
      <c r="U777" s="301"/>
      <c r="V777" s="301"/>
      <c r="W777" s="301"/>
      <c r="X777" s="301"/>
      <c r="Y777" s="301"/>
      <c r="Z777" s="301"/>
      <c r="AA777" s="301"/>
      <c r="AB777" s="301"/>
      <c r="AC777" s="301"/>
      <c r="AD777" s="301"/>
      <c r="AE777" s="301"/>
    </row>
    <row r="778" spans="15:31">
      <c r="O778" s="301"/>
      <c r="P778" s="301"/>
      <c r="Q778" s="301"/>
      <c r="R778" s="301"/>
      <c r="S778" s="301"/>
      <c r="T778" s="301"/>
      <c r="U778" s="301"/>
      <c r="V778" s="301"/>
      <c r="W778" s="301"/>
      <c r="X778" s="301"/>
      <c r="Y778" s="301"/>
      <c r="Z778" s="301"/>
      <c r="AA778" s="301"/>
      <c r="AB778" s="301"/>
      <c r="AC778" s="301"/>
      <c r="AD778" s="301"/>
      <c r="AE778" s="301"/>
    </row>
    <row r="779" spans="15:31">
      <c r="O779" s="301"/>
      <c r="P779" s="301"/>
      <c r="Q779" s="301"/>
      <c r="R779" s="301"/>
      <c r="S779" s="301"/>
      <c r="T779" s="301"/>
      <c r="U779" s="301"/>
      <c r="V779" s="301"/>
      <c r="W779" s="301"/>
      <c r="X779" s="301"/>
      <c r="Y779" s="301"/>
      <c r="Z779" s="301"/>
      <c r="AA779" s="301"/>
      <c r="AB779" s="301"/>
      <c r="AC779" s="301"/>
      <c r="AD779" s="301"/>
      <c r="AE779" s="301"/>
    </row>
    <row r="780" spans="15:31">
      <c r="O780" s="301"/>
      <c r="P780" s="301"/>
      <c r="Q780" s="301"/>
      <c r="R780" s="301"/>
      <c r="S780" s="301"/>
      <c r="T780" s="301"/>
      <c r="U780" s="301"/>
      <c r="V780" s="301"/>
      <c r="W780" s="301"/>
      <c r="X780" s="301"/>
      <c r="Y780" s="301"/>
      <c r="Z780" s="301"/>
      <c r="AA780" s="301"/>
      <c r="AB780" s="301"/>
      <c r="AC780" s="301"/>
      <c r="AD780" s="301"/>
      <c r="AE780" s="301"/>
    </row>
    <row r="781" spans="15:31">
      <c r="O781" s="301"/>
      <c r="P781" s="301"/>
      <c r="Q781" s="301"/>
      <c r="R781" s="301"/>
      <c r="S781" s="301"/>
      <c r="T781" s="301"/>
      <c r="U781" s="301"/>
      <c r="V781" s="301"/>
      <c r="W781" s="301"/>
      <c r="X781" s="301"/>
      <c r="Y781" s="301"/>
      <c r="Z781" s="301"/>
      <c r="AA781" s="301"/>
      <c r="AB781" s="301"/>
      <c r="AC781" s="301"/>
      <c r="AD781" s="301"/>
      <c r="AE781" s="301"/>
    </row>
    <row r="782" spans="15:31">
      <c r="O782" s="301"/>
      <c r="P782" s="301"/>
      <c r="Q782" s="301"/>
      <c r="R782" s="301"/>
      <c r="S782" s="301"/>
      <c r="T782" s="301"/>
      <c r="U782" s="301"/>
      <c r="V782" s="301"/>
      <c r="W782" s="301"/>
      <c r="X782" s="301"/>
      <c r="Y782" s="301"/>
      <c r="Z782" s="301"/>
      <c r="AA782" s="301"/>
      <c r="AB782" s="301"/>
      <c r="AC782" s="301"/>
      <c r="AD782" s="301"/>
      <c r="AE782" s="301"/>
    </row>
    <row r="783" spans="15:31">
      <c r="O783" s="301"/>
      <c r="P783" s="301"/>
      <c r="Q783" s="301"/>
      <c r="R783" s="301"/>
      <c r="S783" s="301"/>
      <c r="T783" s="301"/>
      <c r="U783" s="301"/>
      <c r="V783" s="301"/>
      <c r="W783" s="301"/>
      <c r="X783" s="301"/>
      <c r="Y783" s="301"/>
      <c r="Z783" s="301"/>
      <c r="AA783" s="301"/>
      <c r="AB783" s="301"/>
      <c r="AC783" s="301"/>
      <c r="AD783" s="301"/>
      <c r="AE783" s="301"/>
    </row>
    <row r="784" spans="15:31">
      <c r="O784" s="301"/>
      <c r="P784" s="301"/>
      <c r="Q784" s="301"/>
      <c r="R784" s="301"/>
      <c r="S784" s="301"/>
      <c r="T784" s="301"/>
      <c r="U784" s="301"/>
      <c r="V784" s="301"/>
      <c r="W784" s="301"/>
      <c r="X784" s="301"/>
      <c r="Y784" s="301"/>
      <c r="Z784" s="301"/>
      <c r="AA784" s="301"/>
      <c r="AB784" s="301"/>
      <c r="AC784" s="301"/>
      <c r="AD784" s="301"/>
      <c r="AE784" s="301"/>
    </row>
    <row r="785" spans="15:31">
      <c r="O785" s="301"/>
      <c r="P785" s="301"/>
      <c r="Q785" s="301"/>
      <c r="R785" s="301"/>
      <c r="S785" s="301"/>
      <c r="T785" s="301"/>
      <c r="U785" s="301"/>
      <c r="V785" s="301"/>
      <c r="W785" s="301"/>
      <c r="X785" s="301"/>
      <c r="Y785" s="301"/>
      <c r="Z785" s="301"/>
      <c r="AA785" s="301"/>
      <c r="AB785" s="301"/>
      <c r="AC785" s="301"/>
      <c r="AD785" s="301"/>
      <c r="AE785" s="301"/>
    </row>
    <row r="786" spans="15:31">
      <c r="O786" s="301"/>
      <c r="P786" s="301"/>
      <c r="Q786" s="301"/>
      <c r="R786" s="301"/>
      <c r="S786" s="301"/>
      <c r="T786" s="301"/>
      <c r="U786" s="301"/>
      <c r="V786" s="301"/>
      <c r="W786" s="301"/>
      <c r="X786" s="301"/>
      <c r="Y786" s="301"/>
      <c r="Z786" s="301"/>
      <c r="AA786" s="301"/>
      <c r="AB786" s="301"/>
      <c r="AC786" s="301"/>
      <c r="AD786" s="301"/>
      <c r="AE786" s="301"/>
    </row>
    <row r="787" spans="15:31">
      <c r="O787" s="301"/>
      <c r="P787" s="301"/>
      <c r="Q787" s="301"/>
      <c r="R787" s="301"/>
      <c r="S787" s="301"/>
      <c r="T787" s="301"/>
      <c r="U787" s="301"/>
      <c r="V787" s="301"/>
      <c r="W787" s="301"/>
      <c r="X787" s="301"/>
      <c r="Y787" s="301"/>
      <c r="Z787" s="301"/>
      <c r="AA787" s="301"/>
      <c r="AB787" s="301"/>
      <c r="AC787" s="301"/>
      <c r="AD787" s="301"/>
      <c r="AE787" s="301"/>
    </row>
    <row r="788" spans="15:31">
      <c r="O788" s="301"/>
      <c r="P788" s="301"/>
      <c r="Q788" s="301"/>
      <c r="R788" s="301"/>
      <c r="S788" s="301"/>
      <c r="T788" s="301"/>
      <c r="U788" s="301"/>
      <c r="V788" s="301"/>
      <c r="W788" s="301"/>
      <c r="X788" s="301"/>
      <c r="Y788" s="301"/>
      <c r="Z788" s="301"/>
      <c r="AA788" s="301"/>
      <c r="AB788" s="301"/>
      <c r="AC788" s="301"/>
      <c r="AD788" s="301"/>
      <c r="AE788" s="301"/>
    </row>
    <row r="789" spans="15:31">
      <c r="O789" s="301"/>
      <c r="P789" s="301"/>
      <c r="Q789" s="301"/>
      <c r="R789" s="301"/>
      <c r="S789" s="301"/>
      <c r="T789" s="301"/>
      <c r="U789" s="301"/>
      <c r="V789" s="301"/>
      <c r="W789" s="301"/>
      <c r="X789" s="301"/>
      <c r="Y789" s="301"/>
      <c r="Z789" s="301"/>
      <c r="AA789" s="301"/>
      <c r="AB789" s="301"/>
      <c r="AC789" s="301"/>
      <c r="AD789" s="301"/>
      <c r="AE789" s="301"/>
    </row>
    <row r="790" spans="15:31">
      <c r="O790" s="301"/>
      <c r="P790" s="301"/>
      <c r="Q790" s="301"/>
      <c r="R790" s="301"/>
      <c r="S790" s="301"/>
      <c r="T790" s="301"/>
      <c r="U790" s="301"/>
      <c r="V790" s="301"/>
      <c r="W790" s="301"/>
      <c r="X790" s="301"/>
      <c r="Y790" s="301"/>
      <c r="Z790" s="301"/>
      <c r="AA790" s="301"/>
      <c r="AB790" s="301"/>
      <c r="AC790" s="301"/>
      <c r="AD790" s="301"/>
      <c r="AE790" s="301"/>
    </row>
    <row r="791" spans="15:31">
      <c r="O791" s="301"/>
      <c r="P791" s="301"/>
      <c r="Q791" s="301"/>
      <c r="R791" s="301"/>
      <c r="S791" s="301"/>
      <c r="T791" s="301"/>
      <c r="U791" s="301"/>
      <c r="V791" s="301"/>
      <c r="W791" s="301"/>
      <c r="X791" s="301"/>
      <c r="Y791" s="301"/>
      <c r="Z791" s="301"/>
      <c r="AA791" s="301"/>
      <c r="AB791" s="301"/>
      <c r="AC791" s="301"/>
      <c r="AD791" s="301"/>
      <c r="AE791" s="301"/>
    </row>
    <row r="792" spans="15:31">
      <c r="O792" s="301"/>
      <c r="P792" s="301"/>
      <c r="Q792" s="301"/>
      <c r="R792" s="301"/>
      <c r="S792" s="301"/>
      <c r="T792" s="301"/>
      <c r="U792" s="301"/>
      <c r="V792" s="301"/>
      <c r="W792" s="301"/>
      <c r="X792" s="301"/>
      <c r="Y792" s="301"/>
      <c r="Z792" s="301"/>
      <c r="AA792" s="301"/>
      <c r="AB792" s="301"/>
      <c r="AC792" s="301"/>
      <c r="AD792" s="301"/>
      <c r="AE792" s="301"/>
    </row>
    <row r="793" spans="15:31">
      <c r="O793" s="301"/>
      <c r="P793" s="301"/>
      <c r="Q793" s="301"/>
      <c r="R793" s="301"/>
      <c r="S793" s="301"/>
      <c r="T793" s="301"/>
      <c r="U793" s="301"/>
      <c r="V793" s="301"/>
      <c r="W793" s="301"/>
      <c r="X793" s="301"/>
      <c r="Y793" s="301"/>
      <c r="Z793" s="301"/>
      <c r="AA793" s="301"/>
      <c r="AB793" s="301"/>
      <c r="AC793" s="301"/>
      <c r="AD793" s="301"/>
      <c r="AE793" s="301"/>
    </row>
    <row r="794" spans="15:31">
      <c r="O794" s="301"/>
      <c r="P794" s="301"/>
      <c r="Q794" s="301"/>
      <c r="R794" s="301"/>
      <c r="S794" s="301"/>
      <c r="T794" s="301"/>
      <c r="U794" s="301"/>
      <c r="V794" s="301"/>
      <c r="W794" s="301"/>
      <c r="X794" s="301"/>
      <c r="Y794" s="301"/>
      <c r="Z794" s="301"/>
      <c r="AA794" s="301"/>
      <c r="AB794" s="301"/>
      <c r="AC794" s="301"/>
      <c r="AD794" s="301"/>
      <c r="AE794" s="301"/>
    </row>
    <row r="795" spans="15:31">
      <c r="O795" s="301"/>
      <c r="P795" s="301"/>
      <c r="Q795" s="301"/>
      <c r="R795" s="301"/>
      <c r="S795" s="301"/>
      <c r="T795" s="301"/>
      <c r="U795" s="301"/>
      <c r="V795" s="301"/>
      <c r="W795" s="301"/>
      <c r="X795" s="301"/>
      <c r="Y795" s="301"/>
      <c r="Z795" s="301"/>
      <c r="AA795" s="301"/>
      <c r="AB795" s="301"/>
      <c r="AC795" s="301"/>
      <c r="AD795" s="301"/>
      <c r="AE795" s="301"/>
    </row>
    <row r="796" spans="15:31">
      <c r="O796" s="301"/>
      <c r="P796" s="301"/>
      <c r="Q796" s="301"/>
      <c r="R796" s="301"/>
      <c r="S796" s="301"/>
      <c r="T796" s="301"/>
      <c r="U796" s="301"/>
      <c r="V796" s="301"/>
      <c r="W796" s="301"/>
      <c r="X796" s="301"/>
      <c r="Y796" s="301"/>
      <c r="Z796" s="301"/>
      <c r="AA796" s="301"/>
      <c r="AB796" s="301"/>
      <c r="AC796" s="301"/>
      <c r="AD796" s="301"/>
      <c r="AE796" s="301"/>
    </row>
    <row r="797" spans="15:31">
      <c r="O797" s="301"/>
      <c r="P797" s="301"/>
      <c r="Q797" s="301"/>
      <c r="R797" s="301"/>
      <c r="S797" s="301"/>
      <c r="T797" s="301"/>
      <c r="U797" s="301"/>
      <c r="V797" s="301"/>
      <c r="W797" s="301"/>
      <c r="X797" s="301"/>
      <c r="Y797" s="301"/>
      <c r="Z797" s="301"/>
      <c r="AA797" s="301"/>
      <c r="AB797" s="301"/>
      <c r="AC797" s="301"/>
      <c r="AD797" s="301"/>
      <c r="AE797" s="301"/>
    </row>
    <row r="798" spans="15:31">
      <c r="O798" s="301"/>
      <c r="P798" s="301"/>
      <c r="Q798" s="301"/>
      <c r="R798" s="301"/>
      <c r="S798" s="301"/>
      <c r="T798" s="301"/>
      <c r="U798" s="301"/>
      <c r="V798" s="301"/>
      <c r="W798" s="301"/>
      <c r="X798" s="301"/>
      <c r="Y798" s="301"/>
      <c r="Z798" s="301"/>
      <c r="AA798" s="301"/>
      <c r="AB798" s="301"/>
      <c r="AC798" s="301"/>
      <c r="AD798" s="301"/>
      <c r="AE798" s="301"/>
    </row>
    <row r="799" spans="15:31">
      <c r="O799" s="301"/>
      <c r="P799" s="301"/>
      <c r="Q799" s="301"/>
      <c r="R799" s="301"/>
      <c r="S799" s="301"/>
      <c r="T799" s="301"/>
      <c r="U799" s="301"/>
      <c r="V799" s="301"/>
      <c r="W799" s="301"/>
      <c r="X799" s="301"/>
      <c r="Y799" s="301"/>
      <c r="Z799" s="301"/>
      <c r="AA799" s="301"/>
      <c r="AB799" s="301"/>
      <c r="AC799" s="301"/>
      <c r="AD799" s="301"/>
      <c r="AE799" s="301"/>
    </row>
    <row r="800" spans="15:31">
      <c r="O800" s="301"/>
      <c r="P800" s="301"/>
      <c r="Q800" s="301"/>
      <c r="R800" s="301"/>
      <c r="S800" s="301"/>
      <c r="T800" s="301"/>
      <c r="U800" s="301"/>
      <c r="V800" s="301"/>
      <c r="W800" s="301"/>
      <c r="X800" s="301"/>
      <c r="Y800" s="301"/>
      <c r="Z800" s="301"/>
      <c r="AA800" s="301"/>
      <c r="AB800" s="301"/>
      <c r="AC800" s="301"/>
      <c r="AD800" s="301"/>
      <c r="AE800" s="301"/>
    </row>
    <row r="801" spans="15:31">
      <c r="O801" s="301"/>
      <c r="P801" s="301"/>
      <c r="Q801" s="301"/>
      <c r="R801" s="301"/>
      <c r="S801" s="301"/>
      <c r="T801" s="301"/>
      <c r="U801" s="301"/>
      <c r="V801" s="301"/>
      <c r="W801" s="301"/>
      <c r="X801" s="301"/>
      <c r="Y801" s="301"/>
      <c r="Z801" s="301"/>
      <c r="AA801" s="301"/>
      <c r="AB801" s="301"/>
      <c r="AC801" s="301"/>
      <c r="AD801" s="301"/>
      <c r="AE801" s="301"/>
    </row>
    <row r="802" spans="15:31">
      <c r="O802" s="301"/>
      <c r="P802" s="301"/>
      <c r="Q802" s="301"/>
      <c r="R802" s="301"/>
      <c r="S802" s="301"/>
      <c r="T802" s="301"/>
      <c r="U802" s="301"/>
      <c r="V802" s="301"/>
      <c r="W802" s="301"/>
      <c r="X802" s="301"/>
      <c r="Y802" s="301"/>
      <c r="Z802" s="301"/>
      <c r="AA802" s="301"/>
      <c r="AB802" s="301"/>
      <c r="AC802" s="301"/>
      <c r="AD802" s="301"/>
      <c r="AE802" s="301"/>
    </row>
    <row r="803" spans="15:31">
      <c r="O803" s="301"/>
      <c r="P803" s="301"/>
      <c r="Q803" s="301"/>
      <c r="R803" s="301"/>
      <c r="S803" s="301"/>
      <c r="T803" s="301"/>
      <c r="U803" s="301"/>
      <c r="V803" s="301"/>
      <c r="W803" s="301"/>
      <c r="X803" s="301"/>
      <c r="Y803" s="301"/>
      <c r="Z803" s="301"/>
      <c r="AA803" s="301"/>
      <c r="AB803" s="301"/>
      <c r="AC803" s="301"/>
      <c r="AD803" s="301"/>
      <c r="AE803" s="301"/>
    </row>
    <row r="804" spans="15:31">
      <c r="O804" s="301"/>
      <c r="P804" s="301"/>
      <c r="Q804" s="301"/>
      <c r="R804" s="301"/>
      <c r="S804" s="301"/>
      <c r="T804" s="301"/>
      <c r="U804" s="301"/>
      <c r="V804" s="301"/>
      <c r="W804" s="301"/>
      <c r="X804" s="301"/>
      <c r="Y804" s="301"/>
      <c r="Z804" s="301"/>
      <c r="AA804" s="301"/>
      <c r="AB804" s="301"/>
      <c r="AC804" s="301"/>
      <c r="AD804" s="301"/>
      <c r="AE804" s="301"/>
    </row>
    <row r="805" spans="15:31">
      <c r="O805" s="301"/>
      <c r="P805" s="301"/>
      <c r="Q805" s="301"/>
      <c r="R805" s="301"/>
      <c r="S805" s="301"/>
      <c r="T805" s="301"/>
      <c r="U805" s="301"/>
      <c r="V805" s="301"/>
      <c r="W805" s="301"/>
      <c r="X805" s="301"/>
      <c r="Y805" s="301"/>
      <c r="Z805" s="301"/>
      <c r="AA805" s="301"/>
      <c r="AB805" s="301"/>
      <c r="AC805" s="301"/>
      <c r="AD805" s="301"/>
      <c r="AE805" s="301"/>
    </row>
    <row r="806" spans="15:31">
      <c r="O806" s="301"/>
      <c r="P806" s="301"/>
      <c r="Q806" s="301"/>
      <c r="R806" s="301"/>
      <c r="S806" s="301"/>
      <c r="T806" s="301"/>
      <c r="U806" s="301"/>
      <c r="V806" s="301"/>
      <c r="W806" s="301"/>
      <c r="X806" s="301"/>
      <c r="Y806" s="301"/>
      <c r="Z806" s="301"/>
      <c r="AA806" s="301"/>
      <c r="AB806" s="301"/>
      <c r="AC806" s="301"/>
      <c r="AD806" s="301"/>
      <c r="AE806" s="301"/>
    </row>
    <row r="807" spans="15:31">
      <c r="O807" s="301"/>
      <c r="P807" s="301"/>
      <c r="Q807" s="301"/>
      <c r="R807" s="301"/>
      <c r="S807" s="301"/>
      <c r="T807" s="301"/>
      <c r="U807" s="301"/>
      <c r="V807" s="301"/>
      <c r="W807" s="301"/>
      <c r="X807" s="301"/>
      <c r="Y807" s="301"/>
      <c r="Z807" s="301"/>
      <c r="AA807" s="301"/>
      <c r="AB807" s="301"/>
      <c r="AC807" s="301"/>
      <c r="AD807" s="301"/>
      <c r="AE807" s="301"/>
    </row>
    <row r="808" spans="15:31">
      <c r="O808" s="301"/>
      <c r="P808" s="301"/>
      <c r="Q808" s="301"/>
      <c r="R808" s="301"/>
      <c r="S808" s="301"/>
      <c r="T808" s="301"/>
      <c r="U808" s="301"/>
      <c r="V808" s="301"/>
      <c r="W808" s="301"/>
      <c r="X808" s="301"/>
      <c r="Y808" s="301"/>
      <c r="Z808" s="301"/>
      <c r="AA808" s="301"/>
      <c r="AB808" s="301"/>
      <c r="AC808" s="301"/>
      <c r="AD808" s="301"/>
      <c r="AE808" s="301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15</vt:i4>
      </vt:variant>
    </vt:vector>
  </HeadingPairs>
  <TitlesOfParts>
    <vt:vector size="24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2024-05-17T16:13:32Z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