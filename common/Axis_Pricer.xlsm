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9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802" documentId="109_{B2218631-DAE7-44C0-8A5B-5698C0FA09A6}" xr6:coauthVersionLast="47" xr6:coauthVersionMax="47" xr10:uidLastSave="{2E5B59D5-F243-44B7-A248-AADE3781FE5C}"/>
  <bookViews>
    <workbookView xWindow="-120" yWindow="-120" windowWidth="29040" windowHeight="1644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C15" i="11"/>
  <c r="AA16" i="11"/>
  <c r="AC16" i="11"/>
  <c r="AA17" i="11"/>
  <c r="AC17" i="11"/>
  <c r="AA18" i="11"/>
  <c r="AC18" i="11"/>
  <c r="AA19" i="11"/>
  <c r="AC19" i="11"/>
  <c r="AA20" i="11"/>
  <c r="AC20" i="11"/>
  <c r="AA21" i="11"/>
  <c r="AC21" i="11"/>
  <c r="AA22" i="11"/>
  <c r="AC22" i="11"/>
  <c r="AA23" i="11"/>
  <c r="AC23" i="11"/>
  <c r="AA24" i="11"/>
  <c r="AC24" i="11"/>
  <c r="AA25" i="11"/>
  <c r="AC25" i="11"/>
  <c r="AA26" i="11"/>
  <c r="AC26" i="11"/>
  <c r="AA27" i="11"/>
  <c r="AC27" i="11"/>
  <c r="AA28" i="11"/>
  <c r="AC28" i="11"/>
  <c r="AA29" i="11"/>
  <c r="AC29" i="11"/>
  <c r="AA30" i="11"/>
  <c r="AC30" i="11"/>
  <c r="AA31" i="11"/>
  <c r="AC31" i="11"/>
  <c r="AA32" i="11"/>
  <c r="AC32" i="11"/>
  <c r="AA33" i="11"/>
  <c r="AC33" i="11"/>
  <c r="AA34" i="11"/>
  <c r="AC34" i="11"/>
  <c r="AA35" i="11"/>
  <c r="AC35" i="11"/>
  <c r="AA36" i="11"/>
  <c r="AC36" i="11"/>
  <c r="AA37" i="11"/>
  <c r="AC37" i="11"/>
  <c r="AA38" i="11"/>
  <c r="AC38" i="11"/>
  <c r="AA39" i="11"/>
  <c r="AC39" i="11"/>
  <c r="AA40" i="11"/>
  <c r="AC40" i="11"/>
  <c r="AA41" i="11"/>
  <c r="AC41" i="11"/>
  <c r="AA42" i="11"/>
  <c r="AC42" i="11"/>
  <c r="AA43" i="11"/>
  <c r="AC43" i="11"/>
  <c r="AA44" i="11"/>
  <c r="AC44" i="11"/>
  <c r="AA45" i="11"/>
  <c r="AC45" i="11"/>
  <c r="AA46" i="11"/>
  <c r="AC46" i="11"/>
  <c r="AA47" i="11"/>
  <c r="AC47" i="11"/>
  <c r="AA48" i="11"/>
  <c r="AC48" i="11"/>
  <c r="AA49" i="11"/>
  <c r="AC49" i="11"/>
  <c r="AA50" i="11"/>
  <c r="AC50" i="11"/>
  <c r="AA51" i="11"/>
  <c r="AC51" i="11"/>
  <c r="AA52" i="11"/>
  <c r="AC52" i="11"/>
  <c r="AA53" i="11"/>
  <c r="AC53" i="11"/>
  <c r="AA54" i="11"/>
  <c r="AC54" i="11"/>
  <c r="AA55" i="11"/>
  <c r="AC55" i="11"/>
  <c r="AA56" i="11"/>
  <c r="AC56" i="11"/>
  <c r="AA57" i="11"/>
  <c r="AC57" i="11"/>
  <c r="AA58" i="11"/>
  <c r="AC58" i="11"/>
  <c r="AA59" i="11"/>
  <c r="AC59" i="11"/>
  <c r="AA60" i="11"/>
  <c r="AC60" i="11"/>
  <c r="AA61" i="11"/>
  <c r="AC61" i="11"/>
  <c r="AA62" i="11"/>
  <c r="AC62" i="11"/>
  <c r="AA63" i="11"/>
  <c r="AC63" i="11"/>
  <c r="AA64" i="11"/>
  <c r="AC64" i="11"/>
  <c r="AA65" i="11"/>
  <c r="AC65" i="11"/>
  <c r="AA66" i="11"/>
  <c r="AC66" i="11"/>
  <c r="AA67" i="11"/>
  <c r="AC67" i="11"/>
  <c r="AA68" i="11"/>
  <c r="AC68" i="11"/>
  <c r="AA69" i="11"/>
  <c r="AC69" i="11"/>
  <c r="AA70" i="11"/>
  <c r="AC70" i="11"/>
  <c r="AA71" i="11"/>
  <c r="AC71" i="11"/>
  <c r="AA72" i="11"/>
  <c r="AC72" i="11"/>
  <c r="AA73" i="11"/>
  <c r="AC73" i="11"/>
  <c r="AA74" i="11"/>
  <c r="AC74" i="11"/>
  <c r="AA75" i="11"/>
  <c r="AC75" i="11"/>
  <c r="AA76" i="11"/>
  <c r="AC76" i="11"/>
  <c r="AA77" i="11"/>
  <c r="AC77" i="11"/>
  <c r="AA78" i="11"/>
  <c r="AC78" i="11"/>
  <c r="AA79" i="11"/>
  <c r="AC79" i="11"/>
  <c r="AA80" i="11"/>
  <c r="AC80" i="11"/>
  <c r="AA81" i="11"/>
  <c r="AC81" i="11"/>
  <c r="AA82" i="11"/>
  <c r="AC82" i="11"/>
  <c r="AA83" i="11"/>
  <c r="AC83" i="11"/>
  <c r="AA84" i="11"/>
  <c r="AC84" i="11"/>
  <c r="AA85" i="11"/>
  <c r="AC85" i="11"/>
  <c r="AA86" i="11"/>
  <c r="AC86" i="11"/>
  <c r="AA87" i="11"/>
  <c r="AC87" i="11"/>
  <c r="AA88" i="11"/>
  <c r="AC88" i="11"/>
  <c r="AA89" i="11"/>
  <c r="AC89" i="11"/>
  <c r="AA90" i="11"/>
  <c r="AC90" i="11"/>
  <c r="AA91" i="11"/>
  <c r="AC91" i="11"/>
  <c r="AA92" i="11"/>
  <c r="AC92" i="11"/>
  <c r="AA93" i="11"/>
  <c r="AC93" i="11"/>
  <c r="AA94" i="11"/>
  <c r="AC94" i="11"/>
  <c r="AA95" i="11"/>
  <c r="AC95" i="11"/>
  <c r="AA96" i="11"/>
  <c r="AC96" i="11"/>
  <c r="AA97" i="11"/>
  <c r="AC97" i="11"/>
  <c r="AA98" i="11"/>
  <c r="AC98" i="11"/>
  <c r="AA99" i="11"/>
  <c r="AC99" i="11"/>
  <c r="AA100" i="11"/>
  <c r="AC100" i="11"/>
  <c r="AA101" i="11"/>
  <c r="AC101" i="11"/>
  <c r="AA102" i="11"/>
  <c r="AC102" i="11"/>
  <c r="AA103" i="11"/>
  <c r="AC103" i="11"/>
  <c r="AA104" i="11"/>
  <c r="AC104" i="11"/>
  <c r="AA105" i="11"/>
  <c r="AC105" i="11"/>
  <c r="AA106" i="11"/>
  <c r="AC106" i="11"/>
  <c r="AA107" i="11"/>
  <c r="AC107" i="11"/>
  <c r="AA108" i="11"/>
  <c r="AC108" i="11"/>
  <c r="AA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P12" i="16"/>
  <c r="Q12" i="16"/>
  <c r="R12" i="16"/>
  <c r="S12" i="16"/>
  <c r="T12" i="16"/>
  <c r="V12" i="16" a="1"/>
  <c r="V12" i="16"/>
  <c r="O14" i="16"/>
  <c r="P14" i="16" a="1"/>
  <c r="P14" i="16"/>
  <c r="Q14" i="16" a="1"/>
  <c r="Q14" i="16"/>
  <c r="R14" i="16" a="1"/>
  <c r="R14" i="16"/>
  <c r="S14" i="16" a="1"/>
  <c r="S14" i="16"/>
  <c r="T14" i="16" a="1"/>
  <c r="T14" i="16"/>
  <c r="V14" i="16" a="1"/>
  <c r="V14" i="16"/>
  <c r="O15" i="16"/>
  <c r="P15" i="16" a="1"/>
  <c r="P15" i="16"/>
  <c r="Q15" i="16" a="1"/>
  <c r="Q15" i="16"/>
  <c r="R15" i="16" a="1"/>
  <c r="R15" i="16"/>
  <c r="S15" i="16" a="1"/>
  <c r="S15" i="16"/>
  <c r="T15" i="16" a="1"/>
  <c r="T15" i="16"/>
  <c r="O16" i="16"/>
  <c r="P16" i="16" a="1"/>
  <c r="P16" i="16"/>
  <c r="Q16" i="16" a="1"/>
  <c r="Q16" i="16"/>
  <c r="R16" i="16" a="1"/>
  <c r="R16" i="16"/>
  <c r="S16" i="16" a="1"/>
  <c r="S16" i="16"/>
  <c r="T16" i="16" a="1"/>
  <c r="T16" i="16"/>
  <c r="O17" i="16"/>
  <c r="P17" i="16" a="1"/>
  <c r="P17" i="16"/>
  <c r="Q17" i="16" a="1"/>
  <c r="Q17" i="16"/>
  <c r="R17" i="16" a="1"/>
  <c r="R17" i="16"/>
  <c r="S17" i="16" a="1"/>
  <c r="S17" i="16"/>
  <c r="T17" i="16" a="1"/>
  <c r="T17" i="16"/>
  <c r="O18" i="16"/>
  <c r="P18" i="16" a="1"/>
  <c r="P18" i="16"/>
  <c r="Q18" i="16" a="1"/>
  <c r="Q18" i="16"/>
  <c r="R18" i="16" a="1"/>
  <c r="R18" i="16"/>
  <c r="S18" i="16" a="1"/>
  <c r="S18" i="16"/>
  <c r="T18" i="16" a="1"/>
  <c r="T18" i="16"/>
  <c r="O19" i="16"/>
  <c r="P19" i="16" a="1"/>
  <c r="P19" i="16"/>
  <c r="Q19" i="16" a="1"/>
  <c r="Q19" i="16"/>
  <c r="R19" i="16" a="1"/>
  <c r="R19" i="16"/>
  <c r="S19" i="16" a="1"/>
  <c r="S19" i="16"/>
  <c r="T19" i="16" a="1"/>
  <c r="T19" i="16"/>
  <c r="O20" i="16"/>
  <c r="P20" i="16" a="1"/>
  <c r="P20" i="16"/>
  <c r="Q20" i="16" a="1"/>
  <c r="Q20" i="16"/>
  <c r="R20" i="16" a="1"/>
  <c r="R20" i="16"/>
  <c r="S20" i="16" a="1"/>
  <c r="S20" i="16"/>
  <c r="T20" i="16" a="1"/>
  <c r="T20" i="16"/>
  <c r="O21" i="16"/>
  <c r="P21" i="16" a="1"/>
  <c r="P21" i="16"/>
  <c r="Q21" i="16" a="1"/>
  <c r="Q21" i="16"/>
  <c r="R21" i="16" a="1"/>
  <c r="R21" i="16"/>
  <c r="S21" i="16" a="1"/>
  <c r="S21" i="16"/>
  <c r="T21" i="16" a="1"/>
  <c r="T21" i="16"/>
  <c r="O22" i="16"/>
  <c r="P22" i="16" a="1"/>
  <c r="P22" i="16"/>
  <c r="Q22" i="16" a="1"/>
  <c r="Q22" i="16"/>
  <c r="R22" i="16" a="1"/>
  <c r="R22" i="16"/>
  <c r="S22" i="16" a="1"/>
  <c r="S22" i="16"/>
  <c r="T22" i="16" a="1"/>
  <c r="T22" i="16"/>
  <c r="O23" i="16"/>
  <c r="P23" i="16" a="1"/>
  <c r="P23" i="16"/>
  <c r="Q23" i="16" a="1"/>
  <c r="Q23" i="16"/>
  <c r="R23" i="16" a="1"/>
  <c r="R23" i="16"/>
  <c r="S23" i="16" a="1"/>
  <c r="S23" i="16"/>
  <c r="T23" i="16" a="1"/>
  <c r="T23" i="16"/>
  <c r="O24" i="16"/>
  <c r="P24" i="16" a="1"/>
  <c r="P24" i="16"/>
  <c r="Q24" i="16" a="1"/>
  <c r="Q24" i="16"/>
  <c r="R24" i="16" a="1"/>
  <c r="R24" i="16"/>
  <c r="S24" i="16" a="1"/>
  <c r="S24" i="16"/>
  <c r="T24" i="16" a="1"/>
  <c r="T24" i="16"/>
  <c r="O25" i="16"/>
  <c r="P25" i="16" a="1"/>
  <c r="P25" i="16"/>
  <c r="Q25" i="16" a="1"/>
  <c r="Q25" i="16"/>
  <c r="R25" i="16" a="1"/>
  <c r="R25" i="16"/>
  <c r="S25" i="16" a="1"/>
  <c r="S25" i="16"/>
  <c r="T25" i="16" a="1"/>
  <c r="T25" i="16"/>
  <c r="O26" i="16"/>
  <c r="P26" i="16" a="1"/>
  <c r="P26" i="16"/>
  <c r="Q26" i="16" a="1"/>
  <c r="Q26" i="16"/>
  <c r="R26" i="16" a="1"/>
  <c r="R26" i="16"/>
  <c r="S26" i="16" a="1"/>
  <c r="S26" i="16"/>
  <c r="T26" i="16" a="1"/>
  <c r="T26" i="16"/>
  <c r="O27" i="16"/>
  <c r="P27" i="16" a="1"/>
  <c r="P27" i="16"/>
  <c r="Q27" i="16" a="1"/>
  <c r="Q27" i="16"/>
  <c r="R27" i="16" a="1"/>
  <c r="R27" i="16"/>
  <c r="S27" i="16" a="1"/>
  <c r="S27" i="16"/>
  <c r="T27" i="16" a="1"/>
  <c r="T27" i="16"/>
  <c r="O28" i="16"/>
  <c r="P28" i="16" a="1"/>
  <c r="P28" i="16"/>
  <c r="Q28" i="16" a="1"/>
  <c r="Q28" i="16"/>
  <c r="R28" i="16" a="1"/>
  <c r="R28" i="16"/>
  <c r="S28" i="16" a="1"/>
  <c r="S28" i="16"/>
  <c r="T28" i="16" a="1"/>
  <c r="T28" i="16"/>
  <c r="O29" i="16"/>
  <c r="P29" i="16" a="1"/>
  <c r="P29" i="16"/>
  <c r="Q29" i="16" a="1"/>
  <c r="Q29" i="16"/>
  <c r="R29" i="16" a="1"/>
  <c r="R29" i="16"/>
  <c r="S29" i="16" a="1"/>
  <c r="S29" i="16"/>
  <c r="T29" i="16" a="1"/>
  <c r="T29" i="16"/>
  <c r="O30" i="16"/>
  <c r="P30" i="16" a="1"/>
  <c r="P30" i="16"/>
  <c r="Q30" i="16" a="1"/>
  <c r="Q30" i="16"/>
  <c r="R30" i="16" a="1"/>
  <c r="R30" i="16"/>
  <c r="S30" i="16" a="1"/>
  <c r="S30" i="16"/>
  <c r="T30" i="16" a="1"/>
  <c r="T30" i="16"/>
  <c r="O31" i="16"/>
  <c r="P31" i="16" a="1"/>
  <c r="P31" i="16"/>
  <c r="Q31" i="16" a="1"/>
  <c r="Q31" i="16"/>
  <c r="R31" i="16" a="1"/>
  <c r="R31" i="16"/>
  <c r="S31" i="16" a="1"/>
  <c r="S31" i="16"/>
  <c r="T31" i="16" a="1"/>
  <c r="T31" i="16"/>
  <c r="O32" i="16"/>
  <c r="P32" i="16" a="1"/>
  <c r="P32" i="16"/>
  <c r="Q32" i="16" a="1"/>
  <c r="Q32" i="16"/>
  <c r="R32" i="16" a="1"/>
  <c r="R32" i="16"/>
  <c r="S32" i="16" a="1"/>
  <c r="S32" i="16"/>
  <c r="T32" i="16" a="1"/>
  <c r="T32" i="16"/>
  <c r="O33" i="16"/>
  <c r="P33" i="16" a="1"/>
  <c r="P33" i="16"/>
  <c r="Q33" i="16" a="1"/>
  <c r="Q33" i="16"/>
  <c r="R33" i="16" a="1"/>
  <c r="R33" i="16"/>
  <c r="S33" i="16" a="1"/>
  <c r="S33" i="16"/>
  <c r="T33" i="16" a="1"/>
  <c r="T33" i="16"/>
  <c r="O34" i="16"/>
  <c r="P34" i="16" a="1"/>
  <c r="P34" i="16"/>
  <c r="Q34" i="16" a="1"/>
  <c r="Q34" i="16"/>
  <c r="R34" i="16" a="1"/>
  <c r="R34" i="16"/>
  <c r="S34" i="16" a="1"/>
  <c r="S34" i="16"/>
  <c r="T34" i="16" a="1"/>
  <c r="T34" i="16"/>
  <c r="O35" i="16"/>
  <c r="P35" i="16" a="1"/>
  <c r="P35" i="16"/>
  <c r="Q35" i="16" a="1"/>
  <c r="Q35" i="16"/>
  <c r="R35" i="16" a="1"/>
  <c r="R35" i="16"/>
  <c r="S35" i="16" a="1"/>
  <c r="S35" i="16"/>
  <c r="T35" i="16" a="1"/>
  <c r="T35" i="16"/>
  <c r="O36" i="16"/>
  <c r="P36" i="16" a="1"/>
  <c r="P36" i="16"/>
  <c r="Q36" i="16" a="1"/>
  <c r="Q36" i="16"/>
  <c r="R36" i="16" a="1"/>
  <c r="R36" i="16"/>
  <c r="S36" i="16" a="1"/>
  <c r="S36" i="16"/>
  <c r="T36" i="16" a="1"/>
  <c r="T36" i="16"/>
  <c r="O37" i="16"/>
  <c r="P37" i="16" a="1"/>
  <c r="P37" i="16"/>
  <c r="Q37" i="16" a="1"/>
  <c r="Q37" i="16"/>
  <c r="R37" i="16" a="1"/>
  <c r="R37" i="16"/>
  <c r="S37" i="16" a="1"/>
  <c r="S37" i="16"/>
  <c r="T37" i="16" a="1"/>
  <c r="T37" i="16"/>
  <c r="O38" i="16"/>
  <c r="P38" i="16" a="1"/>
  <c r="P38" i="16"/>
  <c r="Q38" i="16" a="1"/>
  <c r="Q38" i="16"/>
  <c r="R38" i="16" a="1"/>
  <c r="R38" i="16"/>
  <c r="S38" i="16" a="1"/>
  <c r="S38" i="16"/>
  <c r="T38" i="16" a="1"/>
  <c r="T38" i="16"/>
  <c r="O39" i="16"/>
  <c r="P39" i="16" a="1"/>
  <c r="P39" i="16"/>
  <c r="Q39" i="16" a="1"/>
  <c r="Q39" i="16"/>
  <c r="R39" i="16" a="1"/>
  <c r="R39" i="16"/>
  <c r="S39" i="16" a="1"/>
  <c r="S39" i="16"/>
  <c r="T39" i="16" a="1"/>
  <c r="T39" i="16"/>
  <c r="O40" i="16"/>
  <c r="P40" i="16" a="1"/>
  <c r="P40" i="16"/>
  <c r="Q40" i="16" a="1"/>
  <c r="Q40" i="16"/>
  <c r="R40" i="16" a="1"/>
  <c r="R40" i="16"/>
  <c r="S40" i="16" a="1"/>
  <c r="S40" i="16"/>
  <c r="T40" i="16" a="1"/>
  <c r="T40" i="16"/>
  <c r="O41" i="16"/>
  <c r="P41" i="16" a="1"/>
  <c r="P41" i="16"/>
  <c r="Q41" i="16" a="1"/>
  <c r="Q41" i="16"/>
  <c r="R41" i="16" a="1"/>
  <c r="R41" i="16"/>
  <c r="S41" i="16" a="1"/>
  <c r="S41" i="16"/>
  <c r="T41" i="16" a="1"/>
  <c r="T41" i="16"/>
  <c r="O42" i="16"/>
  <c r="P42" i="16" a="1"/>
  <c r="P42" i="16"/>
  <c r="Q42" i="16" a="1"/>
  <c r="Q42" i="16"/>
  <c r="R42" i="16" a="1"/>
  <c r="R42" i="16"/>
  <c r="S42" i="16" a="1"/>
  <c r="S42" i="16"/>
  <c r="T42" i="16" a="1"/>
  <c r="T42" i="16"/>
  <c r="O43" i="16"/>
  <c r="P43" i="16" a="1"/>
  <c r="P43" i="16"/>
  <c r="Q43" i="16" a="1"/>
  <c r="Q43" i="16"/>
  <c r="R43" i="16" a="1"/>
  <c r="R43" i="16"/>
  <c r="S43" i="16" a="1"/>
  <c r="S43" i="16"/>
  <c r="T43" i="16" a="1"/>
  <c r="T43" i="16"/>
  <c r="O44" i="16"/>
  <c r="P44" i="16" a="1"/>
  <c r="P44" i="16"/>
  <c r="Q44" i="16" a="1"/>
  <c r="Q44" i="16"/>
  <c r="R44" i="16" a="1"/>
  <c r="R44" i="16"/>
  <c r="S44" i="16" a="1"/>
  <c r="S44" i="16"/>
  <c r="T44" i="16" a="1"/>
  <c r="T44" i="16"/>
  <c r="O45" i="16"/>
  <c r="P45" i="16" a="1"/>
  <c r="P45" i="16"/>
  <c r="Q45" i="16" a="1"/>
  <c r="Q45" i="16"/>
  <c r="R45" i="16" a="1"/>
  <c r="R45" i="16"/>
  <c r="S45" i="16" a="1"/>
  <c r="S45" i="16"/>
  <c r="T45" i="16" a="1"/>
  <c r="T45" i="16"/>
  <c r="O46" i="16"/>
  <c r="P46" i="16" a="1"/>
  <c r="P46" i="16"/>
  <c r="Q46" i="16" a="1"/>
  <c r="Q46" i="16"/>
  <c r="R46" i="16" a="1"/>
  <c r="R46" i="16"/>
  <c r="S46" i="16" a="1"/>
  <c r="S46" i="16"/>
  <c r="T46" i="16" a="1"/>
  <c r="T46" i="16"/>
  <c r="O47" i="16"/>
  <c r="P47" i="16" a="1"/>
  <c r="P47" i="16"/>
  <c r="Q47" i="16" a="1"/>
  <c r="Q47" i="16"/>
  <c r="R47" i="16" a="1"/>
  <c r="R47" i="16"/>
  <c r="S47" i="16" a="1"/>
  <c r="S47" i="16"/>
  <c r="T47" i="16" a="1"/>
  <c r="T47" i="16"/>
  <c r="O48" i="16"/>
  <c r="P48" i="16" a="1"/>
  <c r="P48" i="16"/>
  <c r="Q48" i="16" a="1"/>
  <c r="Q48" i="16"/>
  <c r="R48" i="16" a="1"/>
  <c r="R48" i="16"/>
  <c r="S48" i="16" a="1"/>
  <c r="S48" i="16"/>
  <c r="T48" i="16" a="1"/>
  <c r="T48" i="16"/>
  <c r="O49" i="16"/>
  <c r="P49" i="16" a="1"/>
  <c r="P49" i="16"/>
  <c r="Q49" i="16" a="1"/>
  <c r="Q49" i="16"/>
  <c r="R49" i="16" a="1"/>
  <c r="R49" i="16"/>
  <c r="S49" i="16" a="1"/>
  <c r="S49" i="16"/>
  <c r="T49" i="16" a="1"/>
  <c r="T49" i="16"/>
  <c r="O50" i="16"/>
  <c r="P50" i="16" a="1"/>
  <c r="P50" i="16"/>
  <c r="Q50" i="16" a="1"/>
  <c r="Q50" i="16"/>
  <c r="R50" i="16" a="1"/>
  <c r="R50" i="16"/>
  <c r="S50" i="16" a="1"/>
  <c r="S50" i="16"/>
  <c r="T50" i="16" a="1"/>
  <c r="T50" i="16"/>
  <c r="O51" i="16"/>
  <c r="P51" i="16" a="1"/>
  <c r="P51" i="16"/>
  <c r="Q51" i="16" a="1"/>
  <c r="Q51" i="16"/>
  <c r="R51" i="16" a="1"/>
  <c r="R51" i="16"/>
  <c r="S51" i="16" a="1"/>
  <c r="S51" i="16"/>
  <c r="T51" i="16" a="1"/>
  <c r="T51" i="16"/>
  <c r="O52" i="16"/>
  <c r="P52" i="16" a="1"/>
  <c r="P52" i="16"/>
  <c r="Q52" i="16" a="1"/>
  <c r="Q52" i="16"/>
  <c r="R52" i="16" a="1"/>
  <c r="R52" i="16"/>
  <c r="S52" i="16" a="1"/>
  <c r="S52" i="16"/>
  <c r="T52" i="16" a="1"/>
  <c r="T52" i="16"/>
  <c r="O53" i="16"/>
  <c r="P53" i="16" a="1"/>
  <c r="P53" i="16"/>
  <c r="Q53" i="16" a="1"/>
  <c r="Q53" i="16"/>
  <c r="R53" i="16" a="1"/>
  <c r="R53" i="16"/>
  <c r="S53" i="16" a="1"/>
  <c r="S53" i="16"/>
  <c r="T53" i="16" a="1"/>
  <c r="T53" i="16"/>
  <c r="O54" i="16"/>
  <c r="P54" i="16" a="1"/>
  <c r="P54" i="16"/>
  <c r="Q54" i="16" a="1"/>
  <c r="Q54" i="16"/>
  <c r="R54" i="16" a="1"/>
  <c r="R54" i="16"/>
  <c r="S54" i="16" a="1"/>
  <c r="S54" i="16"/>
  <c r="T54" i="16" a="1"/>
  <c r="T54" i="16"/>
  <c r="O55" i="16"/>
  <c r="P55" i="16" a="1"/>
  <c r="P55" i="16"/>
  <c r="Q55" i="16" a="1"/>
  <c r="Q55" i="16"/>
  <c r="R55" i="16" a="1"/>
  <c r="R55" i="16"/>
  <c r="S55" i="16" a="1"/>
  <c r="S55" i="16"/>
  <c r="T55" i="16" a="1"/>
  <c r="T55" i="16"/>
  <c r="O56" i="16"/>
  <c r="P56" i="16" a="1"/>
  <c r="P56" i="16"/>
  <c r="Q56" i="16" a="1"/>
  <c r="Q56" i="16"/>
  <c r="R56" i="16" a="1"/>
  <c r="R56" i="16"/>
  <c r="S56" i="16" a="1"/>
  <c r="S56" i="16"/>
  <c r="T56" i="16" a="1"/>
  <c r="T56" i="16"/>
  <c r="O57" i="16"/>
  <c r="P57" i="16" a="1"/>
  <c r="P57" i="16"/>
  <c r="Q57" i="16" a="1"/>
  <c r="Q57" i="16"/>
  <c r="R57" i="16" a="1"/>
  <c r="R57" i="16"/>
  <c r="S57" i="16" a="1"/>
  <c r="S57" i="16"/>
  <c r="T57" i="16" a="1"/>
  <c r="T57" i="16"/>
  <c r="O58" i="16"/>
  <c r="P58" i="16" a="1"/>
  <c r="P58" i="16"/>
  <c r="Q58" i="16" a="1"/>
  <c r="Q58" i="16"/>
  <c r="R58" i="16" a="1"/>
  <c r="R58" i="16"/>
  <c r="S58" i="16" a="1"/>
  <c r="S58" i="16"/>
  <c r="T58" i="16" a="1"/>
  <c r="T58" i="16"/>
  <c r="O59" i="16"/>
  <c r="P59" i="16" a="1"/>
  <c r="P59" i="16"/>
  <c r="Q59" i="16" a="1"/>
  <c r="Q59" i="16"/>
  <c r="R59" i="16" a="1"/>
  <c r="R59" i="16"/>
  <c r="S59" i="16" a="1"/>
  <c r="S59" i="16"/>
  <c r="T59" i="16" a="1"/>
  <c r="T59" i="16"/>
  <c r="O60" i="16"/>
  <c r="P60" i="16" a="1"/>
  <c r="P60" i="16"/>
  <c r="Q60" i="16" a="1"/>
  <c r="Q60" i="16"/>
  <c r="R60" i="16" a="1"/>
  <c r="R60" i="16"/>
  <c r="S60" i="16" a="1"/>
  <c r="S60" i="16"/>
  <c r="T60" i="16" a="1"/>
  <c r="T60" i="16"/>
  <c r="O61" i="16"/>
  <c r="P61" i="16" a="1"/>
  <c r="P61" i="16"/>
  <c r="Q61" i="16" a="1"/>
  <c r="Q61" i="16"/>
  <c r="R61" i="16" a="1"/>
  <c r="R61" i="16"/>
  <c r="S61" i="16" a="1"/>
  <c r="S61" i="16"/>
  <c r="T61" i="16" a="1"/>
  <c r="T61" i="16"/>
  <c r="O62" i="16"/>
  <c r="P62" i="16" a="1"/>
  <c r="P62" i="16"/>
  <c r="Q62" i="16" a="1"/>
  <c r="Q62" i="16"/>
  <c r="R62" i="16" a="1"/>
  <c r="R62" i="16"/>
  <c r="S62" i="16" a="1"/>
  <c r="S62" i="16"/>
  <c r="T62" i="16" a="1"/>
  <c r="T62" i="16"/>
  <c r="O63" i="16"/>
  <c r="P63" i="16" a="1"/>
  <c r="P63" i="16"/>
  <c r="Q63" i="16" a="1"/>
  <c r="Q63" i="16"/>
  <c r="R63" i="16" a="1"/>
  <c r="R63" i="16"/>
  <c r="S63" i="16" a="1"/>
  <c r="S63" i="16"/>
  <c r="T63" i="16" a="1"/>
  <c r="T63" i="16"/>
  <c r="O64" i="16"/>
  <c r="P64" i="16" a="1"/>
  <c r="P64" i="16"/>
  <c r="Q64" i="16" a="1"/>
  <c r="Q64" i="16"/>
  <c r="R64" i="16" a="1"/>
  <c r="R64" i="16"/>
  <c r="S64" i="16" a="1"/>
  <c r="S64" i="16"/>
  <c r="T64" i="16" a="1"/>
  <c r="T64" i="16"/>
  <c r="O65" i="16"/>
  <c r="P65" i="16" a="1"/>
  <c r="P65" i="16"/>
  <c r="Q65" i="16" a="1"/>
  <c r="Q65" i="16"/>
  <c r="R65" i="16" a="1"/>
  <c r="R65" i="16"/>
  <c r="S65" i="16" a="1"/>
  <c r="S65" i="16"/>
  <c r="T65" i="16" a="1"/>
  <c r="T65" i="16"/>
  <c r="O66" i="16"/>
  <c r="P66" i="16" a="1"/>
  <c r="P66" i="16"/>
  <c r="Q66" i="16" a="1"/>
  <c r="Q66" i="16"/>
  <c r="R66" i="16" a="1"/>
  <c r="R66" i="16"/>
  <c r="S66" i="16" a="1"/>
  <c r="S66" i="16"/>
  <c r="T66" i="16" a="1"/>
  <c r="T66" i="16"/>
  <c r="O67" i="16"/>
  <c r="P67" i="16" a="1"/>
  <c r="P67" i="16"/>
  <c r="Q67" i="16" a="1"/>
  <c r="Q67" i="16"/>
  <c r="R67" i="16" a="1"/>
  <c r="R67" i="16"/>
  <c r="S67" i="16" a="1"/>
  <c r="S67" i="16"/>
  <c r="T67" i="16" a="1"/>
  <c r="T67" i="16"/>
  <c r="O68" i="16"/>
  <c r="P68" i="16" a="1"/>
  <c r="P68" i="16"/>
  <c r="Q68" i="16" a="1"/>
  <c r="Q68" i="16"/>
  <c r="R68" i="16" a="1"/>
  <c r="R68" i="16"/>
  <c r="S68" i="16" a="1"/>
  <c r="S68" i="16"/>
  <c r="T68" i="16" a="1"/>
  <c r="T68" i="16"/>
  <c r="O69" i="16"/>
  <c r="P69" i="16" a="1"/>
  <c r="P69" i="16"/>
  <c r="Q69" i="16" a="1"/>
  <c r="Q69" i="16"/>
  <c r="R69" i="16" a="1"/>
  <c r="R69" i="16"/>
  <c r="S69" i="16" a="1"/>
  <c r="S69" i="16"/>
  <c r="T69" i="16" a="1"/>
  <c r="T69" i="16"/>
  <c r="O70" i="16"/>
  <c r="P70" i="16" a="1"/>
  <c r="P70" i="16"/>
  <c r="Q70" i="16" a="1"/>
  <c r="Q70" i="16"/>
  <c r="R70" i="16" a="1"/>
  <c r="R70" i="16"/>
  <c r="S70" i="16" a="1"/>
  <c r="S70" i="16"/>
  <c r="T70" i="16" a="1"/>
  <c r="T70" i="16"/>
  <c r="O71" i="16"/>
  <c r="P71" i="16" a="1"/>
  <c r="P71" i="16"/>
  <c r="Q71" i="16" a="1"/>
  <c r="Q71" i="16"/>
  <c r="R71" i="16" a="1"/>
  <c r="R71" i="16"/>
  <c r="S71" i="16" a="1"/>
  <c r="S71" i="16"/>
  <c r="T71" i="16" a="1"/>
  <c r="T71" i="16"/>
  <c r="O72" i="16"/>
  <c r="P72" i="16" a="1"/>
  <c r="P72" i="16"/>
  <c r="Q72" i="16" a="1"/>
  <c r="Q72" i="16"/>
  <c r="R72" i="16" a="1"/>
  <c r="R72" i="16"/>
  <c r="S72" i="16" a="1"/>
  <c r="S72" i="16"/>
  <c r="T72" i="16" a="1"/>
  <c r="T72" i="16"/>
  <c r="O73" i="16"/>
  <c r="P73" i="16" a="1"/>
  <c r="P73" i="16"/>
  <c r="Q73" i="16" a="1"/>
  <c r="Q73" i="16"/>
  <c r="R73" i="16" a="1"/>
  <c r="R73" i="16"/>
  <c r="S73" i="16" a="1"/>
  <c r="S73" i="16"/>
  <c r="T73" i="16" a="1"/>
  <c r="T73" i="16"/>
  <c r="O74" i="16"/>
  <c r="P74" i="16" a="1"/>
  <c r="P74" i="16"/>
  <c r="Q74" i="16" a="1"/>
  <c r="Q74" i="16"/>
  <c r="R74" i="16" a="1"/>
  <c r="R74" i="16"/>
  <c r="S74" i="16" a="1"/>
  <c r="S74" i="16"/>
  <c r="T74" i="16" a="1"/>
  <c r="T74" i="16"/>
  <c r="O75" i="16"/>
  <c r="P75" i="16" a="1"/>
  <c r="P75" i="16"/>
  <c r="Q75" i="16" a="1"/>
  <c r="Q75" i="16"/>
  <c r="R75" i="16" a="1"/>
  <c r="R75" i="16"/>
  <c r="S75" i="16" a="1"/>
  <c r="S75" i="16"/>
  <c r="T75" i="16" a="1"/>
  <c r="T75" i="16"/>
  <c r="O76" i="16"/>
  <c r="P76" i="16" a="1"/>
  <c r="P76" i="16"/>
  <c r="Q76" i="16" a="1"/>
  <c r="Q76" i="16"/>
  <c r="R76" i="16" a="1"/>
  <c r="R76" i="16"/>
  <c r="S76" i="16" a="1"/>
  <c r="S76" i="16"/>
  <c r="T76" i="16" a="1"/>
  <c r="T76" i="16"/>
  <c r="O77" i="16"/>
  <c r="P77" i="16" a="1"/>
  <c r="P77" i="16"/>
  <c r="Q77" i="16" a="1"/>
  <c r="Q77" i="16"/>
  <c r="R77" i="16" a="1"/>
  <c r="R77" i="16"/>
  <c r="S77" i="16" a="1"/>
  <c r="S77" i="16"/>
  <c r="T77" i="16" a="1"/>
  <c r="T77" i="16"/>
  <c r="O78" i="16"/>
  <c r="P78" i="16" a="1"/>
  <c r="P78" i="16"/>
  <c r="Q78" i="16" a="1"/>
  <c r="Q78" i="16"/>
  <c r="R78" i="16" a="1"/>
  <c r="R78" i="16"/>
  <c r="S78" i="16" a="1"/>
  <c r="S78" i="16"/>
  <c r="T78" i="16" a="1"/>
  <c r="T78" i="16"/>
  <c r="O79" i="16"/>
  <c r="P79" i="16" a="1"/>
  <c r="P79" i="16"/>
  <c r="Q79" i="16" a="1"/>
  <c r="Q79" i="16"/>
  <c r="R79" i="16" a="1"/>
  <c r="R79" i="16"/>
  <c r="S79" i="16" a="1"/>
  <c r="S79" i="16"/>
  <c r="T79" i="16" a="1"/>
  <c r="T79" i="16"/>
  <c r="O80" i="16"/>
  <c r="P80" i="16" a="1"/>
  <c r="P80" i="16"/>
  <c r="Q80" i="16" a="1"/>
  <c r="Q80" i="16"/>
  <c r="R80" i="16" a="1"/>
  <c r="R80" i="16"/>
  <c r="S80" i="16" a="1"/>
  <c r="S80" i="16"/>
  <c r="T80" i="16" a="1"/>
  <c r="T80" i="16"/>
  <c r="O81" i="16"/>
  <c r="P81" i="16" a="1"/>
  <c r="P81" i="16"/>
  <c r="Q81" i="16" a="1"/>
  <c r="Q81" i="16"/>
  <c r="R81" i="16" a="1"/>
  <c r="R81" i="16"/>
  <c r="S81" i="16" a="1"/>
  <c r="S81" i="16"/>
  <c r="T81" i="16" a="1"/>
  <c r="T81" i="16"/>
  <c r="O82" i="16"/>
  <c r="P82" i="16" a="1"/>
  <c r="P82" i="16"/>
  <c r="Q82" i="16" a="1"/>
  <c r="Q82" i="16"/>
  <c r="R82" i="16" a="1"/>
  <c r="R82" i="16"/>
  <c r="S82" i="16" a="1"/>
  <c r="S82" i="16"/>
  <c r="T82" i="16" a="1"/>
  <c r="T82" i="16"/>
  <c r="O83" i="16"/>
  <c r="P83" i="16" a="1"/>
  <c r="P83" i="16"/>
  <c r="Q83" i="16" a="1"/>
  <c r="Q83" i="16"/>
  <c r="R83" i="16" a="1"/>
  <c r="R83" i="16"/>
  <c r="S83" i="16" a="1"/>
  <c r="S83" i="16"/>
  <c r="T83" i="16" a="1"/>
  <c r="T83" i="16"/>
  <c r="O84" i="16"/>
  <c r="P84" i="16" a="1"/>
  <c r="P84" i="16"/>
  <c r="Q84" i="16" a="1"/>
  <c r="Q84" i="16"/>
  <c r="R84" i="16" a="1"/>
  <c r="R84" i="16"/>
  <c r="S84" i="16" a="1"/>
  <c r="S84" i="16"/>
  <c r="T84" i="16" a="1"/>
  <c r="T84" i="16"/>
  <c r="O85" i="16"/>
  <c r="P85" i="16" a="1"/>
  <c r="P85" i="16"/>
  <c r="Q85" i="16" a="1"/>
  <c r="Q85" i="16"/>
  <c r="R85" i="16" a="1"/>
  <c r="R85" i="16"/>
  <c r="S85" i="16" a="1"/>
  <c r="S85" i="16"/>
  <c r="T85" i="16" a="1"/>
  <c r="T85" i="16"/>
  <c r="O86" i="16"/>
  <c r="P86" i="16" a="1"/>
  <c r="P86" i="16"/>
  <c r="Q86" i="16" a="1"/>
  <c r="Q86" i="16"/>
  <c r="R86" i="16" a="1"/>
  <c r="R86" i="16"/>
  <c r="S86" i="16" a="1"/>
  <c r="S86" i="16"/>
  <c r="T86" i="16" a="1"/>
  <c r="T86" i="16"/>
  <c r="O87" i="16"/>
  <c r="P87" i="16" a="1"/>
  <c r="P87" i="16"/>
  <c r="Q87" i="16" a="1"/>
  <c r="Q87" i="16"/>
  <c r="R87" i="16" a="1"/>
  <c r="R87" i="16"/>
  <c r="S87" i="16" a="1"/>
  <c r="S87" i="16"/>
  <c r="T87" i="16" a="1"/>
  <c r="T87" i="16"/>
  <c r="O88" i="16"/>
  <c r="P88" i="16" a="1"/>
  <c r="P88" i="16"/>
  <c r="Q88" i="16" a="1"/>
  <c r="Q88" i="16"/>
  <c r="R88" i="16" a="1"/>
  <c r="R88" i="16"/>
  <c r="S88" i="16" a="1"/>
  <c r="S88" i="16"/>
  <c r="T88" i="16" a="1"/>
  <c r="T88" i="16"/>
  <c r="O89" i="16"/>
  <c r="P89" i="16" a="1"/>
  <c r="P89" i="16"/>
  <c r="Q89" i="16" a="1"/>
  <c r="Q89" i="16"/>
  <c r="R89" i="16" a="1"/>
  <c r="R89" i="16"/>
  <c r="S89" i="16" a="1"/>
  <c r="S89" i="16"/>
  <c r="T89" i="16" a="1"/>
  <c r="T89" i="16"/>
  <c r="O90" i="16"/>
  <c r="P90" i="16" a="1"/>
  <c r="P90" i="16"/>
  <c r="Q90" i="16" a="1"/>
  <c r="Q90" i="16"/>
  <c r="R90" i="16" a="1"/>
  <c r="R90" i="16"/>
  <c r="S90" i="16" a="1"/>
  <c r="S90" i="16"/>
  <c r="T90" i="16" a="1"/>
  <c r="T90" i="16"/>
  <c r="O91" i="16"/>
  <c r="P91" i="16" a="1"/>
  <c r="P91" i="16"/>
  <c r="Q91" i="16" a="1"/>
  <c r="Q91" i="16"/>
  <c r="R91" i="16" a="1"/>
  <c r="R91" i="16"/>
  <c r="S91" i="16" a="1"/>
  <c r="S91" i="16"/>
  <c r="T91" i="16" a="1"/>
  <c r="T91" i="16"/>
  <c r="O92" i="16"/>
  <c r="P92" i="16" a="1"/>
  <c r="P92" i="16"/>
  <c r="Q92" i="16" a="1"/>
  <c r="Q92" i="16"/>
  <c r="R92" i="16" a="1"/>
  <c r="R92" i="16"/>
  <c r="S92" i="16" a="1"/>
  <c r="S92" i="16"/>
  <c r="T92" i="16" a="1"/>
  <c r="T92" i="16"/>
  <c r="O93" i="16"/>
  <c r="P93" i="16" a="1"/>
  <c r="P93" i="16"/>
  <c r="Q93" i="16" a="1"/>
  <c r="Q93" i="16"/>
  <c r="R93" i="16" a="1"/>
  <c r="R93" i="16"/>
  <c r="S93" i="16" a="1"/>
  <c r="S93" i="16"/>
  <c r="T93" i="16" a="1"/>
  <c r="T93" i="16"/>
  <c r="O94" i="16"/>
  <c r="P94" i="16" a="1"/>
  <c r="P94" i="16"/>
  <c r="Q94" i="16" a="1"/>
  <c r="Q94" i="16"/>
  <c r="R94" i="16" a="1"/>
  <c r="R94" i="16"/>
  <c r="S94" i="16" a="1"/>
  <c r="S94" i="16"/>
  <c r="T94" i="16" a="1"/>
  <c r="T94" i="16"/>
  <c r="O95" i="16"/>
  <c r="P95" i="16" a="1"/>
  <c r="P95" i="16"/>
  <c r="Q95" i="16" a="1"/>
  <c r="Q95" i="16"/>
  <c r="R95" i="16" a="1"/>
  <c r="R95" i="16"/>
  <c r="S95" i="16" a="1"/>
  <c r="S95" i="16"/>
  <c r="T95" i="16" a="1"/>
  <c r="T95" i="16"/>
  <c r="O96" i="16"/>
  <c r="P96" i="16" a="1"/>
  <c r="P96" i="16"/>
  <c r="Q96" i="16" a="1"/>
  <c r="Q96" i="16"/>
  <c r="R96" i="16" a="1"/>
  <c r="R96" i="16"/>
  <c r="S96" i="16" a="1"/>
  <c r="S96" i="16"/>
  <c r="T96" i="16" a="1"/>
  <c r="T96" i="16"/>
  <c r="O97" i="16"/>
  <c r="P97" i="16" a="1"/>
  <c r="P97" i="16"/>
  <c r="Q97" i="16" a="1"/>
  <c r="Q97" i="16"/>
  <c r="R97" i="16" a="1"/>
  <c r="R97" i="16"/>
  <c r="S97" i="16" a="1"/>
  <c r="S97" i="16"/>
  <c r="T97" i="16" a="1"/>
  <c r="T97" i="16"/>
  <c r="O98" i="16"/>
  <c r="P98" i="16" a="1"/>
  <c r="P98" i="16"/>
  <c r="Q98" i="16" a="1"/>
  <c r="Q98" i="16"/>
  <c r="R98" i="16" a="1"/>
  <c r="R98" i="16"/>
  <c r="S98" i="16" a="1"/>
  <c r="S98" i="16"/>
  <c r="T98" i="16" a="1"/>
  <c r="T98" i="16"/>
  <c r="O99" i="16"/>
  <c r="P99" i="16" a="1"/>
  <c r="P99" i="16"/>
  <c r="Q99" i="16" a="1"/>
  <c r="Q99" i="16"/>
  <c r="R99" i="16" a="1"/>
  <c r="R99" i="16"/>
  <c r="S99" i="16" a="1"/>
  <c r="S99" i="16"/>
  <c r="T99" i="16" a="1"/>
  <c r="T99" i="16"/>
  <c r="O100" i="16"/>
  <c r="P100" i="16" a="1"/>
  <c r="P100" i="16"/>
  <c r="Q100" i="16" a="1"/>
  <c r="Q100" i="16"/>
  <c r="R100" i="16" a="1"/>
  <c r="R100" i="16"/>
  <c r="S100" i="16" a="1"/>
  <c r="S100" i="16"/>
  <c r="T100" i="16" a="1"/>
  <c r="T100" i="16"/>
  <c r="O101" i="16"/>
  <c r="P101" i="16" a="1"/>
  <c r="P101" i="16"/>
  <c r="Q101" i="16" a="1"/>
  <c r="Q101" i="16"/>
  <c r="R101" i="16" a="1"/>
  <c r="R101" i="16"/>
  <c r="S101" i="16" a="1"/>
  <c r="S101" i="16"/>
  <c r="T101" i="16" a="1"/>
  <c r="T101" i="16"/>
  <c r="O102" i="16"/>
  <c r="P102" i="16" a="1"/>
  <c r="P102" i="16"/>
  <c r="Q102" i="16" a="1"/>
  <c r="Q102" i="16"/>
  <c r="R102" i="16" a="1"/>
  <c r="R102" i="16"/>
  <c r="S102" i="16" a="1"/>
  <c r="S102" i="16"/>
  <c r="T102" i="16" a="1"/>
  <c r="T102" i="16"/>
  <c r="O103" i="16"/>
  <c r="P103" i="16" a="1"/>
  <c r="P103" i="16"/>
  <c r="Q103" i="16" a="1"/>
  <c r="Q103" i="16"/>
  <c r="R103" i="16" a="1"/>
  <c r="R103" i="16"/>
  <c r="S103" i="16" a="1"/>
  <c r="S103" i="16"/>
  <c r="T103" i="16" a="1"/>
  <c r="T103" i="16"/>
  <c r="O104" i="16"/>
  <c r="P104" i="16" a="1"/>
  <c r="P104" i="16"/>
  <c r="Q104" i="16" a="1"/>
  <c r="Q104" i="16"/>
  <c r="R104" i="16" a="1"/>
  <c r="R104" i="16"/>
  <c r="S104" i="16" a="1"/>
  <c r="S104" i="16"/>
  <c r="T104" i="16" a="1"/>
  <c r="T104" i="16"/>
  <c r="O105" i="16"/>
  <c r="P105" i="16" a="1"/>
  <c r="P105" i="16"/>
  <c r="Q105" i="16" a="1"/>
  <c r="Q105" i="16"/>
  <c r="R105" i="16" a="1"/>
  <c r="R105" i="16"/>
  <c r="S105" i="16" a="1"/>
  <c r="S105" i="16"/>
  <c r="T105" i="16" a="1"/>
  <c r="T105" i="16"/>
  <c r="O106" i="16"/>
  <c r="P106" i="16" a="1"/>
  <c r="P106" i="16"/>
  <c r="Q106" i="16" a="1"/>
  <c r="Q106" i="16"/>
  <c r="R106" i="16" a="1"/>
  <c r="R106" i="16"/>
  <c r="S106" i="16" a="1"/>
  <c r="S106" i="16"/>
  <c r="T106" i="16" a="1"/>
  <c r="T106" i="16"/>
  <c r="O107" i="16"/>
  <c r="P107" i="16" a="1"/>
  <c r="P107" i="16"/>
  <c r="Q107" i="16" a="1"/>
  <c r="Q107" i="16"/>
  <c r="R107" i="16" a="1"/>
  <c r="R107" i="16"/>
  <c r="S107" i="16" a="1"/>
  <c r="S107" i="16"/>
  <c r="T107" i="16" a="1"/>
  <c r="T107" i="16"/>
  <c r="O108" i="16"/>
  <c r="P108" i="16" a="1"/>
  <c r="P108" i="16"/>
  <c r="Q108" i="16" a="1"/>
  <c r="Q108" i="16"/>
  <c r="R108" i="16" a="1"/>
  <c r="R108" i="16"/>
  <c r="S108" i="16" a="1"/>
  <c r="S108" i="16"/>
  <c r="T108" i="16" a="1"/>
  <c r="T108" i="16"/>
  <c r="O109" i="16"/>
  <c r="P109" i="16" a="1"/>
  <c r="P109" i="16"/>
  <c r="Q109" i="16" a="1"/>
  <c r="Q109" i="16"/>
  <c r="R109" i="16" a="1"/>
  <c r="R109" i="16"/>
  <c r="S109" i="16" a="1"/>
  <c r="S109" i="16"/>
  <c r="T109" i="16" a="1"/>
  <c r="T109" i="16"/>
  <c r="O110" i="16"/>
  <c r="P110" i="16" a="1"/>
  <c r="P110" i="16"/>
  <c r="Q110" i="16" a="1"/>
  <c r="Q110" i="16"/>
  <c r="R110" i="16" a="1"/>
  <c r="R110" i="16"/>
  <c r="S110" i="16" a="1"/>
  <c r="S110" i="16"/>
  <c r="T110" i="16" a="1"/>
  <c r="T110" i="16"/>
  <c r="O111" i="16"/>
  <c r="P111" i="16" a="1"/>
  <c r="P111" i="16"/>
  <c r="Q111" i="16" a="1"/>
  <c r="Q111" i="16"/>
  <c r="R111" i="16" a="1"/>
  <c r="R111" i="16"/>
  <c r="S111" i="16" a="1"/>
  <c r="S111" i="16"/>
  <c r="T111" i="16" a="1"/>
  <c r="T111" i="16"/>
  <c r="O112" i="16"/>
  <c r="P112" i="16" a="1"/>
  <c r="P112" i="16"/>
  <c r="Q112" i="16" a="1"/>
  <c r="Q112" i="16"/>
  <c r="R112" i="16" a="1"/>
  <c r="R112" i="16"/>
  <c r="S112" i="16" a="1"/>
  <c r="S112" i="16"/>
  <c r="T112" i="16" a="1"/>
  <c r="T112" i="16"/>
  <c r="O113" i="16"/>
  <c r="P113" i="16" a="1"/>
  <c r="P113" i="16"/>
  <c r="Q113" i="16" a="1"/>
  <c r="Q113" i="16"/>
  <c r="R113" i="16" a="1"/>
  <c r="R113" i="16"/>
  <c r="S113" i="16" a="1"/>
  <c r="S113" i="16"/>
  <c r="T113" i="16" a="1"/>
  <c r="T113" i="16"/>
  <c r="O114" i="16"/>
  <c r="P114" i="16" a="1"/>
  <c r="P114" i="16"/>
  <c r="Q114" i="16" a="1"/>
  <c r="Q114" i="16"/>
  <c r="R114" i="16" a="1"/>
  <c r="R114" i="16"/>
  <c r="S114" i="16" a="1"/>
  <c r="S114" i="16"/>
  <c r="T114" i="16" a="1"/>
  <c r="T114" i="16"/>
  <c r="O115" i="16"/>
  <c r="P115" i="16" a="1"/>
  <c r="P115" i="16"/>
  <c r="Q115" i="16" a="1"/>
  <c r="Q115" i="16"/>
  <c r="R115" i="16" a="1"/>
  <c r="R115" i="16"/>
  <c r="S115" i="16" a="1"/>
  <c r="S115" i="16"/>
  <c r="T115" i="16" a="1"/>
  <c r="T115" i="16"/>
  <c r="O116" i="16"/>
  <c r="P116" i="16" a="1"/>
  <c r="P116" i="16"/>
  <c r="Q116" i="16" a="1"/>
  <c r="Q116" i="16"/>
  <c r="R116" i="16" a="1"/>
  <c r="R116" i="16"/>
  <c r="S116" i="16" a="1"/>
  <c r="S116" i="16"/>
  <c r="T116" i="16" a="1"/>
  <c r="T116" i="16"/>
  <c r="O117" i="16"/>
  <c r="P117" i="16" a="1"/>
  <c r="P117" i="16"/>
  <c r="Q117" i="16" a="1"/>
  <c r="Q117" i="16"/>
  <c r="R117" i="16" a="1"/>
  <c r="R117" i="16"/>
  <c r="S117" i="16" a="1"/>
  <c r="S117" i="16"/>
  <c r="T117" i="16" a="1"/>
  <c r="T117" i="16"/>
  <c r="O118" i="16"/>
  <c r="P118" i="16" a="1"/>
  <c r="P118" i="16"/>
  <c r="Q118" i="16" a="1"/>
  <c r="Q118" i="16"/>
  <c r="R118" i="16" a="1"/>
  <c r="R118" i="16"/>
  <c r="S118" i="16" a="1"/>
  <c r="S118" i="16"/>
  <c r="T118" i="16" a="1"/>
  <c r="T118" i="16"/>
  <c r="O119" i="16"/>
  <c r="P119" i="16" a="1"/>
  <c r="P119" i="16"/>
  <c r="Q119" i="16" a="1"/>
  <c r="Q119" i="16"/>
  <c r="R119" i="16" a="1"/>
  <c r="R119" i="16"/>
  <c r="S119" i="16" a="1"/>
  <c r="S119" i="16"/>
  <c r="T119" i="16" a="1"/>
  <c r="T119" i="16"/>
  <c r="O120" i="16"/>
  <c r="P120" i="16" a="1"/>
  <c r="P120" i="16"/>
  <c r="Q120" i="16" a="1"/>
  <c r="Q120" i="16"/>
  <c r="R120" i="16" a="1"/>
  <c r="R120" i="16"/>
  <c r="S120" i="16" a="1"/>
  <c r="S120" i="16"/>
  <c r="T120" i="16" a="1"/>
  <c r="T120" i="16"/>
  <c r="O121" i="16"/>
  <c r="P121" i="16" a="1"/>
  <c r="P121" i="16"/>
  <c r="Q121" i="16" a="1"/>
  <c r="Q121" i="16"/>
  <c r="R121" i="16" a="1"/>
  <c r="R121" i="16"/>
  <c r="S121" i="16" a="1"/>
  <c r="S121" i="16"/>
  <c r="T121" i="16" a="1"/>
  <c r="T121" i="16"/>
  <c r="O122" i="16"/>
  <c r="P122" i="16" a="1"/>
  <c r="P122" i="16"/>
  <c r="Q122" i="16" a="1"/>
  <c r="Q122" i="16"/>
  <c r="R122" i="16" a="1"/>
  <c r="R122" i="16"/>
  <c r="S122" i="16" a="1"/>
  <c r="S122" i="16"/>
  <c r="T122" i="16" a="1"/>
  <c r="T122" i="16"/>
  <c r="O123" i="16"/>
  <c r="P123" i="16" a="1"/>
  <c r="P123" i="16"/>
  <c r="Q123" i="16" a="1"/>
  <c r="Q123" i="16"/>
  <c r="R123" i="16" a="1"/>
  <c r="R123" i="16"/>
  <c r="S123" i="16" a="1"/>
  <c r="S123" i="16"/>
  <c r="T123" i="16" a="1"/>
  <c r="T123" i="16"/>
  <c r="O124" i="16"/>
  <c r="P124" i="16" a="1"/>
  <c r="P124" i="16"/>
  <c r="Q124" i="16" a="1"/>
  <c r="Q124" i="16"/>
  <c r="R124" i="16" a="1"/>
  <c r="R124" i="16"/>
  <c r="S124" i="16" a="1"/>
  <c r="S124" i="16"/>
  <c r="T124" i="16" a="1"/>
  <c r="T124" i="16"/>
  <c r="O125" i="16"/>
  <c r="P125" i="16" a="1"/>
  <c r="P125" i="16"/>
  <c r="Q125" i="16" a="1"/>
  <c r="Q125" i="16"/>
  <c r="R125" i="16" a="1"/>
  <c r="R125" i="16"/>
  <c r="S125" i="16" a="1"/>
  <c r="S125" i="16"/>
  <c r="T125" i="16" a="1"/>
  <c r="T125" i="16"/>
  <c r="O126" i="16"/>
  <c r="P126" i="16" a="1"/>
  <c r="P126" i="16"/>
  <c r="Q126" i="16" a="1"/>
  <c r="Q126" i="16"/>
  <c r="R126" i="16" a="1"/>
  <c r="R126" i="16"/>
  <c r="S126" i="16" a="1"/>
  <c r="S126" i="16"/>
  <c r="T126" i="16" a="1"/>
  <c r="T126" i="16"/>
  <c r="O127" i="16"/>
  <c r="P127" i="16" a="1"/>
  <c r="P127" i="16"/>
  <c r="Q127" i="16" a="1"/>
  <c r="Q127" i="16"/>
  <c r="R127" i="16" a="1"/>
  <c r="R127" i="16"/>
  <c r="S127" i="16" a="1"/>
  <c r="S127" i="16"/>
  <c r="T127" i="16" a="1"/>
  <c r="T127" i="16"/>
  <c r="O128" i="16"/>
  <c r="P128" i="16" a="1"/>
  <c r="P128" i="16"/>
  <c r="Q128" i="16" a="1"/>
  <c r="Q128" i="16"/>
  <c r="R128" i="16" a="1"/>
  <c r="R128" i="16"/>
  <c r="S128" i="16" a="1"/>
  <c r="S128" i="16"/>
  <c r="T128" i="16" a="1"/>
  <c r="T128" i="16"/>
  <c r="O129" i="16"/>
  <c r="P129" i="16" a="1"/>
  <c r="P129" i="16"/>
  <c r="Q129" i="16" a="1"/>
  <c r="Q129" i="16"/>
  <c r="R129" i="16" a="1"/>
  <c r="R129" i="16"/>
  <c r="S129" i="16" a="1"/>
  <c r="S129" i="16"/>
  <c r="T129" i="16" a="1"/>
  <c r="T129" i="16"/>
  <c r="O130" i="16"/>
  <c r="P130" i="16" a="1"/>
  <c r="P130" i="16"/>
  <c r="Q130" i="16" a="1"/>
  <c r="Q130" i="16"/>
  <c r="R130" i="16" a="1"/>
  <c r="R130" i="16"/>
  <c r="S130" i="16" a="1"/>
  <c r="S130" i="16"/>
  <c r="T130" i="16" a="1"/>
  <c r="T130" i="16"/>
  <c r="O131" i="16"/>
  <c r="P131" i="16" a="1"/>
  <c r="P131" i="16"/>
  <c r="Q131" i="16" a="1"/>
  <c r="Q131" i="16"/>
  <c r="R131" i="16" a="1"/>
  <c r="R131" i="16"/>
  <c r="S131" i="16" a="1"/>
  <c r="S131" i="16"/>
  <c r="T131" i="16" a="1"/>
  <c r="T131" i="16"/>
  <c r="O132" i="16"/>
  <c r="P132" i="16" a="1"/>
  <c r="P132" i="16"/>
  <c r="Q132" i="16" a="1"/>
  <c r="Q132" i="16"/>
  <c r="R132" i="16" a="1"/>
  <c r="R132" i="16"/>
  <c r="S132" i="16" a="1"/>
  <c r="S132" i="16"/>
  <c r="T132" i="16" a="1"/>
  <c r="T132" i="16"/>
  <c r="O133" i="16"/>
  <c r="P133" i="16" a="1"/>
  <c r="P133" i="16"/>
  <c r="Q133" i="16" a="1"/>
  <c r="Q133" i="16"/>
  <c r="R133" i="16" a="1"/>
  <c r="R133" i="16"/>
  <c r="S133" i="16" a="1"/>
  <c r="S133" i="16"/>
  <c r="T133" i="16" a="1"/>
  <c r="T133" i="16"/>
  <c r="O134" i="16"/>
  <c r="P134" i="16" a="1"/>
  <c r="P134" i="16"/>
  <c r="Q134" i="16" a="1"/>
  <c r="Q134" i="16"/>
  <c r="R134" i="16" a="1"/>
  <c r="R134" i="16"/>
  <c r="S134" i="16" a="1"/>
  <c r="S134" i="16"/>
  <c r="T134" i="16" a="1"/>
  <c r="T134" i="16"/>
  <c r="O135" i="16"/>
  <c r="P135" i="16" a="1"/>
  <c r="P135" i="16"/>
  <c r="Q135" i="16" a="1"/>
  <c r="Q135" i="16"/>
  <c r="R135" i="16" a="1"/>
  <c r="R135" i="16"/>
  <c r="S135" i="16" a="1"/>
  <c r="S135" i="16"/>
  <c r="T135" i="16" a="1"/>
  <c r="T135" i="16"/>
  <c r="O136" i="16"/>
  <c r="P136" i="16" a="1"/>
  <c r="P136" i="16"/>
  <c r="Q136" i="16" a="1"/>
  <c r="Q136" i="16"/>
  <c r="R136" i="16" a="1"/>
  <c r="R136" i="16"/>
  <c r="S136" i="16" a="1"/>
  <c r="S136" i="16"/>
  <c r="T136" i="16" a="1"/>
  <c r="T136" i="16"/>
  <c r="O137" i="16"/>
  <c r="P137" i="16" a="1"/>
  <c r="P137" i="16"/>
  <c r="Q137" i="16" a="1"/>
  <c r="Q137" i="16"/>
  <c r="R137" i="16" a="1"/>
  <c r="R137" i="16"/>
  <c r="S137" i="16" a="1"/>
  <c r="S137" i="16"/>
  <c r="T137" i="16" a="1"/>
  <c r="T137" i="16"/>
  <c r="O138" i="16"/>
  <c r="P138" i="16" a="1"/>
  <c r="P138" i="16"/>
  <c r="Q138" i="16" a="1"/>
  <c r="Q138" i="16"/>
  <c r="R138" i="16" a="1"/>
  <c r="R138" i="16"/>
  <c r="S138" i="16" a="1"/>
  <c r="S138" i="16"/>
  <c r="T138" i="16" a="1"/>
  <c r="T138" i="16"/>
  <c r="O139" i="16"/>
  <c r="P139" i="16" a="1"/>
  <c r="P139" i="16"/>
  <c r="Q139" i="16" a="1"/>
  <c r="Q139" i="16"/>
  <c r="R139" i="16" a="1"/>
  <c r="R139" i="16"/>
  <c r="S139" i="16" a="1"/>
  <c r="S139" i="16"/>
  <c r="T139" i="16" a="1"/>
  <c r="T139" i="16"/>
  <c r="O140" i="16"/>
  <c r="P140" i="16" a="1"/>
  <c r="P140" i="16"/>
  <c r="Q140" i="16" a="1"/>
  <c r="Q140" i="16"/>
  <c r="R140" i="16" a="1"/>
  <c r="R140" i="16"/>
  <c r="S140" i="16" a="1"/>
  <c r="S140" i="16"/>
  <c r="T140" i="16" a="1"/>
  <c r="T140" i="16"/>
  <c r="O141" i="16"/>
  <c r="P141" i="16" a="1"/>
  <c r="P141" i="16"/>
  <c r="Q141" i="16" a="1"/>
  <c r="Q141" i="16"/>
  <c r="R141" i="16" a="1"/>
  <c r="R141" i="16"/>
  <c r="S141" i="16" a="1"/>
  <c r="S141" i="16"/>
  <c r="T141" i="16" a="1"/>
  <c r="T141" i="16"/>
  <c r="O142" i="16"/>
  <c r="P142" i="16" a="1"/>
  <c r="P142" i="16"/>
  <c r="Q142" i="16" a="1"/>
  <c r="Q142" i="16"/>
  <c r="R142" i="16" a="1"/>
  <c r="R142" i="16"/>
  <c r="S142" i="16" a="1"/>
  <c r="S142" i="16"/>
  <c r="T142" i="16" a="1"/>
  <c r="T142" i="16"/>
  <c r="O143" i="16"/>
  <c r="P143" i="16" a="1"/>
  <c r="P143" i="16"/>
  <c r="Q143" i="16" a="1"/>
  <c r="Q143" i="16"/>
  <c r="R143" i="16" a="1"/>
  <c r="R143" i="16"/>
  <c r="S143" i="16" a="1"/>
  <c r="S143" i="16"/>
  <c r="T143" i="16" a="1"/>
  <c r="T143" i="16"/>
  <c r="O144" i="16"/>
  <c r="P144" i="16" a="1"/>
  <c r="P144" i="16"/>
  <c r="Q144" i="16" a="1"/>
  <c r="Q144" i="16"/>
  <c r="R144" i="16" a="1"/>
  <c r="R144" i="16"/>
  <c r="S144" i="16" a="1"/>
  <c r="S144" i="16"/>
  <c r="T144" i="16" a="1"/>
  <c r="T144" i="16"/>
  <c r="O145" i="16"/>
  <c r="P145" i="16" a="1"/>
  <c r="P145" i="16"/>
  <c r="Q145" i="16" a="1"/>
  <c r="Q145" i="16"/>
  <c r="R145" i="16" a="1"/>
  <c r="R145" i="16"/>
  <c r="S145" i="16" a="1"/>
  <c r="S145" i="16"/>
  <c r="T145" i="16" a="1"/>
  <c r="T145" i="16"/>
  <c r="O146" i="16"/>
  <c r="P146" i="16" a="1"/>
  <c r="P146" i="16"/>
  <c r="Q146" i="16" a="1"/>
  <c r="Q146" i="16"/>
  <c r="R146" i="16" a="1"/>
  <c r="R146" i="16"/>
  <c r="S146" i="16" a="1"/>
  <c r="S146" i="16"/>
  <c r="T146" i="16" a="1"/>
  <c r="T146" i="16"/>
  <c r="O147" i="16"/>
  <c r="P147" i="16" a="1"/>
  <c r="P147" i="16"/>
  <c r="Q147" i="16" a="1"/>
  <c r="Q147" i="16"/>
  <c r="R147" i="16" a="1"/>
  <c r="R147" i="16"/>
  <c r="S147" i="16" a="1"/>
  <c r="S147" i="16"/>
  <c r="T147" i="16" a="1"/>
  <c r="T147" i="16"/>
  <c r="O148" i="16"/>
  <c r="P148" i="16" a="1"/>
  <c r="P148" i="16"/>
  <c r="Q148" i="16" a="1"/>
  <c r="Q148" i="16"/>
  <c r="R148" i="16" a="1"/>
  <c r="R148" i="16"/>
  <c r="S148" i="16" a="1"/>
  <c r="S148" i="16"/>
  <c r="T148" i="16" a="1"/>
  <c r="T148" i="16"/>
  <c r="O149" i="16"/>
  <c r="P149" i="16" a="1"/>
  <c r="P149" i="16"/>
  <c r="Q149" i="16" a="1"/>
  <c r="Q149" i="16"/>
  <c r="R149" i="16" a="1"/>
  <c r="R149" i="16"/>
  <c r="S149" i="16" a="1"/>
  <c r="S149" i="16"/>
  <c r="T149" i="16" a="1"/>
  <c r="T149" i="16"/>
  <c r="O150" i="16"/>
  <c r="P150" i="16" a="1"/>
  <c r="P150" i="16"/>
  <c r="Q150" i="16" a="1"/>
  <c r="Q150" i="16"/>
  <c r="R150" i="16" a="1"/>
  <c r="R150" i="16"/>
  <c r="S150" i="16" a="1"/>
  <c r="S150" i="16"/>
  <c r="T150" i="16" a="1"/>
  <c r="T150" i="16"/>
  <c r="O151" i="16"/>
  <c r="P151" i="16" a="1"/>
  <c r="P151" i="16"/>
  <c r="Q151" i="16" a="1"/>
  <c r="Q151" i="16"/>
  <c r="R151" i="16" a="1"/>
  <c r="R151" i="16"/>
  <c r="S151" i="16" a="1"/>
  <c r="S151" i="16"/>
  <c r="T151" i="16" a="1"/>
  <c r="T151" i="16"/>
  <c r="O152" i="16"/>
  <c r="P152" i="16" a="1"/>
  <c r="P152" i="16"/>
  <c r="Q152" i="16" a="1"/>
  <c r="Q152" i="16"/>
  <c r="R152" i="16" a="1"/>
  <c r="R152" i="16"/>
  <c r="S152" i="16" a="1"/>
  <c r="S152" i="16"/>
  <c r="T152" i="16" a="1"/>
  <c r="T152" i="16"/>
  <c r="O153" i="16"/>
  <c r="P153" i="16" a="1"/>
  <c r="P153" i="16"/>
  <c r="Q153" i="16" a="1"/>
  <c r="Q153" i="16"/>
  <c r="R153" i="16" a="1"/>
  <c r="R153" i="16"/>
  <c r="S153" i="16" a="1"/>
  <c r="S153" i="16"/>
  <c r="T153" i="16" a="1"/>
  <c r="T153" i="16"/>
  <c r="O154" i="16"/>
  <c r="P154" i="16" a="1"/>
  <c r="P154" i="16"/>
  <c r="Q154" i="16" a="1"/>
  <c r="Q154" i="16"/>
  <c r="R154" i="16" a="1"/>
  <c r="R154" i="16"/>
  <c r="S154" i="16" a="1"/>
  <c r="S154" i="16"/>
  <c r="T154" i="16" a="1"/>
  <c r="T154" i="16"/>
  <c r="O155" i="16"/>
  <c r="P155" i="16" a="1"/>
  <c r="P155" i="16"/>
  <c r="Q155" i="16" a="1"/>
  <c r="Q155" i="16"/>
  <c r="R155" i="16" a="1"/>
  <c r="R155" i="16"/>
  <c r="S155" i="16" a="1"/>
  <c r="S155" i="16"/>
  <c r="T155" i="16" a="1"/>
  <c r="T155" i="16"/>
  <c r="O156" i="16"/>
  <c r="P156" i="16" a="1"/>
  <c r="P156" i="16"/>
  <c r="Q156" i="16" a="1"/>
  <c r="Q156" i="16"/>
  <c r="R156" i="16" a="1"/>
  <c r="R156" i="16"/>
  <c r="S156" i="16" a="1"/>
  <c r="S156" i="16"/>
  <c r="T156" i="16" a="1"/>
  <c r="T156" i="16"/>
  <c r="O157" i="16"/>
  <c r="P157" i="16" a="1"/>
  <c r="P157" i="16"/>
  <c r="Q157" i="16" a="1"/>
  <c r="Q157" i="16"/>
  <c r="R157" i="16" a="1"/>
  <c r="R157" i="16"/>
  <c r="S157" i="16" a="1"/>
  <c r="S157" i="16"/>
  <c r="T157" i="16" a="1"/>
  <c r="T157" i="16"/>
  <c r="O158" i="16"/>
  <c r="P158" i="16" a="1"/>
  <c r="P158" i="16"/>
  <c r="Q158" i="16" a="1"/>
  <c r="Q158" i="16"/>
  <c r="R158" i="16" a="1"/>
  <c r="R158" i="16"/>
  <c r="S158" i="16" a="1"/>
  <c r="S158" i="16"/>
  <c r="T158" i="16" a="1"/>
  <c r="T158" i="16"/>
  <c r="O159" i="16"/>
  <c r="P159" i="16" a="1"/>
  <c r="P159" i="16"/>
  <c r="Q159" i="16" a="1"/>
  <c r="Q159" i="16"/>
  <c r="R159" i="16" a="1"/>
  <c r="R159" i="16"/>
  <c r="S159" i="16" a="1"/>
  <c r="S159" i="16"/>
  <c r="T159" i="16" a="1"/>
  <c r="T159" i="16"/>
  <c r="O160" i="16"/>
  <c r="P160" i="16" a="1"/>
  <c r="P160" i="16"/>
  <c r="Q160" i="16" a="1"/>
  <c r="Q160" i="16"/>
  <c r="R160" i="16" a="1"/>
  <c r="R160" i="16"/>
  <c r="S160" i="16" a="1"/>
  <c r="S160" i="16"/>
  <c r="T160" i="16" a="1"/>
  <c r="T160" i="16"/>
  <c r="O161" i="16"/>
  <c r="P161" i="16" a="1"/>
  <c r="P161" i="16"/>
  <c r="Q161" i="16" a="1"/>
  <c r="Q161" i="16"/>
  <c r="R161" i="16" a="1"/>
  <c r="R161" i="16"/>
  <c r="S161" i="16" a="1"/>
  <c r="S161" i="16"/>
  <c r="T161" i="16" a="1"/>
  <c r="T161" i="16"/>
  <c r="O162" i="16"/>
  <c r="P162" i="16" a="1"/>
  <c r="P162" i="16"/>
  <c r="Q162" i="16" a="1"/>
  <c r="Q162" i="16"/>
  <c r="R162" i="16" a="1"/>
  <c r="R162" i="16"/>
  <c r="S162" i="16" a="1"/>
  <c r="S162" i="16"/>
  <c r="T162" i="16" a="1"/>
  <c r="T162" i="16"/>
  <c r="O163" i="16"/>
  <c r="P163" i="16" a="1"/>
  <c r="P163" i="16"/>
  <c r="Q163" i="16" a="1"/>
  <c r="Q163" i="16"/>
  <c r="R163" i="16" a="1"/>
  <c r="R163" i="16"/>
  <c r="S163" i="16" a="1"/>
  <c r="S163" i="16"/>
  <c r="T163" i="16" a="1"/>
  <c r="T163" i="16"/>
  <c r="O164" i="16"/>
  <c r="P164" i="16" a="1"/>
  <c r="P164" i="16"/>
  <c r="Q164" i="16" a="1"/>
  <c r="Q164" i="16"/>
  <c r="R164" i="16" a="1"/>
  <c r="R164" i="16"/>
  <c r="S164" i="16" a="1"/>
  <c r="S164" i="16"/>
  <c r="T164" i="16" a="1"/>
  <c r="T164" i="16"/>
  <c r="O165" i="16"/>
  <c r="P165" i="16" a="1"/>
  <c r="P165" i="16"/>
  <c r="Q165" i="16" a="1"/>
  <c r="Q165" i="16"/>
  <c r="R165" i="16" a="1"/>
  <c r="R165" i="16"/>
  <c r="S165" i="16" a="1"/>
  <c r="S165" i="16"/>
  <c r="T165" i="16" a="1"/>
  <c r="T165" i="16"/>
  <c r="O166" i="16"/>
  <c r="P166" i="16" a="1"/>
  <c r="P166" i="16"/>
  <c r="Q166" i="16" a="1"/>
  <c r="Q166" i="16"/>
  <c r="R166" i="16" a="1"/>
  <c r="R166" i="16"/>
  <c r="S166" i="16" a="1"/>
  <c r="S166" i="16"/>
  <c r="T166" i="16" a="1"/>
  <c r="T166" i="16"/>
  <c r="O167" i="16"/>
  <c r="P167" i="16" a="1"/>
  <c r="P167" i="16"/>
  <c r="Q167" i="16" a="1"/>
  <c r="Q167" i="16"/>
  <c r="R167" i="16" a="1"/>
  <c r="R167" i="16"/>
  <c r="S167" i="16" a="1"/>
  <c r="S167" i="16"/>
  <c r="T167" i="16" a="1"/>
  <c r="T167" i="16"/>
  <c r="O168" i="16"/>
  <c r="P168" i="16" a="1"/>
  <c r="P168" i="16"/>
  <c r="Q168" i="16" a="1"/>
  <c r="Q168" i="16"/>
  <c r="R168" i="16" a="1"/>
  <c r="R168" i="16"/>
  <c r="S168" i="16" a="1"/>
  <c r="S168" i="16"/>
  <c r="T168" i="16" a="1"/>
  <c r="T168" i="16"/>
  <c r="O169" i="16"/>
  <c r="P169" i="16" a="1"/>
  <c r="P169" i="16"/>
  <c r="Q169" i="16" a="1"/>
  <c r="Q169" i="16"/>
  <c r="R169" i="16" a="1"/>
  <c r="R169" i="16"/>
  <c r="S169" i="16" a="1"/>
  <c r="S169" i="16"/>
  <c r="T169" i="16" a="1"/>
  <c r="T169" i="16"/>
  <c r="O170" i="16"/>
  <c r="P170" i="16" a="1"/>
  <c r="P170" i="16"/>
  <c r="Q170" i="16" a="1"/>
  <c r="Q170" i="16"/>
  <c r="R170" i="16" a="1"/>
  <c r="R170" i="16"/>
  <c r="S170" i="16" a="1"/>
  <c r="S170" i="16"/>
  <c r="T170" i="16" a="1"/>
  <c r="T170" i="16"/>
  <c r="O171" i="16"/>
  <c r="P171" i="16" a="1"/>
  <c r="P171" i="16"/>
  <c r="Q171" i="16" a="1"/>
  <c r="Q171" i="16"/>
  <c r="R171" i="16" a="1"/>
  <c r="R171" i="16"/>
  <c r="S171" i="16" a="1"/>
  <c r="S171" i="16"/>
  <c r="T171" i="16" a="1"/>
  <c r="T171" i="16"/>
  <c r="O172" i="16"/>
  <c r="P172" i="16" a="1"/>
  <c r="P172" i="16"/>
  <c r="Q172" i="16" a="1"/>
  <c r="Q172" i="16"/>
  <c r="R172" i="16" a="1"/>
  <c r="R172" i="16"/>
  <c r="S172" i="16" a="1"/>
  <c r="S172" i="16"/>
  <c r="T172" i="16" a="1"/>
  <c r="T172" i="16"/>
  <c r="O173" i="16"/>
  <c r="P173" i="16" a="1"/>
  <c r="P173" i="16"/>
  <c r="Q173" i="16" a="1"/>
  <c r="Q173" i="16"/>
  <c r="R173" i="16" a="1"/>
  <c r="R173" i="16"/>
  <c r="S173" i="16" a="1"/>
  <c r="S173" i="16"/>
  <c r="T173" i="16" a="1"/>
  <c r="T173" i="16"/>
  <c r="O174" i="16"/>
  <c r="P174" i="16" a="1"/>
  <c r="P174" i="16"/>
  <c r="Q174" i="16" a="1"/>
  <c r="Q174" i="16"/>
  <c r="R174" i="16" a="1"/>
  <c r="R174" i="16"/>
  <c r="S174" i="16" a="1"/>
  <c r="S174" i="16"/>
  <c r="T174" i="16" a="1"/>
  <c r="T174" i="16"/>
  <c r="O175" i="16"/>
  <c r="P175" i="16" a="1"/>
  <c r="P175" i="16"/>
  <c r="Q175" i="16" a="1"/>
  <c r="Q175" i="16"/>
  <c r="R175" i="16" a="1"/>
  <c r="R175" i="16"/>
  <c r="S175" i="16" a="1"/>
  <c r="S175" i="16"/>
  <c r="T175" i="16" a="1"/>
  <c r="T175" i="16"/>
  <c r="O176" i="16"/>
  <c r="P176" i="16" a="1"/>
  <c r="P176" i="16"/>
  <c r="Q176" i="16" a="1"/>
  <c r="Q176" i="16"/>
  <c r="R176" i="16" a="1"/>
  <c r="R176" i="16"/>
  <c r="S176" i="16" a="1"/>
  <c r="S176" i="16"/>
  <c r="T176" i="16" a="1"/>
  <c r="T176" i="16"/>
  <c r="O177" i="16"/>
  <c r="P177" i="16" a="1"/>
  <c r="P177" i="16"/>
  <c r="Q177" i="16" a="1"/>
  <c r="Q177" i="16"/>
  <c r="R177" i="16" a="1"/>
  <c r="R177" i="16"/>
  <c r="S177" i="16" a="1"/>
  <c r="S177" i="16"/>
  <c r="T177" i="16" a="1"/>
  <c r="T177" i="16"/>
  <c r="O178" i="16"/>
  <c r="P178" i="16" a="1"/>
  <c r="P178" i="16"/>
  <c r="Q178" i="16" a="1"/>
  <c r="Q178" i="16"/>
  <c r="R178" i="16" a="1"/>
  <c r="R178" i="16"/>
  <c r="S178" i="16" a="1"/>
  <c r="S178" i="16"/>
  <c r="T178" i="16" a="1"/>
  <c r="T178" i="16"/>
  <c r="O179" i="16"/>
  <c r="P179" i="16" a="1"/>
  <c r="P179" i="16"/>
  <c r="Q179" i="16" a="1"/>
  <c r="Q179" i="16"/>
  <c r="R179" i="16" a="1"/>
  <c r="R179" i="16"/>
  <c r="S179" i="16" a="1"/>
  <c r="S179" i="16"/>
  <c r="T179" i="16" a="1"/>
  <c r="T179" i="16"/>
  <c r="O180" i="16"/>
  <c r="P180" i="16" a="1"/>
  <c r="P180" i="16"/>
  <c r="Q180" i="16" a="1"/>
  <c r="Q180" i="16"/>
  <c r="R180" i="16" a="1"/>
  <c r="R180" i="16"/>
  <c r="S180" i="16" a="1"/>
  <c r="S180" i="16"/>
  <c r="T180" i="16" a="1"/>
  <c r="T180" i="16"/>
  <c r="O181" i="16"/>
  <c r="P181" i="16" a="1"/>
  <c r="P181" i="16"/>
  <c r="Q181" i="16" a="1"/>
  <c r="Q181" i="16"/>
  <c r="R181" i="16" a="1"/>
  <c r="R181" i="16"/>
  <c r="S181" i="16" a="1"/>
  <c r="S181" i="16"/>
  <c r="T181" i="16" a="1"/>
  <c r="T181" i="16"/>
  <c r="O182" i="16"/>
  <c r="P182" i="16" a="1"/>
  <c r="P182" i="16"/>
  <c r="Q182" i="16" a="1"/>
  <c r="Q182" i="16"/>
  <c r="R182" i="16" a="1"/>
  <c r="R182" i="16"/>
  <c r="S182" i="16" a="1"/>
  <c r="S182" i="16"/>
  <c r="T182" i="16" a="1"/>
  <c r="T182" i="16"/>
  <c r="O183" i="16"/>
  <c r="P183" i="16" a="1"/>
  <c r="P183" i="16"/>
  <c r="Q183" i="16" a="1"/>
  <c r="Q183" i="16"/>
  <c r="R183" i="16" a="1"/>
  <c r="R183" i="16"/>
  <c r="S183" i="16" a="1"/>
  <c r="S183" i="16"/>
  <c r="T183" i="16" a="1"/>
  <c r="T183" i="16"/>
  <c r="O184" i="16"/>
  <c r="P184" i="16" a="1"/>
  <c r="P184" i="16"/>
  <c r="Q184" i="16" a="1"/>
  <c r="Q184" i="16"/>
  <c r="R184" i="16" a="1"/>
  <c r="R184" i="16"/>
  <c r="S184" i="16" a="1"/>
  <c r="S184" i="16"/>
  <c r="T184" i="16" a="1"/>
  <c r="T184" i="16"/>
  <c r="O185" i="16"/>
  <c r="P185" i="16" a="1"/>
  <c r="P185" i="16"/>
  <c r="Q185" i="16" a="1"/>
  <c r="Q185" i="16"/>
  <c r="R185" i="16" a="1"/>
  <c r="R185" i="16"/>
  <c r="S185" i="16" a="1"/>
  <c r="S185" i="16"/>
  <c r="T185" i="16" a="1"/>
  <c r="T185" i="16"/>
  <c r="O186" i="16"/>
  <c r="P186" i="16" a="1"/>
  <c r="P186" i="16"/>
  <c r="Q186" i="16" a="1"/>
  <c r="Q186" i="16"/>
  <c r="R186" i="16" a="1"/>
  <c r="R186" i="16"/>
  <c r="S186" i="16" a="1"/>
  <c r="S186" i="16"/>
  <c r="T186" i="16" a="1"/>
  <c r="T186" i="16"/>
  <c r="O187" i="16"/>
  <c r="P187" i="16" a="1"/>
  <c r="P187" i="16"/>
  <c r="Q187" i="16" a="1"/>
  <c r="Q187" i="16"/>
  <c r="R187" i="16" a="1"/>
  <c r="R187" i="16"/>
  <c r="S187" i="16" a="1"/>
  <c r="S187" i="16"/>
  <c r="T187" i="16" a="1"/>
  <c r="T187" i="16"/>
  <c r="O188" i="16"/>
  <c r="P188" i="16" a="1"/>
  <c r="P188" i="16"/>
  <c r="Q188" i="16" a="1"/>
  <c r="Q188" i="16"/>
  <c r="R188" i="16" a="1"/>
  <c r="R188" i="16"/>
  <c r="S188" i="16" a="1"/>
  <c r="S188" i="16"/>
  <c r="T188" i="16" a="1"/>
  <c r="T188" i="16"/>
  <c r="O189" i="16"/>
  <c r="P189" i="16" a="1"/>
  <c r="P189" i="16"/>
  <c r="Q189" i="16" a="1"/>
  <c r="Q189" i="16"/>
  <c r="R189" i="16" a="1"/>
  <c r="R189" i="16"/>
  <c r="S189" i="16" a="1"/>
  <c r="S189" i="16"/>
  <c r="T189" i="16" a="1"/>
  <c r="T189" i="16"/>
  <c r="O190" i="16"/>
  <c r="P190" i="16" a="1"/>
  <c r="P190" i="16"/>
  <c r="Q190" i="16" a="1"/>
  <c r="Q190" i="16"/>
  <c r="R190" i="16" a="1"/>
  <c r="R190" i="16"/>
  <c r="S190" i="16" a="1"/>
  <c r="S190" i="16"/>
  <c r="T190" i="16" a="1"/>
  <c r="T190" i="16"/>
  <c r="O191" i="16"/>
  <c r="P191" i="16" a="1"/>
  <c r="P191" i="16"/>
  <c r="Q191" i="16" a="1"/>
  <c r="Q191" i="16"/>
  <c r="R191" i="16" a="1"/>
  <c r="R191" i="16"/>
  <c r="S191" i="16" a="1"/>
  <c r="S191" i="16"/>
  <c r="T191" i="16" a="1"/>
  <c r="T191" i="16"/>
  <c r="O192" i="16"/>
  <c r="P192" i="16" a="1"/>
  <c r="P192" i="16"/>
  <c r="Q192" i="16" a="1"/>
  <c r="Q192" i="16"/>
  <c r="R192" i="16" a="1"/>
  <c r="R192" i="16"/>
  <c r="S192" i="16" a="1"/>
  <c r="S192" i="16"/>
  <c r="T192" i="16" a="1"/>
  <c r="T192" i="16"/>
  <c r="O193" i="16"/>
  <c r="P193" i="16" a="1"/>
  <c r="P193" i="16"/>
  <c r="Q193" i="16" a="1"/>
  <c r="Q193" i="16"/>
  <c r="R193" i="16" a="1"/>
  <c r="R193" i="16"/>
  <c r="S193" i="16" a="1"/>
  <c r="S193" i="16"/>
  <c r="T193" i="16" a="1"/>
  <c r="T193" i="16"/>
  <c r="O194" i="16"/>
  <c r="P194" i="16" a="1"/>
  <c r="P194" i="16"/>
  <c r="Q194" i="16" a="1"/>
  <c r="Q194" i="16"/>
  <c r="R194" i="16" a="1"/>
  <c r="R194" i="16"/>
  <c r="S194" i="16" a="1"/>
  <c r="S194" i="16"/>
  <c r="T194" i="16" a="1"/>
  <c r="T194" i="16"/>
  <c r="O195" i="16"/>
  <c r="P195" i="16" a="1"/>
  <c r="P195" i="16"/>
  <c r="Q195" i="16" a="1"/>
  <c r="Q195" i="16"/>
  <c r="R195" i="16" a="1"/>
  <c r="R195" i="16"/>
  <c r="S195" i="16" a="1"/>
  <c r="S195" i="16"/>
  <c r="T195" i="16" a="1"/>
  <c r="T195" i="16"/>
  <c r="O196" i="16"/>
  <c r="P196" i="16" a="1"/>
  <c r="P196" i="16"/>
  <c r="Q196" i="16" a="1"/>
  <c r="Q196" i="16"/>
  <c r="R196" i="16" a="1"/>
  <c r="R196" i="16"/>
  <c r="S196" i="16" a="1"/>
  <c r="S196" i="16"/>
  <c r="T196" i="16" a="1"/>
  <c r="T196" i="16"/>
  <c r="O197" i="16"/>
  <c r="P197" i="16" a="1"/>
  <c r="P197" i="16"/>
  <c r="Q197" i="16" a="1"/>
  <c r="Q197" i="16"/>
  <c r="R197" i="16" a="1"/>
  <c r="R197" i="16"/>
  <c r="S197" i="16" a="1"/>
  <c r="S197" i="16"/>
  <c r="T197" i="16" a="1"/>
  <c r="T197" i="16"/>
  <c r="O198" i="16"/>
  <c r="P198" i="16" a="1"/>
  <c r="P198" i="16"/>
  <c r="Q198" i="16" a="1"/>
  <c r="Q198" i="16"/>
  <c r="R198" i="16" a="1"/>
  <c r="R198" i="16"/>
  <c r="S198" i="16" a="1"/>
  <c r="S198" i="16"/>
  <c r="T198" i="16" a="1"/>
  <c r="T198" i="16"/>
  <c r="O199" i="16"/>
  <c r="P199" i="16" a="1"/>
  <c r="P199" i="16"/>
  <c r="Q199" i="16" a="1"/>
  <c r="Q199" i="16"/>
  <c r="R199" i="16" a="1"/>
  <c r="R199" i="16"/>
  <c r="S199" i="16" a="1"/>
  <c r="S199" i="16"/>
  <c r="T199" i="16" a="1"/>
  <c r="T199" i="16"/>
  <c r="O200" i="16"/>
  <c r="P200" i="16" a="1"/>
  <c r="P200" i="16"/>
  <c r="Q200" i="16" a="1"/>
  <c r="Q200" i="16"/>
  <c r="R200" i="16" a="1"/>
  <c r="R200" i="16"/>
  <c r="S200" i="16" a="1"/>
  <c r="S200" i="16"/>
  <c r="T200" i="16" a="1"/>
  <c r="T200" i="16"/>
  <c r="O201" i="16"/>
  <c r="P201" i="16" a="1"/>
  <c r="P201" i="16"/>
  <c r="Q201" i="16" a="1"/>
  <c r="Q201" i="16"/>
  <c r="R201" i="16" a="1"/>
  <c r="R201" i="16"/>
  <c r="S201" i="16" a="1"/>
  <c r="S201" i="16"/>
  <c r="T201" i="16" a="1"/>
  <c r="T201" i="16"/>
  <c r="O202" i="16"/>
  <c r="P202" i="16" a="1"/>
  <c r="P202" i="16"/>
  <c r="Q202" i="16" a="1"/>
  <c r="Q202" i="16"/>
  <c r="R202" i="16" a="1"/>
  <c r="R202" i="16"/>
  <c r="S202" i="16" a="1"/>
  <c r="S202" i="16"/>
  <c r="T202" i="16" a="1"/>
  <c r="T202" i="16"/>
  <c r="O203" i="16"/>
  <c r="P203" i="16" a="1"/>
  <c r="P203" i="16"/>
  <c r="Q203" i="16" a="1"/>
  <c r="Q203" i="16"/>
  <c r="R203" i="16" a="1"/>
  <c r="R203" i="16"/>
  <c r="S203" i="16" a="1"/>
  <c r="S203" i="16"/>
  <c r="T203" i="16" a="1"/>
  <c r="T203" i="16"/>
  <c r="O204" i="16"/>
  <c r="P204" i="16" a="1"/>
  <c r="P204" i="16"/>
  <c r="Q204" i="16" a="1"/>
  <c r="Q204" i="16"/>
  <c r="R204" i="16" a="1"/>
  <c r="R204" i="16"/>
  <c r="S204" i="16" a="1"/>
  <c r="S204" i="16"/>
  <c r="T204" i="16" a="1"/>
  <c r="T204" i="16"/>
  <c r="O205" i="16"/>
  <c r="P205" i="16" a="1"/>
  <c r="P205" i="16"/>
  <c r="Q205" i="16" a="1"/>
  <c r="Q205" i="16"/>
  <c r="R205" i="16" a="1"/>
  <c r="R205" i="16"/>
  <c r="S205" i="16" a="1"/>
  <c r="S205" i="16"/>
  <c r="T205" i="16" a="1"/>
  <c r="T205" i="16"/>
  <c r="O206" i="16"/>
  <c r="P206" i="16" a="1"/>
  <c r="P206" i="16"/>
  <c r="Q206" i="16" a="1"/>
  <c r="Q206" i="16"/>
  <c r="R206" i="16" a="1"/>
  <c r="R206" i="16"/>
  <c r="S206" i="16" a="1"/>
  <c r="S206" i="16"/>
  <c r="T206" i="16" a="1"/>
  <c r="T206" i="16"/>
  <c r="O207" i="16"/>
  <c r="P207" i="16" a="1"/>
  <c r="P207" i="16"/>
  <c r="Q207" i="16" a="1"/>
  <c r="Q207" i="16"/>
  <c r="R207" i="16" a="1"/>
  <c r="R207" i="16"/>
  <c r="S207" i="16" a="1"/>
  <c r="S207" i="16"/>
  <c r="T207" i="16" a="1"/>
  <c r="T207" i="16"/>
  <c r="O208" i="16"/>
  <c r="P208" i="16" a="1"/>
  <c r="P208" i="16"/>
  <c r="Q208" i="16" a="1"/>
  <c r="Q208" i="16"/>
  <c r="R208" i="16" a="1"/>
  <c r="R208" i="16"/>
  <c r="S208" i="16" a="1"/>
  <c r="S208" i="16"/>
  <c r="T208" i="16" a="1"/>
  <c r="T208" i="16"/>
  <c r="O209" i="16"/>
  <c r="P209" i="16" a="1"/>
  <c r="P209" i="16"/>
  <c r="Q209" i="16" a="1"/>
  <c r="Q209" i="16"/>
  <c r="R209" i="16" a="1"/>
  <c r="R209" i="16"/>
  <c r="S209" i="16" a="1"/>
  <c r="S209" i="16"/>
  <c r="T209" i="16" a="1"/>
  <c r="T209" i="16"/>
  <c r="O210" i="16"/>
  <c r="P210" i="16" a="1"/>
  <c r="P210" i="16"/>
  <c r="Q210" i="16" a="1"/>
  <c r="Q210" i="16"/>
  <c r="R210" i="16" a="1"/>
  <c r="R210" i="16"/>
  <c r="S210" i="16" a="1"/>
  <c r="S210" i="16"/>
  <c r="T210" i="16" a="1"/>
  <c r="T210" i="16"/>
  <c r="O211" i="16"/>
  <c r="P211" i="16" a="1"/>
  <c r="P211" i="16"/>
  <c r="Q211" i="16" a="1"/>
  <c r="Q211" i="16"/>
  <c r="R211" i="16" a="1"/>
  <c r="R211" i="16"/>
  <c r="S211" i="16" a="1"/>
  <c r="S211" i="16"/>
  <c r="T211" i="16" a="1"/>
  <c r="T211" i="16"/>
  <c r="O212" i="16"/>
  <c r="P212" i="16" a="1"/>
  <c r="P212" i="16"/>
  <c r="Q212" i="16" a="1"/>
  <c r="Q212" i="16"/>
  <c r="R212" i="16" a="1"/>
  <c r="R212" i="16"/>
  <c r="S212" i="16" a="1"/>
  <c r="S212" i="16"/>
  <c r="T212" i="16" a="1"/>
  <c r="T212" i="16"/>
  <c r="O213" i="16"/>
  <c r="P213" i="16" a="1"/>
  <c r="P213" i="16"/>
  <c r="Q213" i="16" a="1"/>
  <c r="Q213" i="16"/>
  <c r="R213" i="16" a="1"/>
  <c r="R213" i="16"/>
  <c r="S213" i="16" a="1"/>
  <c r="S213" i="16"/>
  <c r="T213" i="16" a="1"/>
  <c r="T213" i="16"/>
  <c r="O214" i="16"/>
  <c r="P214" i="16" a="1"/>
  <c r="P214" i="16"/>
  <c r="Q214" i="16" a="1"/>
  <c r="Q214" i="16"/>
  <c r="R214" i="16" a="1"/>
  <c r="R214" i="16"/>
  <c r="S214" i="16" a="1"/>
  <c r="S214" i="16"/>
  <c r="T214" i="16" a="1"/>
  <c r="T214" i="16"/>
  <c r="O215" i="16"/>
  <c r="P215" i="16" a="1"/>
  <c r="P215" i="16"/>
  <c r="Q215" i="16" a="1"/>
  <c r="Q215" i="16"/>
  <c r="R215" i="16" a="1"/>
  <c r="R215" i="16"/>
  <c r="S215" i="16" a="1"/>
  <c r="S215" i="16"/>
  <c r="T215" i="16" a="1"/>
  <c r="T215" i="16"/>
  <c r="O216" i="16"/>
  <c r="P216" i="16" a="1"/>
  <c r="P216" i="16"/>
  <c r="Q216" i="16" a="1"/>
  <c r="Q216" i="16"/>
  <c r="R216" i="16" a="1"/>
  <c r="R216" i="16"/>
  <c r="S216" i="16" a="1"/>
  <c r="S216" i="16"/>
  <c r="T216" i="16" a="1"/>
  <c r="T216" i="16"/>
  <c r="O217" i="16"/>
  <c r="P217" i="16" a="1"/>
  <c r="P217" i="16"/>
  <c r="Q217" i="16" a="1"/>
  <c r="Q217" i="16"/>
  <c r="R217" i="16" a="1"/>
  <c r="R217" i="16"/>
  <c r="S217" i="16" a="1"/>
  <c r="S217" i="16"/>
  <c r="T217" i="16" a="1"/>
  <c r="T217" i="16"/>
  <c r="O218" i="16"/>
  <c r="P218" i="16" a="1"/>
  <c r="P218" i="16"/>
  <c r="Q218" i="16" a="1"/>
  <c r="Q218" i="16"/>
  <c r="R218" i="16" a="1"/>
  <c r="R218" i="16"/>
  <c r="S218" i="16" a="1"/>
  <c r="S218" i="16"/>
  <c r="T218" i="16" a="1"/>
  <c r="T218" i="16"/>
  <c r="O219" i="16"/>
  <c r="P219" i="16" a="1"/>
  <c r="P219" i="16"/>
  <c r="Q219" i="16" a="1"/>
  <c r="Q219" i="16"/>
  <c r="R219" i="16" a="1"/>
  <c r="R219" i="16"/>
  <c r="S219" i="16" a="1"/>
  <c r="S219" i="16"/>
  <c r="T219" i="16" a="1"/>
  <c r="T219" i="16"/>
  <c r="O220" i="16"/>
  <c r="P220" i="16" a="1"/>
  <c r="P220" i="16"/>
  <c r="Q220" i="16" a="1"/>
  <c r="Q220" i="16"/>
  <c r="R220" i="16" a="1"/>
  <c r="R220" i="16"/>
  <c r="S220" i="16" a="1"/>
  <c r="S220" i="16"/>
  <c r="T220" i="16" a="1"/>
  <c r="T220" i="16"/>
  <c r="O221" i="16"/>
  <c r="P221" i="16" a="1"/>
  <c r="P221" i="16"/>
  <c r="Q221" i="16" a="1"/>
  <c r="Q221" i="16"/>
  <c r="R221" i="16" a="1"/>
  <c r="R221" i="16"/>
  <c r="S221" i="16" a="1"/>
  <c r="S221" i="16"/>
  <c r="T221" i="16" a="1"/>
  <c r="T221" i="16"/>
  <c r="O222" i="16"/>
  <c r="P222" i="16" a="1"/>
  <c r="P222" i="16"/>
  <c r="Q222" i="16" a="1"/>
  <c r="Q222" i="16"/>
  <c r="R222" i="16" a="1"/>
  <c r="R222" i="16"/>
  <c r="S222" i="16" a="1"/>
  <c r="S222" i="16"/>
  <c r="T222" i="16" a="1"/>
  <c r="T222" i="16"/>
  <c r="O223" i="16"/>
  <c r="P223" i="16" a="1"/>
  <c r="P223" i="16"/>
  <c r="Q223" i="16" a="1"/>
  <c r="Q223" i="16"/>
  <c r="R223" i="16" a="1"/>
  <c r="R223" i="16"/>
  <c r="S223" i="16" a="1"/>
  <c r="S223" i="16"/>
  <c r="T223" i="16" a="1"/>
  <c r="T223" i="16"/>
  <c r="O224" i="16"/>
  <c r="P224" i="16" a="1"/>
  <c r="P224" i="16"/>
  <c r="Q224" i="16" a="1"/>
  <c r="Q224" i="16"/>
  <c r="R224" i="16" a="1"/>
  <c r="R224" i="16"/>
  <c r="S224" i="16" a="1"/>
  <c r="S224" i="16"/>
  <c r="T224" i="16" a="1"/>
  <c r="T224" i="16"/>
  <c r="O225" i="16"/>
  <c r="P225" i="16" a="1"/>
  <c r="P225" i="16"/>
  <c r="Q225" i="16" a="1"/>
  <c r="Q225" i="16"/>
  <c r="R225" i="16" a="1"/>
  <c r="R225" i="16"/>
  <c r="S225" i="16" a="1"/>
  <c r="S225" i="16"/>
  <c r="T225" i="16" a="1"/>
  <c r="T225" i="16"/>
  <c r="O226" i="16"/>
  <c r="P226" i="16" a="1"/>
  <c r="P226" i="16"/>
  <c r="Q226" i="16" a="1"/>
  <c r="Q226" i="16"/>
  <c r="R226" i="16" a="1"/>
  <c r="R226" i="16"/>
  <c r="S226" i="16" a="1"/>
  <c r="S226" i="16"/>
  <c r="T226" i="16" a="1"/>
  <c r="T226" i="16"/>
  <c r="O227" i="16"/>
  <c r="P227" i="16" a="1"/>
  <c r="P227" i="16"/>
  <c r="Q227" i="16" a="1"/>
  <c r="Q227" i="16"/>
  <c r="R227" i="16" a="1"/>
  <c r="R227" i="16"/>
  <c r="S227" i="16" a="1"/>
  <c r="S227" i="16"/>
  <c r="T227" i="16" a="1"/>
  <c r="T227" i="16"/>
  <c r="O228" i="16"/>
  <c r="P228" i="16" a="1"/>
  <c r="P228" i="16"/>
  <c r="Q228" i="16" a="1"/>
  <c r="Q228" i="16"/>
  <c r="R228" i="16" a="1"/>
  <c r="R228" i="16"/>
  <c r="S228" i="16" a="1"/>
  <c r="S228" i="16"/>
  <c r="T228" i="16" a="1"/>
  <c r="T228" i="16"/>
  <c r="O229" i="16"/>
  <c r="P229" i="16" a="1"/>
  <c r="P229" i="16"/>
  <c r="Q229" i="16" a="1"/>
  <c r="Q229" i="16"/>
  <c r="R229" i="16" a="1"/>
  <c r="R229" i="16"/>
  <c r="S229" i="16" a="1"/>
  <c r="S229" i="16"/>
  <c r="T229" i="16" a="1"/>
  <c r="T229" i="16"/>
  <c r="O230" i="16"/>
  <c r="P230" i="16" a="1"/>
  <c r="P230" i="16"/>
  <c r="Q230" i="16" a="1"/>
  <c r="Q230" i="16"/>
  <c r="R230" i="16" a="1"/>
  <c r="R230" i="16"/>
  <c r="S230" i="16" a="1"/>
  <c r="S230" i="16"/>
  <c r="T230" i="16" a="1"/>
  <c r="T230" i="16"/>
  <c r="O231" i="16"/>
  <c r="P231" i="16" a="1"/>
  <c r="P231" i="16"/>
  <c r="Q231" i="16" a="1"/>
  <c r="Q231" i="16"/>
  <c r="R231" i="16" a="1"/>
  <c r="R231" i="16"/>
  <c r="S231" i="16" a="1"/>
  <c r="S231" i="16"/>
  <c r="T231" i="16" a="1"/>
  <c r="T231" i="16"/>
  <c r="O232" i="16"/>
  <c r="P232" i="16" a="1"/>
  <c r="P232" i="16"/>
  <c r="Q232" i="16" a="1"/>
  <c r="Q232" i="16"/>
  <c r="R232" i="16" a="1"/>
  <c r="R232" i="16"/>
  <c r="S232" i="16" a="1"/>
  <c r="S232" i="16"/>
  <c r="T232" i="16" a="1"/>
  <c r="T232" i="16"/>
  <c r="O233" i="16"/>
  <c r="P233" i="16" a="1"/>
  <c r="P233" i="16"/>
  <c r="Q233" i="16" a="1"/>
  <c r="Q233" i="16"/>
  <c r="R233" i="16" a="1"/>
  <c r="R233" i="16"/>
  <c r="S233" i="16" a="1"/>
  <c r="S233" i="16"/>
  <c r="T233" i="16" a="1"/>
  <c r="T233" i="16"/>
  <c r="O234" i="16"/>
  <c r="P234" i="16" a="1"/>
  <c r="P234" i="16"/>
  <c r="Q234" i="16" a="1"/>
  <c r="Q234" i="16"/>
  <c r="R234" i="16" a="1"/>
  <c r="R234" i="16"/>
  <c r="S234" i="16" a="1"/>
  <c r="S234" i="16"/>
  <c r="T234" i="16" a="1"/>
  <c r="T234" i="16"/>
  <c r="O235" i="16"/>
  <c r="P235" i="16" a="1"/>
  <c r="P235" i="16"/>
  <c r="Q235" i="16" a="1"/>
  <c r="Q235" i="16"/>
  <c r="R235" i="16" a="1"/>
  <c r="R235" i="16"/>
  <c r="S235" i="16" a="1"/>
  <c r="S235" i="16"/>
  <c r="T235" i="16" a="1"/>
  <c r="T235" i="16"/>
  <c r="O236" i="16"/>
  <c r="P236" i="16" a="1"/>
  <c r="P236" i="16"/>
  <c r="Q236" i="16" a="1"/>
  <c r="Q236" i="16"/>
  <c r="R236" i="16" a="1"/>
  <c r="R236" i="16"/>
  <c r="S236" i="16" a="1"/>
  <c r="S236" i="16"/>
  <c r="T236" i="16" a="1"/>
  <c r="T236" i="16"/>
  <c r="O237" i="16"/>
  <c r="P237" i="16" a="1"/>
  <c r="P237" i="16"/>
  <c r="Q237" i="16" a="1"/>
  <c r="Q237" i="16"/>
  <c r="R237" i="16" a="1"/>
  <c r="R237" i="16"/>
  <c r="S237" i="16" a="1"/>
  <c r="S237" i="16"/>
  <c r="T237" i="16" a="1"/>
  <c r="T237" i="16"/>
  <c r="O238" i="16"/>
  <c r="P238" i="16" a="1"/>
  <c r="P238" i="16"/>
  <c r="Q238" i="16" a="1"/>
  <c r="Q238" i="16"/>
  <c r="R238" i="16" a="1"/>
  <c r="R238" i="16"/>
  <c r="S238" i="16" a="1"/>
  <c r="S238" i="16"/>
  <c r="T238" i="16" a="1"/>
  <c r="T238" i="16"/>
  <c r="O239" i="16"/>
  <c r="P239" i="16" a="1"/>
  <c r="P239" i="16"/>
  <c r="Q239" i="16" a="1"/>
  <c r="Q239" i="16"/>
  <c r="R239" i="16" a="1"/>
  <c r="R239" i="16"/>
  <c r="S239" i="16" a="1"/>
  <c r="S239" i="16"/>
  <c r="T239" i="16" a="1"/>
  <c r="T239" i="16"/>
  <c r="O240" i="16"/>
  <c r="P240" i="16" a="1"/>
  <c r="P240" i="16"/>
  <c r="Q240" i="16" a="1"/>
  <c r="Q240" i="16"/>
  <c r="R240" i="16" a="1"/>
  <c r="R240" i="16"/>
  <c r="S240" i="16" a="1"/>
  <c r="S240" i="16"/>
  <c r="T240" i="16" a="1"/>
  <c r="T240" i="16"/>
  <c r="O241" i="16"/>
  <c r="P241" i="16" a="1"/>
  <c r="P241" i="16"/>
  <c r="Q241" i="16" a="1"/>
  <c r="Q241" i="16"/>
  <c r="R241" i="16" a="1"/>
  <c r="R241" i="16"/>
  <c r="S241" i="16" a="1"/>
  <c r="S241" i="16"/>
  <c r="T241" i="16" a="1"/>
  <c r="T241" i="16"/>
  <c r="O242" i="16"/>
  <c r="P242" i="16" a="1"/>
  <c r="P242" i="16"/>
  <c r="Q242" i="16" a="1"/>
  <c r="Q242" i="16"/>
  <c r="R242" i="16" a="1"/>
  <c r="R242" i="16"/>
  <c r="S242" i="16" a="1"/>
  <c r="S242" i="16"/>
  <c r="T242" i="16" a="1"/>
  <c r="T242" i="16"/>
  <c r="O243" i="16"/>
  <c r="P243" i="16" a="1"/>
  <c r="P243" i="16"/>
  <c r="Q243" i="16" a="1"/>
  <c r="Q243" i="16"/>
  <c r="R243" i="16" a="1"/>
  <c r="R243" i="16"/>
  <c r="S243" i="16" a="1"/>
  <c r="S243" i="16"/>
  <c r="T243" i="16" a="1"/>
  <c r="T243" i="16"/>
  <c r="O244" i="16"/>
  <c r="P244" i="16" a="1"/>
  <c r="P244" i="16"/>
  <c r="Q244" i="16" a="1"/>
  <c r="Q244" i="16"/>
  <c r="R244" i="16" a="1"/>
  <c r="R244" i="16"/>
  <c r="S244" i="16" a="1"/>
  <c r="S244" i="16"/>
  <c r="T244" i="16" a="1"/>
  <c r="T244" i="16"/>
  <c r="O245" i="16"/>
  <c r="P245" i="16" a="1"/>
  <c r="P245" i="16"/>
  <c r="Q245" i="16" a="1"/>
  <c r="Q245" i="16"/>
  <c r="R245" i="16" a="1"/>
  <c r="R245" i="16"/>
  <c r="S245" i="16" a="1"/>
  <c r="S245" i="16"/>
  <c r="T245" i="16" a="1"/>
  <c r="T245" i="16"/>
  <c r="O246" i="16"/>
  <c r="P246" i="16" a="1"/>
  <c r="P246" i="16"/>
  <c r="Q246" i="16" a="1"/>
  <c r="Q246" i="16"/>
  <c r="R246" i="16" a="1"/>
  <c r="R246" i="16"/>
  <c r="S246" i="16" a="1"/>
  <c r="S246" i="16"/>
  <c r="T246" i="16" a="1"/>
  <c r="T246" i="16"/>
  <c r="O247" i="16"/>
  <c r="P247" i="16" a="1"/>
  <c r="P247" i="16"/>
  <c r="Q247" i="16" a="1"/>
  <c r="Q247" i="16"/>
  <c r="R247" i="16" a="1"/>
  <c r="R247" i="16"/>
  <c r="S247" i="16" a="1"/>
  <c r="S247" i="16"/>
  <c r="T247" i="16" a="1"/>
  <c r="T247" i="16"/>
  <c r="O248" i="16"/>
  <c r="P248" i="16" a="1"/>
  <c r="P248" i="16"/>
  <c r="Q248" i="16" a="1"/>
  <c r="Q248" i="16"/>
  <c r="R248" i="16" a="1"/>
  <c r="R248" i="16"/>
  <c r="S248" i="16" a="1"/>
  <c r="S248" i="16"/>
  <c r="T248" i="16" a="1"/>
  <c r="T248" i="16"/>
  <c r="O249" i="16"/>
  <c r="P249" i="16" a="1"/>
  <c r="P249" i="16"/>
  <c r="Q249" i="16" a="1"/>
  <c r="Q249" i="16"/>
  <c r="R249" i="16" a="1"/>
  <c r="R249" i="16"/>
  <c r="S249" i="16" a="1"/>
  <c r="S249" i="16"/>
  <c r="T249" i="16" a="1"/>
  <c r="T249" i="16"/>
  <c r="O250" i="16"/>
  <c r="P250" i="16" a="1"/>
  <c r="P250" i="16"/>
  <c r="Q250" i="16" a="1"/>
  <c r="Q250" i="16"/>
  <c r="R250" i="16" a="1"/>
  <c r="R250" i="16"/>
  <c r="S250" i="16" a="1"/>
  <c r="S250" i="16"/>
  <c r="T250" i="16" a="1"/>
  <c r="T250" i="16"/>
  <c r="O251" i="16"/>
  <c r="P251" i="16" a="1"/>
  <c r="P251" i="16"/>
  <c r="Q251" i="16" a="1"/>
  <c r="Q251" i="16"/>
  <c r="R251" i="16" a="1"/>
  <c r="R251" i="16"/>
  <c r="S251" i="16" a="1"/>
  <c r="S251" i="16"/>
  <c r="T251" i="16" a="1"/>
  <c r="T251" i="16"/>
  <c r="O252" i="16"/>
  <c r="P252" i="16" a="1"/>
  <c r="P252" i="16"/>
  <c r="Q252" i="16" a="1"/>
  <c r="Q252" i="16"/>
  <c r="R252" i="16" a="1"/>
  <c r="R252" i="16"/>
  <c r="S252" i="16" a="1"/>
  <c r="S252" i="16"/>
  <c r="T252" i="16" a="1"/>
  <c r="T252" i="16"/>
  <c r="O253" i="16"/>
  <c r="P253" i="16" a="1"/>
  <c r="P253" i="16"/>
  <c r="Q253" i="16" a="1"/>
  <c r="Q253" i="16"/>
  <c r="R253" i="16" a="1"/>
  <c r="R253" i="16"/>
  <c r="S253" i="16" a="1"/>
  <c r="S253" i="16"/>
  <c r="T253" i="16" a="1"/>
  <c r="T253" i="16"/>
  <c r="O254" i="16"/>
  <c r="P254" i="16" a="1"/>
  <c r="P254" i="16"/>
  <c r="Q254" i="16" a="1"/>
  <c r="Q254" i="16"/>
  <c r="R254" i="16" a="1"/>
  <c r="R254" i="16"/>
  <c r="S254" i="16" a="1"/>
  <c r="S254" i="16"/>
  <c r="T254" i="16" a="1"/>
  <c r="T254" i="16"/>
  <c r="O255" i="16"/>
  <c r="P255" i="16" a="1"/>
  <c r="P255" i="16"/>
  <c r="Q255" i="16" a="1"/>
  <c r="Q255" i="16"/>
  <c r="R255" i="16" a="1"/>
  <c r="R255" i="16"/>
  <c r="S255" i="16" a="1"/>
  <c r="S255" i="16"/>
  <c r="T255" i="16" a="1"/>
  <c r="T255" i="16"/>
  <c r="O256" i="16"/>
  <c r="P256" i="16" a="1"/>
  <c r="P256" i="16"/>
  <c r="Q256" i="16" a="1"/>
  <c r="Q256" i="16"/>
  <c r="R256" i="16" a="1"/>
  <c r="R256" i="16"/>
  <c r="S256" i="16" a="1"/>
  <c r="S256" i="16"/>
  <c r="T256" i="16" a="1"/>
  <c r="T256" i="16"/>
  <c r="O257" i="16"/>
  <c r="P257" i="16" a="1"/>
  <c r="P257" i="16"/>
  <c r="Q257" i="16" a="1"/>
  <c r="Q257" i="16"/>
  <c r="R257" i="16" a="1"/>
  <c r="R257" i="16"/>
  <c r="S257" i="16" a="1"/>
  <c r="S257" i="16"/>
  <c r="T257" i="16" a="1"/>
  <c r="T257" i="16"/>
  <c r="O258" i="16"/>
  <c r="P258" i="16" a="1"/>
  <c r="P258" i="16"/>
  <c r="Q258" i="16" a="1"/>
  <c r="Q258" i="16"/>
  <c r="R258" i="16" a="1"/>
  <c r="R258" i="16"/>
  <c r="S258" i="16" a="1"/>
  <c r="S258" i="16"/>
  <c r="T258" i="16" a="1"/>
  <c r="T258" i="16"/>
  <c r="O259" i="16"/>
  <c r="P259" i="16" a="1"/>
  <c r="P259" i="16"/>
  <c r="Q259" i="16" a="1"/>
  <c r="Q259" i="16"/>
  <c r="R259" i="16" a="1"/>
  <c r="R259" i="16"/>
  <c r="S259" i="16" a="1"/>
  <c r="S259" i="16"/>
  <c r="T259" i="16" a="1"/>
  <c r="T259" i="16"/>
  <c r="O260" i="16"/>
  <c r="P260" i="16" a="1"/>
  <c r="P260" i="16"/>
  <c r="Q260" i="16" a="1"/>
  <c r="Q260" i="16"/>
  <c r="R260" i="16" a="1"/>
  <c r="R260" i="16"/>
  <c r="S260" i="16" a="1"/>
  <c r="S260" i="16"/>
  <c r="T260" i="16" a="1"/>
  <c r="T260" i="16"/>
  <c r="O261" i="16"/>
  <c r="P261" i="16" a="1"/>
  <c r="P261" i="16"/>
  <c r="Q261" i="16" a="1"/>
  <c r="Q261" i="16"/>
  <c r="R261" i="16" a="1"/>
  <c r="R261" i="16"/>
  <c r="S261" i="16" a="1"/>
  <c r="S261" i="16"/>
  <c r="T261" i="16" a="1"/>
  <c r="T261" i="16"/>
  <c r="O262" i="16"/>
  <c r="P262" i="16" a="1"/>
  <c r="P262" i="16"/>
  <c r="Q262" i="16" a="1"/>
  <c r="Q262" i="16"/>
  <c r="R262" i="16" a="1"/>
  <c r="R262" i="16"/>
  <c r="S262" i="16" a="1"/>
  <c r="S262" i="16"/>
  <c r="T262" i="16" a="1"/>
  <c r="T262" i="16"/>
  <c r="O263" i="16"/>
  <c r="P263" i="16" a="1"/>
  <c r="P263" i="16"/>
  <c r="Q263" i="16" a="1"/>
  <c r="Q263" i="16"/>
  <c r="R263" i="16" a="1"/>
  <c r="R263" i="16"/>
  <c r="S263" i="16" a="1"/>
  <c r="S263" i="16"/>
  <c r="T263" i="16" a="1"/>
  <c r="T263" i="16"/>
  <c r="O264" i="16"/>
  <c r="P264" i="16" a="1"/>
  <c r="P264" i="16"/>
  <c r="Q264" i="16" a="1"/>
  <c r="Q264" i="16"/>
  <c r="R264" i="16" a="1"/>
  <c r="R264" i="16"/>
  <c r="S264" i="16" a="1"/>
  <c r="S264" i="16"/>
  <c r="T264" i="16" a="1"/>
  <c r="T264" i="16"/>
  <c r="O265" i="16"/>
  <c r="P265" i="16" a="1"/>
  <c r="P265" i="16"/>
  <c r="Q265" i="16" a="1"/>
  <c r="Q265" i="16"/>
  <c r="R265" i="16" a="1"/>
  <c r="R265" i="16"/>
  <c r="S265" i="16" a="1"/>
  <c r="S265" i="16"/>
  <c r="T265" i="16" a="1"/>
  <c r="T265" i="16"/>
  <c r="O266" i="16"/>
  <c r="P266" i="16" a="1"/>
  <c r="P266" i="16"/>
  <c r="Q266" i="16" a="1"/>
  <c r="Q266" i="16"/>
  <c r="R266" i="16" a="1"/>
  <c r="R266" i="16"/>
  <c r="S266" i="16" a="1"/>
  <c r="S266" i="16"/>
  <c r="T266" i="16" a="1"/>
  <c r="T266" i="16"/>
  <c r="O267" i="16"/>
  <c r="P267" i="16" a="1"/>
  <c r="P267" i="16"/>
  <c r="Q267" i="16" a="1"/>
  <c r="Q267" i="16"/>
  <c r="R267" i="16" a="1"/>
  <c r="R267" i="16"/>
  <c r="S267" i="16" a="1"/>
  <c r="S267" i="16"/>
  <c r="T267" i="16" a="1"/>
  <c r="T267" i="16"/>
  <c r="O268" i="16"/>
  <c r="P268" i="16" a="1"/>
  <c r="P268" i="16"/>
  <c r="Q268" i="16" a="1"/>
  <c r="Q268" i="16"/>
  <c r="R268" i="16" a="1"/>
  <c r="R268" i="16"/>
  <c r="S268" i="16" a="1"/>
  <c r="S268" i="16"/>
  <c r="T268" i="16" a="1"/>
  <c r="T268" i="16"/>
  <c r="O269" i="16"/>
  <c r="P269" i="16" a="1"/>
  <c r="P269" i="16"/>
  <c r="Q269" i="16" a="1"/>
  <c r="Q269" i="16"/>
  <c r="R269" i="16" a="1"/>
  <c r="R269" i="16"/>
  <c r="S269" i="16" a="1"/>
  <c r="S269" i="16"/>
  <c r="T269" i="16" a="1"/>
  <c r="T269" i="16"/>
  <c r="O270" i="16"/>
  <c r="P270" i="16" a="1"/>
  <c r="P270" i="16"/>
  <c r="Q270" i="16" a="1"/>
  <c r="Q270" i="16"/>
  <c r="R270" i="16" a="1"/>
  <c r="R270" i="16"/>
  <c r="S270" i="16" a="1"/>
  <c r="S270" i="16"/>
  <c r="T270" i="16" a="1"/>
  <c r="T270" i="16"/>
  <c r="O271" i="16"/>
  <c r="P271" i="16" a="1"/>
  <c r="P271" i="16"/>
  <c r="Q271" i="16" a="1"/>
  <c r="Q271" i="16"/>
  <c r="R271" i="16" a="1"/>
  <c r="R271" i="16"/>
  <c r="S271" i="16" a="1"/>
  <c r="S271" i="16"/>
  <c r="T271" i="16" a="1"/>
  <c r="T271" i="16"/>
  <c r="O272" i="16"/>
  <c r="P272" i="16" a="1"/>
  <c r="P272" i="16"/>
  <c r="Q272" i="16" a="1"/>
  <c r="Q272" i="16"/>
  <c r="R272" i="16" a="1"/>
  <c r="R272" i="16"/>
  <c r="S272" i="16" a="1"/>
  <c r="S272" i="16"/>
  <c r="T272" i="16" a="1"/>
  <c r="T272" i="16"/>
  <c r="O273" i="16"/>
  <c r="P273" i="16" a="1"/>
  <c r="P273" i="16"/>
  <c r="Q273" i="16" a="1"/>
  <c r="Q273" i="16"/>
  <c r="R273" i="16" a="1"/>
  <c r="R273" i="16"/>
  <c r="S273" i="16" a="1"/>
  <c r="S273" i="16"/>
  <c r="T273" i="16" a="1"/>
  <c r="T273" i="16"/>
  <c r="O274" i="16"/>
  <c r="P274" i="16" a="1"/>
  <c r="P274" i="16"/>
  <c r="Q274" i="16" a="1"/>
  <c r="Q274" i="16"/>
  <c r="R274" i="16" a="1"/>
  <c r="R274" i="16"/>
  <c r="S274" i="16" a="1"/>
  <c r="S274" i="16"/>
  <c r="T274" i="16" a="1"/>
  <c r="T274" i="16"/>
  <c r="O275" i="16"/>
  <c r="P275" i="16" a="1"/>
  <c r="P275" i="16"/>
  <c r="Q275" i="16" a="1"/>
  <c r="Q275" i="16"/>
  <c r="R275" i="16" a="1"/>
  <c r="R275" i="16"/>
  <c r="S275" i="16" a="1"/>
  <c r="S275" i="16"/>
  <c r="T275" i="16" a="1"/>
  <c r="T275" i="16"/>
  <c r="O276" i="16"/>
  <c r="P276" i="16" a="1"/>
  <c r="P276" i="16"/>
  <c r="Q276" i="16" a="1"/>
  <c r="Q276" i="16"/>
  <c r="R276" i="16" a="1"/>
  <c r="R276" i="16"/>
  <c r="S276" i="16" a="1"/>
  <c r="S276" i="16"/>
  <c r="T276" i="16" a="1"/>
  <c r="T276" i="16"/>
  <c r="O277" i="16"/>
  <c r="P277" i="16" a="1"/>
  <c r="P277" i="16"/>
  <c r="Q277" i="16" a="1"/>
  <c r="Q277" i="16"/>
  <c r="R277" i="16" a="1"/>
  <c r="R277" i="16"/>
  <c r="S277" i="16" a="1"/>
  <c r="S277" i="16"/>
  <c r="T277" i="16" a="1"/>
  <c r="T277" i="16"/>
  <c r="O278" i="16"/>
  <c r="P278" i="16" a="1"/>
  <c r="P278" i="16"/>
  <c r="Q278" i="16" a="1"/>
  <c r="Q278" i="16"/>
  <c r="R278" i="16" a="1"/>
  <c r="R278" i="16"/>
  <c r="S278" i="16" a="1"/>
  <c r="S278" i="16"/>
  <c r="T278" i="16" a="1"/>
  <c r="T278" i="16"/>
  <c r="O279" i="16"/>
  <c r="P279" i="16" a="1"/>
  <c r="P279" i="16"/>
  <c r="Q279" i="16" a="1"/>
  <c r="Q279" i="16"/>
  <c r="R279" i="16" a="1"/>
  <c r="R279" i="16"/>
  <c r="S279" i="16" a="1"/>
  <c r="S279" i="16"/>
  <c r="T279" i="16" a="1"/>
  <c r="T279" i="16"/>
  <c r="O280" i="16"/>
  <c r="P280" i="16" a="1"/>
  <c r="P280" i="16"/>
  <c r="Q280" i="16" a="1"/>
  <c r="Q280" i="16"/>
  <c r="R280" i="16" a="1"/>
  <c r="R280" i="16"/>
  <c r="S280" i="16" a="1"/>
  <c r="S280" i="16"/>
  <c r="T280" i="16" a="1"/>
  <c r="T280" i="16"/>
  <c r="O281" i="16"/>
  <c r="P281" i="16" a="1"/>
  <c r="P281" i="16"/>
  <c r="Q281" i="16" a="1"/>
  <c r="Q281" i="16"/>
  <c r="R281" i="16" a="1"/>
  <c r="R281" i="16"/>
  <c r="S281" i="16" a="1"/>
  <c r="S281" i="16"/>
  <c r="T281" i="16" a="1"/>
  <c r="T281" i="16"/>
  <c r="O282" i="16"/>
  <c r="P282" i="16" a="1"/>
  <c r="P282" i="16"/>
  <c r="Q282" i="16" a="1"/>
  <c r="Q282" i="16"/>
  <c r="R282" i="16" a="1"/>
  <c r="R282" i="16"/>
  <c r="S282" i="16" a="1"/>
  <c r="S282" i="16"/>
  <c r="T282" i="16" a="1"/>
  <c r="T282" i="16"/>
  <c r="O283" i="16"/>
  <c r="P283" i="16" a="1"/>
  <c r="P283" i="16"/>
  <c r="Q283" i="16" a="1"/>
  <c r="Q283" i="16"/>
  <c r="R283" i="16" a="1"/>
  <c r="R283" i="16"/>
  <c r="S283" i="16" a="1"/>
  <c r="S283" i="16"/>
  <c r="T283" i="16" a="1"/>
  <c r="T283" i="16"/>
  <c r="O284" i="16"/>
  <c r="P284" i="16" a="1"/>
  <c r="P284" i="16"/>
  <c r="Q284" i="16" a="1"/>
  <c r="Q284" i="16"/>
  <c r="R284" i="16" a="1"/>
  <c r="R284" i="16"/>
  <c r="S284" i="16" a="1"/>
  <c r="S284" i="16"/>
  <c r="T284" i="16" a="1"/>
  <c r="T284" i="16"/>
  <c r="O285" i="16"/>
  <c r="P285" i="16" a="1"/>
  <c r="P285" i="16"/>
  <c r="Q285" i="16" a="1"/>
  <c r="Q285" i="16"/>
  <c r="R285" i="16" a="1"/>
  <c r="R285" i="16"/>
  <c r="S285" i="16" a="1"/>
  <c r="S285" i="16"/>
  <c r="T285" i="16" a="1"/>
  <c r="T285" i="16"/>
  <c r="O286" i="16"/>
  <c r="P286" i="16" a="1"/>
  <c r="P286" i="16"/>
  <c r="Q286" i="16" a="1"/>
  <c r="Q286" i="16"/>
  <c r="R286" i="16" a="1"/>
  <c r="R286" i="16"/>
  <c r="S286" i="16" a="1"/>
  <c r="S286" i="16"/>
  <c r="T286" i="16" a="1"/>
  <c r="T286" i="16"/>
  <c r="O287" i="16"/>
  <c r="P287" i="16" a="1"/>
  <c r="P287" i="16"/>
  <c r="Q287" i="16" a="1"/>
  <c r="Q287" i="16"/>
  <c r="R287" i="16" a="1"/>
  <c r="R287" i="16"/>
  <c r="S287" i="16" a="1"/>
  <c r="S287" i="16"/>
  <c r="T287" i="16" a="1"/>
  <c r="T287" i="16"/>
  <c r="O288" i="16"/>
  <c r="P288" i="16" a="1"/>
  <c r="P288" i="16"/>
  <c r="Q288" i="16" a="1"/>
  <c r="Q288" i="16"/>
  <c r="R288" i="16" a="1"/>
  <c r="R288" i="16"/>
  <c r="S288" i="16" a="1"/>
  <c r="S288" i="16"/>
  <c r="T288" i="16" a="1"/>
  <c r="T288" i="16"/>
  <c r="O289" i="16"/>
  <c r="P289" i="16" a="1"/>
  <c r="P289" i="16"/>
  <c r="Q289" i="16" a="1"/>
  <c r="Q289" i="16"/>
  <c r="R289" i="16" a="1"/>
  <c r="R289" i="16"/>
  <c r="S289" i="16" a="1"/>
  <c r="S289" i="16"/>
  <c r="T289" i="16" a="1"/>
  <c r="T289" i="16"/>
  <c r="O290" i="16"/>
  <c r="P290" i="16" a="1"/>
  <c r="P290" i="16"/>
  <c r="Q290" i="16" a="1"/>
  <c r="Q290" i="16"/>
  <c r="R290" i="16" a="1"/>
  <c r="R290" i="16"/>
  <c r="S290" i="16" a="1"/>
  <c r="S290" i="16"/>
  <c r="T290" i="16" a="1"/>
  <c r="T290" i="16"/>
  <c r="O291" i="16"/>
  <c r="P291" i="16" a="1"/>
  <c r="P291" i="16"/>
  <c r="Q291" i="16" a="1"/>
  <c r="Q291" i="16"/>
  <c r="R291" i="16" a="1"/>
  <c r="R291" i="16"/>
  <c r="S291" i="16" a="1"/>
  <c r="S291" i="16"/>
  <c r="T291" i="16" a="1"/>
  <c r="T291" i="16"/>
  <c r="O292" i="16"/>
  <c r="P292" i="16" a="1"/>
  <c r="P292" i="16"/>
  <c r="Q292" i="16" a="1"/>
  <c r="Q292" i="16"/>
  <c r="R292" i="16" a="1"/>
  <c r="R292" i="16"/>
  <c r="S292" i="16" a="1"/>
  <c r="S292" i="16"/>
  <c r="T292" i="16" a="1"/>
  <c r="T292" i="16"/>
  <c r="O293" i="16"/>
  <c r="P293" i="16" a="1"/>
  <c r="P293" i="16"/>
  <c r="Q293" i="16" a="1"/>
  <c r="Q293" i="16"/>
  <c r="R293" i="16" a="1"/>
  <c r="R293" i="16"/>
  <c r="S293" i="16" a="1"/>
  <c r="S293" i="16"/>
  <c r="T293" i="16" a="1"/>
  <c r="T293" i="16"/>
  <c r="O294" i="16"/>
  <c r="P294" i="16" a="1"/>
  <c r="P294" i="16"/>
  <c r="Q294" i="16" a="1"/>
  <c r="Q294" i="16"/>
  <c r="R294" i="16" a="1"/>
  <c r="R294" i="16"/>
  <c r="S294" i="16" a="1"/>
  <c r="S294" i="16"/>
  <c r="T294" i="16" a="1"/>
  <c r="T294" i="16"/>
  <c r="O295" i="16"/>
  <c r="P295" i="16" a="1"/>
  <c r="P295" i="16"/>
  <c r="Q295" i="16" a="1"/>
  <c r="Q295" i="16"/>
  <c r="R295" i="16" a="1"/>
  <c r="R295" i="16"/>
  <c r="S295" i="16" a="1"/>
  <c r="S295" i="16"/>
  <c r="T295" i="16" a="1"/>
  <c r="T295" i="16"/>
  <c r="O296" i="16"/>
  <c r="P296" i="16" a="1"/>
  <c r="P296" i="16"/>
  <c r="Q296" i="16" a="1"/>
  <c r="Q296" i="16"/>
  <c r="R296" i="16" a="1"/>
  <c r="R296" i="16"/>
  <c r="S296" i="16" a="1"/>
  <c r="S296" i="16"/>
  <c r="T296" i="16" a="1"/>
  <c r="T296" i="16"/>
  <c r="O297" i="16"/>
  <c r="P297" i="16" a="1"/>
  <c r="P297" i="16"/>
  <c r="Q297" i="16" a="1"/>
  <c r="Q297" i="16"/>
  <c r="R297" i="16" a="1"/>
  <c r="R297" i="16"/>
  <c r="S297" i="16" a="1"/>
  <c r="S297" i="16"/>
  <c r="T297" i="16" a="1"/>
  <c r="T297" i="16"/>
  <c r="O298" i="16"/>
  <c r="P298" i="16" a="1"/>
  <c r="P298" i="16"/>
  <c r="Q298" i="16" a="1"/>
  <c r="Q298" i="16"/>
  <c r="R298" i="16" a="1"/>
  <c r="R298" i="16"/>
  <c r="S298" i="16" a="1"/>
  <c r="S298" i="16"/>
  <c r="T298" i="16" a="1"/>
  <c r="T298" i="16"/>
  <c r="O299" i="16"/>
  <c r="P299" i="16" a="1"/>
  <c r="P299" i="16"/>
  <c r="Q299" i="16" a="1"/>
  <c r="Q299" i="16"/>
  <c r="R299" i="16" a="1"/>
  <c r="R299" i="16"/>
  <c r="S299" i="16" a="1"/>
  <c r="S299" i="16"/>
  <c r="T299" i="16" a="1"/>
  <c r="T299" i="16"/>
  <c r="O300" i="16"/>
  <c r="P300" i="16" a="1"/>
  <c r="P300" i="16"/>
  <c r="Q300" i="16" a="1"/>
  <c r="Q300" i="16"/>
  <c r="R300" i="16" a="1"/>
  <c r="R300" i="16"/>
  <c r="S300" i="16" a="1"/>
  <c r="S300" i="16"/>
  <c r="T300" i="16" a="1"/>
  <c r="T300" i="16"/>
  <c r="O301" i="16"/>
  <c r="P301" i="16" a="1"/>
  <c r="P301" i="16"/>
  <c r="Q301" i="16" a="1"/>
  <c r="Q301" i="16"/>
  <c r="R301" i="16" a="1"/>
  <c r="R301" i="16"/>
  <c r="S301" i="16" a="1"/>
  <c r="S301" i="16"/>
  <c r="T301" i="16" a="1"/>
  <c r="T301" i="16"/>
  <c r="O302" i="16"/>
  <c r="P302" i="16" a="1"/>
  <c r="P302" i="16"/>
  <c r="Q302" i="16" a="1"/>
  <c r="Q302" i="16"/>
  <c r="R302" i="16" a="1"/>
  <c r="R302" i="16"/>
  <c r="S302" i="16" a="1"/>
  <c r="S302" i="16"/>
  <c r="T302" i="16" a="1"/>
  <c r="T302" i="16"/>
  <c r="O303" i="16"/>
  <c r="P303" i="16" a="1"/>
  <c r="P303" i="16"/>
  <c r="Q303" i="16" a="1"/>
  <c r="Q303" i="16"/>
  <c r="R303" i="16" a="1"/>
  <c r="R303" i="16"/>
  <c r="S303" i="16" a="1"/>
  <c r="S303" i="16"/>
  <c r="T303" i="16" a="1"/>
  <c r="T303" i="16"/>
  <c r="O304" i="16"/>
  <c r="P304" i="16" a="1"/>
  <c r="P304" i="16"/>
  <c r="Q304" i="16" a="1"/>
  <c r="Q304" i="16"/>
  <c r="R304" i="16" a="1"/>
  <c r="R304" i="16"/>
  <c r="S304" i="16" a="1"/>
  <c r="S304" i="16"/>
  <c r="T304" i="16" a="1"/>
  <c r="T304" i="16"/>
  <c r="O305" i="16"/>
  <c r="P305" i="16" a="1"/>
  <c r="P305" i="16"/>
  <c r="Q305" i="16" a="1"/>
  <c r="Q305" i="16"/>
  <c r="R305" i="16" a="1"/>
  <c r="R305" i="16"/>
  <c r="S305" i="16" a="1"/>
  <c r="S305" i="16"/>
  <c r="T305" i="16" a="1"/>
  <c r="T305" i="16"/>
  <c r="O306" i="16"/>
  <c r="P306" i="16" a="1"/>
  <c r="P306" i="16"/>
  <c r="Q306" i="16" a="1"/>
  <c r="Q306" i="16"/>
  <c r="R306" i="16" a="1"/>
  <c r="R306" i="16"/>
  <c r="S306" i="16" a="1"/>
  <c r="S306" i="16"/>
  <c r="T306" i="16" a="1"/>
  <c r="T306" i="16"/>
  <c r="O307" i="16"/>
  <c r="P307" i="16" a="1"/>
  <c r="P307" i="16"/>
  <c r="Q307" i="16" a="1"/>
  <c r="Q307" i="16"/>
  <c r="R307" i="16" a="1"/>
  <c r="R307" i="16"/>
  <c r="S307" i="16" a="1"/>
  <c r="S307" i="16"/>
  <c r="T307" i="16" a="1"/>
  <c r="T307" i="16"/>
  <c r="O308" i="16"/>
  <c r="P308" i="16" a="1"/>
  <c r="P308" i="16"/>
  <c r="Q308" i="16" a="1"/>
  <c r="Q308" i="16"/>
  <c r="R308" i="16" a="1"/>
  <c r="R308" i="16"/>
  <c r="S308" i="16" a="1"/>
  <c r="S308" i="16"/>
  <c r="T308" i="16" a="1"/>
  <c r="T308" i="16"/>
  <c r="O309" i="16"/>
  <c r="P309" i="16" a="1"/>
  <c r="P309" i="16"/>
  <c r="Q309" i="16" a="1"/>
  <c r="Q309" i="16"/>
  <c r="R309" i="16" a="1"/>
  <c r="R309" i="16"/>
  <c r="S309" i="16" a="1"/>
  <c r="S309" i="16"/>
  <c r="T309" i="16" a="1"/>
  <c r="T309" i="16"/>
  <c r="O310" i="16"/>
  <c r="P310" i="16" a="1"/>
  <c r="P310" i="16"/>
  <c r="Q310" i="16" a="1"/>
  <c r="Q310" i="16"/>
  <c r="R310" i="16" a="1"/>
  <c r="R310" i="16"/>
  <c r="S310" i="16" a="1"/>
  <c r="S310" i="16"/>
  <c r="T310" i="16" a="1"/>
  <c r="T310" i="16"/>
  <c r="O311" i="16"/>
  <c r="P311" i="16" a="1"/>
  <c r="P311" i="16"/>
  <c r="Q311" i="16" a="1"/>
  <c r="Q311" i="16"/>
  <c r="R311" i="16" a="1"/>
  <c r="R311" i="16"/>
  <c r="S311" i="16" a="1"/>
  <c r="S311" i="16"/>
  <c r="T311" i="16" a="1"/>
  <c r="T311" i="16"/>
  <c r="O312" i="16"/>
  <c r="P312" i="16" a="1"/>
  <c r="P312" i="16"/>
  <c r="Q312" i="16" a="1"/>
  <c r="Q312" i="16"/>
  <c r="R312" i="16" a="1"/>
  <c r="R312" i="16"/>
  <c r="S312" i="16" a="1"/>
  <c r="S312" i="16"/>
  <c r="T312" i="16" a="1"/>
  <c r="T312" i="16"/>
  <c r="O313" i="16"/>
  <c r="P313" i="16" a="1"/>
  <c r="P313" i="16"/>
  <c r="Q313" i="16" a="1"/>
  <c r="Q313" i="16"/>
  <c r="R313" i="16" a="1"/>
  <c r="R313" i="16"/>
  <c r="S313" i="16" a="1"/>
  <c r="S313" i="16"/>
  <c r="T313" i="16" a="1"/>
  <c r="T313" i="16"/>
  <c r="F14" i="16"/>
  <c r="G14" i="16"/>
  <c r="H14" i="16"/>
  <c r="F15" i="16"/>
  <c r="G15" i="16"/>
  <c r="H15" i="16"/>
  <c r="F16" i="16"/>
  <c r="G16" i="16"/>
  <c r="H16" i="16"/>
  <c r="F17" i="16"/>
  <c r="G17" i="16"/>
  <c r="H17" i="16"/>
  <c r="F18" i="16"/>
  <c r="G18" i="16"/>
  <c r="H18" i="16"/>
  <c r="F19" i="16"/>
  <c r="G19" i="16"/>
  <c r="H1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F31" i="16"/>
  <c r="G31" i="16"/>
  <c r="H31" i="16"/>
  <c r="F32" i="16"/>
  <c r="G32" i="16"/>
  <c r="H32" i="16"/>
  <c r="F33" i="16"/>
  <c r="G33" i="16"/>
  <c r="H33" i="16"/>
  <c r="F34" i="16"/>
  <c r="G34" i="16"/>
  <c r="H34" i="16"/>
  <c r="F35" i="16"/>
  <c r="G35" i="16"/>
  <c r="H35" i="16"/>
  <c r="F36" i="16"/>
  <c r="G36" i="16"/>
  <c r="H36" i="16"/>
  <c r="F37" i="16"/>
  <c r="G37" i="16"/>
  <c r="H37" i="16"/>
  <c r="F38" i="16"/>
  <c r="G38" i="16"/>
  <c r="H38" i="16"/>
  <c r="F39" i="16"/>
  <c r="G39" i="16"/>
  <c r="H39" i="16"/>
  <c r="F40" i="16"/>
  <c r="G40" i="16"/>
  <c r="H40" i="16"/>
  <c r="F41" i="16"/>
  <c r="G41" i="16"/>
  <c r="H41" i="16"/>
  <c r="F42" i="16"/>
  <c r="G42" i="16"/>
  <c r="H42" i="16"/>
  <c r="F43" i="16"/>
  <c r="G43" i="16"/>
  <c r="H43" i="16"/>
  <c r="F44" i="16"/>
  <c r="G44" i="16"/>
  <c r="H44" i="16"/>
  <c r="F45" i="16"/>
  <c r="G45" i="16"/>
  <c r="H45" i="16"/>
  <c r="F46" i="16"/>
  <c r="G46" i="16"/>
  <c r="H46" i="16"/>
  <c r="F47" i="16"/>
  <c r="G47" i="16"/>
  <c r="H47" i="16"/>
  <c r="F48" i="16"/>
  <c r="G48" i="16"/>
  <c r="H48" i="16"/>
  <c r="F49" i="16"/>
  <c r="G49" i="16"/>
  <c r="H49" i="16"/>
  <c r="F50" i="16"/>
  <c r="G50" i="16"/>
  <c r="H50" i="16"/>
  <c r="F51" i="16"/>
  <c r="G51" i="16"/>
  <c r="H51" i="16"/>
  <c r="F52" i="16"/>
  <c r="G52" i="16"/>
  <c r="H52" i="16"/>
  <c r="F53" i="16"/>
  <c r="G53" i="16"/>
  <c r="H53" i="16"/>
  <c r="F54" i="16"/>
  <c r="G54" i="16"/>
  <c r="H54" i="16"/>
  <c r="F55" i="16"/>
  <c r="G55" i="16"/>
  <c r="H55" i="16"/>
  <c r="F56" i="16"/>
  <c r="G56" i="16"/>
  <c r="H56" i="16"/>
  <c r="F57" i="16"/>
  <c r="G57" i="16"/>
  <c r="H57" i="16"/>
  <c r="F58" i="16"/>
  <c r="G58" i="16"/>
  <c r="H58" i="16"/>
  <c r="F59" i="16"/>
  <c r="G59" i="16"/>
  <c r="H59" i="16"/>
  <c r="F60" i="16"/>
  <c r="G60" i="16"/>
  <c r="H60" i="16"/>
  <c r="F61" i="16"/>
  <c r="G61" i="16"/>
  <c r="H61" i="16"/>
  <c r="F62" i="16"/>
  <c r="G62" i="16"/>
  <c r="H62" i="16"/>
  <c r="F63" i="16"/>
  <c r="G63" i="16"/>
  <c r="H63" i="16"/>
  <c r="F64" i="16"/>
  <c r="G64" i="16"/>
  <c r="H64" i="16"/>
  <c r="F65" i="16"/>
  <c r="G65" i="16"/>
  <c r="H65" i="16"/>
  <c r="F66" i="16"/>
  <c r="G66" i="16"/>
  <c r="H66" i="16"/>
  <c r="F67" i="16"/>
  <c r="G67" i="16"/>
  <c r="H67" i="16"/>
  <c r="F68" i="16"/>
  <c r="G68" i="16"/>
  <c r="H68" i="16"/>
  <c r="F69" i="16"/>
  <c r="G69" i="16"/>
  <c r="H69" i="16"/>
  <c r="F70" i="16"/>
  <c r="G70" i="16"/>
  <c r="H70" i="16"/>
  <c r="F71" i="16"/>
  <c r="G71" i="16"/>
  <c r="H71" i="16"/>
  <c r="F72" i="16"/>
  <c r="G72" i="16"/>
  <c r="H72" i="16"/>
  <c r="F73" i="16"/>
  <c r="G73" i="16"/>
  <c r="H73" i="16"/>
  <c r="F74" i="16"/>
  <c r="G74" i="16"/>
  <c r="H74" i="16"/>
  <c r="F75" i="16"/>
  <c r="G75" i="16"/>
  <c r="H75" i="16"/>
  <c r="F76" i="16"/>
  <c r="G76" i="16"/>
  <c r="H76" i="16"/>
  <c r="F77" i="16"/>
  <c r="G77" i="16"/>
  <c r="H77" i="16"/>
  <c r="F78" i="16"/>
  <c r="G78" i="16"/>
  <c r="H78" i="16"/>
  <c r="F79" i="16"/>
  <c r="G79" i="16"/>
  <c r="H79" i="16"/>
  <c r="F80" i="16"/>
  <c r="G80" i="16"/>
  <c r="H80" i="16"/>
  <c r="F81" i="16"/>
  <c r="G81" i="16"/>
  <c r="H81" i="16"/>
  <c r="F82" i="16"/>
  <c r="G82" i="16"/>
  <c r="H82" i="16"/>
  <c r="F83" i="16"/>
  <c r="G83" i="16"/>
  <c r="H83" i="16"/>
  <c r="F84" i="16"/>
  <c r="G84" i="16"/>
  <c r="H84" i="16"/>
  <c r="F85" i="16"/>
  <c r="G85" i="16"/>
  <c r="H85" i="16"/>
  <c r="F86" i="16"/>
  <c r="G86" i="16"/>
  <c r="H86" i="16"/>
  <c r="F87" i="16"/>
  <c r="G87" i="16"/>
  <c r="H87" i="16"/>
  <c r="F88" i="16"/>
  <c r="G88" i="16"/>
  <c r="H88" i="16"/>
  <c r="F89" i="16"/>
  <c r="G89" i="16"/>
  <c r="H89" i="16"/>
  <c r="F90" i="16"/>
  <c r="G90" i="16"/>
  <c r="H90" i="16"/>
  <c r="F91" i="16"/>
  <c r="G91" i="16"/>
  <c r="H91" i="16"/>
  <c r="F92" i="16"/>
  <c r="G92" i="16"/>
  <c r="H92" i="16"/>
  <c r="F93" i="16"/>
  <c r="G93" i="16"/>
  <c r="H93" i="16"/>
  <c r="F94" i="16"/>
  <c r="G94" i="16"/>
  <c r="H94" i="16"/>
  <c r="F95" i="16"/>
  <c r="G95" i="16"/>
  <c r="H95" i="16"/>
  <c r="F96" i="16"/>
  <c r="G96" i="16"/>
  <c r="H96" i="16"/>
  <c r="F97" i="16"/>
  <c r="G97" i="16"/>
  <c r="H97" i="16"/>
  <c r="F98" i="16"/>
  <c r="G98" i="16"/>
  <c r="H98" i="16"/>
  <c r="F99" i="16"/>
  <c r="G99" i="16"/>
  <c r="H99" i="16"/>
  <c r="F100" i="16"/>
  <c r="G100" i="16"/>
  <c r="H100" i="16"/>
  <c r="F101" i="16"/>
  <c r="G101" i="16"/>
  <c r="H101" i="16"/>
  <c r="F102" i="16"/>
  <c r="G102" i="16"/>
  <c r="H102" i="16"/>
  <c r="F103" i="16"/>
  <c r="G103" i="16"/>
  <c r="H103" i="16"/>
  <c r="F104" i="16"/>
  <c r="G104" i="16"/>
  <c r="H104" i="16"/>
  <c r="F105" i="16"/>
  <c r="G105" i="16"/>
  <c r="H105" i="16"/>
  <c r="F106" i="16"/>
  <c r="G106" i="16"/>
  <c r="H106" i="16"/>
  <c r="F107" i="16"/>
  <c r="G107" i="16"/>
  <c r="H107" i="16"/>
  <c r="F108" i="16"/>
  <c r="G108" i="16"/>
  <c r="H108" i="16"/>
  <c r="F109" i="16"/>
  <c r="G109" i="16"/>
  <c r="H109" i="16"/>
  <c r="F110" i="16"/>
  <c r="G110" i="16"/>
  <c r="H110" i="16"/>
  <c r="F111" i="16"/>
  <c r="G111" i="16"/>
  <c r="H111" i="16"/>
  <c r="F112" i="16"/>
  <c r="G112" i="16"/>
  <c r="H112" i="16"/>
  <c r="F113" i="16"/>
  <c r="G113" i="16"/>
  <c r="H113" i="16"/>
  <c r="F114" i="16"/>
  <c r="H114" i="16"/>
  <c r="F115" i="16"/>
  <c r="H115" i="16"/>
  <c r="F116" i="16"/>
  <c r="H116" i="16"/>
  <c r="F117" i="16"/>
  <c r="H117" i="16"/>
  <c r="F118" i="16"/>
  <c r="H118" i="16"/>
  <c r="F119" i="16"/>
  <c r="H119" i="16"/>
  <c r="F120" i="16"/>
  <c r="H120" i="16"/>
  <c r="F121" i="16"/>
  <c r="H121" i="16"/>
  <c r="F122" i="16"/>
  <c r="H122" i="16"/>
  <c r="F123" i="16"/>
  <c r="H123" i="16"/>
  <c r="F124" i="16"/>
  <c r="H124" i="16"/>
  <c r="F125" i="16"/>
  <c r="H125" i="16"/>
  <c r="F126" i="16"/>
  <c r="H126" i="16"/>
  <c r="F127" i="16"/>
  <c r="H127" i="16"/>
  <c r="F128" i="16"/>
  <c r="H128" i="16"/>
  <c r="F129" i="16"/>
  <c r="H129" i="16"/>
  <c r="F130" i="16"/>
  <c r="H130" i="16"/>
  <c r="F131" i="16"/>
  <c r="H131" i="16"/>
  <c r="F132" i="16"/>
  <c r="H132" i="16"/>
  <c r="F133" i="16"/>
  <c r="H133" i="16"/>
  <c r="F134" i="16"/>
  <c r="H134" i="16"/>
  <c r="F135" i="16"/>
  <c r="H135" i="16"/>
  <c r="F136" i="16"/>
  <c r="H136" i="16"/>
  <c r="F137" i="16"/>
  <c r="H137" i="16"/>
  <c r="F138" i="16"/>
  <c r="H138" i="16"/>
  <c r="F139" i="16"/>
  <c r="H139" i="16"/>
  <c r="F140" i="16"/>
  <c r="H140" i="16"/>
  <c r="F141" i="16"/>
  <c r="H141" i="16"/>
  <c r="F142" i="16"/>
  <c r="H142" i="16"/>
  <c r="F143" i="16"/>
  <c r="H143" i="16"/>
  <c r="F144" i="16"/>
  <c r="H144" i="16"/>
  <c r="F145" i="16"/>
  <c r="H145" i="16"/>
  <c r="F146" i="16"/>
  <c r="H146" i="16"/>
  <c r="F147" i="16"/>
  <c r="H147" i="16"/>
  <c r="F148" i="16"/>
  <c r="H148" i="16"/>
  <c r="F149" i="16"/>
  <c r="H149" i="16"/>
  <c r="F150" i="16"/>
  <c r="H150" i="16"/>
  <c r="F151" i="16"/>
  <c r="H151" i="16"/>
  <c r="F152" i="16"/>
  <c r="H152" i="16"/>
  <c r="F153" i="16"/>
  <c r="H153" i="16"/>
  <c r="F154" i="16"/>
  <c r="H154" i="16"/>
  <c r="F155" i="16"/>
  <c r="H155" i="16"/>
  <c r="F156" i="16"/>
  <c r="H156" i="16"/>
  <c r="F157" i="16"/>
  <c r="H157" i="16"/>
  <c r="F158" i="16"/>
  <c r="H158" i="16"/>
  <c r="F159" i="16"/>
  <c r="H159" i="16"/>
  <c r="F160" i="16"/>
  <c r="H160" i="16"/>
  <c r="F161" i="16"/>
  <c r="H161" i="16"/>
  <c r="F162" i="16"/>
  <c r="H162" i="16"/>
  <c r="F163" i="16"/>
  <c r="H163" i="16"/>
  <c r="F164" i="16"/>
  <c r="H164" i="16"/>
  <c r="F165" i="16"/>
  <c r="H165" i="16"/>
  <c r="F166" i="16"/>
  <c r="H166" i="16"/>
  <c r="F167" i="16"/>
  <c r="H167" i="16"/>
  <c r="F168" i="16"/>
  <c r="H168" i="16"/>
  <c r="F169" i="16"/>
  <c r="H169" i="16"/>
  <c r="F170" i="16"/>
  <c r="H170" i="16"/>
  <c r="F171" i="16"/>
  <c r="H171" i="16"/>
  <c r="F172" i="16"/>
  <c r="H172" i="16"/>
  <c r="F173" i="16"/>
  <c r="H173" i="16"/>
  <c r="F174" i="16"/>
  <c r="H174" i="16"/>
  <c r="F175" i="16"/>
  <c r="H175" i="16"/>
  <c r="F176" i="16"/>
  <c r="H176" i="16"/>
  <c r="F177" i="16"/>
  <c r="H177" i="16"/>
  <c r="F178" i="16"/>
  <c r="H178" i="16"/>
  <c r="F179" i="16"/>
  <c r="H179" i="16"/>
  <c r="F180" i="16"/>
  <c r="H180" i="16"/>
  <c r="F181" i="16"/>
  <c r="H181" i="16"/>
  <c r="F182" i="16"/>
  <c r="H182" i="16"/>
  <c r="F183" i="16"/>
  <c r="H183" i="16"/>
  <c r="F184" i="16"/>
  <c r="H184" i="16"/>
  <c r="F185" i="16"/>
  <c r="H185" i="16"/>
  <c r="F186" i="16"/>
  <c r="H186" i="16"/>
  <c r="F187" i="16"/>
  <c r="H187" i="16"/>
  <c r="F188" i="16"/>
  <c r="H188" i="16"/>
  <c r="F189" i="16"/>
  <c r="H189" i="16"/>
  <c r="F190" i="16"/>
  <c r="H190" i="16"/>
  <c r="F191" i="16"/>
  <c r="H191" i="16"/>
  <c r="F192" i="16"/>
  <c r="H192" i="16"/>
  <c r="F193" i="16"/>
  <c r="H193" i="16"/>
  <c r="F194" i="16"/>
  <c r="H194" i="16"/>
  <c r="F195" i="16"/>
  <c r="H195" i="16"/>
  <c r="F196" i="16"/>
  <c r="H196" i="16"/>
  <c r="F197" i="16"/>
  <c r="H197" i="16"/>
  <c r="F198" i="16"/>
  <c r="H198" i="16"/>
  <c r="F199" i="16"/>
  <c r="H199" i="16"/>
  <c r="F200" i="16"/>
  <c r="H200" i="16"/>
  <c r="F201" i="16"/>
  <c r="H201" i="16"/>
  <c r="F202" i="16"/>
  <c r="H202" i="16"/>
  <c r="F203" i="16"/>
  <c r="H203" i="16"/>
  <c r="F204" i="16"/>
  <c r="H204" i="16"/>
  <c r="F205" i="16"/>
  <c r="H205" i="16"/>
  <c r="F206" i="16"/>
  <c r="H206" i="16"/>
  <c r="F207" i="16"/>
  <c r="H207" i="16"/>
  <c r="F208" i="16"/>
  <c r="H208" i="16"/>
  <c r="F209" i="16"/>
  <c r="H209" i="16"/>
  <c r="F210" i="16"/>
  <c r="H210" i="16"/>
  <c r="F211" i="16"/>
  <c r="H211" i="16"/>
  <c r="F212" i="16"/>
  <c r="H212" i="16"/>
  <c r="F213" i="16"/>
  <c r="H213" i="16"/>
  <c r="F214" i="16"/>
  <c r="H214" i="16"/>
  <c r="F215" i="16"/>
  <c r="H215" i="16"/>
  <c r="F216" i="16"/>
  <c r="H216" i="16"/>
  <c r="F217" i="16"/>
  <c r="H217" i="16"/>
  <c r="F218" i="16"/>
  <c r="H218" i="16"/>
  <c r="F219" i="16"/>
  <c r="H219" i="16"/>
  <c r="F220" i="16"/>
  <c r="H220" i="16"/>
  <c r="F221" i="16"/>
  <c r="H221" i="16"/>
  <c r="F222" i="16"/>
  <c r="H222" i="16"/>
  <c r="F223" i="16"/>
  <c r="H223" i="16"/>
  <c r="F224" i="16"/>
  <c r="H224" i="16"/>
  <c r="F225" i="16"/>
  <c r="H225" i="16"/>
  <c r="F226" i="16"/>
  <c r="H226" i="16"/>
  <c r="F227" i="16"/>
  <c r="H227" i="16"/>
  <c r="F228" i="16"/>
  <c r="H228" i="16"/>
  <c r="F229" i="16"/>
  <c r="H229" i="16"/>
  <c r="F230" i="16"/>
  <c r="H230" i="16"/>
  <c r="F231" i="16"/>
  <c r="H231" i="16"/>
  <c r="F232" i="16"/>
  <c r="H232" i="16"/>
  <c r="F233" i="16"/>
  <c r="H233" i="16"/>
  <c r="F234" i="16"/>
  <c r="H234" i="16"/>
  <c r="F235" i="16"/>
  <c r="H235" i="16"/>
  <c r="F236" i="16"/>
  <c r="H236" i="16"/>
  <c r="F237" i="16"/>
  <c r="H237" i="16"/>
  <c r="F238" i="16"/>
  <c r="H238" i="16"/>
  <c r="F239" i="16"/>
  <c r="H239" i="16"/>
  <c r="F240" i="16"/>
  <c r="H240" i="16"/>
  <c r="F241" i="16"/>
  <c r="H241" i="16"/>
  <c r="F242" i="16"/>
  <c r="H242" i="16"/>
  <c r="F243" i="16"/>
  <c r="H243" i="16"/>
  <c r="F244" i="16"/>
  <c r="H244" i="16"/>
  <c r="F245" i="16"/>
  <c r="H245" i="16"/>
  <c r="F246" i="16"/>
  <c r="H246" i="16"/>
  <c r="F247" i="16"/>
  <c r="H247" i="16"/>
  <c r="F248" i="16"/>
  <c r="H248" i="16"/>
  <c r="F249" i="16"/>
  <c r="H249" i="16"/>
  <c r="F250" i="16"/>
  <c r="H250" i="16"/>
  <c r="F251" i="16"/>
  <c r="H251" i="16"/>
  <c r="F252" i="16"/>
  <c r="H252" i="16"/>
  <c r="F253" i="16"/>
  <c r="H253" i="16"/>
  <c r="F254" i="16"/>
  <c r="H254" i="16"/>
  <c r="F255" i="16"/>
  <c r="H255" i="16"/>
  <c r="F256" i="16"/>
  <c r="H256" i="16"/>
  <c r="F257" i="16"/>
  <c r="H257" i="16"/>
  <c r="F258" i="16"/>
  <c r="H258" i="16"/>
  <c r="F259" i="16"/>
  <c r="H259" i="16"/>
  <c r="F260" i="16"/>
  <c r="H260" i="16"/>
  <c r="F261" i="16"/>
  <c r="H261" i="16"/>
  <c r="F262" i="16"/>
  <c r="H262" i="16"/>
  <c r="F263" i="16"/>
  <c r="H263" i="16"/>
  <c r="F264" i="16"/>
  <c r="H264" i="16"/>
  <c r="F265" i="16"/>
  <c r="H265" i="16"/>
  <c r="F266" i="16"/>
  <c r="H266" i="16"/>
  <c r="F267" i="16"/>
  <c r="H267" i="16"/>
  <c r="F268" i="16"/>
  <c r="H268" i="16"/>
  <c r="F269" i="16"/>
  <c r="H269" i="16"/>
  <c r="F270" i="16"/>
  <c r="H270" i="16"/>
  <c r="F271" i="16"/>
  <c r="H271" i="16"/>
  <c r="F272" i="16"/>
  <c r="H272" i="16"/>
  <c r="F273" i="16"/>
  <c r="H273" i="16"/>
  <c r="F274" i="16"/>
  <c r="H274" i="16"/>
  <c r="F275" i="16"/>
  <c r="H275" i="16"/>
  <c r="F276" i="16"/>
  <c r="H276" i="16"/>
  <c r="F277" i="16"/>
  <c r="H277" i="16"/>
  <c r="F278" i="16"/>
  <c r="H278" i="16"/>
  <c r="F279" i="16"/>
  <c r="H279" i="16"/>
  <c r="F280" i="16"/>
  <c r="H280" i="16"/>
  <c r="F281" i="16"/>
  <c r="H281" i="16"/>
  <c r="F282" i="16"/>
  <c r="H282" i="16"/>
  <c r="F283" i="16"/>
  <c r="H283" i="16"/>
  <c r="F284" i="16"/>
  <c r="H284" i="16"/>
  <c r="F285" i="16"/>
  <c r="H285" i="16"/>
  <c r="F286" i="16"/>
  <c r="H286" i="16"/>
  <c r="F287" i="16"/>
  <c r="H287" i="16"/>
  <c r="F288" i="16"/>
  <c r="H288" i="16"/>
  <c r="F289" i="16"/>
  <c r="H289" i="16"/>
  <c r="F290" i="16"/>
  <c r="H290" i="16"/>
  <c r="F291" i="16"/>
  <c r="H291" i="16"/>
  <c r="F292" i="16"/>
  <c r="H292" i="16"/>
  <c r="F293" i="16"/>
  <c r="H293" i="16"/>
  <c r="F294" i="16"/>
  <c r="H294" i="16"/>
  <c r="F295" i="16"/>
  <c r="H295" i="16"/>
  <c r="F296" i="16"/>
  <c r="H296" i="16"/>
  <c r="F297" i="16"/>
  <c r="H297" i="16"/>
  <c r="F298" i="16"/>
  <c r="H298" i="16"/>
  <c r="F299" i="16"/>
  <c r="H299" i="16"/>
  <c r="F300" i="16"/>
  <c r="H300" i="16"/>
  <c r="F301" i="16"/>
  <c r="H301" i="16"/>
  <c r="F302" i="16"/>
  <c r="H302" i="16"/>
  <c r="F303" i="16"/>
  <c r="H303" i="16"/>
  <c r="F304" i="16"/>
  <c r="H304" i="16"/>
  <c r="F305" i="16"/>
  <c r="H305" i="16"/>
  <c r="F306" i="16"/>
  <c r="H306" i="16"/>
  <c r="F307" i="16"/>
  <c r="H307" i="16"/>
  <c r="F308" i="16"/>
  <c r="H308" i="16"/>
  <c r="F309" i="16"/>
  <c r="H309" i="16"/>
  <c r="F310" i="16"/>
  <c r="H310" i="16"/>
  <c r="F311" i="16"/>
  <c r="H311" i="16"/>
  <c r="F312" i="16"/>
  <c r="H312" i="16"/>
  <c r="F313" i="16"/>
  <c r="H3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G12" i="16"/>
  <c r="G11" i="16"/>
  <c r="G10" i="16"/>
  <c r="J14" i="16"/>
  <c r="K14" i="16"/>
  <c r="L14" i="16"/>
  <c r="J15" i="16"/>
  <c r="K15" i="16"/>
  <c r="L15" i="16"/>
  <c r="J16" i="16"/>
  <c r="K16" i="16"/>
  <c r="L16" i="16"/>
  <c r="J17" i="16"/>
  <c r="K17" i="16"/>
  <c r="L17" i="16"/>
  <c r="J18" i="16"/>
  <c r="K18" i="16"/>
  <c r="L18" i="16"/>
  <c r="J19" i="16"/>
  <c r="K19" i="16"/>
  <c r="L19" i="16"/>
  <c r="J20" i="16"/>
  <c r="K20" i="16"/>
  <c r="L20" i="16"/>
  <c r="J21" i="16"/>
  <c r="K21" i="16"/>
  <c r="L21" i="16"/>
  <c r="J22" i="16"/>
  <c r="K22" i="16"/>
  <c r="L22" i="16"/>
  <c r="J23" i="16"/>
  <c r="K23" i="16"/>
  <c r="L23" i="16"/>
  <c r="J24" i="16"/>
  <c r="K24" i="16"/>
  <c r="L24" i="16"/>
  <c r="J25" i="16"/>
  <c r="K25" i="16"/>
  <c r="L25" i="16"/>
  <c r="J26" i="16"/>
  <c r="K26" i="16"/>
  <c r="L26" i="16"/>
  <c r="J27" i="16"/>
  <c r="K27" i="16"/>
  <c r="L27" i="16"/>
  <c r="J28" i="16"/>
  <c r="K28" i="16"/>
  <c r="L28" i="16"/>
  <c r="J29" i="16"/>
  <c r="K29" i="16"/>
  <c r="L29" i="16"/>
  <c r="J30" i="16"/>
  <c r="K30" i="16"/>
  <c r="L30" i="16"/>
  <c r="J31" i="16"/>
  <c r="K31" i="16"/>
  <c r="L31" i="16"/>
  <c r="J32" i="16"/>
  <c r="K32" i="16"/>
  <c r="L32" i="16"/>
  <c r="J33" i="16"/>
  <c r="K33" i="16"/>
  <c r="L33" i="16"/>
  <c r="J34" i="16"/>
  <c r="K34" i="16"/>
  <c r="L34" i="16"/>
  <c r="J35" i="16"/>
  <c r="K35" i="16"/>
  <c r="L35" i="16"/>
  <c r="J36" i="16"/>
  <c r="K36" i="16"/>
  <c r="L36" i="16"/>
  <c r="J37" i="16"/>
  <c r="K37" i="16"/>
  <c r="L37" i="16"/>
  <c r="J38" i="16"/>
  <c r="K38" i="16"/>
  <c r="L38" i="16"/>
  <c r="J39" i="16"/>
  <c r="K39" i="16"/>
  <c r="L39" i="16"/>
  <c r="J40" i="16"/>
  <c r="K40" i="16"/>
  <c r="L40" i="16"/>
  <c r="J41" i="16"/>
  <c r="K41" i="16"/>
  <c r="L41" i="16"/>
  <c r="J42" i="16"/>
  <c r="K42" i="16"/>
  <c r="L42" i="16"/>
  <c r="J43" i="16"/>
  <c r="K43" i="16"/>
  <c r="L43" i="16"/>
  <c r="J44" i="16"/>
  <c r="K44" i="16"/>
  <c r="L44" i="16"/>
  <c r="J45" i="16"/>
  <c r="K45" i="16"/>
  <c r="L45" i="16"/>
  <c r="J46" i="16"/>
  <c r="K46" i="16"/>
  <c r="L46" i="16"/>
  <c r="J47" i="16"/>
  <c r="K47" i="16"/>
  <c r="L47" i="16"/>
  <c r="J48" i="16"/>
  <c r="K48" i="16"/>
  <c r="L48" i="16"/>
  <c r="J49" i="16"/>
  <c r="K49" i="16"/>
  <c r="L49" i="16"/>
  <c r="J50" i="16"/>
  <c r="K50" i="16"/>
  <c r="L50" i="16"/>
  <c r="J51" i="16"/>
  <c r="K51" i="16"/>
  <c r="L51" i="16"/>
  <c r="J52" i="16"/>
  <c r="K52" i="16"/>
  <c r="L52" i="16"/>
  <c r="J53" i="16"/>
  <c r="K53" i="16"/>
  <c r="L53" i="16"/>
  <c r="J54" i="16"/>
  <c r="K54" i="16"/>
  <c r="L54" i="16"/>
  <c r="J55" i="16"/>
  <c r="K55" i="16"/>
  <c r="L55" i="16"/>
  <c r="J56" i="16"/>
  <c r="K56" i="16"/>
  <c r="L56" i="16"/>
  <c r="J57" i="16"/>
  <c r="K57" i="16"/>
  <c r="L57" i="16"/>
  <c r="J58" i="16"/>
  <c r="K58" i="16"/>
  <c r="L58" i="16"/>
  <c r="J59" i="16"/>
  <c r="K59" i="16"/>
  <c r="L59" i="16"/>
  <c r="J60" i="16"/>
  <c r="K60" i="16"/>
  <c r="L60" i="16"/>
  <c r="J61" i="16"/>
  <c r="K61" i="16"/>
  <c r="L61" i="16"/>
  <c r="J62" i="16"/>
  <c r="K62" i="16"/>
  <c r="L62" i="16"/>
  <c r="J63" i="16"/>
  <c r="K63" i="16"/>
  <c r="L63" i="16"/>
  <c r="J64" i="16"/>
  <c r="K64" i="16"/>
  <c r="L64" i="16"/>
  <c r="J65" i="16"/>
  <c r="K65" i="16"/>
  <c r="L65" i="16"/>
  <c r="J66" i="16"/>
  <c r="K66" i="16"/>
  <c r="L66" i="16"/>
  <c r="J67" i="16"/>
  <c r="K67" i="16"/>
  <c r="L67" i="16"/>
  <c r="J68" i="16"/>
  <c r="K68" i="16"/>
  <c r="L68" i="16"/>
  <c r="J69" i="16"/>
  <c r="K69" i="16"/>
  <c r="L69" i="16"/>
  <c r="J70" i="16"/>
  <c r="K70" i="16"/>
  <c r="L70" i="16"/>
  <c r="J71" i="16"/>
  <c r="K71" i="16"/>
  <c r="L71" i="16"/>
  <c r="J72" i="16"/>
  <c r="K72" i="16"/>
  <c r="L72" i="16"/>
  <c r="J73" i="16"/>
  <c r="K73" i="16"/>
  <c r="L73" i="16"/>
  <c r="J74" i="16"/>
  <c r="K74" i="16"/>
  <c r="L74" i="16"/>
  <c r="J75" i="16"/>
  <c r="K75" i="16"/>
  <c r="L75" i="16"/>
  <c r="J76" i="16"/>
  <c r="K76" i="16"/>
  <c r="L76" i="16"/>
  <c r="J77" i="16"/>
  <c r="K77" i="16"/>
  <c r="L77" i="16"/>
  <c r="J78" i="16"/>
  <c r="K78" i="16"/>
  <c r="L78" i="16"/>
  <c r="J79" i="16"/>
  <c r="K79" i="16"/>
  <c r="L79" i="16"/>
  <c r="J80" i="16"/>
  <c r="K80" i="16"/>
  <c r="L80" i="16"/>
  <c r="J81" i="16"/>
  <c r="K81" i="16"/>
  <c r="L81" i="16"/>
  <c r="J82" i="16"/>
  <c r="K82" i="16"/>
  <c r="L82" i="16"/>
  <c r="J83" i="16"/>
  <c r="K83" i="16"/>
  <c r="L83" i="16"/>
  <c r="J84" i="16"/>
  <c r="K84" i="16"/>
  <c r="L84" i="16"/>
  <c r="J85" i="16"/>
  <c r="K85" i="16"/>
  <c r="L85" i="16"/>
  <c r="J86" i="16"/>
  <c r="K86" i="16"/>
  <c r="L86" i="16"/>
  <c r="J87" i="16"/>
  <c r="K87" i="16"/>
  <c r="L87" i="16"/>
  <c r="J88" i="16"/>
  <c r="K88" i="16"/>
  <c r="L88" i="16"/>
  <c r="J89" i="16"/>
  <c r="K89" i="16"/>
  <c r="L89" i="16"/>
  <c r="J90" i="16"/>
  <c r="K90" i="16"/>
  <c r="L90" i="16"/>
  <c r="J91" i="16"/>
  <c r="K91" i="16"/>
  <c r="L91" i="16"/>
  <c r="J92" i="16"/>
  <c r="K92" i="16"/>
  <c r="L92" i="16"/>
  <c r="J93" i="16"/>
  <c r="K93" i="16"/>
  <c r="L93" i="16"/>
  <c r="J94" i="16"/>
  <c r="K94" i="16"/>
  <c r="L94" i="16"/>
  <c r="J95" i="16"/>
  <c r="K95" i="16"/>
  <c r="L95" i="16"/>
  <c r="J96" i="16"/>
  <c r="K96" i="16"/>
  <c r="L96" i="16"/>
  <c r="J97" i="16"/>
  <c r="K97" i="16"/>
  <c r="L97" i="16"/>
  <c r="J98" i="16"/>
  <c r="K98" i="16"/>
  <c r="L98" i="16"/>
  <c r="J99" i="16"/>
  <c r="K99" i="16"/>
  <c r="L99" i="16"/>
  <c r="J100" i="16"/>
  <c r="K100" i="16"/>
  <c r="L100" i="16"/>
  <c r="J101" i="16"/>
  <c r="K101" i="16"/>
  <c r="L101" i="16"/>
  <c r="J102" i="16"/>
  <c r="K102" i="16"/>
  <c r="L102" i="16"/>
  <c r="J103" i="16"/>
  <c r="K103" i="16"/>
  <c r="L103" i="16"/>
  <c r="J104" i="16"/>
  <c r="K104" i="16"/>
  <c r="L104" i="16"/>
  <c r="J105" i="16"/>
  <c r="K105" i="16"/>
  <c r="L105" i="16"/>
  <c r="J106" i="16"/>
  <c r="K106" i="16"/>
  <c r="L106" i="16"/>
  <c r="J107" i="16"/>
  <c r="K107" i="16"/>
  <c r="L107" i="16"/>
  <c r="J108" i="16"/>
  <c r="K108" i="16"/>
  <c r="L108" i="16"/>
  <c r="J109" i="16"/>
  <c r="K109" i="16"/>
  <c r="L109" i="16"/>
  <c r="J110" i="16"/>
  <c r="K110" i="16"/>
  <c r="L110" i="16"/>
  <c r="J111" i="16"/>
  <c r="K111" i="16"/>
  <c r="L111" i="16"/>
  <c r="J112" i="16"/>
  <c r="K112" i="16"/>
  <c r="L112" i="16"/>
  <c r="J113" i="16"/>
  <c r="K113" i="16"/>
  <c r="L113" i="16"/>
  <c r="J114" i="16"/>
  <c r="L114" i="16"/>
  <c r="J115" i="16"/>
  <c r="L115" i="16"/>
  <c r="J116" i="16"/>
  <c r="L116" i="16"/>
  <c r="J117" i="16"/>
  <c r="L117" i="16"/>
  <c r="J118" i="16"/>
  <c r="L118" i="16"/>
  <c r="J119" i="16"/>
  <c r="L119" i="16"/>
  <c r="J120" i="16"/>
  <c r="L120" i="16"/>
  <c r="J121" i="16"/>
  <c r="L121" i="16"/>
  <c r="J122" i="16"/>
  <c r="L122" i="16"/>
  <c r="J123" i="16"/>
  <c r="L123" i="16"/>
  <c r="J124" i="16"/>
  <c r="L124" i="16"/>
  <c r="J125" i="16"/>
  <c r="L125" i="16"/>
  <c r="J126" i="16"/>
  <c r="L126" i="16"/>
  <c r="J127" i="16"/>
  <c r="L127" i="16"/>
  <c r="J128" i="16"/>
  <c r="L128" i="16"/>
  <c r="J129" i="16"/>
  <c r="L129" i="16"/>
  <c r="J130" i="16"/>
  <c r="L130" i="16"/>
  <c r="J131" i="16"/>
  <c r="L131" i="16"/>
  <c r="J132" i="16"/>
  <c r="L132" i="16"/>
  <c r="J133" i="16"/>
  <c r="L133" i="16"/>
  <c r="J134" i="16"/>
  <c r="L134" i="16"/>
  <c r="J135" i="16"/>
  <c r="L135" i="16"/>
  <c r="J136" i="16"/>
  <c r="L136" i="16"/>
  <c r="J137" i="16"/>
  <c r="L137" i="16"/>
  <c r="J138" i="16"/>
  <c r="L138" i="16"/>
  <c r="J139" i="16"/>
  <c r="L139" i="16"/>
  <c r="J140" i="16"/>
  <c r="L140" i="16"/>
  <c r="J141" i="16"/>
  <c r="L141" i="16"/>
  <c r="J142" i="16"/>
  <c r="L142" i="16"/>
  <c r="J143" i="16"/>
  <c r="L143" i="16"/>
  <c r="J144" i="16"/>
  <c r="L144" i="16"/>
  <c r="J145" i="16"/>
  <c r="L145" i="16"/>
  <c r="J146" i="16"/>
  <c r="L146" i="16"/>
  <c r="J147" i="16"/>
  <c r="L147" i="16"/>
  <c r="J148" i="16"/>
  <c r="L148" i="16"/>
  <c r="J149" i="16"/>
  <c r="L149" i="16"/>
  <c r="J150" i="16"/>
  <c r="L150" i="16"/>
  <c r="J151" i="16"/>
  <c r="L151" i="16"/>
  <c r="J152" i="16"/>
  <c r="L152" i="16"/>
  <c r="J153" i="16"/>
  <c r="L153" i="16"/>
  <c r="J154" i="16"/>
  <c r="L154" i="16"/>
  <c r="J155" i="16"/>
  <c r="L155" i="16"/>
  <c r="J156" i="16"/>
  <c r="L156" i="16"/>
  <c r="J157" i="16"/>
  <c r="L157" i="16"/>
  <c r="J158" i="16"/>
  <c r="L158" i="16"/>
  <c r="J159" i="16"/>
  <c r="L159" i="16"/>
  <c r="J160" i="16"/>
  <c r="L160" i="16"/>
  <c r="J161" i="16"/>
  <c r="L161" i="16"/>
  <c r="J162" i="16"/>
  <c r="L162" i="16"/>
  <c r="J163" i="16"/>
  <c r="L163" i="16"/>
  <c r="J164" i="16"/>
  <c r="L164" i="16"/>
  <c r="J165" i="16"/>
  <c r="L165" i="16"/>
  <c r="J166" i="16"/>
  <c r="L166" i="16"/>
  <c r="J167" i="16"/>
  <c r="L167" i="16"/>
  <c r="J168" i="16"/>
  <c r="L168" i="16"/>
  <c r="J169" i="16"/>
  <c r="L169" i="16"/>
  <c r="J170" i="16"/>
  <c r="L170" i="16"/>
  <c r="J171" i="16"/>
  <c r="L171" i="16"/>
  <c r="J172" i="16"/>
  <c r="L172" i="16"/>
  <c r="J173" i="16"/>
  <c r="L173" i="16"/>
  <c r="J174" i="16"/>
  <c r="L174" i="16"/>
  <c r="J175" i="16"/>
  <c r="L175" i="16"/>
  <c r="J176" i="16"/>
  <c r="L176" i="16"/>
  <c r="J177" i="16"/>
  <c r="L177" i="16"/>
  <c r="J178" i="16"/>
  <c r="L178" i="16"/>
  <c r="J179" i="16"/>
  <c r="L179" i="16"/>
  <c r="J180" i="16"/>
  <c r="L180" i="16"/>
  <c r="J181" i="16"/>
  <c r="L181" i="16"/>
  <c r="J182" i="16"/>
  <c r="L182" i="16"/>
  <c r="J183" i="16"/>
  <c r="L183" i="16"/>
  <c r="J184" i="16"/>
  <c r="L184" i="16"/>
  <c r="J185" i="16"/>
  <c r="L185" i="16"/>
  <c r="J186" i="16"/>
  <c r="L186" i="16"/>
  <c r="J187" i="16"/>
  <c r="L187" i="16"/>
  <c r="J188" i="16"/>
  <c r="L188" i="16"/>
  <c r="J189" i="16"/>
  <c r="L189" i="16"/>
  <c r="J190" i="16"/>
  <c r="L190" i="16"/>
  <c r="J191" i="16"/>
  <c r="L191" i="16"/>
  <c r="J192" i="16"/>
  <c r="L192" i="16"/>
  <c r="J193" i="16"/>
  <c r="L193" i="16"/>
  <c r="J194" i="16"/>
  <c r="L194" i="16"/>
  <c r="J195" i="16"/>
  <c r="L195" i="16"/>
  <c r="J196" i="16"/>
  <c r="L196" i="16"/>
  <c r="J197" i="16"/>
  <c r="L197" i="16"/>
  <c r="J198" i="16"/>
  <c r="L198" i="16"/>
  <c r="J199" i="16"/>
  <c r="L199" i="16"/>
  <c r="J200" i="16"/>
  <c r="L200" i="16"/>
  <c r="J201" i="16"/>
  <c r="L201" i="16"/>
  <c r="J202" i="16"/>
  <c r="L202" i="16"/>
  <c r="J203" i="16"/>
  <c r="L203" i="16"/>
  <c r="J204" i="16"/>
  <c r="L204" i="16"/>
  <c r="J205" i="16"/>
  <c r="L205" i="16"/>
  <c r="J206" i="16"/>
  <c r="L206" i="16"/>
  <c r="J207" i="16"/>
  <c r="L207" i="16"/>
  <c r="J208" i="16"/>
  <c r="L208" i="16"/>
  <c r="J209" i="16"/>
  <c r="L209" i="16"/>
  <c r="J210" i="16"/>
  <c r="L210" i="16"/>
  <c r="J211" i="16"/>
  <c r="L211" i="16"/>
  <c r="J212" i="16"/>
  <c r="L212" i="16"/>
  <c r="J213" i="16"/>
  <c r="L213" i="16"/>
  <c r="J214" i="16"/>
  <c r="L214" i="16"/>
  <c r="J215" i="16"/>
  <c r="L215" i="16"/>
  <c r="J216" i="16"/>
  <c r="L216" i="16"/>
  <c r="J217" i="16"/>
  <c r="L217" i="16"/>
  <c r="J218" i="16"/>
  <c r="L218" i="16"/>
  <c r="J219" i="16"/>
  <c r="L219" i="16"/>
  <c r="J220" i="16"/>
  <c r="L220" i="16"/>
  <c r="J221" i="16"/>
  <c r="L221" i="16"/>
  <c r="J222" i="16"/>
  <c r="L222" i="16"/>
  <c r="J223" i="16"/>
  <c r="L223" i="16"/>
  <c r="J224" i="16"/>
  <c r="L224" i="16"/>
  <c r="J225" i="16"/>
  <c r="L225" i="16"/>
  <c r="J226" i="16"/>
  <c r="L226" i="16"/>
  <c r="J227" i="16"/>
  <c r="L227" i="16"/>
  <c r="J228" i="16"/>
  <c r="L228" i="16"/>
  <c r="J229" i="16"/>
  <c r="L229" i="16"/>
  <c r="J230" i="16"/>
  <c r="L230" i="16"/>
  <c r="J231" i="16"/>
  <c r="L231" i="16"/>
  <c r="J232" i="16"/>
  <c r="L232" i="16"/>
  <c r="J233" i="16"/>
  <c r="L233" i="16"/>
  <c r="J234" i="16"/>
  <c r="L234" i="16"/>
  <c r="J235" i="16"/>
  <c r="L235" i="16"/>
  <c r="J236" i="16"/>
  <c r="L236" i="16"/>
  <c r="J237" i="16"/>
  <c r="L237" i="16"/>
  <c r="J238" i="16"/>
  <c r="L238" i="16"/>
  <c r="J239" i="16"/>
  <c r="L239" i="16"/>
  <c r="J240" i="16"/>
  <c r="L240" i="16"/>
  <c r="J241" i="16"/>
  <c r="L241" i="16"/>
  <c r="J242" i="16"/>
  <c r="L242" i="16"/>
  <c r="J243" i="16"/>
  <c r="L243" i="16"/>
  <c r="J244" i="16"/>
  <c r="L244" i="16"/>
  <c r="J245" i="16"/>
  <c r="L245" i="16"/>
  <c r="J246" i="16"/>
  <c r="L246" i="16"/>
  <c r="J247" i="16"/>
  <c r="L247" i="16"/>
  <c r="J248" i="16"/>
  <c r="L248" i="16"/>
  <c r="J249" i="16"/>
  <c r="L249" i="16"/>
  <c r="J250" i="16"/>
  <c r="L250" i="16"/>
  <c r="J251" i="16"/>
  <c r="L251" i="16"/>
  <c r="J252" i="16"/>
  <c r="L252" i="16"/>
  <c r="J253" i="16"/>
  <c r="L253" i="16"/>
  <c r="J254" i="16"/>
  <c r="L254" i="16"/>
  <c r="J255" i="16"/>
  <c r="L255" i="16"/>
  <c r="J256" i="16"/>
  <c r="L256" i="16"/>
  <c r="J257" i="16"/>
  <c r="L257" i="16"/>
  <c r="J258" i="16"/>
  <c r="L258" i="16"/>
  <c r="J259" i="16"/>
  <c r="L259" i="16"/>
  <c r="J260" i="16"/>
  <c r="L260" i="16"/>
  <c r="J261" i="16"/>
  <c r="L261" i="16"/>
  <c r="J262" i="16"/>
  <c r="L262" i="16"/>
  <c r="J263" i="16"/>
  <c r="L263" i="16"/>
  <c r="J264" i="16"/>
  <c r="L264" i="16"/>
  <c r="J265" i="16"/>
  <c r="L265" i="16"/>
  <c r="J266" i="16"/>
  <c r="L266" i="16"/>
  <c r="J267" i="16"/>
  <c r="L267" i="16"/>
  <c r="J268" i="16"/>
  <c r="L268" i="16"/>
  <c r="J269" i="16"/>
  <c r="L269" i="16"/>
  <c r="J270" i="16"/>
  <c r="L270" i="16"/>
  <c r="J271" i="16"/>
  <c r="L271" i="16"/>
  <c r="J272" i="16"/>
  <c r="L272" i="16"/>
  <c r="J273" i="16"/>
  <c r="L273" i="16"/>
  <c r="J274" i="16"/>
  <c r="L274" i="16"/>
  <c r="J275" i="16"/>
  <c r="L275" i="16"/>
  <c r="J276" i="16"/>
  <c r="L276" i="16"/>
  <c r="J277" i="16"/>
  <c r="L277" i="16"/>
  <c r="J278" i="16"/>
  <c r="L278" i="16"/>
  <c r="J279" i="16"/>
  <c r="L279" i="16"/>
  <c r="J280" i="16"/>
  <c r="L280" i="16"/>
  <c r="J281" i="16"/>
  <c r="L281" i="16"/>
  <c r="J282" i="16"/>
  <c r="L282" i="16"/>
  <c r="J283" i="16"/>
  <c r="L283" i="16"/>
  <c r="J284" i="16"/>
  <c r="L284" i="16"/>
  <c r="J285" i="16"/>
  <c r="L285" i="16"/>
  <c r="J286" i="16"/>
  <c r="L286" i="16"/>
  <c r="J287" i="16"/>
  <c r="L287" i="16"/>
  <c r="J288" i="16"/>
  <c r="L288" i="16"/>
  <c r="J289" i="16"/>
  <c r="L289" i="16"/>
  <c r="J290" i="16"/>
  <c r="L290" i="16"/>
  <c r="J291" i="16"/>
  <c r="L291" i="16"/>
  <c r="J292" i="16"/>
  <c r="L292" i="16"/>
  <c r="J293" i="16"/>
  <c r="L293" i="16"/>
  <c r="J294" i="16"/>
  <c r="L294" i="16"/>
  <c r="J295" i="16"/>
  <c r="L295" i="16"/>
  <c r="J296" i="16"/>
  <c r="L296" i="16"/>
  <c r="J297" i="16"/>
  <c r="L297" i="16"/>
  <c r="J298" i="16"/>
  <c r="L298" i="16"/>
  <c r="J299" i="16"/>
  <c r="L299" i="16"/>
  <c r="J300" i="16"/>
  <c r="L300" i="16"/>
  <c r="J301" i="16"/>
  <c r="L301" i="16"/>
  <c r="J302" i="16"/>
  <c r="L302" i="16"/>
  <c r="J303" i="16"/>
  <c r="L303" i="16"/>
  <c r="J304" i="16"/>
  <c r="L304" i="16"/>
  <c r="J305" i="16"/>
  <c r="L305" i="16"/>
  <c r="J306" i="16"/>
  <c r="L306" i="16"/>
  <c r="J307" i="16"/>
  <c r="L307" i="16"/>
  <c r="J308" i="16"/>
  <c r="L308" i="16"/>
  <c r="J309" i="16"/>
  <c r="L309" i="16"/>
  <c r="J310" i="16"/>
  <c r="L310" i="16"/>
  <c r="J311" i="16"/>
  <c r="L311" i="16"/>
  <c r="J312" i="16"/>
  <c r="L312" i="16"/>
  <c r="J313" i="16"/>
  <c r="L3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K12" i="16"/>
  <c r="K11" i="16"/>
  <c r="K10" i="16"/>
  <c r="G114" i="16"/>
  <c r="K114" i="16"/>
  <c r="G115" i="16"/>
  <c r="K115" i="16"/>
  <c r="G116" i="16"/>
  <c r="K116" i="16"/>
  <c r="G117" i="16"/>
  <c r="K117" i="16"/>
  <c r="G118" i="16"/>
  <c r="K118" i="16"/>
  <c r="G119" i="16"/>
  <c r="K119" i="16"/>
  <c r="G120" i="16"/>
  <c r="K120" i="16"/>
  <c r="G121" i="16"/>
  <c r="K121" i="16"/>
  <c r="G122" i="16"/>
  <c r="K122" i="16"/>
  <c r="G123" i="16"/>
  <c r="K123" i="16"/>
  <c r="G124" i="16"/>
  <c r="K124" i="16"/>
  <c r="G125" i="16"/>
  <c r="K125" i="16"/>
  <c r="G126" i="16"/>
  <c r="K126" i="16"/>
  <c r="G127" i="16"/>
  <c r="K127" i="16"/>
  <c r="G128" i="16"/>
  <c r="K128" i="16"/>
  <c r="G129" i="16"/>
  <c r="K129" i="16"/>
  <c r="G130" i="16"/>
  <c r="K130" i="16"/>
  <c r="G131" i="16"/>
  <c r="K131" i="16"/>
  <c r="G132" i="16"/>
  <c r="K132" i="16"/>
  <c r="G133" i="16"/>
  <c r="K133" i="16"/>
  <c r="G134" i="16"/>
  <c r="K134" i="16"/>
  <c r="G135" i="16"/>
  <c r="K135" i="16"/>
  <c r="G136" i="16"/>
  <c r="K136" i="16"/>
  <c r="G137" i="16"/>
  <c r="K137" i="16"/>
  <c r="G138" i="16"/>
  <c r="K138" i="16"/>
  <c r="G139" i="16"/>
  <c r="K139" i="16"/>
  <c r="G140" i="16"/>
  <c r="K140" i="16"/>
  <c r="G141" i="16"/>
  <c r="K141" i="16"/>
  <c r="G142" i="16"/>
  <c r="K142" i="16"/>
  <c r="G143" i="16"/>
  <c r="K143" i="16"/>
  <c r="G144" i="16"/>
  <c r="K144" i="16"/>
  <c r="G145" i="16"/>
  <c r="K145" i="16"/>
  <c r="G146" i="16"/>
  <c r="K146" i="16"/>
  <c r="G147" i="16"/>
  <c r="K147" i="16"/>
  <c r="G148" i="16"/>
  <c r="K148" i="16"/>
  <c r="G149" i="16"/>
  <c r="K149" i="16"/>
  <c r="G150" i="16"/>
  <c r="K150" i="16"/>
  <c r="G151" i="16"/>
  <c r="K151" i="16"/>
  <c r="G152" i="16"/>
  <c r="K152" i="16"/>
  <c r="G153" i="16"/>
  <c r="K153" i="16"/>
  <c r="G154" i="16"/>
  <c r="K154" i="16"/>
  <c r="G155" i="16"/>
  <c r="K155" i="16"/>
  <c r="G156" i="16"/>
  <c r="K156" i="16"/>
  <c r="G157" i="16"/>
  <c r="K157" i="16"/>
  <c r="G158" i="16"/>
  <c r="K158" i="16"/>
  <c r="G159" i="16"/>
  <c r="K159" i="16"/>
  <c r="G160" i="16"/>
  <c r="K160" i="16"/>
  <c r="G161" i="16"/>
  <c r="K161" i="16"/>
  <c r="G162" i="16"/>
  <c r="K162" i="16"/>
  <c r="G163" i="16"/>
  <c r="K163" i="16"/>
  <c r="G164" i="16"/>
  <c r="K164" i="16"/>
  <c r="G165" i="16"/>
  <c r="K165" i="16"/>
  <c r="G166" i="16"/>
  <c r="K166" i="16"/>
  <c r="G167" i="16"/>
  <c r="K167" i="16"/>
  <c r="G168" i="16"/>
  <c r="K168" i="16"/>
  <c r="G169" i="16"/>
  <c r="K169" i="16"/>
  <c r="G170" i="16"/>
  <c r="K170" i="16"/>
  <c r="G171" i="16"/>
  <c r="K171" i="16"/>
  <c r="G172" i="16"/>
  <c r="K172" i="16"/>
  <c r="G173" i="16"/>
  <c r="K173" i="16"/>
  <c r="G174" i="16"/>
  <c r="K174" i="16"/>
  <c r="G175" i="16"/>
  <c r="K175" i="16"/>
  <c r="G176" i="16"/>
  <c r="K176" i="16"/>
  <c r="G177" i="16"/>
  <c r="K177" i="16"/>
  <c r="G178" i="16"/>
  <c r="K178" i="16"/>
  <c r="G179" i="16"/>
  <c r="K179" i="16"/>
  <c r="G180" i="16"/>
  <c r="K180" i="16"/>
  <c r="G181" i="16"/>
  <c r="K181" i="16"/>
  <c r="G182" i="16"/>
  <c r="K182" i="16"/>
  <c r="G183" i="16"/>
  <c r="K183" i="16"/>
  <c r="G184" i="16"/>
  <c r="K184" i="16"/>
  <c r="G185" i="16"/>
  <c r="K185" i="16"/>
  <c r="G186" i="16"/>
  <c r="K186" i="16"/>
  <c r="G187" i="16"/>
  <c r="K187" i="16"/>
  <c r="G188" i="16"/>
  <c r="K188" i="16"/>
  <c r="G189" i="16"/>
  <c r="K189" i="16"/>
  <c r="G190" i="16"/>
  <c r="K190" i="16"/>
  <c r="G191" i="16"/>
  <c r="K191" i="16"/>
  <c r="G192" i="16"/>
  <c r="K192" i="16"/>
  <c r="G193" i="16"/>
  <c r="K193" i="16"/>
  <c r="G194" i="16"/>
  <c r="K194" i="16"/>
  <c r="G195" i="16"/>
  <c r="K195" i="16"/>
  <c r="G196" i="16"/>
  <c r="K196" i="16"/>
  <c r="G197" i="16"/>
  <c r="K197" i="16"/>
  <c r="G198" i="16"/>
  <c r="K198" i="16"/>
  <c r="G199" i="16"/>
  <c r="K199" i="16"/>
  <c r="G200" i="16"/>
  <c r="K200" i="16"/>
  <c r="G201" i="16"/>
  <c r="K201" i="16"/>
  <c r="G202" i="16"/>
  <c r="K202" i="16"/>
  <c r="G203" i="16"/>
  <c r="K203" i="16"/>
  <c r="G204" i="16"/>
  <c r="K204" i="16"/>
  <c r="G205" i="16"/>
  <c r="K205" i="16"/>
  <c r="G206" i="16"/>
  <c r="K206" i="16"/>
  <c r="G207" i="16"/>
  <c r="K207" i="16"/>
  <c r="G208" i="16"/>
  <c r="K208" i="16"/>
  <c r="G209" i="16"/>
  <c r="K209" i="16"/>
  <c r="G210" i="16"/>
  <c r="K210" i="16"/>
  <c r="G211" i="16"/>
  <c r="K211" i="16"/>
  <c r="G212" i="16"/>
  <c r="K212" i="16"/>
  <c r="G213" i="16"/>
  <c r="K213" i="16"/>
  <c r="G214" i="16"/>
  <c r="K214" i="16"/>
  <c r="G215" i="16"/>
  <c r="K215" i="16"/>
  <c r="G216" i="16"/>
  <c r="K216" i="16"/>
  <c r="G217" i="16"/>
  <c r="K217" i="16"/>
  <c r="G218" i="16"/>
  <c r="K218" i="16"/>
  <c r="G219" i="16"/>
  <c r="K219" i="16"/>
  <c r="G220" i="16"/>
  <c r="K220" i="16"/>
  <c r="G221" i="16"/>
  <c r="K221" i="16"/>
  <c r="G222" i="16"/>
  <c r="K222" i="16"/>
  <c r="G223" i="16"/>
  <c r="K223" i="16"/>
  <c r="G224" i="16"/>
  <c r="K224" i="16"/>
  <c r="G225" i="16"/>
  <c r="K225" i="16"/>
  <c r="G226" i="16"/>
  <c r="K226" i="16"/>
  <c r="G227" i="16"/>
  <c r="K227" i="16"/>
  <c r="G228" i="16"/>
  <c r="K228" i="16"/>
  <c r="G229" i="16"/>
  <c r="K229" i="16"/>
  <c r="G230" i="16"/>
  <c r="K230" i="16"/>
  <c r="G231" i="16"/>
  <c r="K231" i="16"/>
  <c r="G232" i="16"/>
  <c r="K232" i="16"/>
  <c r="G233" i="16"/>
  <c r="K233" i="16"/>
  <c r="G234" i="16"/>
  <c r="K234" i="16"/>
  <c r="G235" i="16"/>
  <c r="K235" i="16"/>
  <c r="G236" i="16"/>
  <c r="K236" i="16"/>
  <c r="G237" i="16"/>
  <c r="K237" i="16"/>
  <c r="G238" i="16"/>
  <c r="K238" i="16"/>
  <c r="G239" i="16"/>
  <c r="K239" i="16"/>
  <c r="G240" i="16"/>
  <c r="K240" i="16"/>
  <c r="G241" i="16"/>
  <c r="K241" i="16"/>
  <c r="G242" i="16"/>
  <c r="K242" i="16"/>
  <c r="G243" i="16"/>
  <c r="K243" i="16"/>
  <c r="G244" i="16"/>
  <c r="K244" i="16"/>
  <c r="G245" i="16"/>
  <c r="K245" i="16"/>
  <c r="G246" i="16"/>
  <c r="K246" i="16"/>
  <c r="G247" i="16"/>
  <c r="K247" i="16"/>
  <c r="G248" i="16"/>
  <c r="K248" i="16"/>
  <c r="G249" i="16"/>
  <c r="K249" i="16"/>
  <c r="G250" i="16"/>
  <c r="K250" i="16"/>
  <c r="G251" i="16"/>
  <c r="K251" i="16"/>
  <c r="G252" i="16"/>
  <c r="K252" i="16"/>
  <c r="G253" i="16"/>
  <c r="K253" i="16"/>
  <c r="G254" i="16"/>
  <c r="K254" i="16"/>
  <c r="G255" i="16"/>
  <c r="K255" i="16"/>
  <c r="G256" i="16"/>
  <c r="K256" i="16"/>
  <c r="G257" i="16"/>
  <c r="K257" i="16"/>
  <c r="G258" i="16"/>
  <c r="K258" i="16"/>
  <c r="G259" i="16"/>
  <c r="K259" i="16"/>
  <c r="G260" i="16"/>
  <c r="K260" i="16"/>
  <c r="G261" i="16"/>
  <c r="K261" i="16"/>
  <c r="G262" i="16"/>
  <c r="K262" i="16"/>
  <c r="G263" i="16"/>
  <c r="K263" i="16"/>
  <c r="G264" i="16"/>
  <c r="K264" i="16"/>
  <c r="G265" i="16"/>
  <c r="K265" i="16"/>
  <c r="G266" i="16"/>
  <c r="K266" i="16"/>
  <c r="G267" i="16"/>
  <c r="K267" i="16"/>
  <c r="G268" i="16"/>
  <c r="K268" i="16"/>
  <c r="G269" i="16"/>
  <c r="K269" i="16"/>
  <c r="G270" i="16"/>
  <c r="K270" i="16"/>
  <c r="G271" i="16"/>
  <c r="K271" i="16"/>
  <c r="G272" i="16"/>
  <c r="K272" i="16"/>
  <c r="G273" i="16"/>
  <c r="K273" i="16"/>
  <c r="G274" i="16"/>
  <c r="K274" i="16"/>
  <c r="G275" i="16"/>
  <c r="K275" i="16"/>
  <c r="G276" i="16"/>
  <c r="K276" i="16"/>
  <c r="G277" i="16"/>
  <c r="K277" i="16"/>
  <c r="G278" i="16"/>
  <c r="K278" i="16"/>
  <c r="G279" i="16"/>
  <c r="K279" i="16"/>
  <c r="G280" i="16"/>
  <c r="K280" i="16"/>
  <c r="G281" i="16"/>
  <c r="K281" i="16"/>
  <c r="G282" i="16"/>
  <c r="K282" i="16"/>
  <c r="G283" i="16"/>
  <c r="K283" i="16"/>
  <c r="G284" i="16"/>
  <c r="K284" i="16"/>
  <c r="G285" i="16"/>
  <c r="K285" i="16"/>
  <c r="G286" i="16"/>
  <c r="K286" i="16"/>
  <c r="G287" i="16"/>
  <c r="K287" i="16"/>
  <c r="G288" i="16"/>
  <c r="K288" i="16"/>
  <c r="G289" i="16"/>
  <c r="K289" i="16"/>
  <c r="G290" i="16"/>
  <c r="K290" i="16"/>
  <c r="G291" i="16"/>
  <c r="K291" i="16"/>
  <c r="G292" i="16"/>
  <c r="K292" i="16"/>
  <c r="G293" i="16"/>
  <c r="K293" i="16"/>
  <c r="G294" i="16"/>
  <c r="K294" i="16"/>
  <c r="G295" i="16"/>
  <c r="K295" i="16"/>
  <c r="G296" i="16"/>
  <c r="K296" i="16"/>
  <c r="G297" i="16"/>
  <c r="K297" i="16"/>
  <c r="G298" i="16"/>
  <c r="K298" i="16"/>
  <c r="G299" i="16"/>
  <c r="K299" i="16"/>
  <c r="G300" i="16"/>
  <c r="K300" i="16"/>
  <c r="G301" i="16"/>
  <c r="K301" i="16"/>
  <c r="G302" i="16"/>
  <c r="K302" i="16"/>
  <c r="G303" i="16"/>
  <c r="K303" i="16"/>
  <c r="G304" i="16"/>
  <c r="K304" i="16"/>
  <c r="G305" i="16"/>
  <c r="K305" i="16"/>
  <c r="G306" i="16"/>
  <c r="K306" i="16"/>
  <c r="G307" i="16"/>
  <c r="K307" i="16"/>
  <c r="G308" i="16"/>
  <c r="K308" i="16"/>
  <c r="G309" i="16"/>
  <c r="K309" i="16"/>
  <c r="G310" i="16"/>
  <c r="K310" i="16"/>
  <c r="G311" i="16"/>
  <c r="K311" i="16"/>
  <c r="G312" i="16"/>
  <c r="K312" i="16"/>
  <c r="G313" i="16"/>
  <c r="K313" i="16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E7" i="3"/>
  <c r="C9" i="8"/>
  <c r="F11" i="8"/>
  <c r="C7" i="4" l="1"/>
  <c r="I7" i="7" l="1" a="1"/>
  <c r="F10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F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F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F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F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G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<sst xmlns="http://schemas.openxmlformats.org/spreadsheetml/2006/main" count="2477" uniqueCount="625">
  <si>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</si>
  <si>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</si>
  <si>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</si>
  <si>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</si>
  <si>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</si>
  <si>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</si>
  <si>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</si>
  <si>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</si>
  <si>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</si>
  <si>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</si>
  <si>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</si>
  <si>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</si>
  <si>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</si>
  <si>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</si>
  <si>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</si>
  <si>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</si>
  <si>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</si>
  <si>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</si>
  <si>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</si>
  <si>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</si>
  <si>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</si>
  <si>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</si>
  <si>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</si>
  <si>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</si>
  <si>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</si>
  <si>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</si>
  <si>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</si>
  <si>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</si>
  <si>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</si>
  <si>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</si>
  <si>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</si>
  <si>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</si>
  <si>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</si>
  <si>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</si>
  <si>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</si>
  <si>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</si>
  <si>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</si>
  <si>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</si>
  <si>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</si>
  <si>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</si>
  <si>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</si>
  <si>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</si>
  <si>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</si>
  <si>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</si>
  <si>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</si>
  <si>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</si>
  <si>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</si>
  <si>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</si>
  <si>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</si>
  <si>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</si>
  <si>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</si>
  <si>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</si>
  <si>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</si>
  <si>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</si>
  <si>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</si>
  <si>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</si>
  <si>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</si>
  <si>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</si>
  <si>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</si>
  <si>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</si>
  <si>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</si>
  <si>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</si>
  <si>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</si>
  <si>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</si>
  <si>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</si>
  <si>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</si>
  <si>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</si>
  <si>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</si>
  <si>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</si>
  <si>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</si>
  <si>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</si>
  <si>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</si>
  <si>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</si>
  <si>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</si>
  <si>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</si>
  <si>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</si>
  <si>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</si>
  <si>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</si>
  <si>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</si>
  <si>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</si>
  <si>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</si>
  <si>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</si>
  <si>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</si>
  <si>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</si>
  <si>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</si>
  <si>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</si>
  <si>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</si>
  <si>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</si>
  <si>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</si>
  <si>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</si>
  <si>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</si>
  <si>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</si>
  <si>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</si>
  <si>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</si>
  <si>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</si>
  <si>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</si>
  <si>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</si>
  <si>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</si>
  <si>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</si>
  <si>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</si>
  <si>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</si>
  <si>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</si>
  <si>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</si>
  <si>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</si>
  <si>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</si>
  <si>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</si>
  <si>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</si>
  <si>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</si>
  <si>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</si>
  <si>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</si>
  <si>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</si>
  <si>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</si>
  <si>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</si>
  <si>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</si>
  <si>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</si>
  <si>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</si>
  <si>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</si>
  <si>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</si>
  <si>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</si>
  <si>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</si>
  <si>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</si>
  <si>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</si>
  <si>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</si>
  <si>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</si>
  <si>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</si>
  <si>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</si>
  <si>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</si>
  <si>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</si>
  <si>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</si>
  <si>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</si>
  <si>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</si>
  <si>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</si>
  <si>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</si>
  <si>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</si>
  <si>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</si>
  <si>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</si>
  <si>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</si>
  <si>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</si>
  <si>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</si>
  <si>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</si>
  <si>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</si>
  <si>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</si>
  <si>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</si>
  <si>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</si>
  <si>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</si>
  <si>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</si>
  <si>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</si>
  <si>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</si>
  <si>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</si>
  <si>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</si>
  <si>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</si>
  <si>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</si>
  <si>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</si>
  <si>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</si>
  <si>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</si>
  <si>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</si>
  <si>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</si>
  <si>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</si>
  <si>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</si>
  <si>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</si>
  <si>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</si>
  <si>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</si>
  <si>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</si>
  <si>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</si>
  <si>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</si>
  <si>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</si>
  <si>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</si>
  <si>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</si>
  <si>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</si>
  <si>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</si>
  <si>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</si>
  <si>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</si>
  <si>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</si>
  <si>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</si>
  <si>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</si>
  <si>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</si>
  <si>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</si>
  <si>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</si>
  <si>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</si>
  <si>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</si>
  <si>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</si>
  <si>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</si>
  <si>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</si>
  <si>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</si>
  <si>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</si>
  <si>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</si>
  <si>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</si>
  <si>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</si>
  <si>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</si>
  <si>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</si>
  <si>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</si>
  <si>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</si>
  <si>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</si>
  <si>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</si>
  <si>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</si>
  <si>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</si>
  <si>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</si>
  <si>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</si>
  <si>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</si>
  <si>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</si>
  <si>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</si>
  <si>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</si>
  <si>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</si>
  <si>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</si>
  <si>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</si>
  <si>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</si>
  <si>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</si>
  <si>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</si>
  <si>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</si>
  <si>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</si>
  <si>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</si>
  <si>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</si>
  <si>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</si>
  <si>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</si>
  <si>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</si>
  <si>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</si>
  <si>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</si>
  <si>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</si>
  <si>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</si>
  <si>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</si>
  <si>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</si>
  <si>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</si>
  <si>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</si>
  <si>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</si>
  <si>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</si>
  <si>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</si>
  <si>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</si>
  <si>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</si>
  <si>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</si>
  <si>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</si>
  <si>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</si>
  <si>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</si>
  <si>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</si>
  <si>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</si>
  <si>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</si>
  <si>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</si>
  <si>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</si>
  <si>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</si>
  <si>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</si>
  <si>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</si>
  <si>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</si>
  <si>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</si>
  <si>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</si>
  <si>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</si>
  <si>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</si>
  <si>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</si>
  <si>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</si>
  <si>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</si>
  <si>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</si>
  <si>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</si>
  <si>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</si>
  <si>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</si>
  <si>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</si>
  <si>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</si>
  <si>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</si>
  <si>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</si>
  <si>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</si>
  <si>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</si>
  <si>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</si>
  <si>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</si>
  <si>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</si>
  <si>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</si>
  <si>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</si>
  <si>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</si>
  <si>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</si>
  <si>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</si>
  <si>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</si>
  <si>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</si>
  <si>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</si>
  <si>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</si>
  <si>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</si>
  <si>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</si>
  <si>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</si>
  <si>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</si>
  <si>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</si>
  <si>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</si>
  <si>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</si>
  <si>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</si>
  <si>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</si>
  <si>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</si>
  <si>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</si>
  <si>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</si>
  <si>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</si>
  <si>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</si>
  <si>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</si>
  <si>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</si>
  <si>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</si>
  <si>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</si>
  <si>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</si>
  <si>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</si>
  <si>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</si>
  <si>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</si>
  <si>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</si>
  <si>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</si>
  <si>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</si>
  <si>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</si>
  <si>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</si>
  <si>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</si>
  <si>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</si>
  <si>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</si>
  <si>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</si>
  <si>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</si>
  <si>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</si>
  <si>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</si>
  <si>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</si>
  <si>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</si>
  <si>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</si>
  <si>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</si>
  <si>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</si>
  <si>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</si>
  <si>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</si>
  <si>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</si>
  <si>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</si>
  <si>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</si>
  <si>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</si>
  <si>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</si>
  <si>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</si>
  <si>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</si>
  <si>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</si>
  <si>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</si>
  <si>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</si>
  <si>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</si>
  <si>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</si>
  <si>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</si>
  <si>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</si>
  <si>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</si>
  <si>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</si>
  <si>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</si>
  <si>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</si>
  <si>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</si>
  <si>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</si>
  <si>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</si>
  <si>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</si>
  <si>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</si>
  <si>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</si>
  <si>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</si>
  <si>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</si>
  <si>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</si>
  <si>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</si>
  <si>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</si>
  <si>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</si>
  <si>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</si>
  <si>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</si>
  <si>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</si>
  <si>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</si>
  <si>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</si>
  <si>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</si>
  <si>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</si>
  <si>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</si>
  <si>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</si>
  <si>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</si>
  <si>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</si>
  <si>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</si>
  <si>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</si>
  <si>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</si>
  <si>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</si>
  <si>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</si>
  <si>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</si>
  <si>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</si>
  <si>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</si>
  <si>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</si>
  <si>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</si>
  <si>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</si>
  <si>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</si>
  <si>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</si>
  <si>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</si>
  <si>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</si>
  <si>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</si>
  <si>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</si>
  <si>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</si>
  <si>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</si>
  <si>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</si>
  <si>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</si>
  <si>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</si>
  <si>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</si>
  <si>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</si>
  <si>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</si>
  <si>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</si>
  <si>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</si>
  <si>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</si>
  <si>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</si>
  <si>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</si>
  <si>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</si>
  <si>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</si>
  <si>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</si>
  <si>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</si>
  <si>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</si>
  <si>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</si>
  <si>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</si>
  <si>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</si>
  <si>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</si>
  <si>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</si>
  <si>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</si>
  <si>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</si>
  <si>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</si>
  <si>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</si>
  <si>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</si>
  <si>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</si>
  <si>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</si>
  <si>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</si>
  <si>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</si>
  <si>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</si>
  <si>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</si>
  <si>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</si>
  <si>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</si>
  <si>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</si>
  <si>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</si>
  <si>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</si>
  <si>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</si>
  <si>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</si>
  <si>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</si>
  <si>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</si>
  <si>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</si>
  <si>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</si>
  <si>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</si>
  <si>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</si>
  <si>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</si>
  <si>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</si>
  <si>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</si>
  <si>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</si>
  <si>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</si>
  <si>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</si>
  <si>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</si>
  <si>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</si>
  <si>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</si>
  <si>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</si>
  <si>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</si>
  <si>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</si>
  <si>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</si>
  <si>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</si>
  <si>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</si>
  <si>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</si>
  <si>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</si>
  <si>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</si>
  <si>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</si>
  <si>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</si>
  <si>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</si>
  <si>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</si>
  <si>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</si>
  <si>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</si>
  <si>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</si>
  <si>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</si>
  <si>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</si>
  <si>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</si>
  <si>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</si>
  <si>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</si>
  <si>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</si>
  <si>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</si>
  <si>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</si>
  <si>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</si>
  <si>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</si>
  <si>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</si>
  <si>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</si>
  <si>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</si>
  <si>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</si>
  <si>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</si>
  <si>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</si>
  <si>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</si>
  <si>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</si>
  <si>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</si>
  <si>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</si>
  <si>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</si>
  <si>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</si>
  <si>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</si>
  <si>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</si>
  <si>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</si>
  <si>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</si>
  <si>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</si>
  <si>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</si>
  <si>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</si>
  <si>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</si>
  <si>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</si>
  <si>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</si>
  <si>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</si>
  <si>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</si>
  <si>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</si>
  <si>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</si>
  <si>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</si>
  <si>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</si>
  <si>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</si>
  <si>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</si>
  <si>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</si>
  <si>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</si>
  <si>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</si>
  <si>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</si>
  <si>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</si>
  <si>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</si>
  <si>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</si>
  <si>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</si>
  <si>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</si>
  <si>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</si>
  <si>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</si>
  <si>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</si>
  <si>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</si>
  <si>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</si>
  <si>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</si>
  <si>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</si>
  <si>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</si>
  <si>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</si>
  <si>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</si>
  <si>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</si>
  <si>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</si>
  <si>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</si>
  <si>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</si>
  <si>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</si>
  <si>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</si>
  <si>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</si>
  <si>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</si>
  <si>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</si>
  <si>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</si>
  <si>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</si>
  <si>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</si>
  <si>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</si>
  <si>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</si>
  <si>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</si>
  <si>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</si>
  <si>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</si>
  <si>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</si>
  <si>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</si>
  <si>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</si>
  <si>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</si>
  <si>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</si>
  <si>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</si>
  <si>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</si>
  <si>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</si>
  <si>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</si>
  <si>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</si>
  <si>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</si>
  <si>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</si>
  <si>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</si>
  <si>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</si>
  <si>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</si>
  <si>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</si>
  <si>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</si>
  <si>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</si>
  <si>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</si>
  <si>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</si>
  <si>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</si>
  <si>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</si>
  <si>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</si>
  <si>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</si>
  <si>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</si>
  <si>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</si>
  <si>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</si>
  <si>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</si>
  <si>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</si>
  <si>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</si>
  <si>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</si>
  <si>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</si>
  <si>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</si>
  <si>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</si>
  <si>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</si>
  <si>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</si>
  <si>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</si>
  <si>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</si>
  <si>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</si>
  <si>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</si>
  <si>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</si>
  <si>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</si>
  <si>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</si>
  <si>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</si>
  <si>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</si>
  <si>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</si>
  <si>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</si>
  <si>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</si>
  <si>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</si>
  <si>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</si>
  <si>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</si>
  <si>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</si>
  <si>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</si>
  <si>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</si>
  <si>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</si>
  <si>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</si>
  <si>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</si>
  <si>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</si>
  <si>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</si>
  <si>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</si>
  <si>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</si>
  <si>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</si>
  <si>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</si>
  <si>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</si>
  <si>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</si>
  <si>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</si>
  <si>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</si>
  <si>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</si>
  <si>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</si>
  <si>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</si>
  <si>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</si>
  <si>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</si>
  <si>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</si>
  <si>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</si>
  <si>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</si>
  <si>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</si>
  <si>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</si>
  <si>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</si>
  <si>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</si>
  <si>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</si>
  <si>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</si>
  <si>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</si>
  <si>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</si>
  <si>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</si>
  <si>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</si>
  <si>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</si>
  <si>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</si>
  <si>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</si>
  <si>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</si>
  <si>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</si>
  <si>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</si>
  <si>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</si>
  <si>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</si>
  <si>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</si>
  <si>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</si>
  <si>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</si>
  <si>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</si>
  <si>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</si>
  <si>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</si>
  <si>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</si>
  <si>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</si>
  <si>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</si>
  <si>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</si>
  <si>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</si>
  <si>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</si>
  <si>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CDO Delta CSR</t>
  </si>
  <si>
    <t>CDO Delta GIRR</t>
  </si>
  <si>
    <t>CDS Delta GIRR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</si>
</sst>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7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6" fillId="2" borderId="6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174" fontId="0" fillId="0" borderId="0" xfId="0" applyNumberFormat="1"/>
    <xf numFmtId="177" fontId="48" fillId="4" borderId="5" xfId="0" applyNumberFormat="1" applyFont="1" applyFill="1" applyBorder="1"/>
    <xf numFmtId="177" fontId="48" fillId="4" borderId="14" xfId="0" applyNumberFormat="1" applyFont="1" applyFill="1" applyBorder="1"/>
    <xf numFmtId="177" fontId="48" fillId="4" borderId="6" xfId="0" applyNumberFormat="1" applyFont="1" applyFill="1" applyBorder="1"/>
    <xf numFmtId="177" fontId="48" fillId="4" borderId="0" xfId="0" applyNumberFormat="1" applyFont="1" applyFill="1"/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77" fontId="48" fillId="4" borderId="0" xfId="0" applyNumberFormat="1" applyFont="1" applyFill="1" applyBorder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E6640A"/>
      <color rgb="FFE66E0A"/>
      <color rgb="FF008000"/>
      <color rgb="FF3399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2.2314382502594465E-3</c:v>
                </c:pt>
                <c:pt idx="1">
                  <c:v>2.2314382502606387E-3</c:v>
                </c:pt>
                <c:pt idx="2">
                  <c:v>2.231438250258384E-3</c:v>
                </c:pt>
                <c:pt idx="3">
                  <c:v>2.2314382502593316E-3</c:v>
                </c:pt>
                <c:pt idx="4">
                  <c:v>2.2314382502593285E-3</c:v>
                </c:pt>
                <c:pt idx="5">
                  <c:v>2.2314382502600697E-3</c:v>
                </c:pt>
                <c:pt idx="6">
                  <c:v>4.9908682437457223E-3</c:v>
                </c:pt>
                <c:pt idx="7">
                  <c:v>4.9908682437436475E-3</c:v>
                </c:pt>
                <c:pt idx="8">
                  <c:v>4.9908682437457223E-3</c:v>
                </c:pt>
                <c:pt idx="9">
                  <c:v>4.9908682437450119E-3</c:v>
                </c:pt>
                <c:pt idx="10">
                  <c:v>4.9908682437444151E-3</c:v>
                </c:pt>
                <c:pt idx="11">
                  <c:v>4.9908682437457092E-3</c:v>
                </c:pt>
                <c:pt idx="12">
                  <c:v>5.655538823121641E-3</c:v>
                </c:pt>
                <c:pt idx="13">
                  <c:v>5.6555388231222786E-3</c:v>
                </c:pt>
                <c:pt idx="14">
                  <c:v>5.6555388231202741E-3</c:v>
                </c:pt>
                <c:pt idx="15">
                  <c:v>5.6555388231209706E-3</c:v>
                </c:pt>
                <c:pt idx="16">
                  <c:v>5.6555388231222786E-3</c:v>
                </c:pt>
                <c:pt idx="17">
                  <c:v>5.6555388231207208E-3</c:v>
                </c:pt>
                <c:pt idx="18">
                  <c:v>5.6555388231209706E-3</c:v>
                </c:pt>
                <c:pt idx="19">
                  <c:v>5.6555388231216254E-3</c:v>
                </c:pt>
                <c:pt idx="20">
                  <c:v>5.6555388231209706E-3</c:v>
                </c:pt>
                <c:pt idx="21">
                  <c:v>5.655538823121641E-3</c:v>
                </c:pt>
                <c:pt idx="22">
                  <c:v>5.6555388231209706E-3</c:v>
                </c:pt>
                <c:pt idx="23">
                  <c:v>5.6555388231209706E-3</c:v>
                </c:pt>
                <c:pt idx="24">
                  <c:v>7.5584777660327928E-3</c:v>
                </c:pt>
                <c:pt idx="25">
                  <c:v>7.5584777660309532E-3</c:v>
                </c:pt>
                <c:pt idx="26">
                  <c:v>7.5584777660328336E-3</c:v>
                </c:pt>
                <c:pt idx="27">
                  <c:v>7.5584777660322611E-3</c:v>
                </c:pt>
                <c:pt idx="28">
                  <c:v>7.5584777660322611E-3</c:v>
                </c:pt>
                <c:pt idx="29">
                  <c:v>7.5584777660315317E-3</c:v>
                </c:pt>
                <c:pt idx="30">
                  <c:v>7.5584777660335683E-3</c:v>
                </c:pt>
                <c:pt idx="31">
                  <c:v>7.5584777660328336E-3</c:v>
                </c:pt>
                <c:pt idx="32">
                  <c:v>7.5584777660309532E-3</c:v>
                </c:pt>
                <c:pt idx="33">
                  <c:v>7.5584777660314814E-3</c:v>
                </c:pt>
                <c:pt idx="34">
                  <c:v>7.5584777660322611E-3</c:v>
                </c:pt>
                <c:pt idx="35">
                  <c:v>7.5584777660335683E-3</c:v>
                </c:pt>
                <c:pt idx="36">
                  <c:v>9.3013114917555855E-3</c:v>
                </c:pt>
                <c:pt idx="37">
                  <c:v>9.3013114917548101E-3</c:v>
                </c:pt>
                <c:pt idx="38">
                  <c:v>9.3013114917569872E-3</c:v>
                </c:pt>
                <c:pt idx="39">
                  <c:v>9.3013114917535021E-3</c:v>
                </c:pt>
                <c:pt idx="40">
                  <c:v>9.3013114917561198E-3</c:v>
                </c:pt>
                <c:pt idx="41">
                  <c:v>9.3013114917572231E-3</c:v>
                </c:pt>
                <c:pt idx="42">
                  <c:v>9.3013114917535021E-3</c:v>
                </c:pt>
                <c:pt idx="43">
                  <c:v>9.3013114917555855E-3</c:v>
                </c:pt>
                <c:pt idx="44">
                  <c:v>9.3013114917561198E-3</c:v>
                </c:pt>
                <c:pt idx="45">
                  <c:v>9.3013114917556358E-3</c:v>
                </c:pt>
                <c:pt idx="46">
                  <c:v>9.3013114917548587E-3</c:v>
                </c:pt>
                <c:pt idx="47">
                  <c:v>9.3013114917547615E-3</c:v>
                </c:pt>
                <c:pt idx="48">
                  <c:v>9.3013114917555855E-3</c:v>
                </c:pt>
                <c:pt idx="49">
                  <c:v>9.3013114917561684E-3</c:v>
                </c:pt>
                <c:pt idx="50">
                  <c:v>9.3013114917555855E-3</c:v>
                </c:pt>
                <c:pt idx="51">
                  <c:v>9.3013114917535507E-3</c:v>
                </c:pt>
                <c:pt idx="52">
                  <c:v>9.3013114917560712E-3</c:v>
                </c:pt>
                <c:pt idx="53">
                  <c:v>9.3013114917551761E-3</c:v>
                </c:pt>
                <c:pt idx="54">
                  <c:v>9.3013114917548587E-3</c:v>
                </c:pt>
                <c:pt idx="55">
                  <c:v>9.3013114917555855E-3</c:v>
                </c:pt>
                <c:pt idx="56">
                  <c:v>9.3013114917561684E-3</c:v>
                </c:pt>
                <c:pt idx="57">
                  <c:v>9.3013114917542324E-3</c:v>
                </c:pt>
                <c:pt idx="58">
                  <c:v>9.3013114917548587E-3</c:v>
                </c:pt>
                <c:pt idx="59">
                  <c:v>9.3013114917560712E-3</c:v>
                </c:pt>
                <c:pt idx="60">
                  <c:v>9.5085844200276121E-3</c:v>
                </c:pt>
                <c:pt idx="61">
                  <c:v>9.5085844200288507E-3</c:v>
                </c:pt>
                <c:pt idx="62">
                  <c:v>9.5085844200289635E-3</c:v>
                </c:pt>
                <c:pt idx="63">
                  <c:v>9.5085844200275427E-3</c:v>
                </c:pt>
                <c:pt idx="64">
                  <c:v>9.5085844200300598E-3</c:v>
                </c:pt>
                <c:pt idx="65">
                  <c:v>9.5085844200259555E-3</c:v>
                </c:pt>
                <c:pt idx="66">
                  <c:v>9.5085844200301587E-3</c:v>
                </c:pt>
                <c:pt idx="67">
                  <c:v>9.5085844200276121E-3</c:v>
                </c:pt>
                <c:pt idx="68">
                  <c:v>9.5085844200288507E-3</c:v>
                </c:pt>
                <c:pt idx="69">
                  <c:v>9.5085844200289635E-3</c:v>
                </c:pt>
                <c:pt idx="70">
                  <c:v>9.5085844200288507E-3</c:v>
                </c:pt>
                <c:pt idx="71">
                  <c:v>9.5085844200300598E-3</c:v>
                </c:pt>
                <c:pt idx="72">
                  <c:v>9.5085844200289635E-3</c:v>
                </c:pt>
                <c:pt idx="73">
                  <c:v>9.5085844200275427E-3</c:v>
                </c:pt>
                <c:pt idx="74">
                  <c:v>9.5085844200289635E-3</c:v>
                </c:pt>
                <c:pt idx="75">
                  <c:v>9.5085844200288507E-3</c:v>
                </c:pt>
                <c:pt idx="76">
                  <c:v>9.5085844200287501E-3</c:v>
                </c:pt>
                <c:pt idx="77">
                  <c:v>9.508584420027404E-3</c:v>
                </c:pt>
                <c:pt idx="78">
                  <c:v>9.5085844200288507E-3</c:v>
                </c:pt>
                <c:pt idx="79">
                  <c:v>9.5085844200289635E-3</c:v>
                </c:pt>
                <c:pt idx="80">
                  <c:v>9.5085844200288507E-3</c:v>
                </c:pt>
                <c:pt idx="81">
                  <c:v>9.5085844200276121E-3</c:v>
                </c:pt>
                <c:pt idx="82">
                  <c:v>9.5085844200288507E-3</c:v>
                </c:pt>
                <c:pt idx="83">
                  <c:v>9.5085844200287501E-3</c:v>
                </c:pt>
                <c:pt idx="84">
                  <c:v>1.0203549514489655E-2</c:v>
                </c:pt>
                <c:pt idx="85">
                  <c:v>1.0203549514491334E-2</c:v>
                </c:pt>
                <c:pt idx="86">
                  <c:v>1.0203549514489655E-2</c:v>
                </c:pt>
                <c:pt idx="87">
                  <c:v>1.0203549514490026E-2</c:v>
                </c:pt>
                <c:pt idx="88">
                  <c:v>1.0203549514488611E-2</c:v>
                </c:pt>
                <c:pt idx="89">
                  <c:v>1.0203549514491391E-2</c:v>
                </c:pt>
                <c:pt idx="90">
                  <c:v>1.0203549514491334E-2</c:v>
                </c:pt>
                <c:pt idx="91">
                  <c:v>1.0203549514491008E-2</c:v>
                </c:pt>
                <c:pt idx="92">
                  <c:v>1.0203549514490026E-2</c:v>
                </c:pt>
                <c:pt idx="93">
                  <c:v>1.0203549514489766E-2</c:v>
                </c:pt>
                <c:pt idx="94">
                  <c:v>1.0203549514491228E-2</c:v>
                </c:pt>
                <c:pt idx="95">
                  <c:v>1.0203549514488611E-2</c:v>
                </c:pt>
                <c:pt idx="96">
                  <c:v>1.0203549514491117E-2</c:v>
                </c:pt>
                <c:pt idx="97">
                  <c:v>1.020354951448992E-2</c:v>
                </c:pt>
                <c:pt idx="98">
                  <c:v>1.0203549514491117E-2</c:v>
                </c:pt>
                <c:pt idx="99">
                  <c:v>1.020354951448992E-2</c:v>
                </c:pt>
                <c:pt idx="100">
                  <c:v>1.0203549514491228E-2</c:v>
                </c:pt>
                <c:pt idx="101">
                  <c:v>1.02035495144891E-2</c:v>
                </c:pt>
                <c:pt idx="102">
                  <c:v>1.0203549514491228E-2</c:v>
                </c:pt>
                <c:pt idx="103">
                  <c:v>1.0203549514491117E-2</c:v>
                </c:pt>
                <c:pt idx="104">
                  <c:v>1.020354951448992E-2</c:v>
                </c:pt>
                <c:pt idx="105">
                  <c:v>1.0203549514491117E-2</c:v>
                </c:pt>
                <c:pt idx="106">
                  <c:v>1.020354951448992E-2</c:v>
                </c:pt>
                <c:pt idx="107">
                  <c:v>1.020354951448992E-2</c:v>
                </c:pt>
                <c:pt idx="108">
                  <c:v>1.0203549514491117E-2</c:v>
                </c:pt>
                <c:pt idx="109">
                  <c:v>1.020354951448992E-2</c:v>
                </c:pt>
                <c:pt idx="110">
                  <c:v>1.0203549514491117E-2</c:v>
                </c:pt>
                <c:pt idx="111">
                  <c:v>1.020354951448992E-2</c:v>
                </c:pt>
                <c:pt idx="112">
                  <c:v>1.0203549514491228E-2</c:v>
                </c:pt>
                <c:pt idx="113">
                  <c:v>1.0203549514490548E-2</c:v>
                </c:pt>
                <c:pt idx="114">
                  <c:v>1.0203549514488611E-2</c:v>
                </c:pt>
                <c:pt idx="115">
                  <c:v>1.020354951449247E-2</c:v>
                </c:pt>
                <c:pt idx="116">
                  <c:v>1.020354951448992E-2</c:v>
                </c:pt>
                <c:pt idx="117">
                  <c:v>1.0203549514489766E-2</c:v>
                </c:pt>
                <c:pt idx="118">
                  <c:v>1.020354951448992E-2</c:v>
                </c:pt>
                <c:pt idx="119">
                  <c:v>1.0203549514492536E-2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6.6615273203374237E-4</c:v>
                </c:pt>
                <c:pt idx="1">
                  <c:v>8.5552795048782215E-4</c:v>
                </c:pt>
                <c:pt idx="2">
                  <c:v>1.0387601217682896E-3</c:v>
                </c:pt>
                <c:pt idx="3">
                  <c:v>1.228064730579681E-3</c:v>
                </c:pt>
                <c:pt idx="4">
                  <c:v>1.4173334658921233E-3</c:v>
                </c:pt>
                <c:pt idx="5">
                  <c:v>1.5882550435979415E-3</c:v>
                </c:pt>
                <c:pt idx="6">
                  <c:v>2.0113740887636178E-3</c:v>
                </c:pt>
                <c:pt idx="7">
                  <c:v>2.420673400383877E-3</c:v>
                </c:pt>
                <c:pt idx="8">
                  <c:v>2.8434396731967793E-3</c:v>
                </c:pt>
                <c:pt idx="9">
                  <c:v>3.2523977345643162E-3</c:v>
                </c:pt>
                <c:pt idx="10">
                  <c:v>3.6748115291456163E-3</c:v>
                </c:pt>
                <c:pt idx="11">
                  <c:v>4.0970463080831632E-3</c:v>
                </c:pt>
                <c:pt idx="12">
                  <c:v>4.5598730710892932E-3</c:v>
                </c:pt>
                <c:pt idx="13">
                  <c:v>5.0379014301971115E-3</c:v>
                </c:pt>
                <c:pt idx="14">
                  <c:v>5.5002909488622853E-3</c:v>
                </c:pt>
                <c:pt idx="15">
                  <c:v>5.9778677022903626E-3</c:v>
                </c:pt>
                <c:pt idx="16">
                  <c:v>6.4552151147209136E-3</c:v>
                </c:pt>
                <c:pt idx="17">
                  <c:v>6.8861705844009968E-3</c:v>
                </c:pt>
                <c:pt idx="18">
                  <c:v>7.3630818133538778E-3</c:v>
                </c:pt>
                <c:pt idx="19">
                  <c:v>7.8243907491107878E-3</c:v>
                </c:pt>
                <c:pt idx="20">
                  <c:v>8.3008514277657097E-3</c:v>
                </c:pt>
                <c:pt idx="21">
                  <c:v>8.7617245531120824E-3</c:v>
                </c:pt>
                <c:pt idx="22">
                  <c:v>9.2377351071154523E-3</c:v>
                </c:pt>
                <c:pt idx="23">
                  <c:v>9.7135170722384423E-3</c:v>
                </c:pt>
                <c:pt idx="24">
                  <c:v>1.0328536290157064E-2</c:v>
                </c:pt>
                <c:pt idx="25">
                  <c:v>1.0963654882501062E-2</c:v>
                </c:pt>
                <c:pt idx="26">
                  <c:v>1.1577897700063233E-2</c:v>
                </c:pt>
                <c:pt idx="27">
                  <c:v>1.2212214518597442E-2</c:v>
                </c:pt>
                <c:pt idx="28">
                  <c:v>1.2846124266280734E-2</c:v>
                </c:pt>
                <c:pt idx="29">
                  <c:v>1.3418338240567929E-2</c:v>
                </c:pt>
                <c:pt idx="30">
                  <c:v>1.4051473962093497E-2</c:v>
                </c:pt>
                <c:pt idx="31">
                  <c:v>1.4663799084010831E-2</c:v>
                </c:pt>
                <c:pt idx="32">
                  <c:v>1.5296135534902833E-2</c:v>
                </c:pt>
                <c:pt idx="33">
                  <c:v>1.5907687657490843E-2</c:v>
                </c:pt>
                <c:pt idx="34">
                  <c:v>1.6539225846748828E-2</c:v>
                </c:pt>
                <c:pt idx="35">
                  <c:v>1.7170358748332726E-2</c:v>
                </c:pt>
                <c:pt idx="36">
                  <c:v>1.7921436380226918E-2</c:v>
                </c:pt>
                <c:pt idx="37">
                  <c:v>1.8696946947854509E-2</c:v>
                </c:pt>
                <c:pt idx="38">
                  <c:v>1.9446857962258202E-2</c:v>
                </c:pt>
                <c:pt idx="39">
                  <c:v>2.0221163961737343E-2</c:v>
                </c:pt>
                <c:pt idx="40">
                  <c:v>2.0994858520841708E-2</c:v>
                </c:pt>
                <c:pt idx="41">
                  <c:v>2.1718084188421027E-2</c:v>
                </c:pt>
                <c:pt idx="42">
                  <c:v>2.249059668582698E-2</c:v>
                </c:pt>
                <c:pt idx="43">
                  <c:v>2.3237608596111348E-2</c:v>
                </c:pt>
                <c:pt idx="44">
                  <c:v>2.4008921182146259E-2</c:v>
                </c:pt>
                <c:pt idx="45">
                  <c:v>2.4754772790055446E-2</c:v>
                </c:pt>
                <c:pt idx="46">
                  <c:v>2.552488732849123E-2</c:v>
                </c:pt>
                <c:pt idx="47">
                  <c:v>2.629439373639153E-2</c:v>
                </c:pt>
                <c:pt idx="48">
                  <c:v>2.7038498787988474E-2</c:v>
                </c:pt>
                <c:pt idx="49">
                  <c:v>2.7806809953750733E-2</c:v>
                </c:pt>
                <c:pt idx="50">
                  <c:v>2.8549759218074566E-2</c:v>
                </c:pt>
                <c:pt idx="51">
                  <c:v>2.9316876998218278E-2</c:v>
                </c:pt>
                <c:pt idx="52">
                  <c:v>3.0083389014254114E-2</c:v>
                </c:pt>
                <c:pt idx="53">
                  <c:v>3.0775202178815908E-2</c:v>
                </c:pt>
                <c:pt idx="54">
                  <c:v>3.1540562610212208E-2</c:v>
                </c:pt>
                <c:pt idx="55">
                  <c:v>3.2280658543718976E-2</c:v>
                </c:pt>
                <c:pt idx="56">
                  <c:v>3.3044830172749284E-2</c:v>
                </c:pt>
                <c:pt idx="57">
                  <c:v>3.3783776546178479E-2</c:v>
                </c:pt>
                <c:pt idx="58">
                  <c:v>3.4546761219359734E-2</c:v>
                </c:pt>
                <c:pt idx="59">
                  <c:v>3.5309143392192377E-2</c:v>
                </c:pt>
                <c:pt idx="60">
                  <c:v>3.6062781279960099E-2</c:v>
                </c:pt>
                <c:pt idx="61">
                  <c:v>3.6840921912375202E-2</c:v>
                </c:pt>
                <c:pt idx="62">
                  <c:v>3.7593363140798197E-2</c:v>
                </c:pt>
                <c:pt idx="63">
                  <c:v>3.8370268207334024E-2</c:v>
                </c:pt>
                <c:pt idx="64">
                  <c:v>3.9146546115391145E-2</c:v>
                </c:pt>
                <c:pt idx="65">
                  <c:v>3.9847161719960611E-2</c:v>
                </c:pt>
                <c:pt idx="66">
                  <c:v>4.0622247402186451E-2</c:v>
                </c:pt>
                <c:pt idx="67">
                  <c:v>4.1371734575291419E-2</c:v>
                </c:pt>
                <c:pt idx="68">
                  <c:v>4.2145589542422091E-2</c:v>
                </c:pt>
                <c:pt idx="69">
                  <c:v>4.2893886646869328E-2</c:v>
                </c:pt>
                <c:pt idx="70">
                  <c:v>4.3666512853088313E-2</c:v>
                </c:pt>
                <c:pt idx="71">
                  <c:v>4.4438515354948804E-2</c:v>
                </c:pt>
                <c:pt idx="72">
                  <c:v>4.5185021174909079E-2</c:v>
                </c:pt>
                <c:pt idx="73">
                  <c:v>4.5955797857283542E-2</c:v>
                </c:pt>
                <c:pt idx="74">
                  <c:v>4.6701118342509562E-2</c:v>
                </c:pt>
                <c:pt idx="75">
                  <c:v>4.7470671151808252E-2</c:v>
                </c:pt>
                <c:pt idx="76">
                  <c:v>4.8239602737755405E-2</c:v>
                </c:pt>
                <c:pt idx="77">
                  <c:v>4.8933588051995991E-2</c:v>
                </c:pt>
                <c:pt idx="78">
                  <c:v>4.9701338694765784E-2</c:v>
                </c:pt>
                <c:pt idx="79">
                  <c:v>5.0443733080437703E-2</c:v>
                </c:pt>
                <c:pt idx="80">
                  <c:v>5.1210264655010218E-2</c:v>
                </c:pt>
                <c:pt idx="81">
                  <c:v>5.1951480234263769E-2</c:v>
                </c:pt>
                <c:pt idx="82">
                  <c:v>5.271679467632906E-2</c:v>
                </c:pt>
                <c:pt idx="83">
                  <c:v>5.3481491316474949E-2</c:v>
                </c:pt>
                <c:pt idx="84">
                  <c:v>5.4274954316563484E-2</c:v>
                </c:pt>
                <c:pt idx="85">
                  <c:v>5.5094167305316133E-2</c:v>
                </c:pt>
                <c:pt idx="86">
                  <c:v>5.5886278405028245E-2</c:v>
                </c:pt>
                <c:pt idx="87">
                  <c:v>5.670409562063472E-2</c:v>
                </c:pt>
                <c:pt idx="88">
                  <c:v>5.7521204420524996E-2</c:v>
                </c:pt>
                <c:pt idx="89">
                  <c:v>5.8284955733562849E-2</c:v>
                </c:pt>
                <c:pt idx="90">
                  <c:v>5.9100695149038818E-2</c:v>
                </c:pt>
                <c:pt idx="91">
                  <c:v>5.9889447591129796E-2</c:v>
                </c:pt>
                <c:pt idx="92">
                  <c:v>6.0703797151725469E-2</c:v>
                </c:pt>
                <c:pt idx="93">
                  <c:v>6.1491205719277353E-2</c:v>
                </c:pt>
                <c:pt idx="94">
                  <c:v>6.230416779302439E-2</c:v>
                </c:pt>
                <c:pt idx="95">
                  <c:v>6.3116425656712272E-2</c:v>
                </c:pt>
                <c:pt idx="96">
                  <c:v>6.3901811726622459E-2</c:v>
                </c:pt>
                <c:pt idx="97">
                  <c:v>6.4712685667289938E-2</c:v>
                </c:pt>
                <c:pt idx="98">
                  <c:v>6.5496733598278123E-2</c:v>
                </c:pt>
                <c:pt idx="99">
                  <c:v>6.6306225973849831E-2</c:v>
                </c:pt>
                <c:pt idx="100">
                  <c:v>6.7115017144910527E-2</c:v>
                </c:pt>
                <c:pt idx="101">
                  <c:v>6.7844936007652068E-2</c:v>
                </c:pt>
                <c:pt idx="102">
                  <c:v>6.865239430585357E-2</c:v>
                </c:pt>
                <c:pt idx="103">
                  <c:v>6.9433139593515492E-2</c:v>
                </c:pt>
                <c:pt idx="104">
                  <c:v>7.023922214618461E-2</c:v>
                </c:pt>
                <c:pt idx="105">
                  <c:v>7.1018637201878287E-2</c:v>
                </c:pt>
                <c:pt idx="106">
                  <c:v>7.1823346353007134E-2</c:v>
                </c:pt>
                <c:pt idx="107">
                  <c:v>7.2627358442985179E-2</c:v>
                </c:pt>
                <c:pt idx="108">
                  <c:v>7.3404771532765589E-2</c:v>
                </c:pt>
                <c:pt idx="109">
                  <c:v>7.4207413748852757E-2</c:v>
                </c:pt>
                <c:pt idx="110">
                  <c:v>7.4983502284055703E-2</c:v>
                </c:pt>
                <c:pt idx="111">
                  <c:v>7.5784776960239886E-2</c:v>
                </c:pt>
                <c:pt idx="112">
                  <c:v>7.6585357550309707E-2</c:v>
                </c:pt>
                <c:pt idx="113">
                  <c:v>7.7307866517699275E-2</c:v>
                </c:pt>
                <c:pt idx="114">
                  <c:v>7.8107127765795092E-2</c:v>
                </c:pt>
                <c:pt idx="115">
                  <c:v>7.8879947185016785E-2</c:v>
                </c:pt>
                <c:pt idx="116">
                  <c:v>7.9677846653694928E-2</c:v>
                </c:pt>
                <c:pt idx="117">
                  <c:v>8.0449349345024013E-2</c:v>
                </c:pt>
                <c:pt idx="118">
                  <c:v>8.124588935448096E-2</c:v>
                </c:pt>
                <c:pt idx="119">
                  <c:v>8.2041739379121958E-2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43963</xdr:colOff>
      <xdr:row>0</xdr:row>
      <xdr:rowOff>95251</xdr:rowOff>
    </xdr:from>
    <xdr:to>
      <xdr:col>19</xdr:col>
      <xdr:colOff>434487</xdr:colOff>
      <xdr:row>7</xdr:row>
      <xdr:rowOff>149760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4155" y="95251"/>
          <a:ext cx="3099288" cy="11310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16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3</xdr:col>
      <xdr:colOff>390874</xdr:colOff>
      <xdr:row>2</xdr:row>
      <xdr:rowOff>253120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5</xdr:row>
          <xdr:rowOff>123825</xdr:rowOff>
        </xdr:from>
        <xdr:to>
          <xdr:col>12</xdr:col>
          <xdr:colOff>428625</xdr:colOff>
          <xdr:row>7</xdr:row>
          <xdr:rowOff>47625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7" sqref="H7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45476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1"/>
  <sheetViews>
    <sheetView showGridLines="0" topLeftCell="A4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45470</v>
      </c>
      <c r="D7" s="110"/>
      <c r="E7" s="111"/>
      <c r="F7" s="528" t="s">
        <v>48</v>
      </c>
      <c r="G7" s="529"/>
      <c r="H7" s="529"/>
      <c r="I7" s="529"/>
      <c r="J7" s="529"/>
      <c r="K7" s="529"/>
      <c r="L7" s="529"/>
      <c r="M7" s="529"/>
      <c r="N7" s="529"/>
      <c r="O7" s="529"/>
      <c r="P7" s="529"/>
      <c r="Q7" s="530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621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25" t="s">
        <v>68</v>
      </c>
      <c r="G13" s="526"/>
      <c r="H13" s="526"/>
      <c r="I13" s="526"/>
      <c r="J13" s="526"/>
      <c r="K13" s="526"/>
      <c r="L13" s="526"/>
      <c r="M13" s="526"/>
      <c r="N13" s="526"/>
      <c r="O13" s="526"/>
      <c r="P13" s="526"/>
      <c r="Q13" s="527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  <row r="21" spans="6:6">
      <c r="F21" s="169"/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33" t="s">
        <v>21</v>
      </c>
      <c r="D5" s="534"/>
      <c r="F5" s="531" t="s">
        <v>23</v>
      </c>
      <c r="G5" s="532"/>
      <c r="I5" s="531" t="s">
        <v>22</v>
      </c>
      <c r="J5" s="532"/>
      <c r="R5" s="533" t="s">
        <v>39</v>
      </c>
      <c r="S5" s="534"/>
      <c r="U5" s="531" t="s">
        <v>40</v>
      </c>
      <c r="V5" s="532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20.905974634124664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33" t="s">
        <v>21</v>
      </c>
      <c r="C20" s="535"/>
      <c r="D20" s="535"/>
      <c r="E20" s="535"/>
      <c r="F20" s="535"/>
      <c r="G20" s="535"/>
      <c r="H20" s="535"/>
      <c r="I20" s="535"/>
      <c r="J20" s="534"/>
      <c r="L20" s="533" t="s">
        <v>23</v>
      </c>
      <c r="M20" s="534"/>
      <c r="O20" s="533" t="s">
        <v>22</v>
      </c>
      <c r="P20" s="534"/>
      <c r="R20" s="536" t="s">
        <v>39</v>
      </c>
      <c r="S20" s="537"/>
      <c r="T20" s="537"/>
      <c r="U20" s="537"/>
      <c r="V20" s="537"/>
      <c r="W20" s="537"/>
      <c r="X20" s="538"/>
      <c r="Z20" s="531" t="s">
        <v>40</v>
      </c>
      <c r="AA20" s="532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8.9166795550551345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B12" sqref="B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28" t="s">
        <v>72</v>
      </c>
      <c r="H2" s="529"/>
      <c r="I2" s="529"/>
      <c r="J2" s="145" t="b">
        <v>1</v>
      </c>
    </row>
    <row r="3" spans="1:50" ht="15.75" thickBot="1">
      <c r="J3" s="99"/>
    </row>
    <row r="4" spans="1:50" ht="15.75" thickBot="1">
      <c r="G4" s="528" t="s">
        <v>73</v>
      </c>
      <c r="H4" s="529"/>
      <c r="I4" s="530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42" t="b">
        <v>1</v>
      </c>
      <c r="D6" s="543"/>
      <c r="E6" s="85"/>
      <c r="F6" s="85"/>
      <c r="G6" s="528" t="s">
        <v>74</v>
      </c>
      <c r="H6" s="529"/>
      <c r="I6" s="530"/>
      <c r="J6" s="140" t="s">
        <v>422</v>
      </c>
      <c r="K6" s="85"/>
      <c r="L6" s="93"/>
      <c r="M6" s="448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</row>
    <row r="7" spans="1:50" s="79" customFormat="1" ht="13.5" customHeight="1" thickBot="1">
      <c r="B7" s="147" t="s">
        <v>71</v>
      </c>
      <c r="C7" s="544">
        <f ca="1">GetCDSRefDate(Parameter_Date,C6)</f>
        <v>45555</v>
      </c>
      <c r="D7" s="545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28" t="s">
        <v>76</v>
      </c>
      <c r="F9" s="529"/>
      <c r="G9" s="529"/>
      <c r="H9" s="529"/>
      <c r="I9" s="529"/>
      <c r="J9" s="529"/>
      <c r="K9" s="529"/>
      <c r="L9" s="529"/>
      <c r="M9" s="530"/>
      <c r="N9" s="539" t="s">
        <v>77</v>
      </c>
      <c r="O9" s="540"/>
      <c r="P9" s="540"/>
      <c r="Q9" s="540"/>
      <c r="R9" s="540"/>
      <c r="S9" s="540"/>
      <c r="T9" s="540"/>
      <c r="U9" s="540"/>
      <c r="V9" s="541"/>
      <c r="W9" s="539" t="s">
        <v>78</v>
      </c>
      <c r="X9" s="540"/>
      <c r="Y9" s="540"/>
      <c r="Z9" s="540"/>
      <c r="AA9" s="540"/>
      <c r="AB9" s="540"/>
      <c r="AC9" s="540"/>
      <c r="AD9" s="540"/>
      <c r="AE9" s="541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45646</v>
      </c>
      <c r="F11" s="152" cm="1">
        <f t="array" aca="1" ref="F11" ca="1">IF(F10="","",GetConvertDate(CDSRollDate,F10))</f>
        <v>45736</v>
      </c>
      <c r="G11" s="152" cm="1">
        <f t="array" aca="1" ref="G11" ca="1">IF(G10="","",GetConvertDate(CDSRollDate,G10))</f>
        <v>45920</v>
      </c>
      <c r="H11" s="152" cm="1">
        <f t="array" aca="1" ref="H11" ca="1">IF(H10="","",GetConvertDate(CDSRollDate,H10))</f>
        <v>46285</v>
      </c>
      <c r="I11" s="152" cm="1">
        <f t="array" aca="1" ref="I11" ca="1">IF(I10="","",GetConvertDate(CDSRollDate,I10))</f>
        <v>46650</v>
      </c>
      <c r="J11" s="152" cm="1">
        <f t="array" aca="1" ref="J11" ca="1">IF(J10="","",GetConvertDate(CDSRollDate,J10))</f>
        <v>47016</v>
      </c>
      <c r="K11" s="152" cm="1">
        <f t="array" aca="1" ref="K11" ca="1">IF(K10="","",GetConvertDate(CDSRollDate,K10))</f>
        <v>47381</v>
      </c>
      <c r="L11" s="152" cm="1">
        <f t="array" aca="1" ref="L11" ca="1">IF(L10="","",GetConvertDate(CDSRollDate,L10))</f>
        <v>48111</v>
      </c>
      <c r="M11" s="475" cm="1">
        <f t="array" aca="1" ref="M11" ca="1">IF(M10="","",GetConvertDate(CDSRollDate,M10))</f>
        <v>49207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1.5882550435979415E-3</v>
      </c>
      <c r="P12" s="133">
        <f ca="1"/>
        <v>4.0970463080831632E-3</v>
      </c>
      <c r="Q12" s="133">
        <f ca="1"/>
        <v>9.7135170722384423E-3</v>
      </c>
      <c r="R12" s="133">
        <f ca="1"/>
        <v>1.7170358748332726E-2</v>
      </c>
      <c r="S12" s="133">
        <f ca="1"/>
        <v>0</v>
      </c>
      <c r="T12" s="133">
        <f ca="1"/>
        <v>3.5309143392192266E-2</v>
      </c>
      <c r="U12" s="133">
        <f ca="1"/>
        <v>5.3481491316474949E-2</v>
      </c>
      <c r="V12" s="134">
        <f ca="1"/>
        <v>8.2041739379121958E-2</v>
      </c>
      <c r="W12" s="132">
        <f ca="1"/>
        <v>0</v>
      </c>
      <c r="X12" s="133">
        <f ca="1"/>
        <v>1.7075635529182343E-3</v>
      </c>
      <c r="Y12" s="133">
        <f ca="1"/>
        <v>4.3003418034698315E-3</v>
      </c>
      <c r="Z12" s="133">
        <f ca="1"/>
        <v>1.0081936763656096E-2</v>
      </c>
      <c r="AA12" s="133">
        <f ca="1"/>
        <v>1.7701402775390784E-2</v>
      </c>
      <c r="AB12" s="133">
        <f ca="1"/>
        <v>0</v>
      </c>
      <c r="AC12" s="133">
        <f ca="1"/>
        <v>3.6154150710710597E-2</v>
      </c>
      <c r="AD12" s="133">
        <f ca="1"/>
        <v>5.4630648124802006E-2</v>
      </c>
      <c r="AE12" s="134">
        <f ca="1"/>
        <v>8.3615182749600447E-2</v>
      </c>
      <c r="AG12" s="463" t="s">
        <v>510</v>
      </c>
      <c r="AH12" s="467">
        <v>8.7500000000000008E-3</v>
      </c>
      <c r="AI12" s="466">
        <v>2026</v>
      </c>
      <c r="AJ12" s="468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9.5564270783932148E-4</v>
      </c>
      <c r="P13" s="162">
        <f ca="1"/>
        <v>2.2526828655696773E-3</v>
      </c>
      <c r="Q13" s="162">
        <f ca="1"/>
        <v>5.9968421973668473E-3</v>
      </c>
      <c r="R13" s="162">
        <f ca="1"/>
        <v>1.2606161876050459E-2</v>
      </c>
      <c r="S13" s="162">
        <f ca="1"/>
        <v>0</v>
      </c>
      <c r="T13" s="162">
        <f ca="1"/>
        <v>3.226125791287715E-2</v>
      </c>
      <c r="U13" s="162">
        <f ca="1"/>
        <v>5.319831889774651E-2</v>
      </c>
      <c r="V13" s="138">
        <f ca="1"/>
        <v>9.2995460072650138E-2</v>
      </c>
      <c r="W13" s="137">
        <f ca="1"/>
        <v>0</v>
      </c>
      <c r="X13" s="162">
        <f ca="1"/>
        <v>1.0750312308801524E-3</v>
      </c>
      <c r="Y13" s="162">
        <f ca="1"/>
        <v>2.4563174820482203E-3</v>
      </c>
      <c r="Z13" s="162">
        <f ca="1"/>
        <v>6.3666283671484081E-3</v>
      </c>
      <c r="AA13" s="162">
        <f ca="1"/>
        <v>1.3139786381579643E-2</v>
      </c>
      <c r="AB13" s="162">
        <f ca="1"/>
        <v>0</v>
      </c>
      <c r="AC13" s="162">
        <f ca="1"/>
        <v>3.3109780718247883E-2</v>
      </c>
      <c r="AD13" s="162">
        <f ca="1"/>
        <v>5.4350049350221918E-2</v>
      </c>
      <c r="AE13" s="138">
        <f ca="1"/>
        <v>9.4549570434982688E-2</v>
      </c>
      <c r="AG13" s="464" t="s">
        <v>511</v>
      </c>
      <c r="AH13" s="467">
        <v>1.6250000000000001E-2</v>
      </c>
      <c r="AI13" s="466">
        <v>2025</v>
      </c>
      <c r="AJ13" s="468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7.1681734951745124E-4</v>
      </c>
      <c r="P14" s="162">
        <f ca="1"/>
        <v>2.0524297329829189E-3</v>
      </c>
      <c r="Q14" s="162">
        <f ca="1"/>
        <v>6.7723152661617325E-3</v>
      </c>
      <c r="R14" s="162">
        <f ca="1"/>
        <v>1.4835486234547668E-2</v>
      </c>
      <c r="S14" s="162">
        <f ca="1"/>
        <v>0</v>
      </c>
      <c r="T14" s="162">
        <f ca="1"/>
        <v>3.5763234046219061E-2</v>
      </c>
      <c r="U14" s="162">
        <f ca="1"/>
        <v>6.3208350199339014E-2</v>
      </c>
      <c r="V14" s="138">
        <f ca="1"/>
        <v>0.10824369111921639</v>
      </c>
      <c r="W14" s="137">
        <f ca="1"/>
        <v>0</v>
      </c>
      <c r="X14" s="162">
        <f ca="1"/>
        <v>8.3623547992150993E-4</v>
      </c>
      <c r="Y14" s="162">
        <f ca="1"/>
        <v>2.2561175933704103E-3</v>
      </c>
      <c r="Z14" s="162">
        <f ca="1"/>
        <v>7.1419134340969803E-3</v>
      </c>
      <c r="AA14" s="162">
        <f ca="1"/>
        <v>1.5368169727301595E-2</v>
      </c>
      <c r="AB14" s="162">
        <f ca="1"/>
        <v>0</v>
      </c>
      <c r="AC14" s="162">
        <f ca="1"/>
        <v>3.660854693660176E-2</v>
      </c>
      <c r="AD14" s="162">
        <f ca="1"/>
        <v>6.4347788156891683E-2</v>
      </c>
      <c r="AE14" s="138">
        <f ca="1"/>
        <v>0.10979962281762945</v>
      </c>
      <c r="AG14" s="465" t="s">
        <v>512</v>
      </c>
      <c r="AH14" s="467">
        <v>1.6250000000000001E-2</v>
      </c>
      <c r="AI14" s="466">
        <v>2026</v>
      </c>
      <c r="AJ14" s="468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1.5047253377024061E-3</v>
      </c>
      <c r="P15" s="162">
        <f ca="1"/>
        <v>3.6236508384914767E-3</v>
      </c>
      <c r="Q15" s="162">
        <f ca="1"/>
        <v>8.9735835041286904E-3</v>
      </c>
      <c r="R15" s="162">
        <f ca="1"/>
        <v>1.5823649084434455E-2</v>
      </c>
      <c r="S15" s="162">
        <f ca="1"/>
        <v>0</v>
      </c>
      <c r="T15" s="162">
        <f ca="1"/>
        <v>3.3630017972967718E-2</v>
      </c>
      <c r="U15" s="162">
        <f ca="1"/>
        <v>5.1988332990654862E-2</v>
      </c>
      <c r="V15" s="138">
        <f ca="1"/>
        <v>7.876979684520391E-2</v>
      </c>
      <c r="W15" s="137">
        <f ca="1"/>
        <v>0</v>
      </c>
      <c r="X15" s="162">
        <f ca="1"/>
        <v>1.6240445470799836E-3</v>
      </c>
      <c r="Y15" s="162">
        <f ca="1"/>
        <v>3.8270264832902523E-3</v>
      </c>
      <c r="Z15" s="162">
        <f ca="1"/>
        <v>9.3422825303322021E-3</v>
      </c>
      <c r="AA15" s="162">
        <f ca="1"/>
        <v>1.6355394134125789E-2</v>
      </c>
      <c r="AB15" s="162">
        <f ca="1"/>
        <v>0</v>
      </c>
      <c r="AC15" s="162">
        <f ca="1"/>
        <v>3.4476687771354042E-2</v>
      </c>
      <c r="AD15" s="162">
        <f ca="1"/>
        <v>5.3139687040148376E-2</v>
      </c>
      <c r="AE15" s="138">
        <f ca="1"/>
        <v>8.0350018996793282E-2</v>
      </c>
      <c r="AG15" s="465" t="s">
        <v>513</v>
      </c>
      <c r="AH15" s="467">
        <v>1.7500000000000002E-2</v>
      </c>
      <c r="AI15" s="466">
        <v>2025</v>
      </c>
      <c r="AJ15" s="468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5.9738334703651752E-4</v>
      </c>
      <c r="P16" s="162">
        <f ca="1"/>
        <v>1.2271130388825657E-3</v>
      </c>
      <c r="Q16" s="162">
        <f ca="1"/>
        <v>4.1386976319039981E-3</v>
      </c>
      <c r="R16" s="162">
        <f ca="1"/>
        <v>8.2334516759456911E-3</v>
      </c>
      <c r="S16" s="162">
        <f ca="1"/>
        <v>0</v>
      </c>
      <c r="T16" s="162">
        <f ca="1"/>
        <v>2.2535944140036124E-2</v>
      </c>
      <c r="U16" s="162">
        <f ca="1"/>
        <v>4.0085734339703083E-2</v>
      </c>
      <c r="V16" s="138">
        <f ca="1"/>
        <v>6.9250432342480295E-2</v>
      </c>
      <c r="W16" s="137">
        <f ca="1"/>
        <v>0</v>
      </c>
      <c r="X16" s="162">
        <f ca="1"/>
        <v>7.1681616400920412E-4</v>
      </c>
      <c r="Y16" s="162">
        <f ca="1"/>
        <v>1.430934331878686E-3</v>
      </c>
      <c r="Z16" s="162">
        <f ca="1"/>
        <v>4.5091712078265678E-3</v>
      </c>
      <c r="AA16" s="162">
        <f ca="1"/>
        <v>8.7691923996332521E-3</v>
      </c>
      <c r="AB16" s="162">
        <f ca="1"/>
        <v>0</v>
      </c>
      <c r="AC16" s="162">
        <f ca="1"/>
        <v>2.3393436652274002E-2</v>
      </c>
      <c r="AD16" s="162">
        <f ca="1"/>
        <v>4.1253375973190676E-2</v>
      </c>
      <c r="AE16" s="138">
        <f ca="1"/>
        <v>7.0851628628113894E-2</v>
      </c>
      <c r="AG16" s="465" t="s">
        <v>514</v>
      </c>
      <c r="AH16" s="467">
        <v>1.2500000000000001E-2</v>
      </c>
      <c r="AI16" s="466">
        <v>2028</v>
      </c>
      <c r="AJ16" s="468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1.4689247624014579E-3</v>
      </c>
      <c r="P17" s="162">
        <f ca="1"/>
        <v>3.2522091766582495E-3</v>
      </c>
      <c r="Q17" s="162">
        <f ca="1"/>
        <v>8.2660201387215748E-3</v>
      </c>
      <c r="R17" s="162">
        <f ca="1"/>
        <v>1.3681333828225339E-2</v>
      </c>
      <c r="S17" s="162">
        <f ca="1"/>
        <v>0</v>
      </c>
      <c r="T17" s="162">
        <f ca="1"/>
        <v>2.8301447784167211E-2</v>
      </c>
      <c r="U17" s="162">
        <f ca="1"/>
        <v>4.4417183777646807E-2</v>
      </c>
      <c r="V17" s="138">
        <f ca="1"/>
        <v>7.0970580117482363E-2</v>
      </c>
      <c r="W17" s="137">
        <f ca="1"/>
        <v>0</v>
      </c>
      <c r="X17" s="162">
        <f ca="1"/>
        <v>1.5882485450624539E-3</v>
      </c>
      <c r="Y17" s="162">
        <f ca="1"/>
        <v>3.4556443978748241E-3</v>
      </c>
      <c r="Z17" s="162">
        <f ca="1"/>
        <v>8.6349737494326728E-3</v>
      </c>
      <c r="AA17" s="162">
        <f ca="1"/>
        <v>1.4214067443185874E-2</v>
      </c>
      <c r="AB17" s="162">
        <f ca="1"/>
        <v>0</v>
      </c>
      <c r="AC17" s="162">
        <f ca="1"/>
        <v>2.9152903108002448E-2</v>
      </c>
      <c r="AD17" s="162">
        <f ca="1"/>
        <v>4.5577402524251243E-2</v>
      </c>
      <c r="AE17" s="138">
        <f ca="1"/>
        <v>7.2565165202973181E-2</v>
      </c>
      <c r="AG17" s="465" t="s">
        <v>515</v>
      </c>
      <c r="AH17" s="467">
        <v>3.4000000000000002E-2</v>
      </c>
      <c r="AI17" s="466">
        <v>2030</v>
      </c>
      <c r="AJ17" s="468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5.9738334703651752E-4</v>
      </c>
      <c r="P18" s="162">
        <f ca="1"/>
        <v>2.884319877668684E-3</v>
      </c>
      <c r="Q18" s="162">
        <f ca="1"/>
        <v>9.028360060699292E-3</v>
      </c>
      <c r="R18" s="162">
        <f ca="1"/>
        <v>1.9192754730785078E-2</v>
      </c>
      <c r="S18" s="162">
        <f ca="1"/>
        <v>0</v>
      </c>
      <c r="T18" s="162">
        <f ca="1"/>
        <v>5.0899432332707217E-2</v>
      </c>
      <c r="U18" s="162">
        <f ca="1"/>
        <v>8.5932234138943131E-2</v>
      </c>
      <c r="V18" s="138">
        <f ca="1"/>
        <v>0.14605915209726039</v>
      </c>
      <c r="W18" s="137">
        <f ca="1"/>
        <v>0</v>
      </c>
      <c r="X18" s="162">
        <f ca="1"/>
        <v>7.1681616400920412E-4</v>
      </c>
      <c r="Y18" s="162">
        <f ca="1"/>
        <v>3.0878940411134259E-3</v>
      </c>
      <c r="Z18" s="162">
        <f ca="1"/>
        <v>9.3971994501782508E-3</v>
      </c>
      <c r="AA18" s="162">
        <f ca="1"/>
        <v>1.9723281921669722E-2</v>
      </c>
      <c r="AB18" s="162">
        <f ca="1"/>
        <v>0</v>
      </c>
      <c r="AC18" s="162">
        <f ca="1"/>
        <v>5.1728831932962072E-2</v>
      </c>
      <c r="AD18" s="162">
        <f ca="1"/>
        <v>8.7043319916863426E-2</v>
      </c>
      <c r="AE18" s="138">
        <f ca="1"/>
        <v>0.14756025765204006</v>
      </c>
      <c r="AG18" s="465" t="s">
        <v>516</v>
      </c>
      <c r="AH18" s="467">
        <v>1.375E-2</v>
      </c>
      <c r="AI18" s="466">
        <v>2027</v>
      </c>
      <c r="AJ18" s="468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1.5524574501400989E-3</v>
      </c>
      <c r="P19" s="162">
        <f ca="1"/>
        <v>2.8565251241751133E-3</v>
      </c>
      <c r="Q19" s="162">
        <f ca="1"/>
        <v>9.7595357488626799E-3</v>
      </c>
      <c r="R19" s="162">
        <f ca="1"/>
        <v>1.8002942248533382E-2</v>
      </c>
      <c r="S19" s="162">
        <f ca="1"/>
        <v>0</v>
      </c>
      <c r="T19" s="162">
        <f ca="1"/>
        <v>4.6333050843330836E-2</v>
      </c>
      <c r="U19" s="162">
        <f ca="1"/>
        <v>8.124213344547726E-2</v>
      </c>
      <c r="V19" s="138">
        <f ca="1"/>
        <v>0.13605945883799397</v>
      </c>
      <c r="W19" s="137">
        <f ca="1"/>
        <v>0</v>
      </c>
      <c r="X19" s="162">
        <f ca="1"/>
        <v>1.6717705502329316E-3</v>
      </c>
      <c r="Y19" s="162">
        <f ca="1"/>
        <v>3.0600113758347813E-3</v>
      </c>
      <c r="Z19" s="162">
        <f ca="1"/>
        <v>1.012804292577385E-2</v>
      </c>
      <c r="AA19" s="162">
        <f ca="1"/>
        <v>1.8533806500774186E-2</v>
      </c>
      <c r="AB19" s="162">
        <f ca="1"/>
        <v>0</v>
      </c>
      <c r="AC19" s="162">
        <f ca="1"/>
        <v>4.7167176331373128E-2</v>
      </c>
      <c r="AD19" s="162">
        <f ca="1"/>
        <v>8.2358378356187978E-2</v>
      </c>
      <c r="AE19" s="138">
        <f ca="1"/>
        <v>0.13757438397999688</v>
      </c>
      <c r="AG19" s="465" t="s">
        <v>517</v>
      </c>
      <c r="AH19" s="467">
        <v>3.85E-2</v>
      </c>
      <c r="AI19" s="466">
        <v>2027</v>
      </c>
      <c r="AJ19" s="468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3.5847268276523181E-4</v>
      </c>
      <c r="P20" s="162">
        <f ca="1"/>
        <v>1.2338695917818443E-3</v>
      </c>
      <c r="Q20" s="162">
        <f ca="1"/>
        <v>4.1455682560619378E-3</v>
      </c>
      <c r="R20" s="162">
        <f ca="1"/>
        <v>8.8046471964581263E-3</v>
      </c>
      <c r="S20" s="162">
        <f ca="1"/>
        <v>0</v>
      </c>
      <c r="T20" s="162">
        <f ca="1"/>
        <v>2.0641998493191926E-2</v>
      </c>
      <c r="U20" s="162">
        <f ca="1"/>
        <v>3.4884836642370187E-2</v>
      </c>
      <c r="V20" s="138">
        <f ca="1"/>
        <v>6.6207711701516292E-2</v>
      </c>
      <c r="W20" s="137">
        <f ca="1"/>
        <v>0</v>
      </c>
      <c r="X20" s="162">
        <f ca="1"/>
        <v>4.779346426626585E-4</v>
      </c>
      <c r="Y20" s="162">
        <f ca="1"/>
        <v>1.4377139380332693E-3</v>
      </c>
      <c r="Z20" s="162">
        <f ca="1"/>
        <v>4.5160643369029918E-3</v>
      </c>
      <c r="AA20" s="162">
        <f ca="1"/>
        <v>9.340194130741164E-3</v>
      </c>
      <c r="AB20" s="162">
        <f ca="1"/>
        <v>0</v>
      </c>
      <c r="AC20" s="162">
        <f ca="1"/>
        <v>2.1501011942220871E-2</v>
      </c>
      <c r="AD20" s="162">
        <f ca="1"/>
        <v>3.6057746938848556E-2</v>
      </c>
      <c r="AE20" s="138">
        <f ca="1"/>
        <v>6.7813041727162182E-2</v>
      </c>
      <c r="AG20" s="465" t="s">
        <v>518</v>
      </c>
      <c r="AH20" s="467">
        <v>1.6250000000000001E-2</v>
      </c>
      <c r="AI20" s="466">
        <v>2025</v>
      </c>
      <c r="AJ20" s="468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1.4211886739504687E-3</v>
      </c>
      <c r="P21" s="162">
        <f ca="1"/>
        <v>2.9224438558695942E-3</v>
      </c>
      <c r="Q21" s="162">
        <f ca="1"/>
        <v>7.1386224227958373E-3</v>
      </c>
      <c r="R21" s="162">
        <f ca="1"/>
        <v>1.2624242139644859E-2</v>
      </c>
      <c r="S21" s="162">
        <f ca="1"/>
        <v>0</v>
      </c>
      <c r="T21" s="162">
        <f ca="1"/>
        <v>2.7528467538184831E-2</v>
      </c>
      <c r="U21" s="162">
        <f ca="1"/>
        <v>4.3067969963492381E-2</v>
      </c>
      <c r="V21" s="138">
        <f ca="1"/>
        <v>6.7519420323630563E-2</v>
      </c>
      <c r="W21" s="137">
        <f ca="1"/>
        <v>0</v>
      </c>
      <c r="X21" s="162">
        <f ca="1"/>
        <v>1.5405185426607959E-3</v>
      </c>
      <c r="Y21" s="162">
        <f ca="1"/>
        <v>3.1259331364010823E-3</v>
      </c>
      <c r="Z21" s="162">
        <f ca="1"/>
        <v>7.5079536269356817E-3</v>
      </c>
      <c r="AA21" s="162">
        <f ca="1"/>
        <v>1.3157580750420617E-2</v>
      </c>
      <c r="AB21" s="162">
        <f ca="1"/>
        <v>0</v>
      </c>
      <c r="AC21" s="162">
        <f ca="1"/>
        <v>2.8380839948556225E-2</v>
      </c>
      <c r="AD21" s="162">
        <f ca="1"/>
        <v>4.4230173158435027E-2</v>
      </c>
      <c r="AE21" s="138">
        <f ca="1"/>
        <v>6.9120615185588652E-2</v>
      </c>
      <c r="AG21" s="465" t="s">
        <v>519</v>
      </c>
      <c r="AH21" s="467">
        <v>3.7499999999999999E-3</v>
      </c>
      <c r="AI21" s="466">
        <v>2025</v>
      </c>
      <c r="AJ21" s="468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1.4927919545878465E-3</v>
      </c>
      <c r="P22" s="162">
        <f ca="1"/>
        <v>3.3342909599981541E-3</v>
      </c>
      <c r="Q22" s="162">
        <f ca="1"/>
        <v>8.4523750662044428E-3</v>
      </c>
      <c r="R22" s="162">
        <f ca="1"/>
        <v>1.4343109497432338E-2</v>
      </c>
      <c r="S22" s="162">
        <f ca="1"/>
        <v>0</v>
      </c>
      <c r="T22" s="162">
        <f ca="1"/>
        <v>3.0087621601072256E-2</v>
      </c>
      <c r="U22" s="162">
        <f ca="1"/>
        <v>4.7087030662632312E-2</v>
      </c>
      <c r="V22" s="138">
        <f ca="1"/>
        <v>7.4219496579052469E-2</v>
      </c>
      <c r="W22" s="137">
        <f ca="1"/>
        <v>0</v>
      </c>
      <c r="X22" s="162">
        <f ca="1"/>
        <v>1.612112689238554E-3</v>
      </c>
      <c r="Y22" s="162">
        <f ca="1"/>
        <v>3.5377115231401968E-3</v>
      </c>
      <c r="Z22" s="162">
        <f ca="1"/>
        <v>8.8212616019672785E-3</v>
      </c>
      <c r="AA22" s="162">
        <f ca="1"/>
        <v>1.4875546576568754E-2</v>
      </c>
      <c r="AB22" s="162">
        <f ca="1"/>
        <v>0</v>
      </c>
      <c r="AC22" s="162">
        <f ca="1"/>
        <v>3.0937509099752791E-2</v>
      </c>
      <c r="AD22" s="162">
        <f ca="1"/>
        <v>4.8244180401621373E-2</v>
      </c>
      <c r="AE22" s="138">
        <f ca="1"/>
        <v>7.5808180394765889E-2</v>
      </c>
      <c r="AG22" s="465" t="s">
        <v>520</v>
      </c>
      <c r="AH22" s="467">
        <v>0.01</v>
      </c>
      <c r="AI22" s="466">
        <v>2025</v>
      </c>
      <c r="AJ22" s="468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1.2540944695315082E-3</v>
      </c>
      <c r="P23" s="162">
        <f ca="1"/>
        <v>4.2104290146522949E-3</v>
      </c>
      <c r="Q23" s="162">
        <f ca="1"/>
        <v>1.1655673362387375E-2</v>
      </c>
      <c r="R23" s="162">
        <f ca="1"/>
        <v>2.0053726822267248E-2</v>
      </c>
      <c r="S23" s="162">
        <f ca="1"/>
        <v>0</v>
      </c>
      <c r="T23" s="162">
        <f ca="1"/>
        <v>3.9590673359317208E-2</v>
      </c>
      <c r="U23" s="162">
        <f ca="1"/>
        <v>6.125644791834095E-2</v>
      </c>
      <c r="V23" s="138">
        <f ca="1"/>
        <v>9.4535725447003838E-2</v>
      </c>
      <c r="W23" s="137">
        <f ca="1"/>
        <v>0</v>
      </c>
      <c r="X23" s="162">
        <f ca="1"/>
        <v>1.3734455356719799E-3</v>
      </c>
      <c r="Y23" s="162">
        <f ca="1"/>
        <v>4.4137379135256172E-3</v>
      </c>
      <c r="Z23" s="162">
        <f ca="1"/>
        <v>1.2023497517563264E-2</v>
      </c>
      <c r="AA23" s="162">
        <f ca="1"/>
        <v>2.0583397458015518E-2</v>
      </c>
      <c r="AB23" s="162">
        <f ca="1"/>
        <v>0</v>
      </c>
      <c r="AC23" s="162">
        <f ca="1"/>
        <v>4.0431587302882765E-2</v>
      </c>
      <c r="AD23" s="162">
        <f ca="1"/>
        <v>6.23959686034119E-2</v>
      </c>
      <c r="AE23" s="138">
        <f ca="1"/>
        <v>9.6085566979623449E-2</v>
      </c>
      <c r="AG23" s="465" t="s">
        <v>521</v>
      </c>
      <c r="AH23" s="467">
        <v>3.3750000000000002E-2</v>
      </c>
      <c r="AI23" s="466">
        <v>2027</v>
      </c>
      <c r="AJ23" s="468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1.8388024230857614E-3</v>
      </c>
      <c r="P24" s="162">
        <f ca="1"/>
        <v>4.8341441526708051E-3</v>
      </c>
      <c r="Q24" s="162">
        <f ca="1"/>
        <v>1.1500310308856454E-2</v>
      </c>
      <c r="R24" s="162">
        <f ca="1"/>
        <v>1.8279662649144601E-2</v>
      </c>
      <c r="S24" s="162">
        <f ca="1"/>
        <v>0</v>
      </c>
      <c r="T24" s="162">
        <f ca="1"/>
        <v>3.5088309595307621E-2</v>
      </c>
      <c r="U24" s="162">
        <f ca="1"/>
        <v>5.3261160050057654E-2</v>
      </c>
      <c r="V24" s="138">
        <f ca="1"/>
        <v>8.570998356500581E-2</v>
      </c>
      <c r="W24" s="137">
        <f ca="1"/>
        <v>0</v>
      </c>
      <c r="X24" s="162">
        <f ca="1"/>
        <v>1.9580785848485327E-3</v>
      </c>
      <c r="Y24" s="162">
        <f ca="1"/>
        <v>5.0373025775501956E-3</v>
      </c>
      <c r="Z24" s="162">
        <f ca="1"/>
        <v>1.1868078546207528E-2</v>
      </c>
      <c r="AA24" s="162">
        <f ca="1"/>
        <v>1.880993270557807E-2</v>
      </c>
      <c r="AB24" s="162">
        <f ca="1"/>
        <v>0</v>
      </c>
      <c r="AC24" s="162">
        <f ca="1"/>
        <v>3.5933111344413571E-2</v>
      </c>
      <c r="AD24" s="162">
        <f ca="1"/>
        <v>5.4409760150319286E-2</v>
      </c>
      <c r="AE24" s="138">
        <f ca="1"/>
        <v>8.7275373076810103E-2</v>
      </c>
      <c r="AG24" s="465" t="s">
        <v>522</v>
      </c>
      <c r="AH24" s="467">
        <v>1.2500000000000001E-2</v>
      </c>
      <c r="AI24" s="466">
        <v>2025</v>
      </c>
      <c r="AJ24" s="468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5.9738334703651752E-4</v>
      </c>
      <c r="P25" s="162">
        <f ca="1"/>
        <v>1.2271130388825657E-3</v>
      </c>
      <c r="Q25" s="162">
        <f ca="1"/>
        <v>2.9950458659834256E-3</v>
      </c>
      <c r="R25" s="162">
        <f ca="1"/>
        <v>6.592587230128899E-3</v>
      </c>
      <c r="S25" s="162">
        <f ca="1"/>
        <v>0</v>
      </c>
      <c r="T25" s="162">
        <f ca="1"/>
        <v>1.712574860772309E-2</v>
      </c>
      <c r="U25" s="162">
        <f ca="1"/>
        <v>3.0103522723998744E-2</v>
      </c>
      <c r="V25" s="138">
        <f ca="1"/>
        <v>5.567113869498308E-2</v>
      </c>
      <c r="W25" s="137">
        <f ca="1"/>
        <v>0</v>
      </c>
      <c r="X25" s="162">
        <f ca="1"/>
        <v>7.1681616400920412E-4</v>
      </c>
      <c r="Y25" s="162">
        <f ca="1"/>
        <v>1.430934331878686E-3</v>
      </c>
      <c r="Z25" s="162">
        <f ca="1"/>
        <v>3.3658448596355361E-3</v>
      </c>
      <c r="AA25" s="162">
        <f ca="1"/>
        <v>7.1291084954039352E-3</v>
      </c>
      <c r="AB25" s="162">
        <f ca="1"/>
        <v>0</v>
      </c>
      <c r="AC25" s="162">
        <f ca="1"/>
        <v>1.7987835441872879E-2</v>
      </c>
      <c r="AD25" s="162">
        <f ca="1"/>
        <v>3.1282271115105398E-2</v>
      </c>
      <c r="AE25" s="138">
        <f ca="1"/>
        <v>5.729639219511562E-2</v>
      </c>
      <c r="AG25" s="465" t="s">
        <v>523</v>
      </c>
      <c r="AH25" s="467">
        <v>0.01</v>
      </c>
      <c r="AI25" s="466">
        <v>2027</v>
      </c>
      <c r="AJ25" s="468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3.5847268276523181E-4</v>
      </c>
      <c r="P26" s="162">
        <f ca="1"/>
        <v>1.8555266627743316E-3</v>
      </c>
      <c r="Q26" s="162">
        <f ca="1"/>
        <v>5.6480006435805086E-3</v>
      </c>
      <c r="R26" s="162">
        <f ca="1"/>
        <v>1.0966890279993757E-2</v>
      </c>
      <c r="S26" s="162">
        <f ca="1"/>
        <v>0</v>
      </c>
      <c r="T26" s="162">
        <f ca="1"/>
        <v>2.9663745355277049E-2</v>
      </c>
      <c r="U26" s="162">
        <f ca="1"/>
        <v>5.1016888739256361E-2</v>
      </c>
      <c r="V26" s="138">
        <f ca="1"/>
        <v>9.1890237539037911E-2</v>
      </c>
      <c r="W26" s="137">
        <f ca="1"/>
        <v>0</v>
      </c>
      <c r="X26" s="162">
        <f ca="1"/>
        <v>4.779346426626585E-4</v>
      </c>
      <c r="Y26" s="162">
        <f ca="1"/>
        <v>2.0592789905027331E-3</v>
      </c>
      <c r="Z26" s="162">
        <f ca="1"/>
        <v>6.0179928416739248E-3</v>
      </c>
      <c r="AA26" s="162">
        <f ca="1"/>
        <v>1.1501321452174418E-2</v>
      </c>
      <c r="AB26" s="162">
        <f ca="1"/>
        <v>0</v>
      </c>
      <c r="AC26" s="162">
        <f ca="1"/>
        <v>3.0514746155569372E-2</v>
      </c>
      <c r="AD26" s="162">
        <f ca="1"/>
        <v>5.2171597428886995E-2</v>
      </c>
      <c r="AE26" s="138">
        <f ca="1"/>
        <v>9.3471544422070063E-2</v>
      </c>
      <c r="AG26" s="465" t="s">
        <v>524</v>
      </c>
      <c r="AH26" s="467">
        <v>8.7500000000000008E-3</v>
      </c>
      <c r="AI26" s="466">
        <v>2026</v>
      </c>
      <c r="AJ26" s="468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7.1681734951745124E-4</v>
      </c>
      <c r="P27" s="162">
        <f ca="1"/>
        <v>1.2237352475930052E-3</v>
      </c>
      <c r="Q27" s="162">
        <f ca="1"/>
        <v>4.1352627254223062E-3</v>
      </c>
      <c r="R27" s="162">
        <f ca="1"/>
        <v>8.229974609809565E-3</v>
      </c>
      <c r="S27" s="162">
        <f ca="1"/>
        <v>0</v>
      </c>
      <c r="T27" s="162">
        <f ca="1"/>
        <v>2.253236752461818E-2</v>
      </c>
      <c r="U27" s="162">
        <f ca="1"/>
        <v>4.1420297492826386E-2</v>
      </c>
      <c r="V27" s="138">
        <f ca="1"/>
        <v>7.6923065976083005E-2</v>
      </c>
      <c r="W27" s="137">
        <f ca="1"/>
        <v>0</v>
      </c>
      <c r="X27" s="162">
        <f ca="1"/>
        <v>8.3623547992150993E-4</v>
      </c>
      <c r="Y27" s="162">
        <f ca="1"/>
        <v>1.4275449347880276E-3</v>
      </c>
      <c r="Z27" s="162">
        <f ca="1"/>
        <v>4.5057250560457396E-3</v>
      </c>
      <c r="AA27" s="162">
        <f ca="1"/>
        <v>8.7657047112318365E-3</v>
      </c>
      <c r="AB27" s="162">
        <f ca="1"/>
        <v>0</v>
      </c>
      <c r="AC27" s="162">
        <f ca="1"/>
        <v>2.338985077769995E-2</v>
      </c>
      <c r="AD27" s="162">
        <f ca="1"/>
        <v>4.258650748832471E-2</v>
      </c>
      <c r="AE27" s="138">
        <f ca="1"/>
        <v>7.8509672805083697E-2</v>
      </c>
      <c r="AG27" s="465" t="s">
        <v>525</v>
      </c>
      <c r="AH27" s="467">
        <v>5.0000000000000001E-3</v>
      </c>
      <c r="AI27" s="466">
        <v>2027</v>
      </c>
      <c r="AJ27" s="468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1.3495802807899082E-3</v>
      </c>
      <c r="P28" s="162">
        <f ca="1"/>
        <v>3.7523853611879376E-3</v>
      </c>
      <c r="Q28" s="162">
        <f ca="1"/>
        <v>9.8473911330461128E-3</v>
      </c>
      <c r="R28" s="162">
        <f ca="1"/>
        <v>1.5725179276742773E-2</v>
      </c>
      <c r="S28" s="162">
        <f ca="1"/>
        <v>0</v>
      </c>
      <c r="T28" s="162">
        <f ca="1"/>
        <v>2.8974429746791319E-2</v>
      </c>
      <c r="U28" s="162">
        <f ca="1"/>
        <v>4.4334623038081444E-2</v>
      </c>
      <c r="V28" s="138">
        <f ca="1"/>
        <v>7.0586135454817622E-2</v>
      </c>
      <c r="W28" s="137">
        <f ca="1"/>
        <v>0</v>
      </c>
      <c r="X28" s="162">
        <f ca="1"/>
        <v>1.4689192538444029E-3</v>
      </c>
      <c r="Y28" s="162">
        <f ca="1"/>
        <v>3.9557560330222286E-3</v>
      </c>
      <c r="Z28" s="162">
        <f ca="1"/>
        <v>1.0215822291542498E-2</v>
      </c>
      <c r="AA28" s="162">
        <f ca="1"/>
        <v>1.6256859736951013E-2</v>
      </c>
      <c r="AB28" s="162">
        <f ca="1"/>
        <v>0</v>
      </c>
      <c r="AC28" s="162">
        <f ca="1"/>
        <v>2.9824936196136465E-2</v>
      </c>
      <c r="AD28" s="162">
        <f ca="1"/>
        <v>4.5493954010308868E-2</v>
      </c>
      <c r="AE28" s="138">
        <f ca="1"/>
        <v>7.218014218903035E-2</v>
      </c>
      <c r="AG28" s="465" t="s">
        <v>526</v>
      </c>
      <c r="AH28" s="467">
        <v>3.4000000000000002E-2</v>
      </c>
      <c r="AI28" s="466">
        <v>2027</v>
      </c>
      <c r="AJ28" s="468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8.3623713561109536E-4</v>
      </c>
      <c r="P29" s="162">
        <f ca="1"/>
        <v>1.6347155792999502E-3</v>
      </c>
      <c r="Q29" s="162">
        <f ca="1"/>
        <v>5.260462327993487E-3</v>
      </c>
      <c r="R29" s="162">
        <f ca="1"/>
        <v>1.0414447127606308E-2</v>
      </c>
      <c r="S29" s="162">
        <f ca="1"/>
        <v>0</v>
      </c>
      <c r="T29" s="162">
        <f ca="1"/>
        <v>2.7863754405988872E-2</v>
      </c>
      <c r="U29" s="162">
        <f ca="1"/>
        <v>4.8604492338381711E-2</v>
      </c>
      <c r="V29" s="138">
        <f ca="1"/>
        <v>9.446996693649734E-2</v>
      </c>
      <c r="W29" s="137">
        <f ca="1"/>
        <v>0</v>
      </c>
      <c r="X29" s="162">
        <f ca="1"/>
        <v>9.5564050165009018E-4</v>
      </c>
      <c r="Y29" s="162">
        <f ca="1"/>
        <v>1.8384532181975333E-3</v>
      </c>
      <c r="Z29" s="162">
        <f ca="1"/>
        <v>5.6305408391116307E-3</v>
      </c>
      <c r="AA29" s="162">
        <f ca="1"/>
        <v>1.0949120906545762E-2</v>
      </c>
      <c r="AB29" s="162">
        <f ca="1"/>
        <v>0</v>
      </c>
      <c r="AC29" s="162">
        <f ca="1"/>
        <v>2.8716398049686287E-2</v>
      </c>
      <c r="AD29" s="162">
        <f ca="1"/>
        <v>4.9762026956488792E-2</v>
      </c>
      <c r="AE29" s="138">
        <f ca="1"/>
        <v>9.6050398489316069E-2</v>
      </c>
      <c r="AG29" s="465" t="s">
        <v>527</v>
      </c>
      <c r="AH29" s="467">
        <v>2.5000000000000001E-2</v>
      </c>
      <c r="AI29" s="466">
        <v>2027</v>
      </c>
      <c r="AJ29" s="468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5.9738334703651752E-4</v>
      </c>
      <c r="P30" s="162">
        <f ca="1"/>
        <v>1.641519707128225E-3</v>
      </c>
      <c r="Q30" s="162">
        <f ca="1"/>
        <v>4.5055156337587832E-3</v>
      </c>
      <c r="R30" s="162">
        <f ca="1"/>
        <v>8.7655244476484429E-3</v>
      </c>
      <c r="S30" s="162">
        <f ca="1"/>
        <v>0</v>
      </c>
      <c r="T30" s="162">
        <f ca="1"/>
        <v>2.3391289910791757E-2</v>
      </c>
      <c r="U30" s="162">
        <f ca="1"/>
        <v>3.9914379510854414E-2</v>
      </c>
      <c r="V30" s="138">
        <f ca="1"/>
        <v>6.3172044878699873E-2</v>
      </c>
      <c r="W30" s="137">
        <f ca="1"/>
        <v>0</v>
      </c>
      <c r="X30" s="162">
        <f ca="1"/>
        <v>7.1681616400920412E-4</v>
      </c>
      <c r="Y30" s="162">
        <f ca="1"/>
        <v>1.845280215647005E-3</v>
      </c>
      <c r="Z30" s="162">
        <f ca="1"/>
        <v>4.875838850450287E-3</v>
      </c>
      <c r="AA30" s="162">
        <f ca="1"/>
        <v>9.3009576782562275E-3</v>
      </c>
      <c r="AB30" s="162">
        <f ca="1"/>
        <v>0</v>
      </c>
      <c r="AC30" s="162">
        <f ca="1"/>
        <v>2.4247936285849758E-2</v>
      </c>
      <c r="AD30" s="162">
        <f ca="1"/>
        <v>4.1081891395522097E-2</v>
      </c>
      <c r="AE30" s="138">
        <f ca="1"/>
        <v>6.4783470422228207E-2</v>
      </c>
      <c r="AG30" s="465" t="s">
        <v>528</v>
      </c>
      <c r="AH30" s="467">
        <v>1.375E-2</v>
      </c>
      <c r="AI30" s="466">
        <v>2026</v>
      </c>
      <c r="AJ30" s="468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7.6458696979242458E-4</v>
      </c>
      <c r="P31" s="162">
        <f ca="1"/>
        <v>2.423871577290404E-3</v>
      </c>
      <c r="Q31" s="162">
        <f ca="1"/>
        <v>6.2250109313323199E-3</v>
      </c>
      <c r="R31" s="162">
        <f ca="1"/>
        <v>1.1525228839525004E-2</v>
      </c>
      <c r="S31" s="162">
        <f ca="1"/>
        <v>0</v>
      </c>
      <c r="T31" s="162">
        <f ca="1"/>
        <v>2.6774503256333793E-2</v>
      </c>
      <c r="U31" s="162">
        <f ca="1"/>
        <v>4.4538595333325603E-2</v>
      </c>
      <c r="V31" s="138">
        <f ca="1"/>
        <v>6.5658310221112459E-2</v>
      </c>
      <c r="W31" s="137">
        <f ca="1"/>
        <v>0</v>
      </c>
      <c r="X31" s="162">
        <f ca="1"/>
        <v>8.8399920380166641E-4</v>
      </c>
      <c r="Y31" s="162">
        <f ca="1"/>
        <v>2.6274993267413338E-3</v>
      </c>
      <c r="Z31" s="162">
        <f ca="1"/>
        <v>6.5947325853971117E-3</v>
      </c>
      <c r="AA31" s="162">
        <f ca="1"/>
        <v>1.2059249541167327E-2</v>
      </c>
      <c r="AB31" s="162">
        <f ca="1"/>
        <v>0</v>
      </c>
      <c r="AC31" s="162">
        <f ca="1"/>
        <v>2.7627829736780907E-2</v>
      </c>
      <c r="AD31" s="162">
        <f ca="1"/>
        <v>4.5699931114437486E-2</v>
      </c>
      <c r="AE31" s="138">
        <f ca="1"/>
        <v>6.7263967308780703E-2</v>
      </c>
      <c r="AG31" s="465" t="s">
        <v>529</v>
      </c>
      <c r="AH31" s="467">
        <v>0.01</v>
      </c>
      <c r="AI31" s="466">
        <v>2025</v>
      </c>
      <c r="AJ31" s="468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1.3137741668567404E-3</v>
      </c>
      <c r="P32" s="162">
        <f ca="1"/>
        <v>3.2774521759320052E-3</v>
      </c>
      <c r="Q32" s="162">
        <f ca="1"/>
        <v>7.8517764429882897E-3</v>
      </c>
      <c r="R32" s="162">
        <f ca="1"/>
        <v>1.6403480365447032E-2</v>
      </c>
      <c r="S32" s="162">
        <f ca="1"/>
        <v>0</v>
      </c>
      <c r="T32" s="162">
        <f ca="1"/>
        <v>3.4589729978854566E-2</v>
      </c>
      <c r="U32" s="162">
        <f ca="1"/>
        <v>5.6434281486007598E-2</v>
      </c>
      <c r="V32" s="138">
        <f ca="1"/>
        <v>9.940014379317319E-2</v>
      </c>
      <c r="W32" s="137">
        <f ca="1"/>
        <v>0</v>
      </c>
      <c r="X32" s="162">
        <f ca="1"/>
        <v>1.4331176809704305E-3</v>
      </c>
      <c r="Y32" s="162">
        <f ca="1"/>
        <v>3.4808984870801085E-3</v>
      </c>
      <c r="Z32" s="162">
        <f ca="1"/>
        <v>8.2208703791615267E-3</v>
      </c>
      <c r="AA32" s="162">
        <f ca="1"/>
        <v>1.693517494838126E-2</v>
      </c>
      <c r="AB32" s="162">
        <f ca="1"/>
        <v>0</v>
      </c>
      <c r="AC32" s="162">
        <f ca="1"/>
        <v>3.543582962390468E-2</v>
      </c>
      <c r="AD32" s="162">
        <f ca="1"/>
        <v>5.758083670592451E-2</v>
      </c>
      <c r="AE32" s="138">
        <f ca="1"/>
        <v>0.10096726639027875</v>
      </c>
      <c r="AG32" s="465" t="s">
        <v>530</v>
      </c>
      <c r="AH32" s="467">
        <v>1.375E-2</v>
      </c>
      <c r="AI32" s="466">
        <v>2026</v>
      </c>
      <c r="AJ32" s="468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9.3176273039663471E-4</v>
      </c>
      <c r="P33" s="162">
        <f ca="1"/>
        <v>2.8124744914576061E-3</v>
      </c>
      <c r="Q33" s="162">
        <f ca="1"/>
        <v>8.6404532314325877E-3</v>
      </c>
      <c r="R33" s="162">
        <f ca="1"/>
        <v>1.4709414611180027E-2</v>
      </c>
      <c r="S33" s="162">
        <f ca="1"/>
        <v>0</v>
      </c>
      <c r="T33" s="162">
        <f ca="1"/>
        <v>2.9167195374711685E-2</v>
      </c>
      <c r="U33" s="162">
        <f ca="1"/>
        <v>4.5192856395896097E-2</v>
      </c>
      <c r="V33" s="138">
        <f ca="1"/>
        <v>6.8726585958681086E-2</v>
      </c>
      <c r="W33" s="137">
        <f ca="1"/>
        <v>0</v>
      </c>
      <c r="X33" s="162">
        <f ca="1"/>
        <v>1.0511542283380138E-3</v>
      </c>
      <c r="Y33" s="162">
        <f ca="1"/>
        <v>3.0160276586732593E-3</v>
      </c>
      <c r="Z33" s="162">
        <f ca="1"/>
        <v>9.0093853657012835E-3</v>
      </c>
      <c r="AA33" s="162">
        <f ca="1"/>
        <v>1.5241813224749157E-2</v>
      </c>
      <c r="AB33" s="162">
        <f ca="1"/>
        <v>0</v>
      </c>
      <c r="AC33" s="162">
        <f ca="1"/>
        <v>3.001796207157903E-2</v>
      </c>
      <c r="AD33" s="162">
        <f ca="1"/>
        <v>4.6351999464882554E-2</v>
      </c>
      <c r="AE33" s="138">
        <f ca="1"/>
        <v>7.0324791781183116E-2</v>
      </c>
      <c r="AG33" s="465" t="s">
        <v>531</v>
      </c>
      <c r="AH33" s="467">
        <v>1.125E-2</v>
      </c>
      <c r="AI33" s="466">
        <v>2026</v>
      </c>
      <c r="AJ33" s="468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5.9738334703651752E-4</v>
      </c>
      <c r="P34" s="162">
        <f ca="1"/>
        <v>1.8486967960654743E-3</v>
      </c>
      <c r="Q34" s="162">
        <f ca="1"/>
        <v>6.0217955379848753E-3</v>
      </c>
      <c r="R34" s="162">
        <f ca="1"/>
        <v>1.3194720611182986E-2</v>
      </c>
      <c r="S34" s="162">
        <f ca="1"/>
        <v>0</v>
      </c>
      <c r="T34" s="162">
        <f ca="1"/>
        <v>3.2245115435667437E-2</v>
      </c>
      <c r="U34" s="162">
        <f ca="1"/>
        <v>5.7166040396462336E-2</v>
      </c>
      <c r="V34" s="138">
        <f ca="1"/>
        <v>0.10207324278023533</v>
      </c>
      <c r="W34" s="137">
        <f ca="1"/>
        <v>0</v>
      </c>
      <c r="X34" s="162">
        <f ca="1"/>
        <v>7.1681616400920412E-4</v>
      </c>
      <c r="Y34" s="162">
        <f ca="1"/>
        <v>2.0524266672586888E-3</v>
      </c>
      <c r="Z34" s="162">
        <f ca="1"/>
        <v>6.3916519147670936E-3</v>
      </c>
      <c r="AA34" s="162">
        <f ca="1"/>
        <v>1.3728197190555957E-2</v>
      </c>
      <c r="AB34" s="162">
        <f ca="1"/>
        <v>0</v>
      </c>
      <c r="AC34" s="162">
        <f ca="1"/>
        <v>3.3093783469334226E-2</v>
      </c>
      <c r="AD34" s="162">
        <f ca="1"/>
        <v>5.8313048507714571E-2</v>
      </c>
      <c r="AE34" s="138">
        <f ca="1"/>
        <v>0.10363985603563597</v>
      </c>
      <c r="AG34" s="465" t="s">
        <v>532</v>
      </c>
      <c r="AH34" s="467">
        <v>7.4999999999999997E-3</v>
      </c>
      <c r="AI34" s="466">
        <v>2026</v>
      </c>
      <c r="AJ34" s="468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1.3734503132861731E-3</v>
      </c>
      <c r="P35" s="162">
        <f ca="1"/>
        <v>3.7102945244652519E-3</v>
      </c>
      <c r="Q35" s="162">
        <f ca="1"/>
        <v>1.0493671988683229E-2</v>
      </c>
      <c r="R35" s="162">
        <f ca="1"/>
        <v>1.9061757298491688E-2</v>
      </c>
      <c r="S35" s="162">
        <f ca="1"/>
        <v>0</v>
      </c>
      <c r="T35" s="162">
        <f ca="1"/>
        <v>4.0667487301720984E-2</v>
      </c>
      <c r="U35" s="162">
        <f ca="1"/>
        <v>6.329196134511228E-2</v>
      </c>
      <c r="V35" s="138">
        <f ca="1"/>
        <v>9.72006354206566E-2</v>
      </c>
      <c r="W35" s="137">
        <f ca="1"/>
        <v>0</v>
      </c>
      <c r="X35" s="162">
        <f ca="1"/>
        <v>1.4927862548357318E-3</v>
      </c>
      <c r="Y35" s="162">
        <f ca="1"/>
        <v>3.9136693873683681E-3</v>
      </c>
      <c r="Z35" s="162">
        <f ca="1"/>
        <v>1.0861897561140865E-2</v>
      </c>
      <c r="AA35" s="162">
        <f ca="1"/>
        <v>1.9592011789330566E-2</v>
      </c>
      <c r="AB35" s="162">
        <f ca="1"/>
        <v>0</v>
      </c>
      <c r="AC35" s="162">
        <f ca="1"/>
        <v>4.1507529130963561E-2</v>
      </c>
      <c r="AD35" s="162">
        <f ca="1"/>
        <v>6.4429794167448318E-2</v>
      </c>
      <c r="AE35" s="138">
        <f ca="1"/>
        <v>9.8746380381353416E-2</v>
      </c>
      <c r="AG35" s="465" t="s">
        <v>533</v>
      </c>
      <c r="AH35" s="467">
        <v>0.04</v>
      </c>
      <c r="AI35" s="466">
        <v>2026</v>
      </c>
      <c r="AJ35" s="468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5.9738334703651752E-4</v>
      </c>
      <c r="P36" s="162">
        <f ca="1"/>
        <v>1.4343251221308195E-3</v>
      </c>
      <c r="Q36" s="162">
        <f ca="1"/>
        <v>4.1315872168807832E-3</v>
      </c>
      <c r="R36" s="162">
        <f ca="1"/>
        <v>8.7904452461410321E-3</v>
      </c>
      <c r="S36" s="162">
        <f ca="1"/>
        <v>0</v>
      </c>
      <c r="T36" s="162">
        <f ca="1"/>
        <v>2.0627530396717719E-2</v>
      </c>
      <c r="U36" s="162">
        <f ca="1"/>
        <v>3.6210658131369367E-2</v>
      </c>
      <c r="V36" s="138">
        <f ca="1"/>
        <v>6.6008534259813012E-2</v>
      </c>
      <c r="W36" s="137">
        <f ca="1"/>
        <v>0</v>
      </c>
      <c r="X36" s="162">
        <f ca="1"/>
        <v>7.1681616400920412E-4</v>
      </c>
      <c r="Y36" s="162">
        <f ca="1"/>
        <v>1.6381161039986658E-3</v>
      </c>
      <c r="Z36" s="162">
        <f ca="1"/>
        <v>4.5020404949429604E-3</v>
      </c>
      <c r="AA36" s="162">
        <f ca="1"/>
        <v>9.3259473849640617E-3</v>
      </c>
      <c r="AB36" s="162">
        <f ca="1"/>
        <v>0</v>
      </c>
      <c r="AC36" s="162">
        <f ca="1"/>
        <v>2.1486504416461938E-2</v>
      </c>
      <c r="AD36" s="162">
        <f ca="1"/>
        <v>3.7382194033184435E-2</v>
      </c>
      <c r="AE36" s="138">
        <f ca="1"/>
        <v>6.7614781150619807E-2</v>
      </c>
      <c r="AG36" s="465" t="s">
        <v>534</v>
      </c>
      <c r="AH36" s="467">
        <v>7.4999999999999997E-3</v>
      </c>
      <c r="AI36" s="466">
        <v>2026</v>
      </c>
      <c r="AJ36" s="468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1.0750340687808446E-3</v>
      </c>
      <c r="P37" s="162">
        <f ca="1"/>
        <v>4.5261172337034417E-3</v>
      </c>
      <c r="Q37" s="162">
        <f ca="1"/>
        <v>1.237046508979911E-2</v>
      </c>
      <c r="R37" s="162">
        <f ca="1"/>
        <v>2.4547537004051767E-2</v>
      </c>
      <c r="S37" s="162">
        <f ca="1"/>
        <v>0</v>
      </c>
      <c r="T37" s="162">
        <f ca="1"/>
        <v>6.0225066511492287E-2</v>
      </c>
      <c r="U37" s="162">
        <f ca="1"/>
        <v>0.10224033197987448</v>
      </c>
      <c r="V37" s="138">
        <f ca="1"/>
        <v>0.17123145555461361</v>
      </c>
      <c r="W37" s="137">
        <f ca="1"/>
        <v>0</v>
      </c>
      <c r="X37" s="162">
        <f ca="1"/>
        <v>1.1944076693536365E-3</v>
      </c>
      <c r="Y37" s="162">
        <f ca="1"/>
        <v>4.7293929803938761E-3</v>
      </c>
      <c r="Z37" s="162">
        <f ca="1"/>
        <v>1.2738050811002322E-2</v>
      </c>
      <c r="AA37" s="162">
        <f ca="1"/>
        <v>2.5075167676519516E-2</v>
      </c>
      <c r="AB37" s="162">
        <f ca="1"/>
        <v>0</v>
      </c>
      <c r="AC37" s="162">
        <f ca="1"/>
        <v>6.1043859244721332E-2</v>
      </c>
      <c r="AD37" s="162">
        <f ca="1"/>
        <v>0.10332793504270155</v>
      </c>
      <c r="AE37" s="138">
        <f ca="1"/>
        <v>0.1726952238281324</v>
      </c>
      <c r="AG37" s="465" t="s">
        <v>535</v>
      </c>
      <c r="AH37" s="467">
        <v>3.7499999999999999E-2</v>
      </c>
      <c r="AI37" s="466">
        <v>2026</v>
      </c>
      <c r="AJ37" s="468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5.9738334703651752E-4</v>
      </c>
      <c r="P38" s="162">
        <f ca="1"/>
        <v>1.2271130388825657E-3</v>
      </c>
      <c r="Q38" s="162">
        <f ca="1"/>
        <v>4.5197878575824468E-3</v>
      </c>
      <c r="R38" s="162">
        <f ca="1"/>
        <v>8.7799667148139582E-3</v>
      </c>
      <c r="S38" s="162">
        <f ca="1"/>
        <v>0</v>
      </c>
      <c r="T38" s="162">
        <f ca="1"/>
        <v>2.0616860712318497E-2</v>
      </c>
      <c r="U38" s="162">
        <f ca="1"/>
        <v>3.3518634252767354E-2</v>
      </c>
      <c r="V38" s="138">
        <f ca="1"/>
        <v>5.8467047399499261E-2</v>
      </c>
      <c r="W38" s="137">
        <f ca="1"/>
        <v>0</v>
      </c>
      <c r="X38" s="162">
        <f ca="1"/>
        <v>7.1681616400920412E-4</v>
      </c>
      <c r="Y38" s="162">
        <f ca="1"/>
        <v>1.430934331878686E-3</v>
      </c>
      <c r="Z38" s="162">
        <f ca="1"/>
        <v>4.8901507347623996E-3</v>
      </c>
      <c r="AA38" s="162">
        <f ca="1"/>
        <v>9.3154470759110319E-3</v>
      </c>
      <c r="AB38" s="162">
        <f ca="1"/>
        <v>0</v>
      </c>
      <c r="AC38" s="162">
        <f ca="1"/>
        <v>2.1475802690835821E-2</v>
      </c>
      <c r="AD38" s="162">
        <f ca="1"/>
        <v>3.4692790159870812E-2</v>
      </c>
      <c r="AE38" s="138">
        <f ca="1"/>
        <v>6.0086061076910502E-2</v>
      </c>
      <c r="AG38" s="465" t="s">
        <v>536</v>
      </c>
      <c r="AH38" s="467">
        <v>3.7499999999999999E-2</v>
      </c>
      <c r="AI38" s="466">
        <v>2032</v>
      </c>
      <c r="AJ38" s="468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1.1944112209274493E-3</v>
      </c>
      <c r="P39" s="162">
        <f ca="1"/>
        <v>2.6599170638864633E-3</v>
      </c>
      <c r="Q39" s="162">
        <f ca="1"/>
        <v>8.6377807974432619E-3</v>
      </c>
      <c r="R39" s="162">
        <f ca="1"/>
        <v>1.8639359694364477E-2</v>
      </c>
      <c r="S39" s="162">
        <f ca="1"/>
        <v>0</v>
      </c>
      <c r="T39" s="162">
        <f ca="1"/>
        <v>4.5448847675691462E-2</v>
      </c>
      <c r="U39" s="162">
        <f ca="1"/>
        <v>8.007064855299828E-2</v>
      </c>
      <c r="V39" s="138">
        <f ca="1"/>
        <v>0.13070162557868925</v>
      </c>
      <c r="W39" s="137">
        <f ca="1"/>
        <v>0</v>
      </c>
      <c r="X39" s="162">
        <f ca="1"/>
        <v>1.3137698188127045E-3</v>
      </c>
      <c r="Y39" s="162">
        <f ca="1"/>
        <v>2.8634676591606789E-3</v>
      </c>
      <c r="Z39" s="162">
        <f ca="1"/>
        <v>9.0066986869928867E-3</v>
      </c>
      <c r="AA39" s="162">
        <f ca="1"/>
        <v>1.9170125553546913E-2</v>
      </c>
      <c r="AB39" s="162">
        <f ca="1"/>
        <v>0</v>
      </c>
      <c r="AC39" s="162">
        <f ca="1"/>
        <v>4.6284367841750829E-2</v>
      </c>
      <c r="AD39" s="162">
        <f ca="1"/>
        <v>8.1188330184611468E-2</v>
      </c>
      <c r="AE39" s="138">
        <f ca="1"/>
        <v>0.13222292520475054</v>
      </c>
      <c r="AG39" s="465" t="s">
        <v>537</v>
      </c>
      <c r="AH39" s="467">
        <v>2.375E-2</v>
      </c>
      <c r="AI39" s="466">
        <v>2025</v>
      </c>
      <c r="AJ39" s="468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2.2800907724482844E-3</v>
      </c>
      <c r="P40" s="162">
        <f ca="1"/>
        <v>4.4487036596095875E-3</v>
      </c>
      <c r="Q40" s="162">
        <f ca="1"/>
        <v>1.085557635977874E-2</v>
      </c>
      <c r="R40" s="162">
        <f ca="1"/>
        <v>1.8872423488608403E-2</v>
      </c>
      <c r="S40" s="162">
        <f ca="1"/>
        <v>0</v>
      </c>
      <c r="T40" s="162">
        <f ca="1"/>
        <v>3.7838831420200614E-2</v>
      </c>
      <c r="U40" s="162">
        <f ca="1"/>
        <v>5.7582317192960031E-2</v>
      </c>
      <c r="V40" s="138">
        <f ca="1"/>
        <v>8.6682248007185825E-2</v>
      </c>
      <c r="W40" s="137">
        <f ca="1"/>
        <v>0</v>
      </c>
      <c r="X40" s="162">
        <f ca="1"/>
        <v>2.3993090193332733E-3</v>
      </c>
      <c r="Y40" s="162">
        <f ca="1"/>
        <v>4.651880410265985E-3</v>
      </c>
      <c r="Z40" s="162">
        <f ca="1"/>
        <v>1.1223534172701499E-2</v>
      </c>
      <c r="AA40" s="162">
        <f ca="1"/>
        <v>1.9402525010306038E-2</v>
      </c>
      <c r="AB40" s="162">
        <f ca="1"/>
        <v>0</v>
      </c>
      <c r="AC40" s="162">
        <f ca="1"/>
        <v>3.868128832160822E-2</v>
      </c>
      <c r="AD40" s="162">
        <f ca="1"/>
        <v>5.8726222102595815E-2</v>
      </c>
      <c r="AE40" s="138">
        <f ca="1"/>
        <v>8.8246831233206535E-2</v>
      </c>
      <c r="AG40" s="465" t="s">
        <v>538</v>
      </c>
      <c r="AH40" s="467">
        <v>2.375E-2</v>
      </c>
      <c r="AI40" s="466">
        <v>2026</v>
      </c>
      <c r="AJ40" s="468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4.7793512564608953E-4</v>
      </c>
      <c r="P41" s="162">
        <f ca="1"/>
        <v>1.4377154562223993E-3</v>
      </c>
      <c r="Q41" s="162">
        <f ca="1"/>
        <v>4.5160982280004758E-3</v>
      </c>
      <c r="R41" s="162">
        <f ca="1"/>
        <v>1.0468086982332925E-2</v>
      </c>
      <c r="S41" s="162">
        <f ca="1"/>
        <v>0</v>
      </c>
      <c r="T41" s="162">
        <f ca="1"/>
        <v>2.5135818180162195E-2</v>
      </c>
      <c r="U41" s="162">
        <f ca="1"/>
        <v>4.4952456567544097E-2</v>
      </c>
      <c r="V41" s="138">
        <f ca="1"/>
        <v>7.7840399649048653E-2</v>
      </c>
      <c r="W41" s="137">
        <f ca="1"/>
        <v>0</v>
      </c>
      <c r="X41" s="162">
        <f ca="1"/>
        <v>5.9738255214170088E-4</v>
      </c>
      <c r="Y41" s="162">
        <f ca="1"/>
        <v>1.6415178925137663E-3</v>
      </c>
      <c r="Z41" s="162">
        <f ca="1"/>
        <v>4.8864526886757131E-3</v>
      </c>
      <c r="AA41" s="162">
        <f ca="1"/>
        <v>1.1002899440783587E-2</v>
      </c>
      <c r="AB41" s="162">
        <f ca="1"/>
        <v>0</v>
      </c>
      <c r="AC41" s="162">
        <f ca="1"/>
        <v>2.5991012200107799E-2</v>
      </c>
      <c r="AD41" s="162">
        <f ca="1"/>
        <v>4.6114134772889281E-2</v>
      </c>
      <c r="AE41" s="138">
        <f ca="1"/>
        <v>7.9425392210280665E-2</v>
      </c>
      <c r="AG41" s="465" t="s">
        <v>539</v>
      </c>
      <c r="AH41" s="467">
        <v>6.2500000000000003E-3</v>
      </c>
      <c r="AI41" s="466">
        <v>2026</v>
      </c>
      <c r="AJ41" s="468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1.0750340687808446E-3</v>
      </c>
      <c r="P42" s="162">
        <f ca="1"/>
        <v>3.6984082951745378E-3</v>
      </c>
      <c r="Q42" s="162">
        <f ca="1"/>
        <v>1.3159764938529328E-2</v>
      </c>
      <c r="R42" s="162">
        <f ca="1"/>
        <v>2.230121497338089E-2</v>
      </c>
      <c r="S42" s="162">
        <f ca="1"/>
        <v>0</v>
      </c>
      <c r="T42" s="162">
        <f ca="1"/>
        <v>5.2189357274346926E-2</v>
      </c>
      <c r="U42" s="162">
        <f ca="1"/>
        <v>8.7783375279078535E-2</v>
      </c>
      <c r="V42" s="138">
        <f ca="1"/>
        <v>0.14489026903421809</v>
      </c>
      <c r="W42" s="137">
        <f ca="1"/>
        <v>0</v>
      </c>
      <c r="X42" s="162">
        <f ca="1"/>
        <v>1.1944076693536365E-3</v>
      </c>
      <c r="Y42" s="162">
        <f ca="1"/>
        <v>3.9018129192210926E-3</v>
      </c>
      <c r="Z42" s="162">
        <f ca="1"/>
        <v>1.3527130807960974E-2</v>
      </c>
      <c r="AA42" s="162">
        <f ca="1"/>
        <v>2.2829881909420591E-2</v>
      </c>
      <c r="AB42" s="162">
        <f ca="1"/>
        <v>0</v>
      </c>
      <c r="AC42" s="162">
        <f ca="1"/>
        <v>5.3017259620728674E-2</v>
      </c>
      <c r="AD42" s="162">
        <f ca="1"/>
        <v>8.8890326139586584E-2</v>
      </c>
      <c r="AE42" s="138">
        <f ca="1"/>
        <v>0.14638951109684117</v>
      </c>
      <c r="AG42" s="465" t="s">
        <v>540</v>
      </c>
      <c r="AH42" s="467">
        <v>2.75E-2</v>
      </c>
      <c r="AI42" s="466">
        <v>2025</v>
      </c>
      <c r="AJ42" s="468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3.943129090440145E-4</v>
      </c>
      <c r="P43" s="162">
        <f ca="1"/>
        <v>1.8752209229843109E-3</v>
      </c>
      <c r="Q43" s="162">
        <f ca="1"/>
        <v>6.1793040283026901E-3</v>
      </c>
      <c r="R43" s="162">
        <f ca="1"/>
        <v>1.1953926596079967E-2</v>
      </c>
      <c r="S43" s="162">
        <f ca="1"/>
        <v>0</v>
      </c>
      <c r="T43" s="162">
        <f ca="1"/>
        <v>2.6780513114288085E-2</v>
      </c>
      <c r="U43" s="162">
        <f ca="1"/>
        <v>4.2543578139446536E-2</v>
      </c>
      <c r="V43" s="138">
        <f ca="1"/>
        <v>6.5940541648480733E-2</v>
      </c>
      <c r="W43" s="137">
        <f ca="1"/>
        <v>0</v>
      </c>
      <c r="X43" s="162">
        <f ca="1"/>
        <v>5.1377051684886599E-4</v>
      </c>
      <c r="Y43" s="162">
        <f ca="1"/>
        <v>2.0789668059744137E-3</v>
      </c>
      <c r="Z43" s="162">
        <f ca="1"/>
        <v>6.5491320605958192E-3</v>
      </c>
      <c r="AA43" s="162">
        <f ca="1"/>
        <v>1.2487897700288464E-2</v>
      </c>
      <c r="AB43" s="162">
        <f ca="1"/>
        <v>0</v>
      </c>
      <c r="AC43" s="162">
        <f ca="1"/>
        <v>2.7633954470505762E-2</v>
      </c>
      <c r="AD43" s="162">
        <f ca="1"/>
        <v>4.370699427450675E-2</v>
      </c>
      <c r="AE43" s="138">
        <f ca="1"/>
        <v>6.7545287226278394E-2</v>
      </c>
      <c r="AG43" s="465" t="s">
        <v>541</v>
      </c>
      <c r="AH43" s="467"/>
      <c r="AI43" s="466"/>
      <c r="AJ43" s="468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9.9146160818985862E-4</v>
      </c>
      <c r="P44" s="162">
        <f ca="1"/>
        <v>3.6180849091850265E-3</v>
      </c>
      <c r="Q44" s="162">
        <f ca="1"/>
        <v>1.0622973026376048E-2</v>
      </c>
      <c r="R44" s="162">
        <f ca="1"/>
        <v>1.9127868112779778E-2</v>
      </c>
      <c r="S44" s="162">
        <f ca="1"/>
        <v>0</v>
      </c>
      <c r="T44" s="162">
        <f ca="1"/>
        <v>4.2511261257244914E-2</v>
      </c>
      <c r="U44" s="162">
        <f ca="1"/>
        <v>6.4413248373427656E-2</v>
      </c>
      <c r="V44" s="138">
        <f ca="1"/>
        <v>9.6814520160982687E-2</v>
      </c>
      <c r="W44" s="137">
        <f ca="1"/>
        <v>0</v>
      </c>
      <c r="X44" s="162">
        <f ca="1"/>
        <v>1.1108456628909913E-3</v>
      </c>
      <c r="Y44" s="162">
        <f ca="1"/>
        <v>3.8215096778450031E-3</v>
      </c>
      <c r="Z44" s="162">
        <f ca="1"/>
        <v>1.0991203884476053E-2</v>
      </c>
      <c r="AA44" s="162">
        <f ca="1"/>
        <v>1.9658135392516485E-2</v>
      </c>
      <c r="AB44" s="162">
        <f ca="1"/>
        <v>0</v>
      </c>
      <c r="AC44" s="162">
        <f ca="1"/>
        <v>4.3349500549009101E-2</v>
      </c>
      <c r="AD44" s="162">
        <f ca="1"/>
        <v>6.5549991124096429E-2</v>
      </c>
      <c r="AE44" s="138">
        <f ca="1"/>
        <v>9.8361076891815724E-2</v>
      </c>
      <c r="AG44" s="465" t="s">
        <v>542</v>
      </c>
      <c r="AH44" s="467">
        <v>3.875E-2</v>
      </c>
      <c r="AI44" s="466">
        <v>2026</v>
      </c>
      <c r="AJ44" s="468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1.433122909088036E-3</v>
      </c>
      <c r="P45" s="162">
        <f ca="1"/>
        <v>2.8599983043544608E-3</v>
      </c>
      <c r="Q45" s="162">
        <f ca="1"/>
        <v>6.7220766506516094E-3</v>
      </c>
      <c r="R45" s="162">
        <f ca="1"/>
        <v>1.2533490321320229E-2</v>
      </c>
      <c r="S45" s="162">
        <f ca="1"/>
        <v>0</v>
      </c>
      <c r="T45" s="162">
        <f ca="1"/>
        <v>2.3851960299212105E-2</v>
      </c>
      <c r="U45" s="162">
        <f ca="1"/>
        <v>4.0682729195365197E-2</v>
      </c>
      <c r="V45" s="138">
        <f ca="1"/>
        <v>7.2250486269669123E-2</v>
      </c>
      <c r="W45" s="137">
        <f ca="1"/>
        <v>0</v>
      </c>
      <c r="X45" s="162">
        <f ca="1"/>
        <v>1.5524512575108007E-3</v>
      </c>
      <c r="Y45" s="162">
        <f ca="1"/>
        <v>3.0634957354148673E-3</v>
      </c>
      <c r="Z45" s="162">
        <f ca="1"/>
        <v>7.0915370015459667E-3</v>
      </c>
      <c r="AA45" s="162">
        <f ca="1"/>
        <v>1.3066923955029064E-2</v>
      </c>
      <c r="AB45" s="162">
        <f ca="1"/>
        <v>0</v>
      </c>
      <c r="AC45" s="162">
        <f ca="1"/>
        <v>2.4707395236134078E-2</v>
      </c>
      <c r="AD45" s="162">
        <f ca="1"/>
        <v>4.1847663504487209E-2</v>
      </c>
      <c r="AE45" s="138">
        <f ca="1"/>
        <v>7.3843512552780433E-2</v>
      </c>
      <c r="AG45" s="465" t="s">
        <v>543</v>
      </c>
      <c r="AH45" s="467">
        <v>3.875E-2</v>
      </c>
      <c r="AI45" s="466">
        <v>2026</v>
      </c>
      <c r="AJ45" s="468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4.7793512564608953E-4</v>
      </c>
      <c r="P46" s="162">
        <f ca="1"/>
        <v>1.8521115658701737E-3</v>
      </c>
      <c r="Q46" s="162">
        <f ca="1"/>
        <v>5.2636844698019658E-3</v>
      </c>
      <c r="R46" s="162">
        <f ca="1"/>
        <v>9.8540405856196722E-3</v>
      </c>
      <c r="S46" s="162">
        <f ca="1"/>
        <v>0</v>
      </c>
      <c r="T46" s="162">
        <f ca="1"/>
        <v>2.4197313219218808E-2</v>
      </c>
      <c r="U46" s="162">
        <f ca="1"/>
        <v>4.2367766224134185E-2</v>
      </c>
      <c r="V46" s="138">
        <f ca="1"/>
        <v>7.2416285145569859E-2</v>
      </c>
      <c r="W46" s="137">
        <f ca="1"/>
        <v>0</v>
      </c>
      <c r="X46" s="162">
        <f ca="1"/>
        <v>5.9738255214170088E-4</v>
      </c>
      <c r="Y46" s="162">
        <f ca="1"/>
        <v>2.0558526921055087E-3</v>
      </c>
      <c r="Z46" s="162">
        <f ca="1"/>
        <v>5.6337776258730266E-3</v>
      </c>
      <c r="AA46" s="162">
        <f ca="1"/>
        <v>1.038893982262401E-2</v>
      </c>
      <c r="AB46" s="162">
        <f ca="1"/>
        <v>0</v>
      </c>
      <c r="AC46" s="162">
        <f ca="1"/>
        <v>2.5053111674256723E-2</v>
      </c>
      <c r="AD46" s="162">
        <f ca="1"/>
        <v>4.3532213368386419E-2</v>
      </c>
      <c r="AE46" s="138">
        <f ca="1"/>
        <v>7.4011010647979436E-2</v>
      </c>
      <c r="AG46" s="465" t="s">
        <v>544</v>
      </c>
      <c r="AH46" s="467">
        <v>0.03</v>
      </c>
      <c r="AI46" s="466">
        <v>2026</v>
      </c>
      <c r="AJ46" s="468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2.2085436933186875E-3</v>
      </c>
      <c r="P47" s="162">
        <f ca="1"/>
        <v>4.2233748438164076E-3</v>
      </c>
      <c r="Q47" s="162">
        <f ca="1"/>
        <v>1.0486615941234678E-2</v>
      </c>
      <c r="R47" s="162">
        <f ca="1"/>
        <v>1.7667948205084438E-2</v>
      </c>
      <c r="S47" s="162">
        <f ca="1"/>
        <v>0</v>
      </c>
      <c r="T47" s="162">
        <f ca="1"/>
        <v>3.6122820442799353E-2</v>
      </c>
      <c r="U47" s="162">
        <f ca="1"/>
        <v>5.5922872285217973E-2</v>
      </c>
      <c r="V47" s="138">
        <f ca="1"/>
        <v>8.5346055599209714E-2</v>
      </c>
      <c r="W47" s="137">
        <f ca="1"/>
        <v>0</v>
      </c>
      <c r="X47" s="162">
        <f ca="1"/>
        <v>2.327771412972246E-3</v>
      </c>
      <c r="Y47" s="162">
        <f ca="1"/>
        <v>4.4265925936340933E-3</v>
      </c>
      <c r="Z47" s="162">
        <f ca="1"/>
        <v>1.0854716442309287E-2</v>
      </c>
      <c r="AA47" s="162">
        <f ca="1"/>
        <v>1.8198621030176776E-2</v>
      </c>
      <c r="AB47" s="162">
        <f ca="1"/>
        <v>0</v>
      </c>
      <c r="AC47" s="162">
        <f ca="1"/>
        <v>3.6966887296282169E-2</v>
      </c>
      <c r="AD47" s="162">
        <f ca="1"/>
        <v>5.706900389518732E-2</v>
      </c>
      <c r="AE47" s="138">
        <f ca="1"/>
        <v>8.6913575210244232E-2</v>
      </c>
      <c r="AG47" s="465" t="s">
        <v>545</v>
      </c>
      <c r="AH47" s="467">
        <v>1.7500000000000002E-2</v>
      </c>
      <c r="AI47" s="466">
        <v>2025</v>
      </c>
      <c r="AJ47" s="468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5.9738334703651752E-4</v>
      </c>
      <c r="P48" s="162">
        <f ca="1"/>
        <v>1.4343251221308195E-3</v>
      </c>
      <c r="Q48" s="162">
        <f ca="1"/>
        <v>4.1315872168807832E-3</v>
      </c>
      <c r="R48" s="162">
        <f ca="1"/>
        <v>8.2262544835796092E-3</v>
      </c>
      <c r="S48" s="162">
        <f ca="1"/>
        <v>0</v>
      </c>
      <c r="T48" s="162">
        <f ca="1"/>
        <v>2.1598587763106414E-2</v>
      </c>
      <c r="U48" s="162">
        <f ca="1"/>
        <v>3.8835618041678122E-2</v>
      </c>
      <c r="V48" s="138">
        <f ca="1"/>
        <v>7.1492939456863192E-2</v>
      </c>
      <c r="W48" s="137">
        <f ca="1"/>
        <v>0</v>
      </c>
      <c r="X48" s="162">
        <f ca="1"/>
        <v>7.1681616400920412E-4</v>
      </c>
      <c r="Y48" s="162">
        <f ca="1"/>
        <v>1.6381161039986658E-3</v>
      </c>
      <c r="Z48" s="162">
        <f ca="1"/>
        <v>4.5020404949429604E-3</v>
      </c>
      <c r="AA48" s="162">
        <f ca="1"/>
        <v>8.7619716406605042E-3</v>
      </c>
      <c r="AB48" s="162">
        <f ca="1"/>
        <v>0</v>
      </c>
      <c r="AC48" s="162">
        <f ca="1"/>
        <v>2.2456820518479303E-2</v>
      </c>
      <c r="AD48" s="162">
        <f ca="1"/>
        <v>4.0004569364007536E-2</v>
      </c>
      <c r="AE48" s="138">
        <f ca="1"/>
        <v>7.3089535742839273E-2</v>
      </c>
      <c r="AG48" s="465" t="s">
        <v>546</v>
      </c>
      <c r="AH48" s="467">
        <v>2.5000000000000001E-2</v>
      </c>
      <c r="AI48" s="466">
        <v>2030</v>
      </c>
      <c r="AJ48" s="468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1.3137741668567404E-3</v>
      </c>
      <c r="P49" s="162">
        <f ca="1"/>
        <v>3.2774521759320052E-3</v>
      </c>
      <c r="Q49" s="162">
        <f ca="1"/>
        <v>7.4715877332750535E-3</v>
      </c>
      <c r="R49" s="162">
        <f ca="1"/>
        <v>1.5297937043370791E-2</v>
      </c>
      <c r="S49" s="162">
        <f ca="1"/>
        <v>0</v>
      </c>
      <c r="T49" s="162">
        <f ca="1"/>
        <v>3.4694393920407185E-2</v>
      </c>
      <c r="U49" s="162">
        <f ca="1"/>
        <v>5.653952476214219E-2</v>
      </c>
      <c r="V49" s="138">
        <f ca="1"/>
        <v>9.7572049304876507E-2</v>
      </c>
      <c r="W49" s="137">
        <f ca="1"/>
        <v>0</v>
      </c>
      <c r="X49" s="162">
        <f ca="1"/>
        <v>1.4331176809704305E-3</v>
      </c>
      <c r="Y49" s="162">
        <f ca="1"/>
        <v>3.4808984870801085E-3</v>
      </c>
      <c r="Z49" s="162">
        <f ca="1"/>
        <v>7.8407962602790038E-3</v>
      </c>
      <c r="AA49" s="162">
        <f ca="1"/>
        <v>1.5830129429817874E-2</v>
      </c>
      <c r="AB49" s="162">
        <f ca="1"/>
        <v>0</v>
      </c>
      <c r="AC49" s="162">
        <f ca="1"/>
        <v>3.5540396875733293E-2</v>
      </c>
      <c r="AD49" s="162">
        <f ca="1"/>
        <v>5.7686366174136472E-2</v>
      </c>
      <c r="AE49" s="138">
        <f ca="1"/>
        <v>9.914141288323508E-2</v>
      </c>
      <c r="AG49" s="465" t="s">
        <v>547</v>
      </c>
      <c r="AH49" s="467">
        <v>1.15E-2</v>
      </c>
      <c r="AI49" s="466">
        <v>2027</v>
      </c>
      <c r="AJ49" s="468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8.3623713561109536E-4</v>
      </c>
      <c r="P50" s="162">
        <f ca="1"/>
        <v>1.841868236999944E-3</v>
      </c>
      <c r="Q50" s="162">
        <f ca="1"/>
        <v>4.8724146166454485E-3</v>
      </c>
      <c r="R50" s="162">
        <f ca="1"/>
        <v>9.8613301748484705E-3</v>
      </c>
      <c r="S50" s="162">
        <f ca="1"/>
        <v>0</v>
      </c>
      <c r="T50" s="162">
        <f ca="1"/>
        <v>2.6061302410276488E-2</v>
      </c>
      <c r="U50" s="162">
        <f ca="1"/>
        <v>4.485222009364398E-2</v>
      </c>
      <c r="V50" s="138">
        <f ca="1"/>
        <v>7.7739868169416027E-2</v>
      </c>
      <c r="W50" s="137">
        <f ca="1"/>
        <v>0</v>
      </c>
      <c r="X50" s="162">
        <f ca="1"/>
        <v>9.5564050165009018E-4</v>
      </c>
      <c r="Y50" s="162">
        <f ca="1"/>
        <v>2.0455754380691582E-3</v>
      </c>
      <c r="Z50" s="162">
        <f ca="1"/>
        <v>5.2425851074258123E-3</v>
      </c>
      <c r="AA50" s="162">
        <f ca="1"/>
        <v>1.0396241720018295E-2</v>
      </c>
      <c r="AB50" s="162">
        <f ca="1"/>
        <v>0</v>
      </c>
      <c r="AC50" s="162">
        <f ca="1"/>
        <v>2.691555507947363E-2</v>
      </c>
      <c r="AD50" s="162">
        <f ca="1"/>
        <v>4.6014032605349642E-2</v>
      </c>
      <c r="AE50" s="138">
        <f ca="1"/>
        <v>7.9324662142353786E-2</v>
      </c>
      <c r="AG50" s="465" t="s">
        <v>548</v>
      </c>
      <c r="AH50" s="467">
        <v>2.75E-2</v>
      </c>
      <c r="AI50" s="466">
        <v>2025</v>
      </c>
      <c r="AJ50" s="468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1.433122909088036E-3</v>
      </c>
      <c r="P51" s="162">
        <f ca="1"/>
        <v>4.9290794063459042E-3</v>
      </c>
      <c r="Q51" s="162">
        <f ca="1"/>
        <v>1.4239176653415897E-2</v>
      </c>
      <c r="R51" s="162">
        <f ca="1"/>
        <v>2.9452006702617051E-2</v>
      </c>
      <c r="S51" s="162">
        <f ca="1"/>
        <v>0</v>
      </c>
      <c r="T51" s="162">
        <f ca="1"/>
        <v>7.0564169967629153E-2</v>
      </c>
      <c r="U51" s="162">
        <f ca="1"/>
        <v>0.11581039225068857</v>
      </c>
      <c r="V51" s="138">
        <f ca="1"/>
        <v>0.18715965378995869</v>
      </c>
      <c r="W51" s="137">
        <f ca="1"/>
        <v>0</v>
      </c>
      <c r="X51" s="162">
        <f ca="1"/>
        <v>1.5524512575108007E-3</v>
      </c>
      <c r="Y51" s="162">
        <f ca="1"/>
        <v>5.1322595834928375E-3</v>
      </c>
      <c r="Z51" s="162">
        <f ca="1"/>
        <v>1.4606066786460481E-2</v>
      </c>
      <c r="AA51" s="162">
        <f ca="1"/>
        <v>2.9977147211201371E-2</v>
      </c>
      <c r="AB51" s="162">
        <f ca="1"/>
        <v>0</v>
      </c>
      <c r="AC51" s="162">
        <f ca="1"/>
        <v>7.1370614213734029E-2</v>
      </c>
      <c r="AD51" s="162">
        <f ca="1"/>
        <v>0.11690195034336792</v>
      </c>
      <c r="AE51" s="138">
        <f ca="1"/>
        <v>0.18859334034658859</v>
      </c>
      <c r="AG51" s="465" t="s">
        <v>549</v>
      </c>
      <c r="AH51" s="467">
        <v>1.2500000000000001E-2</v>
      </c>
      <c r="AI51" s="466">
        <v>2025</v>
      </c>
      <c r="AJ51" s="468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7.1681734951745124E-4</v>
      </c>
      <c r="P52" s="162">
        <f ca="1"/>
        <v>1.4309351125588732E-3</v>
      </c>
      <c r="Q52" s="162">
        <f ca="1"/>
        <v>4.5092051011401679E-3</v>
      </c>
      <c r="R52" s="162">
        <f ca="1"/>
        <v>9.8972056949840903E-3</v>
      </c>
      <c r="S52" s="162">
        <f ca="1"/>
        <v>0</v>
      </c>
      <c r="T52" s="162">
        <f ca="1"/>
        <v>2.5170087393553975E-2</v>
      </c>
      <c r="U52" s="162">
        <f ca="1"/>
        <v>4.3651725719563661E-2</v>
      </c>
      <c r="V52" s="138">
        <f ca="1"/>
        <v>7.806298026511671E-2</v>
      </c>
      <c r="W52" s="137">
        <f ca="1"/>
        <v>0</v>
      </c>
      <c r="X52" s="162">
        <f ca="1"/>
        <v>8.3623547992150993E-4</v>
      </c>
      <c r="Y52" s="162">
        <f ca="1"/>
        <v>1.6347145870914126E-3</v>
      </c>
      <c r="Z52" s="162">
        <f ca="1"/>
        <v>4.8795370731286036E-3</v>
      </c>
      <c r="AA52" s="162">
        <f ca="1"/>
        <v>1.0432217827766932E-2</v>
      </c>
      <c r="AB52" s="162">
        <f ca="1"/>
        <v>0</v>
      </c>
      <c r="AC52" s="162">
        <f ca="1"/>
        <v>2.6025236377802075E-2</v>
      </c>
      <c r="AD52" s="162">
        <f ca="1"/>
        <v>4.4814955365076514E-2</v>
      </c>
      <c r="AE52" s="138">
        <f ca="1"/>
        <v>7.9646917600235567E-2</v>
      </c>
      <c r="AG52" s="465" t="s">
        <v>550</v>
      </c>
      <c r="AH52" s="467">
        <v>0.02</v>
      </c>
      <c r="AI52" s="466">
        <v>2025</v>
      </c>
      <c r="AJ52" s="468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8.3623713561109536E-4</v>
      </c>
      <c r="P53" s="162">
        <f ca="1"/>
        <v>1.6347155792999502E-3</v>
      </c>
      <c r="Q53" s="162">
        <f ca="1"/>
        <v>4.1176097640781562E-3</v>
      </c>
      <c r="R53" s="162">
        <f ca="1"/>
        <v>9.3402935968875944E-3</v>
      </c>
      <c r="S53" s="162">
        <f ca="1"/>
        <v>0</v>
      </c>
      <c r="T53" s="162">
        <f ca="1"/>
        <v>2.5218813428707687E-2</v>
      </c>
      <c r="U53" s="162">
        <f ca="1"/>
        <v>4.5036591506538382E-2</v>
      </c>
      <c r="V53" s="138">
        <f ca="1"/>
        <v>7.9884402287315526E-2</v>
      </c>
      <c r="W53" s="137">
        <f ca="1"/>
        <v>0</v>
      </c>
      <c r="X53" s="162">
        <f ca="1"/>
        <v>9.5564050165009018E-4</v>
      </c>
      <c r="Y53" s="162">
        <f ca="1"/>
        <v>1.8384532181975333E-3</v>
      </c>
      <c r="Z53" s="162">
        <f ca="1"/>
        <v>4.4880199195463932E-3</v>
      </c>
      <c r="AA53" s="162">
        <f ca="1"/>
        <v>9.8755334576767773E-3</v>
      </c>
      <c r="AB53" s="162">
        <f ca="1"/>
        <v>0</v>
      </c>
      <c r="AC53" s="162">
        <f ca="1"/>
        <v>2.6073952896518149E-2</v>
      </c>
      <c r="AD53" s="162">
        <f ca="1"/>
        <v>4.6198511690191513E-2</v>
      </c>
      <c r="AE53" s="138">
        <f ca="1"/>
        <v>8.1465571324105368E-2</v>
      </c>
      <c r="AG53" s="465" t="s">
        <v>551</v>
      </c>
      <c r="AH53" s="467">
        <v>1.375E-2</v>
      </c>
      <c r="AI53" s="466">
        <v>2025</v>
      </c>
      <c r="AJ53" s="468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4.7793512564608953E-4</v>
      </c>
      <c r="P54" s="162">
        <f ca="1"/>
        <v>1.2304911535642171E-3</v>
      </c>
      <c r="Q54" s="162">
        <f ca="1"/>
        <v>3.7609670346930857E-3</v>
      </c>
      <c r="R54" s="162">
        <f ca="1"/>
        <v>7.6901827050546157E-3</v>
      </c>
      <c r="S54" s="162">
        <f ca="1"/>
        <v>0</v>
      </c>
      <c r="T54" s="162">
        <f ca="1"/>
        <v>1.8876221374341529E-2</v>
      </c>
      <c r="U54" s="162">
        <f ca="1"/>
        <v>2.980188212605106E-2</v>
      </c>
      <c r="V54" s="138">
        <f ca="1"/>
        <v>5.1401990915282747E-2</v>
      </c>
      <c r="W54" s="137">
        <f ca="1"/>
        <v>0</v>
      </c>
      <c r="X54" s="162">
        <f ca="1"/>
        <v>5.9738255214170088E-4</v>
      </c>
      <c r="Y54" s="162">
        <f ca="1"/>
        <v>1.4343239996221779E-3</v>
      </c>
      <c r="Z54" s="162">
        <f ca="1"/>
        <v>4.1315614430670333E-3</v>
      </c>
      <c r="AA54" s="162">
        <f ca="1"/>
        <v>8.2261943340383725E-3</v>
      </c>
      <c r="AB54" s="162">
        <f ca="1"/>
        <v>0</v>
      </c>
      <c r="AC54" s="162">
        <f ca="1"/>
        <v>1.9736747988364445E-2</v>
      </c>
      <c r="AD54" s="162">
        <f ca="1"/>
        <v>3.098024174306635E-2</v>
      </c>
      <c r="AE54" s="138">
        <f ca="1"/>
        <v>5.3033296824603893E-2</v>
      </c>
      <c r="AG54" s="465" t="s">
        <v>552</v>
      </c>
      <c r="AH54" s="467">
        <v>1.2500000000000001E-2</v>
      </c>
      <c r="AI54" s="466">
        <v>2026</v>
      </c>
      <c r="AJ54" s="468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7.1681734951745124E-4</v>
      </c>
      <c r="P55" s="162">
        <f ca="1"/>
        <v>2.2595596223198289E-3</v>
      </c>
      <c r="Q55" s="162">
        <f ca="1"/>
        <v>6.7650258540118413E-3</v>
      </c>
      <c r="R55" s="162">
        <f ca="1"/>
        <v>1.3702704261436494E-2</v>
      </c>
      <c r="S55" s="162">
        <f ca="1"/>
        <v>0</v>
      </c>
      <c r="T55" s="162">
        <f ca="1"/>
        <v>3.0296445803758121E-2</v>
      </c>
      <c r="U55" s="162">
        <f ca="1"/>
        <v>5.195167974609205E-2</v>
      </c>
      <c r="V55" s="138">
        <f ca="1"/>
        <v>8.7431136092666173E-2</v>
      </c>
      <c r="W55" s="137">
        <f ca="1"/>
        <v>0</v>
      </c>
      <c r="X55" s="162">
        <f ca="1"/>
        <v>8.3623547992150993E-4</v>
      </c>
      <c r="Y55" s="162">
        <f ca="1"/>
        <v>2.4632166134728184E-3</v>
      </c>
      <c r="Z55" s="162">
        <f ca="1"/>
        <v>7.1346068896444015E-3</v>
      </c>
      <c r="AA55" s="162">
        <f ca="1"/>
        <v>1.4235823334998843E-2</v>
      </c>
      <c r="AB55" s="162">
        <f ca="1"/>
        <v>0</v>
      </c>
      <c r="AC55" s="162">
        <f ca="1"/>
        <v>3.1146681435064383E-2</v>
      </c>
      <c r="AD55" s="162">
        <f ca="1"/>
        <v>5.3104254653291383E-2</v>
      </c>
      <c r="AE55" s="138">
        <f ca="1"/>
        <v>8.8996873648556574E-2</v>
      </c>
      <c r="AG55" s="465" t="s">
        <v>553</v>
      </c>
      <c r="AH55" s="467">
        <v>1.2500000000000001E-2</v>
      </c>
      <c r="AI55" s="466">
        <v>2026</v>
      </c>
      <c r="AJ55" s="468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7.1681734951745124E-4</v>
      </c>
      <c r="P56" s="162">
        <f ca="1"/>
        <v>2.880844369063551E-3</v>
      </c>
      <c r="Q56" s="162">
        <f ca="1"/>
        <v>7.8842515857417972E-3</v>
      </c>
      <c r="R56" s="162">
        <f ca="1"/>
        <v>1.4750400888009052E-2</v>
      </c>
      <c r="S56" s="162">
        <f ca="1"/>
        <v>0</v>
      </c>
      <c r="T56" s="162">
        <f ca="1"/>
        <v>3.1981858799289831E-2</v>
      </c>
      <c r="U56" s="162">
        <f ca="1"/>
        <v>5.4244232565172301E-2</v>
      </c>
      <c r="V56" s="138">
        <f ca="1"/>
        <v>9.0576773422047063E-2</v>
      </c>
      <c r="W56" s="137">
        <f ca="1"/>
        <v>0</v>
      </c>
      <c r="X56" s="162">
        <f ca="1"/>
        <v>8.3623547992150993E-4</v>
      </c>
      <c r="Y56" s="162">
        <f ca="1"/>
        <v>3.0844077341917187E-3</v>
      </c>
      <c r="Z56" s="162">
        <f ca="1"/>
        <v>8.2534348916692979E-3</v>
      </c>
      <c r="AA56" s="162">
        <f ca="1"/>
        <v>1.5282886629622183E-2</v>
      </c>
      <c r="AB56" s="162">
        <f ca="1"/>
        <v>0</v>
      </c>
      <c r="AC56" s="162">
        <f ca="1"/>
        <v>3.2830348449235491E-2</v>
      </c>
      <c r="AD56" s="162">
        <f ca="1"/>
        <v>5.539370102237906E-2</v>
      </c>
      <c r="AE56" s="138">
        <f ca="1"/>
        <v>9.2136021156774217E-2</v>
      </c>
      <c r="AG56" s="465" t="s">
        <v>554</v>
      </c>
      <c r="AH56" s="467">
        <v>6.8750000000000006E-2</v>
      </c>
      <c r="AI56" s="466">
        <v>2029</v>
      </c>
      <c r="AJ56" s="468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5.9738334703651752E-4</v>
      </c>
      <c r="P57" s="162">
        <f ca="1"/>
        <v>1.641519707128225E-3</v>
      </c>
      <c r="Q57" s="162">
        <f ca="1"/>
        <v>5.267402010898703E-3</v>
      </c>
      <c r="R57" s="162">
        <f ca="1"/>
        <v>1.211200385031963E-2</v>
      </c>
      <c r="S57" s="162">
        <f ca="1"/>
        <v>0</v>
      </c>
      <c r="T57" s="162">
        <f ca="1"/>
        <v>3.1450044123824017E-2</v>
      </c>
      <c r="U57" s="162">
        <f ca="1"/>
        <v>5.3412870214284425E-2</v>
      </c>
      <c r="V57" s="138">
        <f ca="1"/>
        <v>9.3211532938684782E-2</v>
      </c>
      <c r="W57" s="137">
        <f ca="1"/>
        <v>0</v>
      </c>
      <c r="X57" s="162">
        <f ca="1"/>
        <v>7.1681616400920412E-4</v>
      </c>
      <c r="Y57" s="162">
        <f ca="1"/>
        <v>1.845280215647005E-3</v>
      </c>
      <c r="Z57" s="162">
        <f ca="1"/>
        <v>5.6375029824843326E-3</v>
      </c>
      <c r="AA57" s="162">
        <f ca="1"/>
        <v>1.264603158225186E-2</v>
      </c>
      <c r="AB57" s="162">
        <f ca="1"/>
        <v>0</v>
      </c>
      <c r="AC57" s="162">
        <f ca="1"/>
        <v>3.2299541775540619E-2</v>
      </c>
      <c r="AD57" s="162">
        <f ca="1"/>
        <v>5.4564708544940888E-2</v>
      </c>
      <c r="AE57" s="138">
        <f ca="1"/>
        <v>9.4766067872341875E-2</v>
      </c>
      <c r="AG57" s="465" t="s">
        <v>555</v>
      </c>
      <c r="AH57" s="467">
        <v>5.0000000000000001E-3</v>
      </c>
      <c r="AI57" s="466">
        <v>2026</v>
      </c>
      <c r="AJ57" s="468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1.433122909088036E-3</v>
      </c>
      <c r="P58" s="162">
        <f ca="1"/>
        <v>3.4809060274593184E-3</v>
      </c>
      <c r="Q58" s="162">
        <f ca="1"/>
        <v>1.0500152113618655E-2</v>
      </c>
      <c r="R58" s="162">
        <f ca="1"/>
        <v>1.9068350468711914E-2</v>
      </c>
      <c r="S58" s="162">
        <f ca="1"/>
        <v>0</v>
      </c>
      <c r="T58" s="162">
        <f ca="1"/>
        <v>3.9754831133156587E-2</v>
      </c>
      <c r="U58" s="162">
        <f ca="1"/>
        <v>6.3400232317436966E-2</v>
      </c>
      <c r="V58" s="138">
        <f ca="1"/>
        <v>0.10691741839379332</v>
      </c>
      <c r="W58" s="137">
        <f ca="1"/>
        <v>0</v>
      </c>
      <c r="X58" s="162">
        <f ca="1"/>
        <v>1.5524512575108007E-3</v>
      </c>
      <c r="Y58" s="162">
        <f ca="1"/>
        <v>3.6843101420301894E-3</v>
      </c>
      <c r="Z58" s="162">
        <f ca="1"/>
        <v>1.0868386227509297E-2</v>
      </c>
      <c r="AA58" s="162">
        <f ca="1"/>
        <v>1.9598625595019126E-2</v>
      </c>
      <c r="AB58" s="162">
        <f ca="1"/>
        <v>0</v>
      </c>
      <c r="AC58" s="162">
        <f ca="1"/>
        <v>4.0595784870471441E-2</v>
      </c>
      <c r="AD58" s="162">
        <f ca="1"/>
        <v>6.4537845981590958E-2</v>
      </c>
      <c r="AE58" s="138">
        <f ca="1"/>
        <v>0.10847077409459327</v>
      </c>
      <c r="AG58" s="465" t="s">
        <v>556</v>
      </c>
      <c r="AH58" s="467">
        <v>2.375E-2</v>
      </c>
      <c r="AI58" s="466">
        <v>2025</v>
      </c>
      <c r="AJ58" s="468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9.5564270783932148E-4</v>
      </c>
      <c r="P59" s="162">
        <f ca="1"/>
        <v>2.6668413380588341E-3</v>
      </c>
      <c r="Q59" s="162">
        <f ca="1"/>
        <v>8.6449298082797998E-3</v>
      </c>
      <c r="R59" s="162">
        <f ca="1"/>
        <v>1.5838058623935614E-2</v>
      </c>
      <c r="S59" s="162">
        <f ca="1"/>
        <v>0</v>
      </c>
      <c r="T59" s="162">
        <f ca="1"/>
        <v>3.3706260111083686E-2</v>
      </c>
      <c r="U59" s="162">
        <f ca="1"/>
        <v>5.5248084239776118E-2</v>
      </c>
      <c r="V59" s="138">
        <f ca="1"/>
        <v>9.5860693207645897E-2</v>
      </c>
      <c r="W59" s="137">
        <f ca="1"/>
        <v>0</v>
      </c>
      <c r="X59" s="162">
        <f ca="1"/>
        <v>1.0750312308801524E-3</v>
      </c>
      <c r="Y59" s="162">
        <f ca="1"/>
        <v>2.8704141167731345E-3</v>
      </c>
      <c r="Z59" s="162">
        <f ca="1"/>
        <v>9.0138700499948765E-3</v>
      </c>
      <c r="AA59" s="162">
        <f ca="1"/>
        <v>1.6370020729709389E-2</v>
      </c>
      <c r="AB59" s="162">
        <f ca="1"/>
        <v>0</v>
      </c>
      <c r="AC59" s="162">
        <f ca="1"/>
        <v>3.4553113601034413E-2</v>
      </c>
      <c r="AD59" s="162">
        <f ca="1"/>
        <v>5.6396077575520454E-2</v>
      </c>
      <c r="AE59" s="138">
        <f ca="1"/>
        <v>9.743244318109523E-2</v>
      </c>
      <c r="AG59" s="465" t="s">
        <v>557</v>
      </c>
      <c r="AH59" s="467"/>
      <c r="AI59" s="466"/>
      <c r="AJ59" s="468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7.1681734951745124E-4</v>
      </c>
      <c r="P60" s="162">
        <f ca="1"/>
        <v>1.8452823530332729E-3</v>
      </c>
      <c r="Q60" s="162">
        <f ca="1"/>
        <v>4.8758717666163021E-3</v>
      </c>
      <c r="R60" s="162">
        <f ca="1"/>
        <v>9.3010284878750626E-3</v>
      </c>
      <c r="S60" s="162">
        <f ca="1"/>
        <v>0</v>
      </c>
      <c r="T60" s="162">
        <f ca="1"/>
        <v>1.9602325721415848E-2</v>
      </c>
      <c r="U60" s="162">
        <f ca="1"/>
        <v>3.2187251724028698E-2</v>
      </c>
      <c r="V60" s="138">
        <f ca="1"/>
        <v>5.6681158031681944E-2</v>
      </c>
      <c r="W60" s="137">
        <f ca="1"/>
        <v>0</v>
      </c>
      <c r="X60" s="162">
        <f ca="1"/>
        <v>8.3623547992150993E-4</v>
      </c>
      <c r="Y60" s="162">
        <f ca="1"/>
        <v>2.0490009159271905E-3</v>
      </c>
      <c r="Z60" s="162">
        <f ca="1"/>
        <v>5.2460534921597857E-3</v>
      </c>
      <c r="AA60" s="162">
        <f ca="1"/>
        <v>9.8361670909341559E-3</v>
      </c>
      <c r="AB60" s="162">
        <f ca="1"/>
        <v>0</v>
      </c>
      <c r="AC60" s="162">
        <f ca="1"/>
        <v>2.0461844373933058E-2</v>
      </c>
      <c r="AD60" s="162">
        <f ca="1"/>
        <v>3.3362487894597948E-2</v>
      </c>
      <c r="AE60" s="138">
        <f ca="1"/>
        <v>5.8302975553635505E-2</v>
      </c>
      <c r="AG60" s="465" t="s">
        <v>558</v>
      </c>
      <c r="AH60" s="467">
        <v>8.7500000000000008E-3</v>
      </c>
      <c r="AI60" s="466">
        <v>2025</v>
      </c>
      <c r="AJ60" s="468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9.5564270783932148E-4</v>
      </c>
      <c r="P61" s="162">
        <f ca="1"/>
        <v>2.2526828655696773E-3</v>
      </c>
      <c r="Q61" s="162">
        <f ca="1"/>
        <v>5.9968421973668473E-3</v>
      </c>
      <c r="R61" s="162">
        <f ca="1"/>
        <v>9.789844117991664E-3</v>
      </c>
      <c r="S61" s="162">
        <f ca="1"/>
        <v>0</v>
      </c>
      <c r="T61" s="162">
        <f ca="1"/>
        <v>2.1345205589387461E-2</v>
      </c>
      <c r="U61" s="162">
        <f ca="1"/>
        <v>3.4561729496903615E-2</v>
      </c>
      <c r="V61" s="138">
        <f ca="1"/>
        <v>6.1935150841449516E-2</v>
      </c>
      <c r="W61" s="137">
        <f ca="1"/>
        <v>0</v>
      </c>
      <c r="X61" s="162">
        <f ca="1"/>
        <v>1.0750312308801524E-3</v>
      </c>
      <c r="Y61" s="162">
        <f ca="1"/>
        <v>2.4563174820482203E-3</v>
      </c>
      <c r="Z61" s="162">
        <f ca="1"/>
        <v>6.3666283671484081E-3</v>
      </c>
      <c r="AA61" s="162">
        <f ca="1"/>
        <v>1.0324562135913928E-2</v>
      </c>
      <c r="AB61" s="162">
        <f ca="1"/>
        <v>0</v>
      </c>
      <c r="AC61" s="162">
        <f ca="1"/>
        <v>2.2203061126913171E-2</v>
      </c>
      <c r="AD61" s="162">
        <f ca="1"/>
        <v>3.5734048350919423E-2</v>
      </c>
      <c r="AE61" s="138">
        <f ca="1"/>
        <v>6.3547234638991701E-2</v>
      </c>
      <c r="AG61" s="465" t="s">
        <v>559</v>
      </c>
      <c r="AH61" s="467">
        <v>3.6249999999999998E-2</v>
      </c>
      <c r="AI61" s="466">
        <v>2028</v>
      </c>
      <c r="AJ61" s="468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5.9738334703651752E-4</v>
      </c>
      <c r="P62" s="162">
        <f ca="1"/>
        <v>1.2271130388825657E-3</v>
      </c>
      <c r="Q62" s="162">
        <f ca="1"/>
        <v>4.5197878575824468E-3</v>
      </c>
      <c r="R62" s="162">
        <f ca="1"/>
        <v>9.3440255341487033E-3</v>
      </c>
      <c r="S62" s="162">
        <f ca="1"/>
        <v>0</v>
      </c>
      <c r="T62" s="162">
        <f ca="1"/>
        <v>2.4293958354426493E-2</v>
      </c>
      <c r="U62" s="162">
        <f ca="1"/>
        <v>4.1128870120282768E-2</v>
      </c>
      <c r="V62" s="138">
        <f ca="1"/>
        <v>7.0735928765324307E-2</v>
      </c>
      <c r="W62" s="137">
        <f ca="1"/>
        <v>0</v>
      </c>
      <c r="X62" s="162">
        <f ca="1"/>
        <v>7.1681616400920412E-4</v>
      </c>
      <c r="Y62" s="162">
        <f ca="1"/>
        <v>1.430934331878686E-3</v>
      </c>
      <c r="Z62" s="162">
        <f ca="1"/>
        <v>4.8901507347623996E-3</v>
      </c>
      <c r="AA62" s="162">
        <f ca="1"/>
        <v>9.8792901269223465E-3</v>
      </c>
      <c r="AB62" s="162">
        <f ca="1"/>
        <v>0</v>
      </c>
      <c r="AC62" s="162">
        <f ca="1"/>
        <v>2.5149892535373808E-2</v>
      </c>
      <c r="AD62" s="162">
        <f ca="1"/>
        <v>4.2294979162132207E-2</v>
      </c>
      <c r="AE62" s="138">
        <f ca="1"/>
        <v>7.2333664758617355E-2</v>
      </c>
      <c r="AG62" s="465" t="s">
        <v>560</v>
      </c>
      <c r="AH62" s="467">
        <v>1.125E-2</v>
      </c>
      <c r="AI62" s="466">
        <v>2025</v>
      </c>
      <c r="AJ62" s="468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1.1944112209274493E-3</v>
      </c>
      <c r="P63" s="162">
        <f ca="1"/>
        <v>2.452870985662936E-3</v>
      </c>
      <c r="Q63" s="162">
        <f ca="1"/>
        <v>5.6020031971839579E-3</v>
      </c>
      <c r="R63" s="162">
        <f ca="1"/>
        <v>1.204667435200435E-2</v>
      </c>
      <c r="S63" s="162">
        <f ca="1"/>
        <v>0</v>
      </c>
      <c r="T63" s="162">
        <f ca="1"/>
        <v>2.6751881294821978E-2</v>
      </c>
      <c r="U63" s="162">
        <f ca="1"/>
        <v>4.4515909265259834E-2</v>
      </c>
      <c r="V63" s="138">
        <f ca="1"/>
        <v>8.1315619289156427E-2</v>
      </c>
      <c r="W63" s="137">
        <f ca="1"/>
        <v>0</v>
      </c>
      <c r="X63" s="162">
        <f ca="1"/>
        <v>1.3137698188127045E-3</v>
      </c>
      <c r="Y63" s="162">
        <f ca="1"/>
        <v>2.6564523803517259E-3</v>
      </c>
      <c r="Z63" s="162">
        <f ca="1"/>
        <v>5.9718595351889725E-3</v>
      </c>
      <c r="AA63" s="162">
        <f ca="1"/>
        <v>1.2580517368738109E-2</v>
      </c>
      <c r="AB63" s="162">
        <f ca="1"/>
        <v>0</v>
      </c>
      <c r="AC63" s="162">
        <f ca="1"/>
        <v>2.7605280123206288E-2</v>
      </c>
      <c r="AD63" s="162">
        <f ca="1"/>
        <v>4.567717972610752E-2</v>
      </c>
      <c r="AE63" s="138">
        <f ca="1"/>
        <v>8.2891555988582222E-2</v>
      </c>
      <c r="AG63" s="465" t="s">
        <v>561</v>
      </c>
      <c r="AH63" s="467">
        <v>5.1249999999999997E-2</v>
      </c>
      <c r="AI63" s="466">
        <v>2027</v>
      </c>
      <c r="AJ63" s="468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3.5847268276523181E-4</v>
      </c>
      <c r="P64" s="162">
        <f ca="1"/>
        <v>1.0266155659914844E-3</v>
      </c>
      <c r="Q64" s="162">
        <f ca="1"/>
        <v>3.7714763982246158E-3</v>
      </c>
      <c r="R64" s="162">
        <f ca="1"/>
        <v>8.2652474410943588E-3</v>
      </c>
      <c r="S64" s="162">
        <f ca="1"/>
        <v>0</v>
      </c>
      <c r="T64" s="162">
        <f ca="1"/>
        <v>2.0708217059014156E-2</v>
      </c>
      <c r="U64" s="162">
        <f ca="1"/>
        <v>3.6292258192957783E-2</v>
      </c>
      <c r="V64" s="138">
        <f ca="1"/>
        <v>6.0170472729888513E-2</v>
      </c>
      <c r="W64" s="137">
        <f ca="1"/>
        <v>0</v>
      </c>
      <c r="X64" s="162">
        <f ca="1"/>
        <v>4.779346426626585E-4</v>
      </c>
      <c r="Y64" s="162">
        <f ca="1"/>
        <v>1.2304902589456157E-3</v>
      </c>
      <c r="Z64" s="162">
        <f ca="1"/>
        <v>4.1421026586109244E-3</v>
      </c>
      <c r="AA64" s="162">
        <f ca="1"/>
        <v>8.801078953520669E-3</v>
      </c>
      <c r="AB64" s="162">
        <f ca="1"/>
        <v>0</v>
      </c>
      <c r="AC64" s="162">
        <f ca="1"/>
        <v>2.1567308800820362E-2</v>
      </c>
      <c r="AD64" s="162">
        <f ca="1"/>
        <v>3.7464009076607296E-2</v>
      </c>
      <c r="AE64" s="138">
        <f ca="1"/>
        <v>6.1787583918745725E-2</v>
      </c>
      <c r="AG64" s="465" t="s">
        <v>562</v>
      </c>
      <c r="AH64" s="467">
        <v>0.15</v>
      </c>
      <c r="AI64" s="466">
        <v>2037</v>
      </c>
      <c r="AJ64" s="468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3.5847268276523181E-4</v>
      </c>
      <c r="P65" s="162">
        <f ca="1"/>
        <v>1.0266155659914844E-3</v>
      </c>
      <c r="Q65" s="162">
        <f ca="1"/>
        <v>3.7714763982246158E-3</v>
      </c>
      <c r="R65" s="162">
        <f ca="1"/>
        <v>7.1363049386578004E-3</v>
      </c>
      <c r="S65" s="162">
        <f ca="1"/>
        <v>0</v>
      </c>
      <c r="T65" s="162">
        <f ca="1"/>
        <v>1.7996037388473773E-2</v>
      </c>
      <c r="U65" s="162">
        <f ca="1"/>
        <v>2.9947326524580986E-2</v>
      </c>
      <c r="V65" s="138">
        <f ca="1"/>
        <v>5.1547904189517157E-2</v>
      </c>
      <c r="W65" s="137">
        <f ca="1"/>
        <v>0</v>
      </c>
      <c r="X65" s="162">
        <f ca="1"/>
        <v>4.779346426626585E-4</v>
      </c>
      <c r="Y65" s="162">
        <f ca="1"/>
        <v>1.2304902589456157E-3</v>
      </c>
      <c r="Z65" s="162">
        <f ca="1"/>
        <v>4.1421026586109244E-3</v>
      </c>
      <c r="AA65" s="162">
        <f ca="1"/>
        <v>7.6725626212953424E-3</v>
      </c>
      <c r="AB65" s="162">
        <f ca="1"/>
        <v>0</v>
      </c>
      <c r="AC65" s="162">
        <f ca="1"/>
        <v>1.8857326771929639E-2</v>
      </c>
      <c r="AD65" s="162">
        <f ca="1"/>
        <v>3.1125872979809177E-2</v>
      </c>
      <c r="AE65" s="138">
        <f ca="1"/>
        <v>5.3179535288194968E-2</v>
      </c>
      <c r="AG65" s="465" t="s">
        <v>563</v>
      </c>
      <c r="AH65" s="467">
        <v>1.4999999999999999E-2</v>
      </c>
      <c r="AI65" s="466">
        <v>2026</v>
      </c>
      <c r="AJ65" s="468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2.3899601589938424E-4</v>
      </c>
      <c r="P66" s="162">
        <f ca="1"/>
        <v>1.0299821050310243E-3</v>
      </c>
      <c r="Q66" s="162">
        <f ca="1"/>
        <v>4.1561163782884991E-3</v>
      </c>
      <c r="R66" s="162">
        <f ca="1"/>
        <v>7.686710979464273E-3</v>
      </c>
      <c r="S66" s="162">
        <f ca="1"/>
        <v>0</v>
      </c>
      <c r="T66" s="162">
        <f ca="1"/>
        <v>1.8872680513913109E-2</v>
      </c>
      <c r="U66" s="162">
        <f ca="1"/>
        <v>3.1141493761248529E-2</v>
      </c>
      <c r="V66" s="138">
        <f ca="1"/>
        <v>5.3200338290399607E-2</v>
      </c>
      <c r="W66" s="137">
        <f ca="1"/>
        <v>0</v>
      </c>
      <c r="X66" s="162">
        <f ca="1"/>
        <v>3.5847243377118421E-4</v>
      </c>
      <c r="Y66" s="162">
        <f ca="1"/>
        <v>1.2338683436263764E-3</v>
      </c>
      <c r="Z66" s="162">
        <f ca="1"/>
        <v>4.5266436768345297E-3</v>
      </c>
      <c r="AA66" s="162">
        <f ca="1"/>
        <v>8.2227197432311883E-3</v>
      </c>
      <c r="AB66" s="162">
        <f ca="1"/>
        <v>0</v>
      </c>
      <c r="AC66" s="162">
        <f ca="1"/>
        <v>1.9733193798461501E-2</v>
      </c>
      <c r="AD66" s="162">
        <f ca="1"/>
        <v>3.2318580965883803E-2</v>
      </c>
      <c r="AE66" s="138">
        <f ca="1"/>
        <v>5.4828898120182656E-2</v>
      </c>
      <c r="AG66" s="465" t="s">
        <v>564</v>
      </c>
      <c r="AH66" s="467"/>
      <c r="AI66" s="466"/>
      <c r="AJ66" s="468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1.0272792296046607E-3</v>
      </c>
      <c r="P67" s="162">
        <f ca="1"/>
        <v>2.6647639164438797E-3</v>
      </c>
      <c r="Q67" s="162">
        <f ca="1"/>
        <v>7.4260230485977408E-3</v>
      </c>
      <c r="R67" s="162">
        <f ca="1"/>
        <v>1.3139323916601442E-2</v>
      </c>
      <c r="S67" s="162">
        <f ca="1"/>
        <v>0</v>
      </c>
      <c r="T67" s="162">
        <f ca="1"/>
        <v>2.7499678070602496E-2</v>
      </c>
      <c r="U67" s="162">
        <f ca="1"/>
        <v>4.3439158262587485E-2</v>
      </c>
      <c r="V67" s="138">
        <f ca="1"/>
        <v>6.939726343745467E-2</v>
      </c>
      <c r="W67" s="137">
        <f ca="1"/>
        <v>0</v>
      </c>
      <c r="X67" s="162">
        <f ca="1"/>
        <v>1.1466588087510887E-3</v>
      </c>
      <c r="Y67" s="162">
        <f ca="1"/>
        <v>2.8683300630497621E-3</v>
      </c>
      <c r="Z67" s="162">
        <f ca="1"/>
        <v>7.7953331930215031E-3</v>
      </c>
      <c r="AA67" s="162">
        <f ca="1"/>
        <v>1.3672500829009837E-2</v>
      </c>
      <c r="AB67" s="162">
        <f ca="1"/>
        <v>0</v>
      </c>
      <c r="AC67" s="162">
        <f ca="1"/>
        <v>2.8352093835887437E-2</v>
      </c>
      <c r="AD67" s="162">
        <f ca="1"/>
        <v>4.4600863690654857E-2</v>
      </c>
      <c r="AE67" s="138">
        <f ca="1"/>
        <v>7.0995133118709086E-2</v>
      </c>
      <c r="AG67" s="465" t="s">
        <v>565</v>
      </c>
      <c r="AH67" s="467">
        <v>5.7099999999999998E-3</v>
      </c>
      <c r="AI67" s="466">
        <v>2027</v>
      </c>
      <c r="AJ67" s="468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1.1944112209274493E-3</v>
      </c>
      <c r="P68" s="162">
        <f ca="1"/>
        <v>3.6948853020454253E-3</v>
      </c>
      <c r="Q68" s="162">
        <f ca="1"/>
        <v>9.3605643508490877E-3</v>
      </c>
      <c r="R68" s="162">
        <f ca="1"/>
        <v>2.0246717642704359E-2</v>
      </c>
      <c r="S68" s="162">
        <f ca="1"/>
        <v>0</v>
      </c>
      <c r="T68" s="162">
        <f ca="1"/>
        <v>4.8904491910609971E-2</v>
      </c>
      <c r="U68" s="162">
        <f ca="1"/>
        <v>8.4671846087144065E-2</v>
      </c>
      <c r="V68" s="138">
        <f ca="1"/>
        <v>0.14253015792385004</v>
      </c>
      <c r="W68" s="137">
        <f ca="1"/>
        <v>0</v>
      </c>
      <c r="X68" s="162">
        <f ca="1"/>
        <v>1.3137698188127045E-3</v>
      </c>
      <c r="Y68" s="162">
        <f ca="1"/>
        <v>3.8982793273842908E-3</v>
      </c>
      <c r="Z68" s="162">
        <f ca="1"/>
        <v>9.7291696327856947E-3</v>
      </c>
      <c r="AA68" s="162">
        <f ca="1"/>
        <v>2.0776585946942094E-2</v>
      </c>
      <c r="AB68" s="162">
        <f ca="1"/>
        <v>0</v>
      </c>
      <c r="AC68" s="162">
        <f ca="1"/>
        <v>4.9736281924233405E-2</v>
      </c>
      <c r="AD68" s="162">
        <f ca="1"/>
        <v>8.5783374773835686E-2</v>
      </c>
      <c r="AE68" s="138">
        <f ca="1"/>
        <v>0.14403551703912976</v>
      </c>
      <c r="AG68" s="465" t="s">
        <v>566</v>
      </c>
      <c r="AH68" s="467">
        <v>0.01</v>
      </c>
      <c r="AI68" s="466">
        <v>2026</v>
      </c>
      <c r="AJ68" s="468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2.0296536533715992E-3</v>
      </c>
      <c r="P69" s="162">
        <f ca="1"/>
        <v>4.2907489842318736E-3</v>
      </c>
      <c r="Q69" s="162">
        <f ca="1"/>
        <v>1.0831328369271587E-2</v>
      </c>
      <c r="R69" s="162">
        <f ca="1"/>
        <v>2.4043019223386919E-2</v>
      </c>
      <c r="S69" s="162">
        <f ca="1"/>
        <v>0</v>
      </c>
      <c r="T69" s="162">
        <f ca="1"/>
        <v>5.3030934766741034E-2</v>
      </c>
      <c r="U69" s="162">
        <f ca="1"/>
        <v>9.1516731197779255E-2</v>
      </c>
      <c r="V69" s="138">
        <f ca="1"/>
        <v>0.15726074392741685</v>
      </c>
      <c r="W69" s="137">
        <f ca="1"/>
        <v>0</v>
      </c>
      <c r="X69" s="162">
        <f ca="1"/>
        <v>2.1489049168379459E-3</v>
      </c>
      <c r="Y69" s="162">
        <f ca="1"/>
        <v>4.4939734344775495E-3</v>
      </c>
      <c r="Z69" s="162">
        <f ca="1"/>
        <v>1.119933244784499E-2</v>
      </c>
      <c r="AA69" s="162">
        <f ca="1"/>
        <v>2.4570904516863057E-2</v>
      </c>
      <c r="AB69" s="162">
        <f ca="1"/>
        <v>0</v>
      </c>
      <c r="AC69" s="162">
        <f ca="1"/>
        <v>5.3858588404987251E-2</v>
      </c>
      <c r="AD69" s="162">
        <f ca="1"/>
        <v>9.2618056639398372E-2</v>
      </c>
      <c r="AE69" s="138">
        <f ca="1"/>
        <v>0.15874536200339895</v>
      </c>
      <c r="AG69" s="465" t="s">
        <v>567</v>
      </c>
      <c r="AH69" s="467">
        <v>3.3750000000000002E-2</v>
      </c>
      <c r="AI69" s="466">
        <v>2026</v>
      </c>
      <c r="AJ69" s="468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4.7793512564608953E-4</v>
      </c>
      <c r="P70" s="162">
        <f ca="1"/>
        <v>1.8521115658701737E-3</v>
      </c>
      <c r="Q70" s="162">
        <f ca="1"/>
        <v>5.6445186122200397E-3</v>
      </c>
      <c r="R70" s="162">
        <f ca="1"/>
        <v>1.2090116061135303E-2</v>
      </c>
      <c r="S70" s="162">
        <f ca="1"/>
        <v>0</v>
      </c>
      <c r="T70" s="162">
        <f ca="1"/>
        <v>3.1427356967986375E-2</v>
      </c>
      <c r="U70" s="162">
        <f ca="1"/>
        <v>5.604747498076379E-2</v>
      </c>
      <c r="V70" s="138">
        <f ca="1"/>
        <v>9.8603532618667389E-2</v>
      </c>
      <c r="W70" s="137">
        <f ca="1"/>
        <v>0</v>
      </c>
      <c r="X70" s="162">
        <f ca="1"/>
        <v>5.9738255214170088E-4</v>
      </c>
      <c r="Y70" s="162">
        <f ca="1"/>
        <v>2.0558526921055087E-3</v>
      </c>
      <c r="Z70" s="162">
        <f ca="1"/>
        <v>6.0144995706262749E-3</v>
      </c>
      <c r="AA70" s="162">
        <f ca="1"/>
        <v>1.2624092904221951E-2</v>
      </c>
      <c r="AB70" s="162">
        <f ca="1"/>
        <v>0</v>
      </c>
      <c r="AC70" s="162">
        <f ca="1"/>
        <v>3.2276790876888062E-2</v>
      </c>
      <c r="AD70" s="162">
        <f ca="1"/>
        <v>5.7196134348049044E-2</v>
      </c>
      <c r="AE70" s="138">
        <f ca="1"/>
        <v>0.10017492160563457</v>
      </c>
      <c r="AG70" s="465" t="s">
        <v>568</v>
      </c>
      <c r="AH70" s="467">
        <v>2.5000000000000001E-2</v>
      </c>
      <c r="AI70" s="466">
        <v>2026</v>
      </c>
      <c r="AJ70" s="468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1.3734503132861731E-3</v>
      </c>
      <c r="P71" s="162">
        <f ca="1"/>
        <v>2.9445342423525256E-3</v>
      </c>
      <c r="Q71" s="162">
        <f ca="1"/>
        <v>7.5195826443906766E-3</v>
      </c>
      <c r="R71" s="162">
        <f ca="1"/>
        <v>1.2831843444866986E-2</v>
      </c>
      <c r="S71" s="162">
        <f ca="1"/>
        <v>0</v>
      </c>
      <c r="T71" s="162">
        <f ca="1"/>
        <v>2.6567897428285137E-2</v>
      </c>
      <c r="U71" s="162">
        <f ca="1"/>
        <v>4.2063401263925937E-2</v>
      </c>
      <c r="V71" s="138">
        <f ca="1"/>
        <v>6.7728774880186027E-2</v>
      </c>
      <c r="W71" s="137">
        <f ca="1"/>
        <v>0</v>
      </c>
      <c r="X71" s="162">
        <f ca="1"/>
        <v>1.4927862548357318E-3</v>
      </c>
      <c r="Y71" s="162">
        <f ca="1"/>
        <v>3.148024868984578E-3</v>
      </c>
      <c r="Z71" s="162">
        <f ca="1"/>
        <v>7.8888019687576305E-3</v>
      </c>
      <c r="AA71" s="162">
        <f ca="1"/>
        <v>1.3365054607503923E-2</v>
      </c>
      <c r="AB71" s="162">
        <f ca="1"/>
        <v>0</v>
      </c>
      <c r="AC71" s="162">
        <f ca="1"/>
        <v>2.7420998219784387E-2</v>
      </c>
      <c r="AD71" s="162">
        <f ca="1"/>
        <v>4.3226549434365547E-2</v>
      </c>
      <c r="AE71" s="138">
        <f ca="1"/>
        <v>6.9329529666236733E-2</v>
      </c>
      <c r="AG71" s="465" t="s">
        <v>569</v>
      </c>
      <c r="AH71" s="467">
        <v>1.7500000000000002E-2</v>
      </c>
      <c r="AI71" s="466">
        <v>2026</v>
      </c>
      <c r="AJ71" s="468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8.3623713561109536E-4</v>
      </c>
      <c r="P72" s="162">
        <f ca="1"/>
        <v>2.4632212683648458E-3</v>
      </c>
      <c r="Q72" s="162">
        <f ca="1"/>
        <v>9.0360722881905886E-3</v>
      </c>
      <c r="R72" s="162">
        <f ca="1"/>
        <v>1.7516144663729305E-2</v>
      </c>
      <c r="S72" s="162">
        <f ca="1"/>
        <v>0</v>
      </c>
      <c r="T72" s="162">
        <f ca="1"/>
        <v>4.1861023911956563E-2</v>
      </c>
      <c r="U72" s="162">
        <f ca="1"/>
        <v>6.8739322034360617E-2</v>
      </c>
      <c r="V72" s="138">
        <f ca="1"/>
        <v>0.12345919745525291</v>
      </c>
      <c r="W72" s="137">
        <f ca="1"/>
        <v>0</v>
      </c>
      <c r="X72" s="162">
        <f ca="1"/>
        <v>9.5564050165009018E-4</v>
      </c>
      <c r="Y72" s="162">
        <f ca="1"/>
        <v>2.666836163108699E-3</v>
      </c>
      <c r="Z72" s="162">
        <f ca="1"/>
        <v>9.4049172437278283E-3</v>
      </c>
      <c r="AA72" s="162">
        <f ca="1"/>
        <v>1.8047414124389594E-2</v>
      </c>
      <c r="AB72" s="162">
        <f ca="1"/>
        <v>0</v>
      </c>
      <c r="AC72" s="162">
        <f ca="1"/>
        <v>4.270013329301503E-2</v>
      </c>
      <c r="AD72" s="162">
        <f ca="1"/>
        <v>6.9871676968901508E-2</v>
      </c>
      <c r="AE72" s="138">
        <f ca="1"/>
        <v>0.12499360304661489</v>
      </c>
      <c r="AG72" s="465" t="s">
        <v>570</v>
      </c>
      <c r="AH72" s="467">
        <v>2.972E-2</v>
      </c>
      <c r="AI72" s="466">
        <v>2026</v>
      </c>
      <c r="AJ72" s="468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4.7793512564608953E-4</v>
      </c>
      <c r="P73" s="162">
        <f ca="1"/>
        <v>1.2304911535642171E-3</v>
      </c>
      <c r="Q73" s="162">
        <f ca="1"/>
        <v>4.1421328094489729E-3</v>
      </c>
      <c r="R73" s="162">
        <f ca="1"/>
        <v>7.6726064498067181E-3</v>
      </c>
      <c r="S73" s="162">
        <f ca="1"/>
        <v>0</v>
      </c>
      <c r="T73" s="162">
        <f ca="1"/>
        <v>2.1650496137598729E-2</v>
      </c>
      <c r="U73" s="162">
        <f ca="1"/>
        <v>4.0227304276557851E-2</v>
      </c>
      <c r="V73" s="138">
        <f ca="1"/>
        <v>7.3327214156228337E-2</v>
      </c>
      <c r="W73" s="137">
        <f ca="1"/>
        <v>0</v>
      </c>
      <c r="X73" s="162">
        <f ca="1"/>
        <v>5.9738255214170088E-4</v>
      </c>
      <c r="Y73" s="162">
        <f ca="1"/>
        <v>1.4343239996221779E-3</v>
      </c>
      <c r="Z73" s="162">
        <f ca="1"/>
        <v>4.5126176347740632E-3</v>
      </c>
      <c r="AA73" s="162">
        <f ca="1"/>
        <v>8.2085703356600259E-3</v>
      </c>
      <c r="AB73" s="162">
        <f ca="1"/>
        <v>0</v>
      </c>
      <c r="AC73" s="162">
        <f ca="1"/>
        <v>2.2508748364394648E-2</v>
      </c>
      <c r="AD73" s="162">
        <f ca="1"/>
        <v>4.1394984322616568E-2</v>
      </c>
      <c r="AE73" s="138">
        <f ca="1"/>
        <v>7.4921057472746133E-2</v>
      </c>
      <c r="AG73" s="465" t="s">
        <v>571</v>
      </c>
      <c r="AH73" s="467">
        <v>4.3749999999999997E-2</v>
      </c>
      <c r="AI73" s="466">
        <v>2029</v>
      </c>
      <c r="AJ73" s="468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7.1681734951745124E-4</v>
      </c>
      <c r="P74" s="162">
        <f ca="1"/>
        <v>2.2595596223198289E-3</v>
      </c>
      <c r="Q74" s="162">
        <f ca="1"/>
        <v>7.5259719424000115E-3</v>
      </c>
      <c r="R74" s="162">
        <f ca="1"/>
        <v>1.4228765817323019E-2</v>
      </c>
      <c r="S74" s="162">
        <f ca="1"/>
        <v>0</v>
      </c>
      <c r="T74" s="162">
        <f ca="1"/>
        <v>3.0216949686933781E-2</v>
      </c>
      <c r="U74" s="162">
        <f ca="1"/>
        <v>5.0541880430834629E-2</v>
      </c>
      <c r="V74" s="138">
        <f ca="1"/>
        <v>8.5592078196708554E-2</v>
      </c>
      <c r="W74" s="137">
        <f ca="1"/>
        <v>0</v>
      </c>
      <c r="X74" s="162">
        <f ca="1"/>
        <v>8.3623547992150993E-4</v>
      </c>
      <c r="Y74" s="162">
        <f ca="1"/>
        <v>2.4632166134728184E-3</v>
      </c>
      <c r="Z74" s="162">
        <f ca="1"/>
        <v>7.8953206780293383E-3</v>
      </c>
      <c r="AA74" s="162">
        <f ca="1"/>
        <v>1.4761584997839416E-2</v>
      </c>
      <c r="AB74" s="162">
        <f ca="1"/>
        <v>0</v>
      </c>
      <c r="AC74" s="162">
        <f ca="1"/>
        <v>3.1067125249124472E-2</v>
      </c>
      <c r="AD74" s="162">
        <f ca="1"/>
        <v>5.169574519641329E-2</v>
      </c>
      <c r="AE74" s="138">
        <f ca="1"/>
        <v>8.7160517840938034E-2</v>
      </c>
      <c r="AG74" s="465" t="s">
        <v>572</v>
      </c>
      <c r="AH74" s="467">
        <v>5.6250000000000001E-2</v>
      </c>
      <c r="AI74" s="466">
        <v>2033</v>
      </c>
      <c r="AJ74" s="468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2.3899601589938424E-4</v>
      </c>
      <c r="P75" s="162">
        <f ca="1"/>
        <v>6.1539708827984541E-4</v>
      </c>
      <c r="Q75" s="162">
        <f ca="1"/>
        <v>2.2633687011177628E-3</v>
      </c>
      <c r="R75" s="162">
        <f ca="1"/>
        <v>4.9638606793961371E-3</v>
      </c>
      <c r="S75" s="162">
        <f ca="1"/>
        <v>0</v>
      </c>
      <c r="T75" s="162">
        <f ca="1"/>
        <v>1.171165491428805E-2</v>
      </c>
      <c r="U75" s="162">
        <f ca="1"/>
        <v>2.2769702588532614E-2</v>
      </c>
      <c r="V75" s="138">
        <f ca="1"/>
        <v>4.5580705861262949E-2</v>
      </c>
      <c r="W75" s="137">
        <f ca="1"/>
        <v>0</v>
      </c>
      <c r="X75" s="162">
        <f ca="1"/>
        <v>3.5847243377118421E-4</v>
      </c>
      <c r="Y75" s="162">
        <f ca="1"/>
        <v>8.1934373621728174E-4</v>
      </c>
      <c r="Z75" s="162">
        <f ca="1"/>
        <v>2.6344812610424873E-3</v>
      </c>
      <c r="AA75" s="162">
        <f ca="1"/>
        <v>5.5012136189960259E-3</v>
      </c>
      <c r="AB75" s="162">
        <f ca="1"/>
        <v>0</v>
      </c>
      <c r="AC75" s="162">
        <f ca="1"/>
        <v>1.2578136352104141E-2</v>
      </c>
      <c r="AD75" s="162">
        <f ca="1"/>
        <v>2.3956841023393349E-2</v>
      </c>
      <c r="AE75" s="138">
        <f ca="1"/>
        <v>4.7224348291085905E-2</v>
      </c>
      <c r="AG75" s="465" t="s">
        <v>573</v>
      </c>
      <c r="AH75" s="467">
        <v>1.4999999999999999E-2</v>
      </c>
      <c r="AI75" s="466">
        <v>2028</v>
      </c>
      <c r="AJ75" s="468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1.0989106358378908E-3</v>
      </c>
      <c r="P76" s="162">
        <f ca="1"/>
        <v>2.8490219280131734E-3</v>
      </c>
      <c r="Q76" s="162">
        <f ca="1"/>
        <v>7.7975789841345788E-3</v>
      </c>
      <c r="R76" s="162">
        <f ca="1"/>
        <v>1.3562317955873482E-2</v>
      </c>
      <c r="S76" s="162">
        <f ca="1"/>
        <v>0</v>
      </c>
      <c r="T76" s="162">
        <f ca="1"/>
        <v>2.6512929909984884E-2</v>
      </c>
      <c r="U76" s="162">
        <f ca="1"/>
        <v>4.0941295011746037E-2</v>
      </c>
      <c r="V76" s="138">
        <f ca="1"/>
        <v>6.3892697403549192E-2</v>
      </c>
      <c r="W76" s="137">
        <f ca="1"/>
        <v>0</v>
      </c>
      <c r="X76" s="162">
        <f ca="1"/>
        <v>1.2182812423198186E-3</v>
      </c>
      <c r="Y76" s="162">
        <f ca="1"/>
        <v>3.0525534848967473E-3</v>
      </c>
      <c r="Z76" s="162">
        <f ca="1"/>
        <v>8.1667513884903231E-3</v>
      </c>
      <c r="AA76" s="162">
        <f ca="1"/>
        <v>1.4095250184142039E-2</v>
      </c>
      <c r="AB76" s="162">
        <f ca="1"/>
        <v>0</v>
      </c>
      <c r="AC76" s="162">
        <f ca="1"/>
        <v>2.7366041172011357E-2</v>
      </c>
      <c r="AD76" s="162">
        <f ca="1"/>
        <v>4.2105359409629006E-2</v>
      </c>
      <c r="AE76" s="138">
        <f ca="1"/>
        <v>6.549961051848141E-2</v>
      </c>
      <c r="AG76" s="465" t="s">
        <v>574</v>
      </c>
      <c r="AH76" s="467">
        <v>1.2500000000000001E-2</v>
      </c>
      <c r="AI76" s="466">
        <v>2026</v>
      </c>
      <c r="AJ76" s="468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2.8642008492064663E-3</v>
      </c>
      <c r="P77" s="162">
        <f ca="1"/>
        <v>6.5387989715778305E-3</v>
      </c>
      <c r="Q77" s="162">
        <f ca="1"/>
        <v>1.8291805177951925E-2</v>
      </c>
      <c r="R77" s="162">
        <f ca="1"/>
        <v>3.6357592835974839E-2</v>
      </c>
      <c r="S77" s="162">
        <f ca="1"/>
        <v>0</v>
      </c>
      <c r="T77" s="162">
        <f ca="1"/>
        <v>9.0248149740398409E-2</v>
      </c>
      <c r="U77" s="162">
        <f ca="1"/>
        <v>0.14655854236980415</v>
      </c>
      <c r="V77" s="138">
        <f ca="1"/>
        <v>0.23207801648581172</v>
      </c>
      <c r="W77" s="137">
        <f ca="1"/>
        <v>0</v>
      </c>
      <c r="X77" s="162">
        <f ca="1"/>
        <v>2.9833405275389024E-3</v>
      </c>
      <c r="Y77" s="162">
        <f ca="1"/>
        <v>6.7415974559563718E-3</v>
      </c>
      <c r="Z77" s="162">
        <f ca="1"/>
        <v>1.8657024536451905E-2</v>
      </c>
      <c r="AA77" s="162">
        <f ca="1"/>
        <v>3.6878816792957791E-2</v>
      </c>
      <c r="AB77" s="162">
        <f ca="1"/>
        <v>0</v>
      </c>
      <c r="AC77" s="162">
        <f ca="1"/>
        <v>9.1056763331589408E-2</v>
      </c>
      <c r="AD77" s="162">
        <f ca="1"/>
        <v>0.14761578821676891</v>
      </c>
      <c r="AE77" s="138">
        <f ca="1"/>
        <v>0.23344039956964324</v>
      </c>
      <c r="AG77" s="465" t="s">
        <v>575</v>
      </c>
      <c r="AH77" s="467">
        <v>1.6250000000000001E-2</v>
      </c>
      <c r="AI77" s="466">
        <v>2026</v>
      </c>
      <c r="AJ77" s="468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7.1681734951745124E-4</v>
      </c>
      <c r="P78" s="162">
        <f ca="1"/>
        <v>2.2595596223198289E-3</v>
      </c>
      <c r="Q78" s="162">
        <f ca="1"/>
        <v>7.906349971640414E-3</v>
      </c>
      <c r="R78" s="162">
        <f ca="1"/>
        <v>1.5335174191257406E-2</v>
      </c>
      <c r="S78" s="162">
        <f ca="1"/>
        <v>0</v>
      </c>
      <c r="T78" s="162">
        <f ca="1"/>
        <v>3.5655476003871422E-2</v>
      </c>
      <c r="U78" s="162">
        <f ca="1"/>
        <v>5.9127552653655768E-2</v>
      </c>
      <c r="V78" s="138">
        <f ca="1"/>
        <v>0.10678547845882846</v>
      </c>
      <c r="W78" s="137">
        <f ca="1"/>
        <v>0</v>
      </c>
      <c r="X78" s="162">
        <f ca="1"/>
        <v>8.3623547992150993E-4</v>
      </c>
      <c r="Y78" s="162">
        <f ca="1"/>
        <v>2.4632166134728184E-3</v>
      </c>
      <c r="Z78" s="162">
        <f ca="1"/>
        <v>8.275580755530032E-3</v>
      </c>
      <c r="AA78" s="162">
        <f ca="1"/>
        <v>1.5867502585347748E-2</v>
      </c>
      <c r="AB78" s="162">
        <f ca="1"/>
        <v>0</v>
      </c>
      <c r="AC78" s="162">
        <f ca="1"/>
        <v>3.6500706250532922E-2</v>
      </c>
      <c r="AD78" s="162">
        <f ca="1"/>
        <v>6.027159175632546E-2</v>
      </c>
      <c r="AE78" s="138">
        <f ca="1"/>
        <v>0.10834403686478422</v>
      </c>
      <c r="AG78" s="465" t="s">
        <v>576</v>
      </c>
      <c r="AH78" s="467">
        <v>1.125E-2</v>
      </c>
      <c r="AI78" s="466">
        <v>2026</v>
      </c>
      <c r="AJ78" s="468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1.1944112209274493E-3</v>
      </c>
      <c r="P79" s="162">
        <f ca="1"/>
        <v>2.8669456622941736E-3</v>
      </c>
      <c r="Q79" s="162">
        <f ca="1"/>
        <v>8.2502397432082653E-3</v>
      </c>
      <c r="R79" s="162">
        <f ca="1"/>
        <v>1.8088943816418124E-2</v>
      </c>
      <c r="S79" s="162">
        <f ca="1"/>
        <v>0</v>
      </c>
      <c r="T79" s="162">
        <f ca="1"/>
        <v>4.5504962081777123E-2</v>
      </c>
      <c r="U79" s="162">
        <f ca="1"/>
        <v>7.7501544036289061E-2</v>
      </c>
      <c r="V79" s="138">
        <f ca="1"/>
        <v>0.13115731258925012</v>
      </c>
      <c r="W79" s="137">
        <f ca="1"/>
        <v>0</v>
      </c>
      <c r="X79" s="162">
        <f ca="1"/>
        <v>1.3137698188127045E-3</v>
      </c>
      <c r="Y79" s="162">
        <f ca="1"/>
        <v>3.0704652889868012E-3</v>
      </c>
      <c r="Z79" s="162">
        <f ca="1"/>
        <v>8.6192611404107833E-3</v>
      </c>
      <c r="AA79" s="162">
        <f ca="1"/>
        <v>1.8619953559377733E-2</v>
      </c>
      <c r="AB79" s="162">
        <f ca="1"/>
        <v>0</v>
      </c>
      <c r="AC79" s="162">
        <f ca="1"/>
        <v>4.6340339324994151E-2</v>
      </c>
      <c r="AD79" s="162">
        <f ca="1"/>
        <v>7.8623108812778231E-2</v>
      </c>
      <c r="AE79" s="138">
        <f ca="1"/>
        <v>0.13267917461796241</v>
      </c>
      <c r="AG79" s="465" t="s">
        <v>577</v>
      </c>
      <c r="AH79" s="467">
        <v>5.5300000000000002E-3</v>
      </c>
      <c r="AI79" s="466">
        <v>2029</v>
      </c>
      <c r="AJ79" s="468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5.9738334703651752E-4</v>
      </c>
      <c r="P80" s="162">
        <f ca="1"/>
        <v>1.0198834551679026E-3</v>
      </c>
      <c r="Q80" s="162">
        <f ca="1"/>
        <v>3.7646288311834475E-3</v>
      </c>
      <c r="R80" s="162">
        <f ca="1"/>
        <v>9.9509271380175957E-3</v>
      </c>
      <c r="S80" s="162">
        <f ca="1"/>
        <v>0</v>
      </c>
      <c r="T80" s="162">
        <f ca="1"/>
        <v>2.4296600287090575E-2</v>
      </c>
      <c r="U80" s="162">
        <f ca="1"/>
        <v>4.3804901729084023E-2</v>
      </c>
      <c r="V80" s="138">
        <f ca="1"/>
        <v>8.0177501174319543E-2</v>
      </c>
      <c r="W80" s="137">
        <f ca="1"/>
        <v>0</v>
      </c>
      <c r="X80" s="162">
        <f ca="1"/>
        <v>7.1681616400920412E-4</v>
      </c>
      <c r="Y80" s="162">
        <f ca="1"/>
        <v>1.2237348987873542E-3</v>
      </c>
      <c r="Z80" s="162">
        <f ca="1"/>
        <v>4.1352325795708245E-3</v>
      </c>
      <c r="AA80" s="162">
        <f ca="1"/>
        <v>1.0486079240688895E-2</v>
      </c>
      <c r="AB80" s="162">
        <f ca="1"/>
        <v>0</v>
      </c>
      <c r="AC80" s="162">
        <f ca="1"/>
        <v>2.5152683490877625E-2</v>
      </c>
      <c r="AD80" s="162">
        <f ca="1"/>
        <v>4.4968154955218109E-2</v>
      </c>
      <c r="AE80" s="138">
        <f ca="1"/>
        <v>8.1757645275678192E-2</v>
      </c>
      <c r="AG80" s="465" t="s">
        <v>578</v>
      </c>
      <c r="AH80" s="467">
        <v>8.7500000000000008E-3</v>
      </c>
      <c r="AI80" s="466">
        <v>2025</v>
      </c>
      <c r="AJ80" s="468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1.1944112209274493E-3</v>
      </c>
      <c r="P81" s="162">
        <f ca="1"/>
        <v>2.0387263809156231E-3</v>
      </c>
      <c r="Q81" s="162">
        <f ca="1"/>
        <v>6.7582499075091729E-3</v>
      </c>
      <c r="R81" s="162">
        <f ca="1"/>
        <v>1.59459019333551E-2</v>
      </c>
      <c r="S81" s="162">
        <f ca="1"/>
        <v>0</v>
      </c>
      <c r="T81" s="162">
        <f ca="1"/>
        <v>3.8428961757629221E-2</v>
      </c>
      <c r="U81" s="162">
        <f ca="1"/>
        <v>6.6765449777183017E-2</v>
      </c>
      <c r="V81" s="138">
        <f ca="1"/>
        <v>0.12069750744989061</v>
      </c>
      <c r="W81" s="137">
        <f ca="1"/>
        <v>0</v>
      </c>
      <c r="X81" s="162">
        <f ca="1"/>
        <v>1.3137698188127045E-3</v>
      </c>
      <c r="Y81" s="162">
        <f ca="1"/>
        <v>2.2423688738529846E-3</v>
      </c>
      <c r="Z81" s="162">
        <f ca="1"/>
        <v>7.1278032667624336E-3</v>
      </c>
      <c r="AA81" s="162">
        <f ca="1"/>
        <v>1.6478073399043836E-2</v>
      </c>
      <c r="AB81" s="162">
        <f ca="1"/>
        <v>0</v>
      </c>
      <c r="AC81" s="162">
        <f ca="1"/>
        <v>3.9271747899599752E-2</v>
      </c>
      <c r="AD81" s="162">
        <f ca="1"/>
        <v>6.7900509569210454E-2</v>
      </c>
      <c r="AE81" s="138">
        <f ca="1"/>
        <v>0.12223776634323347</v>
      </c>
      <c r="AG81" s="465" t="s">
        <v>579</v>
      </c>
      <c r="AH81" s="467">
        <v>2.2499999999999999E-2</v>
      </c>
      <c r="AI81" s="466">
        <v>2026</v>
      </c>
      <c r="AJ81" s="468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4.7793512564608953E-4</v>
      </c>
      <c r="P82" s="162">
        <f ca="1"/>
        <v>1.8521115658701737E-3</v>
      </c>
      <c r="Q82" s="162">
        <f ca="1"/>
        <v>4.8827868817420406E-3</v>
      </c>
      <c r="R82" s="162">
        <f ca="1"/>
        <v>9.8718610886300295E-3</v>
      </c>
      <c r="S82" s="162">
        <f ca="1"/>
        <v>0</v>
      </c>
      <c r="T82" s="162">
        <f ca="1"/>
        <v>2.5144016917500456E-2</v>
      </c>
      <c r="U82" s="162">
        <f ca="1"/>
        <v>4.3625274017874305E-2</v>
      </c>
      <c r="V82" s="138">
        <f ca="1"/>
        <v>7.6075759858159731E-2</v>
      </c>
      <c r="W82" s="137">
        <f ca="1"/>
        <v>0</v>
      </c>
      <c r="X82" s="162">
        <f ca="1"/>
        <v>5.9738255214170088E-4</v>
      </c>
      <c r="Y82" s="162">
        <f ca="1"/>
        <v>2.0558526921055087E-3</v>
      </c>
      <c r="Z82" s="162">
        <f ca="1"/>
        <v>5.2529910923713174E-3</v>
      </c>
      <c r="AA82" s="162">
        <f ca="1"/>
        <v>1.0406804439069606E-2</v>
      </c>
      <c r="AB82" s="162">
        <f ca="1"/>
        <v>0</v>
      </c>
      <c r="AC82" s="162">
        <f ca="1"/>
        <v>2.5999090344417275E-2</v>
      </c>
      <c r="AD82" s="162">
        <f ca="1"/>
        <v>4.4788438135656805E-2</v>
      </c>
      <c r="AE82" s="138">
        <f ca="1"/>
        <v>7.7663631016544277E-2</v>
      </c>
      <c r="AG82" s="465" t="s">
        <v>580</v>
      </c>
      <c r="AH82" s="467">
        <v>1.7500000000000002E-2</v>
      </c>
      <c r="AI82" s="466">
        <v>2025</v>
      </c>
      <c r="AJ82" s="468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7.1681734951745124E-4</v>
      </c>
      <c r="P83" s="162">
        <f ca="1"/>
        <v>2.6737669381482476E-3</v>
      </c>
      <c r="Q83" s="162">
        <f ca="1"/>
        <v>7.130901334066686E-3</v>
      </c>
      <c r="R83" s="162">
        <f ca="1"/>
        <v>1.3669573907723165E-2</v>
      </c>
      <c r="S83" s="162">
        <f ca="1"/>
        <v>0</v>
      </c>
      <c r="T83" s="162">
        <f ca="1"/>
        <v>3.5807101833627453E-2</v>
      </c>
      <c r="U83" s="162">
        <f ca="1"/>
        <v>6.3252674749474935E-2</v>
      </c>
      <c r="V83" s="138">
        <f ca="1"/>
        <v>0.10828835266106318</v>
      </c>
      <c r="W83" s="137">
        <f ca="1"/>
        <v>0</v>
      </c>
      <c r="X83" s="162">
        <f ca="1"/>
        <v>8.3623547992150993E-4</v>
      </c>
      <c r="Y83" s="162">
        <f ca="1"/>
        <v>2.8773616834207871E-3</v>
      </c>
      <c r="Z83" s="162">
        <f ca="1"/>
        <v>7.5003328454001927E-3</v>
      </c>
      <c r="AA83" s="162">
        <f ca="1"/>
        <v>1.4202608821320184E-2</v>
      </c>
      <c r="AB83" s="162">
        <f ca="1"/>
        <v>0</v>
      </c>
      <c r="AC83" s="162">
        <f ca="1"/>
        <v>3.6652095445902644E-2</v>
      </c>
      <c r="AD83" s="162">
        <f ca="1"/>
        <v>6.4392263258430948E-2</v>
      </c>
      <c r="AE83" s="138">
        <f ca="1"/>
        <v>0.10984440908147319</v>
      </c>
      <c r="AG83" s="465" t="s">
        <v>581</v>
      </c>
      <c r="AH83" s="467">
        <v>1.25E-3</v>
      </c>
      <c r="AI83" s="466">
        <v>2026</v>
      </c>
      <c r="AJ83" s="468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3.5847268276523181E-4</v>
      </c>
      <c r="P84" s="162">
        <f ca="1"/>
        <v>1.8555266627743316E-3</v>
      </c>
      <c r="Q84" s="162">
        <f ca="1"/>
        <v>5.6480006435805086E-3</v>
      </c>
      <c r="R84" s="162">
        <f ca="1"/>
        <v>1.2093673656009662E-2</v>
      </c>
      <c r="S84" s="162">
        <f ca="1"/>
        <v>0</v>
      </c>
      <c r="T84" s="162">
        <f ca="1"/>
        <v>2.7726653610557817E-2</v>
      </c>
      <c r="U84" s="162">
        <f ca="1"/>
        <v>4.9797716438942929E-2</v>
      </c>
      <c r="V84" s="138">
        <f ca="1"/>
        <v>9.0270661568265131E-2</v>
      </c>
      <c r="W84" s="137">
        <f ca="1"/>
        <v>0</v>
      </c>
      <c r="X84" s="162">
        <f ca="1"/>
        <v>4.779346426626585E-4</v>
      </c>
      <c r="Y84" s="162">
        <f ca="1"/>
        <v>2.0592789905027331E-3</v>
      </c>
      <c r="Z84" s="162">
        <f ca="1"/>
        <v>6.0179928416739248E-3</v>
      </c>
      <c r="AA84" s="162">
        <f ca="1"/>
        <v>1.2627661079285479E-2</v>
      </c>
      <c r="AB84" s="162">
        <f ca="1"/>
        <v>0</v>
      </c>
      <c r="AC84" s="162">
        <f ca="1"/>
        <v>2.8579393910366346E-2</v>
      </c>
      <c r="AD84" s="162">
        <f ca="1"/>
        <v>5.0953351877374264E-2</v>
      </c>
      <c r="AE84" s="138">
        <f ca="1"/>
        <v>9.1830404719090208E-2</v>
      </c>
      <c r="AG84" s="465" t="s">
        <v>582</v>
      </c>
      <c r="AH84" s="467">
        <v>5.6250000000000001E-2</v>
      </c>
      <c r="AI84" s="466">
        <v>2027</v>
      </c>
      <c r="AJ84" s="468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1.1944112209274493E-3</v>
      </c>
      <c r="P85" s="162">
        <f ca="1"/>
        <v>2.2458074254065874E-3</v>
      </c>
      <c r="Q85" s="162">
        <f ca="1"/>
        <v>7.1314192783996644E-3</v>
      </c>
      <c r="R85" s="162">
        <f ca="1"/>
        <v>1.367009672350894E-2</v>
      </c>
      <c r="S85" s="162">
        <f ca="1"/>
        <v>0</v>
      </c>
      <c r="T85" s="162">
        <f ca="1"/>
        <v>3.5807676712805825E-2</v>
      </c>
      <c r="U85" s="162">
        <f ca="1"/>
        <v>6.1929599341583152E-2</v>
      </c>
      <c r="V85" s="138">
        <f ca="1"/>
        <v>9.6919099337872239E-2</v>
      </c>
      <c r="W85" s="137">
        <f ca="1"/>
        <v>0</v>
      </c>
      <c r="X85" s="162">
        <f ca="1"/>
        <v>1.3137698188127045E-3</v>
      </c>
      <c r="Y85" s="162">
        <f ca="1"/>
        <v>2.4494194520521262E-3</v>
      </c>
      <c r="Z85" s="162">
        <f ca="1"/>
        <v>7.5008399651446123E-3</v>
      </c>
      <c r="AA85" s="162">
        <f ca="1"/>
        <v>1.4203136525547055E-2</v>
      </c>
      <c r="AB85" s="162">
        <f ca="1"/>
        <v>0</v>
      </c>
      <c r="AC85" s="162">
        <f ca="1"/>
        <v>3.6652675004155921E-2</v>
      </c>
      <c r="AD85" s="162">
        <f ca="1"/>
        <v>6.3070854069750437E-2</v>
      </c>
      <c r="AE85" s="138">
        <f ca="1"/>
        <v>9.846902526142487E-2</v>
      </c>
      <c r="AG85" s="465" t="s">
        <v>583</v>
      </c>
      <c r="AH85" s="467">
        <v>7.4999999999999997E-3</v>
      </c>
      <c r="AI85" s="466">
        <v>2026</v>
      </c>
      <c r="AJ85" s="468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2.1012134997788756E-3</v>
      </c>
      <c r="P86" s="162">
        <f ca="1"/>
        <v>4.2679342448235236E-3</v>
      </c>
      <c r="Q86" s="162">
        <f ca="1"/>
        <v>1.018475175339828E-2</v>
      </c>
      <c r="R86" s="162">
        <f ca="1"/>
        <v>1.6786888066026018E-2</v>
      </c>
      <c r="S86" s="162">
        <f ca="1"/>
        <v>0</v>
      </c>
      <c r="T86" s="162">
        <f ca="1"/>
        <v>3.2521494016076735E-2</v>
      </c>
      <c r="U86" s="162">
        <f ca="1"/>
        <v>4.9114459609506556E-2</v>
      </c>
      <c r="V86" s="138">
        <f ca="1"/>
        <v>7.517553657353393E-2</v>
      </c>
      <c r="W86" s="137">
        <f ca="1"/>
        <v>0</v>
      </c>
      <c r="X86" s="162">
        <f ca="1"/>
        <v>2.2204553693054851E-3</v>
      </c>
      <c r="Y86" s="162">
        <f ca="1"/>
        <v>4.4711554139172938E-3</v>
      </c>
      <c r="Z86" s="162">
        <f ca="1"/>
        <v>1.0552955485868543E-2</v>
      </c>
      <c r="AA86" s="162">
        <f ca="1"/>
        <v>1.7317956627539988E-2</v>
      </c>
      <c r="AB86" s="162">
        <f ca="1"/>
        <v>0</v>
      </c>
      <c r="AC86" s="162">
        <f ca="1"/>
        <v>3.3368794439007088E-2</v>
      </c>
      <c r="AD86" s="162">
        <f ca="1"/>
        <v>5.0268199576439354E-2</v>
      </c>
      <c r="AE86" s="138">
        <f ca="1"/>
        <v>7.6760982779507381E-2</v>
      </c>
      <c r="AG86" s="465" t="s">
        <v>584</v>
      </c>
      <c r="AH86" s="467">
        <v>1.8749999999999999E-2</v>
      </c>
      <c r="AI86" s="466">
        <v>2025</v>
      </c>
      <c r="AJ86" s="468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1.3853851164726816E-3</v>
      </c>
      <c r="P87" s="162">
        <f ca="1"/>
        <v>3.0890774626358697E-3</v>
      </c>
      <c r="Q87" s="162">
        <f ca="1"/>
        <v>7.5901363798186461E-3</v>
      </c>
      <c r="R87" s="162">
        <f ca="1"/>
        <v>1.2935186683388E-2</v>
      </c>
      <c r="S87" s="162">
        <f ca="1"/>
        <v>0</v>
      </c>
      <c r="T87" s="162">
        <f ca="1"/>
        <v>2.5623936024024352E-2</v>
      </c>
      <c r="U87" s="162">
        <f ca="1"/>
        <v>4.0274226942454416E-2</v>
      </c>
      <c r="V87" s="138">
        <f ca="1"/>
        <v>6.4135516101838763E-2</v>
      </c>
      <c r="W87" s="137">
        <f ca="1"/>
        <v>0</v>
      </c>
      <c r="X87" s="162">
        <f ca="1"/>
        <v>1.5047195410591296E-3</v>
      </c>
      <c r="Y87" s="162">
        <f ca="1"/>
        <v>3.2925452685732548E-3</v>
      </c>
      <c r="Z87" s="162">
        <f ca="1"/>
        <v>7.9593195682848839E-3</v>
      </c>
      <c r="AA87" s="162">
        <f ca="1"/>
        <v>1.3468328165709087E-2</v>
      </c>
      <c r="AB87" s="162">
        <f ca="1"/>
        <v>0</v>
      </c>
      <c r="AC87" s="162">
        <f ca="1"/>
        <v>2.6477764924845104E-2</v>
      </c>
      <c r="AD87" s="162">
        <f ca="1"/>
        <v>4.1439174349433672E-2</v>
      </c>
      <c r="AE87" s="138">
        <f ca="1"/>
        <v>6.5742346808616792E-2</v>
      </c>
      <c r="AG87" s="465" t="s">
        <v>585</v>
      </c>
      <c r="AH87" s="467">
        <v>3.8830000000000003E-2</v>
      </c>
      <c r="AI87" s="466">
        <v>2028</v>
      </c>
      <c r="AJ87" s="468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8.3623713561109536E-4</v>
      </c>
      <c r="P88" s="162">
        <f ca="1"/>
        <v>2.0490034029413406E-3</v>
      </c>
      <c r="Q88" s="162">
        <f ca="1"/>
        <v>6.007571225843944E-3</v>
      </c>
      <c r="R88" s="162">
        <f ca="1"/>
        <v>1.1490800274357227E-2</v>
      </c>
      <c r="S88" s="162">
        <f ca="1"/>
        <v>0</v>
      </c>
      <c r="T88" s="162">
        <f ca="1"/>
        <v>2.958076134422627E-2</v>
      </c>
      <c r="U88" s="162">
        <f ca="1"/>
        <v>4.9601875974070175E-2</v>
      </c>
      <c r="V88" s="138">
        <f ca="1"/>
        <v>8.4223229645358555E-2</v>
      </c>
      <c r="W88" s="137">
        <f ca="1"/>
        <v>0</v>
      </c>
      <c r="X88" s="162">
        <f ca="1"/>
        <v>9.5564050165009018E-4</v>
      </c>
      <c r="Y88" s="162">
        <f ca="1"/>
        <v>2.2526800018808357E-3</v>
      </c>
      <c r="Z88" s="162">
        <f ca="1"/>
        <v>6.3773870571445235E-3</v>
      </c>
      <c r="AA88" s="162">
        <f ca="1"/>
        <v>1.2024904042198803E-2</v>
      </c>
      <c r="AB88" s="162">
        <f ca="1"/>
        <v>0</v>
      </c>
      <c r="AC88" s="162">
        <f ca="1"/>
        <v>3.0431717055657392E-2</v>
      </c>
      <c r="AD88" s="162">
        <f ca="1"/>
        <v>5.075786068253263E-2</v>
      </c>
      <c r="AE88" s="138">
        <f ca="1"/>
        <v>8.5795357834467567E-2</v>
      </c>
      <c r="AG88" s="465" t="s">
        <v>586</v>
      </c>
      <c r="AH88" s="467">
        <v>1.6250000000000001E-2</v>
      </c>
      <c r="AI88" s="466">
        <v>2027</v>
      </c>
      <c r="AJ88" s="468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2.0296536533715992E-3</v>
      </c>
      <c r="P89" s="162">
        <f ca="1"/>
        <v>3.6702337900699211E-3</v>
      </c>
      <c r="Q89" s="162">
        <f ca="1"/>
        <v>1.009483729029248E-2</v>
      </c>
      <c r="R89" s="162">
        <f ca="1"/>
        <v>2.130398078511242E-2</v>
      </c>
      <c r="S89" s="162">
        <f ca="1"/>
        <v>0</v>
      </c>
      <c r="T89" s="162">
        <f ca="1"/>
        <v>5.3323849746016672E-2</v>
      </c>
      <c r="U89" s="162">
        <f ca="1"/>
        <v>8.7899547243111664E-2</v>
      </c>
      <c r="V89" s="138">
        <f ca="1"/>
        <v>0.14877579912858596</v>
      </c>
      <c r="W89" s="137">
        <f ca="1"/>
        <v>0</v>
      </c>
      <c r="X89" s="162">
        <f ca="1"/>
        <v>2.1489049168379459E-3</v>
      </c>
      <c r="Y89" s="162">
        <f ca="1"/>
        <v>3.8735520783391708E-3</v>
      </c>
      <c r="Z89" s="162">
        <f ca="1"/>
        <v>1.0463124713107397E-2</v>
      </c>
      <c r="AA89" s="162">
        <f ca="1"/>
        <v>2.1833238667873789E-2</v>
      </c>
      <c r="AB89" s="162">
        <f ca="1"/>
        <v>0</v>
      </c>
      <c r="AC89" s="162">
        <f ca="1"/>
        <v>5.415054706369693E-2</v>
      </c>
      <c r="AD89" s="162">
        <f ca="1"/>
        <v>8.9007592535471081E-2</v>
      </c>
      <c r="AE89" s="138">
        <f ca="1"/>
        <v>0.15027133048105912</v>
      </c>
      <c r="AG89" s="465" t="s">
        <v>587</v>
      </c>
      <c r="AH89" s="467"/>
      <c r="AI89" s="466"/>
      <c r="AJ89" s="468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4.7793512564608953E-4</v>
      </c>
      <c r="P90" s="162">
        <f ca="1"/>
        <v>1.4377154562223993E-3</v>
      </c>
      <c r="Q90" s="162">
        <f ca="1"/>
        <v>5.6589464343967943E-3</v>
      </c>
      <c r="R90" s="162">
        <f ca="1"/>
        <v>1.2104857578085548E-2</v>
      </c>
      <c r="S90" s="162">
        <f ca="1"/>
        <v>0</v>
      </c>
      <c r="T90" s="162">
        <f ca="1"/>
        <v>3.0516965870757029E-2</v>
      </c>
      <c r="U90" s="162">
        <f ca="1"/>
        <v>5.2174902979185589E-2</v>
      </c>
      <c r="V90" s="138">
        <f ca="1"/>
        <v>9.7353518376678827E-2</v>
      </c>
      <c r="W90" s="137">
        <f ca="1"/>
        <v>0</v>
      </c>
      <c r="X90" s="162">
        <f ca="1"/>
        <v>5.9738255214170088E-4</v>
      </c>
      <c r="Y90" s="162">
        <f ca="1"/>
        <v>1.6415178925137663E-3</v>
      </c>
      <c r="Z90" s="162">
        <f ca="1"/>
        <v>6.0289638682418101E-3</v>
      </c>
      <c r="AA90" s="162">
        <f ca="1"/>
        <v>1.2638881487437081E-2</v>
      </c>
      <c r="AB90" s="162">
        <f ca="1"/>
        <v>0</v>
      </c>
      <c r="AC90" s="162">
        <f ca="1"/>
        <v>3.136728918571019E-2</v>
      </c>
      <c r="AD90" s="162">
        <f ca="1"/>
        <v>5.332805897904247E-2</v>
      </c>
      <c r="AE90" s="138">
        <f ca="1"/>
        <v>9.8928052109617082E-2</v>
      </c>
      <c r="AG90" s="465" t="s">
        <v>588</v>
      </c>
      <c r="AH90" s="467">
        <v>1.125E-2</v>
      </c>
      <c r="AI90" s="466">
        <v>2026</v>
      </c>
      <c r="AJ90" s="468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1.3137741668567404E-3</v>
      </c>
      <c r="P91" s="162">
        <f ca="1"/>
        <v>2.2423701988947276E-3</v>
      </c>
      <c r="Q91" s="162">
        <f ca="1"/>
        <v>5.9863681225611476E-3</v>
      </c>
      <c r="R91" s="162">
        <f ca="1"/>
        <v>1.2595463205354429E-2</v>
      </c>
      <c r="S91" s="162">
        <f ca="1"/>
        <v>0</v>
      </c>
      <c r="T91" s="162">
        <f ca="1"/>
        <v>3.3174877156981419E-2</v>
      </c>
      <c r="U91" s="162">
        <f ca="1"/>
        <v>5.3087851182203161E-2</v>
      </c>
      <c r="V91" s="138">
        <f ca="1"/>
        <v>9.4801515461518271E-2</v>
      </c>
      <c r="W91" s="137">
        <f ca="1"/>
        <v>0</v>
      </c>
      <c r="X91" s="162">
        <f ca="1"/>
        <v>1.4331176809704305E-3</v>
      </c>
      <c r="Y91" s="162">
        <f ca="1"/>
        <v>2.4459708500242927E-3</v>
      </c>
      <c r="Z91" s="162">
        <f ca="1"/>
        <v>6.3561206691951089E-3</v>
      </c>
      <c r="AA91" s="162">
        <f ca="1"/>
        <v>1.3129056082720081E-2</v>
      </c>
      <c r="AB91" s="162">
        <f ca="1"/>
        <v>0</v>
      </c>
      <c r="AC91" s="162">
        <f ca="1"/>
        <v>3.4022502324130399E-2</v>
      </c>
      <c r="AD91" s="162">
        <f ca="1"/>
        <v>5.4239721182727019E-2</v>
      </c>
      <c r="AE91" s="138">
        <f ca="1"/>
        <v>9.6376924949041598E-2</v>
      </c>
      <c r="AG91" s="465" t="s">
        <v>589</v>
      </c>
      <c r="AH91" s="467">
        <v>5.7500000000000002E-2</v>
      </c>
      <c r="AI91" s="466">
        <v>2028</v>
      </c>
      <c r="AJ91" s="468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7.1681734951745124E-4</v>
      </c>
      <c r="P92" s="162">
        <f ca="1"/>
        <v>1.4309351125588732E-3</v>
      </c>
      <c r="Q92" s="162">
        <f ca="1"/>
        <v>4.5092051011401679E-3</v>
      </c>
      <c r="R92" s="162">
        <f ca="1"/>
        <v>9.3332785963906595E-3</v>
      </c>
      <c r="S92" s="162">
        <f ca="1"/>
        <v>0</v>
      </c>
      <c r="T92" s="162">
        <f ca="1"/>
        <v>2.4282903098574393E-2</v>
      </c>
      <c r="U92" s="162">
        <f ca="1"/>
        <v>4.3790796919350061E-2</v>
      </c>
      <c r="V92" s="138">
        <f ca="1"/>
        <v>8.2122243069444822E-2</v>
      </c>
      <c r="W92" s="137">
        <f ca="1"/>
        <v>0</v>
      </c>
      <c r="X92" s="162">
        <f ca="1"/>
        <v>8.3623547992150993E-4</v>
      </c>
      <c r="Y92" s="162">
        <f ca="1"/>
        <v>1.6347145870914126E-3</v>
      </c>
      <c r="Z92" s="162">
        <f ca="1"/>
        <v>4.8795370731286036E-3</v>
      </c>
      <c r="AA92" s="162">
        <f ca="1"/>
        <v>9.8685090200355541E-3</v>
      </c>
      <c r="AB92" s="162">
        <f ca="1"/>
        <v>0</v>
      </c>
      <c r="AC92" s="162">
        <f ca="1"/>
        <v>2.5138807321631207E-2</v>
      </c>
      <c r="AD92" s="162">
        <f ca="1"/>
        <v>4.4954033592723208E-2</v>
      </c>
      <c r="AE92" s="138">
        <f ca="1"/>
        <v>8.369814618081961E-2</v>
      </c>
      <c r="AG92" s="465" t="s">
        <v>590</v>
      </c>
      <c r="AH92" s="467">
        <v>5.0000000000000001E-3</v>
      </c>
      <c r="AI92" s="466">
        <v>2027</v>
      </c>
      <c r="AJ92" s="468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1.0750340687808446E-3</v>
      </c>
      <c r="P93" s="162">
        <f ca="1"/>
        <v>4.9398669285328767E-3</v>
      </c>
      <c r="Q93" s="162">
        <f ca="1"/>
        <v>1.3113432471580921E-2</v>
      </c>
      <c r="R93" s="162">
        <f ca="1"/>
        <v>2.4492766053666237E-2</v>
      </c>
      <c r="S93" s="162">
        <f ca="1"/>
        <v>0</v>
      </c>
      <c r="T93" s="162">
        <f ca="1"/>
        <v>6.0167281365970604E-2</v>
      </c>
      <c r="U93" s="162">
        <f ca="1"/>
        <v>9.958647843469004E-2</v>
      </c>
      <c r="V93" s="138">
        <f ca="1"/>
        <v>0.16786589158871223</v>
      </c>
      <c r="W93" s="137">
        <f ca="1"/>
        <v>0</v>
      </c>
      <c r="X93" s="162">
        <f ca="1"/>
        <v>1.1944076693536365E-3</v>
      </c>
      <c r="Y93" s="162">
        <f ca="1"/>
        <v>5.1430771295306599E-3</v>
      </c>
      <c r="Z93" s="162">
        <f ca="1"/>
        <v>1.3480743764781811E-2</v>
      </c>
      <c r="AA93" s="162">
        <f ca="1"/>
        <v>2.5020315552909622E-2</v>
      </c>
      <c r="AB93" s="162">
        <f ca="1"/>
        <v>0</v>
      </c>
      <c r="AC93" s="162">
        <f ca="1"/>
        <v>6.0985934294918054E-2</v>
      </c>
      <c r="AD93" s="162">
        <f ca="1"/>
        <v>0.10067821577344638</v>
      </c>
      <c r="AE93" s="138">
        <f ca="1"/>
        <v>0.16933372482804965</v>
      </c>
      <c r="AG93" s="465" t="s">
        <v>591</v>
      </c>
      <c r="AH93" s="467">
        <v>1.375E-2</v>
      </c>
      <c r="AI93" s="466">
        <v>2026</v>
      </c>
      <c r="AJ93" s="468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8.3623713561109536E-4</v>
      </c>
      <c r="P94" s="162">
        <f ca="1"/>
        <v>2.0490034029413406E-3</v>
      </c>
      <c r="Q94" s="162">
        <f ca="1"/>
        <v>7.5297723086319435E-3</v>
      </c>
      <c r="R94" s="162">
        <f ca="1"/>
        <v>1.7044114267496746E-2</v>
      </c>
      <c r="S94" s="162">
        <f ca="1"/>
        <v>0</v>
      </c>
      <c r="T94" s="162">
        <f ca="1"/>
        <v>4.2918423274193374E-2</v>
      </c>
      <c r="U94" s="162">
        <f ca="1"/>
        <v>7.2727422259544428E-2</v>
      </c>
      <c r="V94" s="138">
        <f ca="1"/>
        <v>0.12672408146721381</v>
      </c>
      <c r="W94" s="137">
        <f ca="1"/>
        <v>0</v>
      </c>
      <c r="X94" s="162">
        <f ca="1"/>
        <v>9.5564050165009018E-4</v>
      </c>
      <c r="Y94" s="162">
        <f ca="1"/>
        <v>2.2526800018808357E-3</v>
      </c>
      <c r="Z94" s="162">
        <f ca="1"/>
        <v>7.8991256511629082E-3</v>
      </c>
      <c r="AA94" s="162">
        <f ca="1"/>
        <v>1.7575783552243207E-2</v>
      </c>
      <c r="AB94" s="162">
        <f ca="1"/>
        <v>0</v>
      </c>
      <c r="AC94" s="162">
        <f ca="1"/>
        <v>4.3756664377527232E-2</v>
      </c>
      <c r="AD94" s="162">
        <f ca="1"/>
        <v>7.3855327632277312E-2</v>
      </c>
      <c r="AE94" s="138">
        <f ca="1"/>
        <v>0.12825380362638605</v>
      </c>
      <c r="AG94" s="465" t="s">
        <v>592</v>
      </c>
      <c r="AH94" s="467">
        <v>0.01</v>
      </c>
      <c r="AI94" s="466">
        <v>2025</v>
      </c>
      <c r="AJ94" s="468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5.9738334703651752E-4</v>
      </c>
      <c r="P95" s="162">
        <f ca="1"/>
        <v>1.2271130388825657E-3</v>
      </c>
      <c r="Q95" s="162">
        <f ca="1"/>
        <v>5.2817778597997744E-3</v>
      </c>
      <c r="R95" s="162">
        <f ca="1"/>
        <v>1.0436081004080777E-2</v>
      </c>
      <c r="S95" s="162">
        <f ca="1"/>
        <v>0</v>
      </c>
      <c r="T95" s="162">
        <f ca="1"/>
        <v>2.6958745488724567E-2</v>
      </c>
      <c r="U95" s="162">
        <f ca="1"/>
        <v>4.7392226564386353E-2</v>
      </c>
      <c r="V95" s="138">
        <f ca="1"/>
        <v>8.8939970102013488E-2</v>
      </c>
      <c r="W95" s="137">
        <f ca="1"/>
        <v>0</v>
      </c>
      <c r="X95" s="162">
        <f ca="1"/>
        <v>7.1681616400920412E-4</v>
      </c>
      <c r="Y95" s="162">
        <f ca="1"/>
        <v>1.430934331878686E-3</v>
      </c>
      <c r="Z95" s="162">
        <f ca="1"/>
        <v>5.6519159286442244E-3</v>
      </c>
      <c r="AA95" s="162">
        <f ca="1"/>
        <v>1.0970823107290917E-2</v>
      </c>
      <c r="AB95" s="162">
        <f ca="1"/>
        <v>0</v>
      </c>
      <c r="AC95" s="162">
        <f ca="1"/>
        <v>2.781226338112186E-2</v>
      </c>
      <c r="AD95" s="162">
        <f ca="1"/>
        <v>4.855114887788925E-2</v>
      </c>
      <c r="AE95" s="138">
        <f ca="1"/>
        <v>9.0527067066972555E-2</v>
      </c>
      <c r="AG95" s="465" t="s">
        <v>593</v>
      </c>
      <c r="AH95" s="467">
        <v>1.375E-2</v>
      </c>
      <c r="AI95" s="466">
        <v>2025</v>
      </c>
      <c r="AJ95" s="468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1.0750340687808446E-3</v>
      </c>
      <c r="P96" s="162">
        <f ca="1"/>
        <v>1.8350409856112693E-3</v>
      </c>
      <c r="Q96" s="162">
        <f ca="1"/>
        <v>6.7690540944587152E-3</v>
      </c>
      <c r="R96" s="162">
        <f ca="1"/>
        <v>1.2581119260619555E-2</v>
      </c>
      <c r="S96" s="162">
        <f ca="1"/>
        <v>0</v>
      </c>
      <c r="T96" s="162">
        <f ca="1"/>
        <v>3.3159975840742928E-2</v>
      </c>
      <c r="U96" s="162">
        <f ca="1"/>
        <v>5.3072829904665109E-2</v>
      </c>
      <c r="V96" s="138">
        <f ca="1"/>
        <v>9.2869275055590395E-2</v>
      </c>
      <c r="W96" s="137">
        <f ca="1"/>
        <v>0</v>
      </c>
      <c r="X96" s="162">
        <f ca="1"/>
        <v>1.1944076693536365E-3</v>
      </c>
      <c r="Y96" s="162">
        <f ca="1"/>
        <v>2.0387253027658314E-3</v>
      </c>
      <c r="Z96" s="162">
        <f ca="1"/>
        <v>7.1386354439801902E-3</v>
      </c>
      <c r="AA96" s="162">
        <f ca="1"/>
        <v>1.3114702153982583E-2</v>
      </c>
      <c r="AB96" s="162">
        <f ca="1"/>
        <v>0</v>
      </c>
      <c r="AC96" s="162">
        <f ca="1"/>
        <v>3.4007556032418007E-2</v>
      </c>
      <c r="AD96" s="162">
        <f ca="1"/>
        <v>5.4224660548907622E-2</v>
      </c>
      <c r="AE96" s="138">
        <f ca="1"/>
        <v>9.4423135244394052E-2</v>
      </c>
      <c r="AG96" s="465" t="s">
        <v>594</v>
      </c>
      <c r="AH96" s="467">
        <v>8.7500000000000008E-3</v>
      </c>
      <c r="AI96" s="466">
        <v>2027</v>
      </c>
      <c r="AJ96" s="468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8.3623713561109536E-4</v>
      </c>
      <c r="P97" s="162">
        <f ca="1"/>
        <v>3.4984599810938821E-3</v>
      </c>
      <c r="Q97" s="162">
        <f ca="1"/>
        <v>1.0138544726154386E-2</v>
      </c>
      <c r="R97" s="162">
        <f ca="1"/>
        <v>1.91057036661757E-2</v>
      </c>
      <c r="S97" s="162">
        <f ca="1"/>
        <v>0</v>
      </c>
      <c r="T97" s="162">
        <f ca="1"/>
        <v>4.2550586048430206E-2</v>
      </c>
      <c r="U97" s="162">
        <f ca="1"/>
        <v>6.9721947627003122E-2</v>
      </c>
      <c r="V97" s="138">
        <f ca="1"/>
        <v>0.11718762544756922</v>
      </c>
      <c r="W97" s="137">
        <f ca="1"/>
        <v>0</v>
      </c>
      <c r="X97" s="162">
        <f ca="1"/>
        <v>9.5564050165009018E-4</v>
      </c>
      <c r="Y97" s="162">
        <f ca="1"/>
        <v>3.7019176171330104E-3</v>
      </c>
      <c r="Z97" s="162">
        <f ca="1"/>
        <v>1.0506957140050233E-2</v>
      </c>
      <c r="AA97" s="162">
        <f ca="1"/>
        <v>1.9636060035928882E-2</v>
      </c>
      <c r="AB97" s="162">
        <f ca="1"/>
        <v>0</v>
      </c>
      <c r="AC97" s="162">
        <f ca="1"/>
        <v>4.3388902841922872E-2</v>
      </c>
      <c r="AD97" s="162">
        <f ca="1"/>
        <v>7.0852359276186716E-2</v>
      </c>
      <c r="AE97" s="138">
        <f ca="1"/>
        <v>0.1187270797341976</v>
      </c>
      <c r="AG97" s="465" t="s">
        <v>595</v>
      </c>
      <c r="AH97" s="467"/>
      <c r="AI97" s="466"/>
      <c r="AJ97" s="468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3.5847268276523181E-4</v>
      </c>
      <c r="P98" s="162">
        <f ca="1"/>
        <v>1.0266155659914844E-3</v>
      </c>
      <c r="Q98" s="162">
        <f ca="1"/>
        <v>3.3902091262216771E-3</v>
      </c>
      <c r="R98" s="162">
        <f ca="1"/>
        <v>7.1538215134686611E-3</v>
      </c>
      <c r="S98" s="162">
        <f ca="1"/>
        <v>0</v>
      </c>
      <c r="T98" s="162">
        <f ca="1"/>
        <v>1.8945553586546704E-2</v>
      </c>
      <c r="U98" s="162">
        <f ca="1"/>
        <v>3.3900275584016426E-2</v>
      </c>
      <c r="V98" s="138">
        <f ca="1"/>
        <v>6.0828057869768304E-2</v>
      </c>
      <c r="W98" s="137">
        <f ca="1"/>
        <v>0</v>
      </c>
      <c r="X98" s="162">
        <f ca="1"/>
        <v>4.779346426626585E-4</v>
      </c>
      <c r="Y98" s="162">
        <f ca="1"/>
        <v>1.2304902589456157E-3</v>
      </c>
      <c r="Z98" s="162">
        <f ca="1"/>
        <v>3.7609444923344393E-3</v>
      </c>
      <c r="AA98" s="162">
        <f ca="1"/>
        <v>7.6901275444932748E-3</v>
      </c>
      <c r="AB98" s="162">
        <f ca="1"/>
        <v>0</v>
      </c>
      <c r="AC98" s="162">
        <f ca="1"/>
        <v>1.9806175561696726E-2</v>
      </c>
      <c r="AD98" s="162">
        <f ca="1"/>
        <v>3.5074946662061679E-2</v>
      </c>
      <c r="AE98" s="138">
        <f ca="1"/>
        <v>6.244440302148424E-2</v>
      </c>
      <c r="AG98" s="465" t="s">
        <v>596</v>
      </c>
      <c r="AH98" s="467">
        <v>1.4999999999999999E-2</v>
      </c>
      <c r="AI98" s="466">
        <v>2026</v>
      </c>
      <c r="AJ98" s="468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1.9700165462306352E-3</v>
      </c>
      <c r="P99" s="162">
        <f ca="1"/>
        <v>5.1816849231276496E-3</v>
      </c>
      <c r="Q99" s="162">
        <f ca="1"/>
        <v>1.2052127383943345E-2</v>
      </c>
      <c r="R99" s="162">
        <f ca="1"/>
        <v>1.9131215299686977E-2</v>
      </c>
      <c r="S99" s="162">
        <f ca="1"/>
        <v>0</v>
      </c>
      <c r="T99" s="162">
        <f ca="1"/>
        <v>3.6814552819922963E-2</v>
      </c>
      <c r="U99" s="162">
        <f ca="1"/>
        <v>5.5594884089970154E-2</v>
      </c>
      <c r="V99" s="138">
        <f ca="1"/>
        <v>8.5021860719791564E-2</v>
      </c>
      <c r="W99" s="137">
        <f ca="1"/>
        <v>0</v>
      </c>
      <c r="X99" s="162">
        <f ca="1"/>
        <v>2.0892756141207558E-3</v>
      </c>
      <c r="Y99" s="162">
        <f ca="1"/>
        <v>5.3847771719889304E-3</v>
      </c>
      <c r="Z99" s="162">
        <f ca="1"/>
        <v>1.2419677947292596E-2</v>
      </c>
      <c r="AA99" s="162">
        <f ca="1"/>
        <v>1.9661018605703351E-2</v>
      </c>
      <c r="AB99" s="162">
        <f ca="1"/>
        <v>0</v>
      </c>
      <c r="AC99" s="162">
        <f ca="1"/>
        <v>3.7657682463592579E-2</v>
      </c>
      <c r="AD99" s="162">
        <f ca="1"/>
        <v>5.6740571499310666E-2</v>
      </c>
      <c r="AE99" s="138">
        <f ca="1"/>
        <v>8.6588714368055264E-2</v>
      </c>
      <c r="AG99" s="465" t="s">
        <v>597</v>
      </c>
      <c r="AH99" s="467">
        <v>0.03</v>
      </c>
      <c r="AI99" s="466">
        <v>2027</v>
      </c>
      <c r="AJ99" s="468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4.7793512564608953E-4</v>
      </c>
      <c r="P100" s="162">
        <f ca="1"/>
        <v>1.4377154562223993E-3</v>
      </c>
      <c r="Q100" s="162">
        <f ca="1"/>
        <v>4.5160982280004758E-3</v>
      </c>
      <c r="R100" s="162">
        <f ca="1"/>
        <v>7.6478619337241316E-3</v>
      </c>
      <c r="S100" s="162">
        <f ca="1"/>
        <v>0</v>
      </c>
      <c r="T100" s="162">
        <f ca="1"/>
        <v>1.8833063727264343E-2</v>
      </c>
      <c r="U100" s="162">
        <f ca="1"/>
        <v>3.1101603428046909E-2</v>
      </c>
      <c r="V100" s="138">
        <f ca="1"/>
        <v>5.3160271418943195E-2</v>
      </c>
      <c r="W100" s="137">
        <f ca="1"/>
        <v>0</v>
      </c>
      <c r="X100" s="162">
        <f ca="1"/>
        <v>5.9738255214170088E-4</v>
      </c>
      <c r="Y100" s="162">
        <f ca="1"/>
        <v>1.6415178925137663E-3</v>
      </c>
      <c r="Z100" s="162">
        <f ca="1"/>
        <v>4.8864526886757131E-3</v>
      </c>
      <c r="AA100" s="162">
        <f ca="1"/>
        <v>8.1837533371043047E-3</v>
      </c>
      <c r="AB100" s="162">
        <f ca="1"/>
        <v>0</v>
      </c>
      <c r="AC100" s="162">
        <f ca="1"/>
        <v>1.9693463776091602E-2</v>
      </c>
      <c r="AD100" s="162">
        <f ca="1"/>
        <v>3.2278591966353298E-2</v>
      </c>
      <c r="AE100" s="138">
        <f ca="1"/>
        <v>5.4788755088558294E-2</v>
      </c>
      <c r="AG100" s="465" t="s">
        <v>598</v>
      </c>
      <c r="AH100" s="467">
        <v>1.8749999999999999E-2</v>
      </c>
      <c r="AI100" s="466">
        <v>2026</v>
      </c>
      <c r="AJ100" s="468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7.1681734951745124E-4</v>
      </c>
      <c r="P101" s="162">
        <f ca="1"/>
        <v>3.0879043182330257E-3</v>
      </c>
      <c r="Q101" s="162">
        <f ca="1"/>
        <v>8.6372456123803287E-3</v>
      </c>
      <c r="R101" s="162">
        <f ca="1"/>
        <v>1.8638805702513417E-2</v>
      </c>
      <c r="S101" s="162">
        <f ca="1"/>
        <v>0</v>
      </c>
      <c r="T101" s="162">
        <f ca="1"/>
        <v>4.7284249080287055E-2</v>
      </c>
      <c r="U101" s="162">
        <f ca="1"/>
        <v>8.1170923722569621E-2</v>
      </c>
      <c r="V101" s="138">
        <f ca="1"/>
        <v>0.14167521721135945</v>
      </c>
      <c r="W101" s="137">
        <f ca="1"/>
        <v>0</v>
      </c>
      <c r="X101" s="162">
        <f ca="1"/>
        <v>8.3623547992150993E-4</v>
      </c>
      <c r="Y101" s="162">
        <f ca="1"/>
        <v>3.2914361294928973E-3</v>
      </c>
      <c r="Z101" s="162">
        <f ca="1"/>
        <v>9.0061782285690839E-3</v>
      </c>
      <c r="AA101" s="162">
        <f ca="1"/>
        <v>1.9169566515682024E-2</v>
      </c>
      <c r="AB101" s="162">
        <f ca="1"/>
        <v>0</v>
      </c>
      <c r="AC101" s="162">
        <f ca="1"/>
        <v>4.8117727553043999E-2</v>
      </c>
      <c r="AD101" s="162">
        <f ca="1"/>
        <v>8.228770824877274E-2</v>
      </c>
      <c r="AE101" s="138">
        <f ca="1"/>
        <v>0.14318402417616927</v>
      </c>
      <c r="AG101" s="465" t="s">
        <v>599</v>
      </c>
      <c r="AH101" s="467">
        <v>1.8749999999999999E-2</v>
      </c>
      <c r="AI101" s="466">
        <v>2025</v>
      </c>
      <c r="AJ101" s="468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4.7793512564608953E-4</v>
      </c>
      <c r="P102" s="162">
        <f ca="1"/>
        <v>1.0232493494065631E-3</v>
      </c>
      <c r="Q102" s="162">
        <f ca="1"/>
        <v>3.3867972580835515E-3</v>
      </c>
      <c r="R102" s="162">
        <f ca="1"/>
        <v>6.5857020635126107E-3</v>
      </c>
      <c r="S102" s="162">
        <f ca="1"/>
        <v>0</v>
      </c>
      <c r="T102" s="162">
        <f ca="1"/>
        <v>1.8050804380486785E-2</v>
      </c>
      <c r="U102" s="162">
        <f ca="1"/>
        <v>3.1346243150229824E-2</v>
      </c>
      <c r="V102" s="138">
        <f ca="1"/>
        <v>5.9348538024028952E-2</v>
      </c>
      <c r="W102" s="137">
        <f ca="1"/>
        <v>0</v>
      </c>
      <c r="X102" s="162">
        <f ca="1"/>
        <v>5.9738255214170088E-4</v>
      </c>
      <c r="Y102" s="162">
        <f ca="1"/>
        <v>1.2271124440105252E-3</v>
      </c>
      <c r="Z102" s="162">
        <f ca="1"/>
        <v>3.7575213600318236E-3</v>
      </c>
      <c r="AA102" s="162">
        <f ca="1"/>
        <v>7.1222085692218551E-3</v>
      </c>
      <c r="AB102" s="162">
        <f ca="1"/>
        <v>0</v>
      </c>
      <c r="AC102" s="162">
        <f ca="1"/>
        <v>1.8912153377053098E-2</v>
      </c>
      <c r="AD102" s="162">
        <f ca="1"/>
        <v>3.2523659961075868E-2</v>
      </c>
      <c r="AE102" s="138">
        <f ca="1"/>
        <v>6.0967203506305911E-2</v>
      </c>
      <c r="AG102" s="465" t="s">
        <v>600</v>
      </c>
      <c r="AH102" s="467">
        <v>2.2499999999999999E-2</v>
      </c>
      <c r="AI102" s="466">
        <v>2026</v>
      </c>
      <c r="AJ102" s="468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5.9738334703651752E-4</v>
      </c>
      <c r="P103" s="162">
        <f ca="1"/>
        <v>1.0198834551679026E-3</v>
      </c>
      <c r="Q103" s="162">
        <f ca="1"/>
        <v>3.3833856573701748E-3</v>
      </c>
      <c r="R103" s="162">
        <f ca="1"/>
        <v>7.1469112673135937E-3</v>
      </c>
      <c r="S103" s="162">
        <f ca="1"/>
        <v>0</v>
      </c>
      <c r="T103" s="162">
        <f ca="1"/>
        <v>1.8006861705744392E-2</v>
      </c>
      <c r="U103" s="162">
        <f ca="1"/>
        <v>3.1301945582278945E-2</v>
      </c>
      <c r="V103" s="138">
        <f ca="1"/>
        <v>4.9394817628289123E-2</v>
      </c>
      <c r="W103" s="137">
        <f ca="1"/>
        <v>0</v>
      </c>
      <c r="X103" s="162">
        <f ca="1"/>
        <v>7.1681616400920412E-4</v>
      </c>
      <c r="Y103" s="162">
        <f ca="1"/>
        <v>1.2237348987873542E-3</v>
      </c>
      <c r="Z103" s="162">
        <f ca="1"/>
        <v>3.7540985010332539E-3</v>
      </c>
      <c r="AA103" s="162">
        <f ca="1"/>
        <v>7.6831960097240026E-3</v>
      </c>
      <c r="AB103" s="162">
        <f ca="1"/>
        <v>0</v>
      </c>
      <c r="AC103" s="162">
        <f ca="1"/>
        <v>1.8868185360126133E-2</v>
      </c>
      <c r="AD103" s="162">
        <f ca="1"/>
        <v>3.2479237446217835E-2</v>
      </c>
      <c r="AE103" s="138">
        <f ca="1"/>
        <v>5.1030068403000617E-2</v>
      </c>
      <c r="AG103" s="465" t="s">
        <v>601</v>
      </c>
      <c r="AH103" s="467">
        <v>6.2500000000000003E-3</v>
      </c>
      <c r="AI103" s="466">
        <v>2025</v>
      </c>
      <c r="AJ103" s="468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3.5847268276523181E-4</v>
      </c>
      <c r="P104" s="162">
        <f ca="1"/>
        <v>2.2698772269369449E-3</v>
      </c>
      <c r="Q104" s="162">
        <f ca="1"/>
        <v>5.6335735249193331E-3</v>
      </c>
      <c r="R104" s="162">
        <f ca="1"/>
        <v>1.0952251122597678E-2</v>
      </c>
      <c r="S104" s="162">
        <f ca="1"/>
        <v>0</v>
      </c>
      <c r="T104" s="162">
        <f ca="1"/>
        <v>2.5940813167357968E-2</v>
      </c>
      <c r="U104" s="162">
        <f ca="1"/>
        <v>4.4730387711535924E-2</v>
      </c>
      <c r="V104" s="138">
        <f ca="1"/>
        <v>7.9575305195609181E-2</v>
      </c>
      <c r="W104" s="137">
        <f ca="1"/>
        <v>0</v>
      </c>
      <c r="X104" s="162">
        <f ca="1"/>
        <v>4.779346426626585E-4</v>
      </c>
      <c r="Y104" s="162">
        <f ca="1"/>
        <v>2.4735673761271393E-3</v>
      </c>
      <c r="Z104" s="162">
        <f ca="1"/>
        <v>6.0035278970255179E-3</v>
      </c>
      <c r="AA104" s="162">
        <f ca="1"/>
        <v>1.1486635265708478E-2</v>
      </c>
      <c r="AB104" s="162">
        <f ca="1"/>
        <v>0</v>
      </c>
      <c r="AC104" s="162">
        <f ca="1"/>
        <v>2.6795022823593584E-2</v>
      </c>
      <c r="AD104" s="162">
        <f ca="1"/>
        <v>4.5891866553141258E-2</v>
      </c>
      <c r="AE104" s="138">
        <f ca="1"/>
        <v>8.1155825843494678E-2</v>
      </c>
      <c r="AG104" s="465" t="s">
        <v>602</v>
      </c>
      <c r="AH104" s="467">
        <v>1.6250000000000001E-2</v>
      </c>
      <c r="AI104" s="466">
        <v>2024</v>
      </c>
      <c r="AJ104" s="468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3.5847268276523181E-4</v>
      </c>
      <c r="P105" s="162">
        <f ca="1"/>
        <v>1.0266155659914844E-3</v>
      </c>
      <c r="Q105" s="162">
        <f ca="1"/>
        <v>3.3902091262216771E-3</v>
      </c>
      <c r="R105" s="162">
        <f ca="1"/>
        <v>7.1538215134686611E-3</v>
      </c>
      <c r="S105" s="162">
        <f ca="1"/>
        <v>0</v>
      </c>
      <c r="T105" s="162">
        <f ca="1"/>
        <v>1.8945553586546704E-2</v>
      </c>
      <c r="U105" s="162">
        <f ca="1"/>
        <v>3.3900275584016426E-2</v>
      </c>
      <c r="V105" s="138">
        <f ca="1"/>
        <v>6.0828057869768304E-2</v>
      </c>
      <c r="W105" s="137">
        <f ca="1"/>
        <v>0</v>
      </c>
      <c r="X105" s="162">
        <f ca="1"/>
        <v>4.779346426626585E-4</v>
      </c>
      <c r="Y105" s="162">
        <f ca="1"/>
        <v>1.2304902589456157E-3</v>
      </c>
      <c r="Z105" s="162">
        <f ca="1"/>
        <v>3.7609444923344393E-3</v>
      </c>
      <c r="AA105" s="162">
        <f ca="1"/>
        <v>7.6901275444932748E-3</v>
      </c>
      <c r="AB105" s="162">
        <f ca="1"/>
        <v>0</v>
      </c>
      <c r="AC105" s="162">
        <f ca="1"/>
        <v>1.9806175561696726E-2</v>
      </c>
      <c r="AD105" s="162">
        <f ca="1"/>
        <v>3.5074946662061679E-2</v>
      </c>
      <c r="AE105" s="138">
        <f ca="1"/>
        <v>6.244440302148424E-2</v>
      </c>
      <c r="AG105" s="465" t="s">
        <v>603</v>
      </c>
      <c r="AH105" s="467">
        <v>1.495E-2</v>
      </c>
      <c r="AI105" s="466">
        <v>2025</v>
      </c>
      <c r="AJ105" s="468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1.0750340687808446E-3</v>
      </c>
      <c r="P106" s="162">
        <f ca="1"/>
        <v>1.8350409856112693E-3</v>
      </c>
      <c r="Q106" s="162">
        <f ca="1"/>
        <v>6.7690540944587152E-3</v>
      </c>
      <c r="R106" s="162">
        <f ca="1"/>
        <v>1.4269521784519346E-2</v>
      </c>
      <c r="S106" s="162">
        <f ca="1"/>
        <v>0</v>
      </c>
      <c r="T106" s="162">
        <f ca="1"/>
        <v>3.8570959123332527E-2</v>
      </c>
      <c r="U106" s="162">
        <f ca="1"/>
        <v>6.6909520489013774E-2</v>
      </c>
      <c r="V106" s="138">
        <f ca="1"/>
        <v>0.1112455297067737</v>
      </c>
      <c r="W106" s="137">
        <f ca="1"/>
        <v>0</v>
      </c>
      <c r="X106" s="162">
        <f ca="1"/>
        <v>1.1944076693536365E-3</v>
      </c>
      <c r="Y106" s="162">
        <f ca="1"/>
        <v>2.0387253027658314E-3</v>
      </c>
      <c r="Z106" s="162">
        <f ca="1"/>
        <v>7.1386354439801902E-3</v>
      </c>
      <c r="AA106" s="162">
        <f ca="1"/>
        <v>1.4802428133291246E-2</v>
      </c>
      <c r="AB106" s="162">
        <f ca="1"/>
        <v>0</v>
      </c>
      <c r="AC106" s="162">
        <f ca="1"/>
        <v>3.9413397497957914E-2</v>
      </c>
      <c r="AD106" s="162">
        <f ca="1"/>
        <v>6.8044979376427062E-2</v>
      </c>
      <c r="AE106" s="138">
        <f ca="1"/>
        <v>0.1127960991357484</v>
      </c>
      <c r="AG106" s="465" t="s">
        <v>604</v>
      </c>
      <c r="AH106" s="467">
        <v>7.4999999999999997E-3</v>
      </c>
      <c r="AI106" s="466">
        <v>2026</v>
      </c>
      <c r="AJ106" s="468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3.5847268276523181E-4</v>
      </c>
      <c r="P107" s="162">
        <f ca="1"/>
        <v>1.0266155659914844E-3</v>
      </c>
      <c r="Q107" s="162">
        <f ca="1"/>
        <v>4.5338203728776394E-3</v>
      </c>
      <c r="R107" s="162">
        <f ca="1"/>
        <v>8.7941668329385436E-3</v>
      </c>
      <c r="S107" s="162">
        <f ca="1"/>
        <v>0</v>
      </c>
      <c r="T107" s="162">
        <f ca="1"/>
        <v>2.3420771121329675E-2</v>
      </c>
      <c r="U107" s="162">
        <f ca="1"/>
        <v>4.2619242623936682E-2</v>
      </c>
      <c r="V107" s="138">
        <f ca="1"/>
        <v>7.8557679678418868E-2</v>
      </c>
      <c r="W107" s="137">
        <f ca="1"/>
        <v>0</v>
      </c>
      <c r="X107" s="162">
        <f ca="1"/>
        <v>4.779346426626585E-4</v>
      </c>
      <c r="Y107" s="162">
        <f ca="1"/>
        <v>1.2304902589456157E-3</v>
      </c>
      <c r="Z107" s="162">
        <f ca="1"/>
        <v>4.904225068272039E-3</v>
      </c>
      <c r="AA107" s="162">
        <f ca="1"/>
        <v>9.3296920287423424E-3</v>
      </c>
      <c r="AB107" s="162">
        <f ca="1"/>
        <v>0</v>
      </c>
      <c r="AC107" s="162">
        <f ca="1"/>
        <v>2.4277498249646756E-2</v>
      </c>
      <c r="AD107" s="162">
        <f ca="1"/>
        <v>4.3783993781206454E-2</v>
      </c>
      <c r="AE107" s="138">
        <f ca="1"/>
        <v>8.0141072308097083E-2</v>
      </c>
      <c r="AH107" s="135"/>
      <c r="AI107" s="466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8.3623713561109536E-4</v>
      </c>
      <c r="P108" s="162">
        <f ca="1"/>
        <v>2.2561210793090591E-3</v>
      </c>
      <c r="Q108" s="162">
        <f ca="1"/>
        <v>7.5224316855957429E-3</v>
      </c>
      <c r="R108" s="162">
        <f ca="1"/>
        <v>1.5912260722483196E-2</v>
      </c>
      <c r="S108" s="162">
        <f ca="1"/>
        <v>0</v>
      </c>
      <c r="T108" s="162">
        <f ca="1"/>
        <v>4.3918773531023247E-2</v>
      </c>
      <c r="U108" s="162">
        <f ca="1"/>
        <v>7.4021248117450367E-2</v>
      </c>
      <c r="V108" s="138">
        <f ca="1"/>
        <v>0.12459541840922317</v>
      </c>
      <c r="W108" s="137">
        <f ca="1"/>
        <v>0</v>
      </c>
      <c r="X108" s="162">
        <f ca="1"/>
        <v>9.5564050165009018E-4</v>
      </c>
      <c r="Y108" s="162">
        <f ca="1"/>
        <v>2.4597669100845376E-3</v>
      </c>
      <c r="Z108" s="162">
        <f ca="1"/>
        <v>7.8917692214122148E-3</v>
      </c>
      <c r="AA108" s="162">
        <f ca="1"/>
        <v>1.6444379915814933E-2</v>
      </c>
      <c r="AB108" s="162">
        <f ca="1"/>
        <v>0</v>
      </c>
      <c r="AC108" s="162">
        <f ca="1"/>
        <v>4.4755655519447379E-2</v>
      </c>
      <c r="AD108" s="162">
        <f ca="1"/>
        <v>7.5148028075288642E-2</v>
      </c>
      <c r="AE108" s="138">
        <f ca="1"/>
        <v>0.12612686327132117</v>
      </c>
      <c r="AH108" s="135"/>
      <c r="AI108" s="466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4.7793512564608953E-4</v>
      </c>
      <c r="P109" s="162">
        <f ca="1"/>
        <v>1.8521115658701737E-3</v>
      </c>
      <c r="Q109" s="162">
        <f ca="1"/>
        <v>5.2636844698019658E-3</v>
      </c>
      <c r="R109" s="162">
        <f ca="1"/>
        <v>9.2902686856825012E-3</v>
      </c>
      <c r="S109" s="162">
        <f ca="1"/>
        <v>0</v>
      </c>
      <c r="T109" s="162">
        <f ca="1"/>
        <v>2.2380685209792528E-2</v>
      </c>
      <c r="U109" s="162">
        <f ca="1"/>
        <v>3.5912667467062787E-2</v>
      </c>
      <c r="V109" s="138">
        <f ca="1"/>
        <v>5.9790685879798522E-2</v>
      </c>
      <c r="W109" s="137">
        <f ca="1"/>
        <v>0</v>
      </c>
      <c r="X109" s="162">
        <f ca="1"/>
        <v>5.9738255214170088E-4</v>
      </c>
      <c r="Y109" s="162">
        <f ca="1"/>
        <v>2.0558526921055087E-3</v>
      </c>
      <c r="Z109" s="162">
        <f ca="1"/>
        <v>5.6337776258730266E-3</v>
      </c>
      <c r="AA109" s="162">
        <f ca="1"/>
        <v>9.8253826013713352E-3</v>
      </c>
      <c r="AB109" s="162">
        <f ca="1"/>
        <v>0</v>
      </c>
      <c r="AC109" s="162">
        <f ca="1"/>
        <v>2.323798997728177E-2</v>
      </c>
      <c r="AD109" s="162">
        <f ca="1"/>
        <v>3.7083958647255222E-2</v>
      </c>
      <c r="AE109" s="138">
        <f ca="1"/>
        <v>6.1406978503445453E-2</v>
      </c>
      <c r="AH109" s="135"/>
      <c r="AI109" s="466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9.5564270783932148E-4</v>
      </c>
      <c r="P110" s="162">
        <f ca="1"/>
        <v>1.63131400404537E-3</v>
      </c>
      <c r="Q110" s="162">
        <f ca="1"/>
        <v>6.3992383790476559E-3</v>
      </c>
      <c r="R110" s="162">
        <f ca="1"/>
        <v>1.2610205733586621E-2</v>
      </c>
      <c r="S110" s="162">
        <f ca="1"/>
        <v>0</v>
      </c>
      <c r="T110" s="162">
        <f ca="1"/>
        <v>3.7809312128358696E-2</v>
      </c>
      <c r="U110" s="162">
        <f ca="1"/>
        <v>6.5853502391222452E-2</v>
      </c>
      <c r="V110" s="138">
        <f ca="1"/>
        <v>0.11362943477125109</v>
      </c>
      <c r="W110" s="137">
        <f ca="1"/>
        <v>0</v>
      </c>
      <c r="X110" s="162">
        <f ca="1"/>
        <v>1.0750312308801524E-3</v>
      </c>
      <c r="Y110" s="162">
        <f ca="1"/>
        <v>1.8350401282366535E-3</v>
      </c>
      <c r="Z110" s="162">
        <f ca="1"/>
        <v>6.7689637130445846E-3</v>
      </c>
      <c r="AA110" s="162">
        <f ca="1"/>
        <v>1.3143862365086911E-2</v>
      </c>
      <c r="AB110" s="162">
        <f ca="1"/>
        <v>0</v>
      </c>
      <c r="AC110" s="162">
        <f ca="1"/>
        <v>3.8652371252990037E-2</v>
      </c>
      <c r="AD110" s="162">
        <f ca="1"/>
        <v>6.6990774365239592E-2</v>
      </c>
      <c r="AE110" s="138">
        <f ca="1"/>
        <v>0.11517883210179036</v>
      </c>
      <c r="AH110" s="135"/>
      <c r="AI110" s="466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1.9103758916302338E-3</v>
      </c>
      <c r="P111" s="162">
        <f ca="1"/>
        <v>3.8806224736276373E-3</v>
      </c>
      <c r="Q111" s="162">
        <f ca="1"/>
        <v>8.9517368175812129E-3</v>
      </c>
      <c r="R111" s="162">
        <f ca="1"/>
        <v>1.462185355687895E-2</v>
      </c>
      <c r="S111" s="162">
        <f ca="1"/>
        <v>0</v>
      </c>
      <c r="T111" s="162">
        <f ca="1"/>
        <v>2.9078695009406186E-2</v>
      </c>
      <c r="U111" s="162">
        <f ca="1"/>
        <v>4.4438672551670222E-2</v>
      </c>
      <c r="V111" s="138">
        <f ca="1"/>
        <v>7.0689837334219296E-2</v>
      </c>
      <c r="W111" s="137">
        <f ca="1"/>
        <v>0</v>
      </c>
      <c r="X111" s="162">
        <f ca="1"/>
        <v>2.0296427423533991E-3</v>
      </c>
      <c r="Y111" s="162">
        <f ca="1"/>
        <v>4.0839205379489263E-3</v>
      </c>
      <c r="Z111" s="162">
        <f ca="1"/>
        <v>9.3203772927011874E-3</v>
      </c>
      <c r="AA111" s="162">
        <f ca="1"/>
        <v>1.5154001958350038E-2</v>
      </c>
      <c r="AB111" s="162">
        <f ca="1"/>
        <v>0</v>
      </c>
      <c r="AC111" s="162">
        <f ca="1"/>
        <v>2.9929225359907496E-2</v>
      </c>
      <c r="AD111" s="162">
        <f ca="1"/>
        <v>4.5598292536333962E-2</v>
      </c>
      <c r="AE111" s="138">
        <f ca="1"/>
        <v>7.228407366258649E-2</v>
      </c>
      <c r="AH111" s="135"/>
      <c r="AI111" s="466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8.3623713561109536E-4</v>
      </c>
      <c r="P112" s="162">
        <f ca="1"/>
        <v>2.8773691933182688E-3</v>
      </c>
      <c r="Q112" s="162">
        <f ca="1"/>
        <v>9.4012217378036667E-3</v>
      </c>
      <c r="R112" s="162">
        <f ca="1"/>
        <v>1.9727699480122096E-2</v>
      </c>
      <c r="S112" s="162">
        <f ca="1"/>
        <v>0</v>
      </c>
      <c r="T112" s="162">
        <f ca="1"/>
        <v>4.9910075876040794E-2</v>
      </c>
      <c r="U112" s="162">
        <f ca="1"/>
        <v>8.5964864416963604E-2</v>
      </c>
      <c r="V112" s="138">
        <f ca="1"/>
        <v>0.14797835911775115</v>
      </c>
      <c r="W112" s="137">
        <f ca="1"/>
        <v>0</v>
      </c>
      <c r="X112" s="162">
        <f ca="1"/>
        <v>9.5564050165009018E-4</v>
      </c>
      <c r="Y112" s="162">
        <f ca="1"/>
        <v>3.0809217055600691E-3</v>
      </c>
      <c r="Z112" s="162">
        <f ca="1"/>
        <v>9.7699179248644796E-3</v>
      </c>
      <c r="AA112" s="162">
        <f ca="1"/>
        <v>2.0257938082512861E-2</v>
      </c>
      <c r="AB112" s="162">
        <f ca="1"/>
        <v>0</v>
      </c>
      <c r="AC112" s="162">
        <f ca="1"/>
        <v>5.0740713130909554E-2</v>
      </c>
      <c r="AD112" s="162">
        <f ca="1"/>
        <v>8.7075211608700021E-2</v>
      </c>
      <c r="AE112" s="138">
        <f ca="1"/>
        <v>0.14947757967833553</v>
      </c>
      <c r="AH112" s="135"/>
      <c r="AI112" s="466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1.433122909088036E-3</v>
      </c>
      <c r="P113" s="162">
        <f ca="1"/>
        <v>3.4809060274593184E-3</v>
      </c>
      <c r="Q113" s="162">
        <f ca="1"/>
        <v>1.1638897749484789E-2</v>
      </c>
      <c r="R113" s="162">
        <f ca="1"/>
        <v>2.2374633933034183E-2</v>
      </c>
      <c r="S113" s="162">
        <f ca="1"/>
        <v>0</v>
      </c>
      <c r="T113" s="162">
        <f ca="1"/>
        <v>4.4941517805374476E-2</v>
      </c>
      <c r="U113" s="162">
        <f ca="1"/>
        <v>7.4304677951873677E-2</v>
      </c>
      <c r="V113" s="138">
        <f ca="1"/>
        <v>0.13288042243451792</v>
      </c>
      <c r="W113" s="137">
        <f ca="1"/>
        <v>0</v>
      </c>
      <c r="X113" s="162">
        <f ca="1"/>
        <v>1.5524512575108007E-3</v>
      </c>
      <c r="Y113" s="162">
        <f ca="1"/>
        <v>3.6843101420301894E-3</v>
      </c>
      <c r="Z113" s="162">
        <f ca="1"/>
        <v>1.2006756699652232E-2</v>
      </c>
      <c r="AA113" s="162">
        <f ca="1"/>
        <v>2.2903388783626744E-2</v>
      </c>
      <c r="AB113" s="162">
        <f ca="1"/>
        <v>0</v>
      </c>
      <c r="AC113" s="162">
        <f ca="1"/>
        <v>4.5777568679218117E-2</v>
      </c>
      <c r="AD113" s="162">
        <f ca="1"/>
        <v>7.5428350108833975E-2</v>
      </c>
      <c r="AE113" s="138">
        <f ca="1"/>
        <v>0.13439965233094919</v>
      </c>
      <c r="AH113" s="135"/>
      <c r="AI113" s="466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2.1489172266047074E-3</v>
      </c>
      <c r="P114" s="162">
        <f ca="1"/>
        <v>4.2871921147017433E-3</v>
      </c>
      <c r="Q114" s="162">
        <f ca="1"/>
        <v>8.5499213775424021E-3</v>
      </c>
      <c r="R114" s="162">
        <f ca="1"/>
        <v>1.4618044476641834E-2</v>
      </c>
      <c r="S114" s="162">
        <f ca="1"/>
        <v>0</v>
      </c>
      <c r="T114" s="162">
        <f ca="1"/>
        <v>3.3693245064603361E-2</v>
      </c>
      <c r="U114" s="162">
        <f ca="1"/>
        <v>5.6560185822270514E-2</v>
      </c>
      <c r="V114" s="138">
        <f ca="1"/>
        <v>9.9526869180411315E-2</v>
      </c>
      <c r="W114" s="137">
        <f ca="1"/>
        <v>0</v>
      </c>
      <c r="X114" s="162">
        <f ca="1"/>
        <v>2.268152816064295E-3</v>
      </c>
      <c r="Y114" s="162">
        <f ca="1"/>
        <v>4.4904058404705571E-3</v>
      </c>
      <c r="Z114" s="162">
        <f ca="1"/>
        <v>8.9186214700794908E-3</v>
      </c>
      <c r="AA114" s="162">
        <f ca="1"/>
        <v>1.5150164604771366E-2</v>
      </c>
      <c r="AB114" s="162">
        <f ca="1"/>
        <v>0</v>
      </c>
      <c r="AC114" s="162">
        <f ca="1"/>
        <v>3.4539704839921637E-2</v>
      </c>
      <c r="AD114" s="162">
        <f ca="1"/>
        <v>5.7706671997315162E-2</v>
      </c>
      <c r="AE114" s="138">
        <f ca="1"/>
        <v>0.10109432239294158</v>
      </c>
      <c r="AH114" s="135"/>
      <c r="AI114" s="466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7.1681734951745124E-4</v>
      </c>
      <c r="P115" s="162">
        <f ca="1"/>
        <v>1.6381174803081766E-3</v>
      </c>
      <c r="Q115" s="162">
        <f ca="1"/>
        <v>5.2639320330857275E-3</v>
      </c>
      <c r="R115" s="162">
        <f ca="1"/>
        <v>1.0417969092895052E-2</v>
      </c>
      <c r="S115" s="162">
        <f ca="1"/>
        <v>0</v>
      </c>
      <c r="T115" s="162">
        <f ca="1"/>
        <v>2.6940066200460855E-2</v>
      </c>
      <c r="U115" s="162">
        <f ca="1"/>
        <v>4.6039573477986484E-2</v>
      </c>
      <c r="V115" s="138">
        <f ca="1"/>
        <v>8.7158977120063708E-2</v>
      </c>
      <c r="W115" s="137">
        <f ca="1"/>
        <v>0</v>
      </c>
      <c r="X115" s="162">
        <f ca="1"/>
        <v>8.3623547992150993E-4</v>
      </c>
      <c r="Y115" s="162">
        <f ca="1"/>
        <v>1.8418665806522183E-3</v>
      </c>
      <c r="Z115" s="162">
        <f ca="1"/>
        <v>5.6340217718388041E-3</v>
      </c>
      <c r="AA115" s="162">
        <f ca="1"/>
        <v>1.095265345883345E-2</v>
      </c>
      <c r="AB115" s="162">
        <f ca="1"/>
        <v>0</v>
      </c>
      <c r="AC115" s="162">
        <f ca="1"/>
        <v>2.7793533567307294E-2</v>
      </c>
      <c r="AD115" s="162">
        <f ca="1"/>
        <v>4.719991803295609E-2</v>
      </c>
      <c r="AE115" s="138">
        <f ca="1"/>
        <v>8.8748393525999614E-2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1.0750340687808446E-3</v>
      </c>
      <c r="P116" s="162">
        <f ca="1"/>
        <v>2.0421517270537981E-3</v>
      </c>
      <c r="Q116" s="162">
        <f ca="1"/>
        <v>6.7617658319701901E-3</v>
      </c>
      <c r="R116" s="162">
        <f ca="1"/>
        <v>1.1447712540372801E-2</v>
      </c>
      <c r="S116" s="162">
        <f ca="1"/>
        <v>0</v>
      </c>
      <c r="T116" s="162">
        <f ca="1"/>
        <v>2.9536239715189927E-2</v>
      </c>
      <c r="U116" s="162">
        <f ca="1"/>
        <v>5.0887646906815576E-2</v>
      </c>
      <c r="V116" s="138">
        <f ca="1"/>
        <v>9.1759218023098943E-2</v>
      </c>
      <c r="W116" s="137">
        <f ca="1"/>
        <v>0</v>
      </c>
      <c r="X116" s="162">
        <f ca="1"/>
        <v>1.1944076693536365E-3</v>
      </c>
      <c r="Y116" s="162">
        <f ca="1"/>
        <v>2.2458056421319483E-3</v>
      </c>
      <c r="Z116" s="162">
        <f ca="1"/>
        <v>7.1313303862050592E-3</v>
      </c>
      <c r="AA116" s="162">
        <f ca="1"/>
        <v>1.1981709687041042E-2</v>
      </c>
      <c r="AB116" s="162">
        <f ca="1"/>
        <v>0</v>
      </c>
      <c r="AC116" s="162">
        <f ca="1"/>
        <v>3.0387073072777659E-2</v>
      </c>
      <c r="AD116" s="162">
        <f ca="1"/>
        <v>5.2042035583423907E-2</v>
      </c>
      <c r="AE116" s="138">
        <f ca="1"/>
        <v>9.3340280861309854E-2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5.9738334703651752E-4</v>
      </c>
      <c r="P117" s="162">
        <f ca="1"/>
        <v>1.4343251221308195E-3</v>
      </c>
      <c r="Q117" s="162">
        <f ca="1"/>
        <v>4.5126515291201708E-3</v>
      </c>
      <c r="R117" s="162">
        <f ca="1"/>
        <v>9.9007176230930805E-3</v>
      </c>
      <c r="S117" s="162">
        <f ca="1"/>
        <v>0</v>
      </c>
      <c r="T117" s="162">
        <f ca="1"/>
        <v>2.6101932807335304E-2</v>
      </c>
      <c r="U117" s="162">
        <f ca="1"/>
        <v>4.3558256605616186E-2</v>
      </c>
      <c r="V117" s="138">
        <f ca="1"/>
        <v>8.3843914741971726E-2</v>
      </c>
      <c r="W117" s="137">
        <f ca="1"/>
        <v>0</v>
      </c>
      <c r="X117" s="162">
        <f ca="1"/>
        <v>7.1681616400920412E-4</v>
      </c>
      <c r="Y117" s="162">
        <f ca="1"/>
        <v>1.6381161039986658E-3</v>
      </c>
      <c r="Z117" s="162">
        <f ca="1"/>
        <v>4.8829947428674636E-3</v>
      </c>
      <c r="AA117" s="162">
        <f ca="1"/>
        <v>1.0435740355537182E-2</v>
      </c>
      <c r="AB117" s="162">
        <f ca="1"/>
        <v>0</v>
      </c>
      <c r="AC117" s="162">
        <f ca="1"/>
        <v>2.6956297730973966E-2</v>
      </c>
      <c r="AD117" s="162">
        <f ca="1"/>
        <v>4.4721588880468954E-2</v>
      </c>
      <c r="AE117" s="138">
        <f ca="1"/>
        <v>8.54149536788954E-2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2.3899601589938424E-4</v>
      </c>
      <c r="P118" s="162">
        <f ca="1"/>
        <v>1.0299821050310243E-3</v>
      </c>
      <c r="Q118" s="162">
        <f ca="1"/>
        <v>3.77490058609109E-3</v>
      </c>
      <c r="R118" s="162">
        <f ca="1"/>
        <v>8.2687264104978064E-3</v>
      </c>
      <c r="S118" s="162">
        <f ca="1"/>
        <v>0</v>
      </c>
      <c r="T118" s="162">
        <f ca="1"/>
        <v>2.0711772459748645E-2</v>
      </c>
      <c r="U118" s="162">
        <f ca="1"/>
        <v>3.4955150450179273E-2</v>
      </c>
      <c r="V118" s="138">
        <f ca="1"/>
        <v>6.2331898469441427E-2</v>
      </c>
      <c r="W118" s="137">
        <f ca="1"/>
        <v>0</v>
      </c>
      <c r="X118" s="162">
        <f ca="1"/>
        <v>3.5847243377118421E-4</v>
      </c>
      <c r="Y118" s="162">
        <f ca="1"/>
        <v>1.2338683436263764E-3</v>
      </c>
      <c r="Z118" s="162">
        <f ca="1"/>
        <v>4.1455381096419108E-3</v>
      </c>
      <c r="AA118" s="162">
        <f ca="1"/>
        <v>8.8045685598066026E-3</v>
      </c>
      <c r="AB118" s="162">
        <f ca="1"/>
        <v>0</v>
      </c>
      <c r="AC118" s="162">
        <f ca="1"/>
        <v>2.1570873513234945E-2</v>
      </c>
      <c r="AD118" s="162">
        <f ca="1"/>
        <v>3.6128250098476644E-2</v>
      </c>
      <c r="AE118" s="138">
        <f ca="1"/>
        <v>6.394480245980827E-2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7.1681734951745124E-4</v>
      </c>
      <c r="P119" s="162">
        <f ca="1"/>
        <v>1.8452823530332729E-3</v>
      </c>
      <c r="Q119" s="162">
        <f ca="1"/>
        <v>6.398985271069968E-3</v>
      </c>
      <c r="R119" s="162">
        <f ca="1"/>
        <v>1.3172944077787241E-2</v>
      </c>
      <c r="S119" s="162">
        <f ca="1"/>
        <v>0</v>
      </c>
      <c r="T119" s="162">
        <f ca="1"/>
        <v>3.4071539525938443E-2</v>
      </c>
      <c r="U119" s="162">
        <f ca="1"/>
        <v>6.0920610230821515E-2</v>
      </c>
      <c r="V119" s="138">
        <f ca="1"/>
        <v>0.11284948488677127</v>
      </c>
      <c r="W119" s="137">
        <f ca="1"/>
        <v>0</v>
      </c>
      <c r="X119" s="162">
        <f ca="1"/>
        <v>8.3623547992150993E-4</v>
      </c>
      <c r="Y119" s="162">
        <f ca="1"/>
        <v>2.0490009159271905E-3</v>
      </c>
      <c r="Z119" s="162">
        <f ca="1"/>
        <v>6.7687159155797039E-3</v>
      </c>
      <c r="AA119" s="162">
        <f ca="1"/>
        <v>1.3706373511302883E-2</v>
      </c>
      <c r="AB119" s="162">
        <f ca="1"/>
        <v>0</v>
      </c>
      <c r="AC119" s="162">
        <f ca="1"/>
        <v>3.4918409254302785E-2</v>
      </c>
      <c r="AD119" s="162">
        <f ca="1"/>
        <v>6.2063210037730854E-2</v>
      </c>
      <c r="AE119" s="138">
        <f ca="1"/>
        <v>0.11440271081795284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1.3615153680399672E-3</v>
      </c>
      <c r="P120" s="162">
        <f ca="1"/>
        <v>3.3588387010604626E-3</v>
      </c>
      <c r="Q120" s="162">
        <f ca="1"/>
        <v>8.8355676412407158E-3</v>
      </c>
      <c r="R120" s="162">
        <f ca="1"/>
        <v>1.5901370884983668E-2</v>
      </c>
      <c r="S120" s="162">
        <f ca="1"/>
        <v>0</v>
      </c>
      <c r="T120" s="162">
        <f ca="1"/>
        <v>3.5492639021984185E-2</v>
      </c>
      <c r="U120" s="162">
        <f ca="1"/>
        <v>5.3664414972210972E-2</v>
      </c>
      <c r="V120" s="138">
        <f ca="1"/>
        <v>8.0277059524075378E-2</v>
      </c>
      <c r="W120" s="137">
        <f ca="1"/>
        <v>0</v>
      </c>
      <c r="X120" s="162">
        <f ca="1"/>
        <v>1.4808528257359566E-3</v>
      </c>
      <c r="Y120" s="162">
        <f ca="1"/>
        <v>3.5622681360238939E-3</v>
      </c>
      <c r="Z120" s="162">
        <f ca="1"/>
        <v>9.2043474077007081E-3</v>
      </c>
      <c r="AA120" s="162">
        <f ca="1"/>
        <v>1.6433150660418727E-2</v>
      </c>
      <c r="AB120" s="162">
        <f ca="1"/>
        <v>0</v>
      </c>
      <c r="AC120" s="162">
        <f ca="1"/>
        <v>3.6337679581692983E-2</v>
      </c>
      <c r="AD120" s="162">
        <f ca="1"/>
        <v>5.4814048133225657E-2</v>
      </c>
      <c r="AE120" s="138">
        <f ca="1"/>
        <v>8.1854506800305926E-2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1.3734503132861731E-3</v>
      </c>
      <c r="P121" s="162">
        <f ca="1"/>
        <v>3.7102945244652519E-3</v>
      </c>
      <c r="Q121" s="162">
        <f ca="1"/>
        <v>1.0493671988683229E-2</v>
      </c>
      <c r="R121" s="162">
        <f ca="1"/>
        <v>1.9061757298491688E-2</v>
      </c>
      <c r="S121" s="162">
        <f ca="1"/>
        <v>0</v>
      </c>
      <c r="T121" s="162">
        <f ca="1"/>
        <v>4.0667487301720984E-2</v>
      </c>
      <c r="U121" s="162">
        <f ca="1"/>
        <v>6.329196134511228E-2</v>
      </c>
      <c r="V121" s="138">
        <f ca="1"/>
        <v>9.72006354206566E-2</v>
      </c>
      <c r="W121" s="137">
        <f ca="1"/>
        <v>0</v>
      </c>
      <c r="X121" s="162">
        <f ca="1"/>
        <v>1.4927862548357318E-3</v>
      </c>
      <c r="Y121" s="162">
        <f ca="1"/>
        <v>3.9136693873683681E-3</v>
      </c>
      <c r="Z121" s="162">
        <f ca="1"/>
        <v>1.0861897561140865E-2</v>
      </c>
      <c r="AA121" s="162">
        <f ca="1"/>
        <v>1.9592011789330566E-2</v>
      </c>
      <c r="AB121" s="162">
        <f ca="1"/>
        <v>0</v>
      </c>
      <c r="AC121" s="162">
        <f ca="1"/>
        <v>4.1507529130963561E-2</v>
      </c>
      <c r="AD121" s="162">
        <f ca="1"/>
        <v>6.4429794167448318E-2</v>
      </c>
      <c r="AE121" s="138">
        <f ca="1"/>
        <v>9.8746380381353416E-2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3.5847268276523181E-4</v>
      </c>
      <c r="P122" s="162">
        <f ca="1"/>
        <v>6.1205499794036999E-4</v>
      </c>
      <c r="Q122" s="162">
        <f ca="1"/>
        <v>2.6415015473287839E-3</v>
      </c>
      <c r="R122" s="162">
        <f ca="1"/>
        <v>5.5083187120039678E-3</v>
      </c>
      <c r="S122" s="162">
        <f ca="1"/>
        <v>0</v>
      </c>
      <c r="T122" s="162">
        <f ca="1"/>
        <v>1.5387008736932994E-2</v>
      </c>
      <c r="U122" s="162">
        <f ca="1"/>
        <v>2.7728387968148915E-2</v>
      </c>
      <c r="V122" s="138">
        <f ca="1"/>
        <v>5.0396840655797304E-2</v>
      </c>
      <c r="W122" s="137">
        <f ca="1"/>
        <v>0</v>
      </c>
      <c r="X122" s="162">
        <f ca="1"/>
        <v>4.779346426626585E-4</v>
      </c>
      <c r="Y122" s="162">
        <f ca="1"/>
        <v>8.1598990562425922E-4</v>
      </c>
      <c r="Z122" s="162">
        <f ca="1"/>
        <v>3.012495761046341E-3</v>
      </c>
      <c r="AA122" s="162">
        <f ca="1"/>
        <v>6.0454017577510344E-3</v>
      </c>
      <c r="AB122" s="162">
        <f ca="1"/>
        <v>0</v>
      </c>
      <c r="AC122" s="162">
        <f ca="1"/>
        <v>1.6250687842506717E-2</v>
      </c>
      <c r="AD122" s="162">
        <f ca="1"/>
        <v>2.8910109390003491E-2</v>
      </c>
      <c r="AE122" s="138">
        <f ca="1"/>
        <v>5.203173958280316E-2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8.3623713561109536E-4</v>
      </c>
      <c r="P123" s="162">
        <f ca="1"/>
        <v>2.4632212683648458E-3</v>
      </c>
      <c r="Q123" s="162">
        <f ca="1"/>
        <v>7.1346880252544098E-3</v>
      </c>
      <c r="R123" s="162">
        <f ca="1"/>
        <v>1.4236014455645041E-2</v>
      </c>
      <c r="S123" s="162">
        <f ca="1"/>
        <v>0</v>
      </c>
      <c r="T123" s="162">
        <f ca="1"/>
        <v>3.3921365987776175E-2</v>
      </c>
      <c r="U123" s="162">
        <f ca="1"/>
        <v>5.6791057729881356E-2</v>
      </c>
      <c r="V123" s="138">
        <f ca="1"/>
        <v>9.5911618750238237E-2</v>
      </c>
      <c r="W123" s="137">
        <f ca="1"/>
        <v>0</v>
      </c>
      <c r="X123" s="162">
        <f ca="1"/>
        <v>9.5564050165009018E-4</v>
      </c>
      <c r="Y123" s="162">
        <f ca="1"/>
        <v>2.666836163108699E-3</v>
      </c>
      <c r="Z123" s="162">
        <f ca="1"/>
        <v>7.504125485041091E-3</v>
      </c>
      <c r="AA123" s="162">
        <f ca="1"/>
        <v>1.4768836043358324E-2</v>
      </c>
      <c r="AB123" s="162">
        <f ca="1"/>
        <v>0</v>
      </c>
      <c r="AC123" s="162">
        <f ca="1"/>
        <v>3.4768237913137878E-2</v>
      </c>
      <c r="AD123" s="162">
        <f ca="1"/>
        <v>5.7938083999329315E-2</v>
      </c>
      <c r="AE123" s="138">
        <f ca="1"/>
        <v>9.7460554790991916E-2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7.1681734951745124E-4</v>
      </c>
      <c r="P124" s="162">
        <f ca="1"/>
        <v>1.6381174803081766E-3</v>
      </c>
      <c r="Q124" s="162">
        <f ca="1"/>
        <v>5.2639320330857275E-3</v>
      </c>
      <c r="R124" s="162">
        <f ca="1"/>
        <v>1.098155511717791E-2</v>
      </c>
      <c r="S124" s="162">
        <f ca="1"/>
        <v>0</v>
      </c>
      <c r="T124" s="162">
        <f ca="1"/>
        <v>2.7825514166512244E-2</v>
      </c>
      <c r="U124" s="162">
        <f ca="1"/>
        <v>4.8565816627713532E-2</v>
      </c>
      <c r="V124" s="138">
        <f ca="1"/>
        <v>8.2756183485042878E-2</v>
      </c>
      <c r="W124" s="137">
        <f ca="1"/>
        <v>0</v>
      </c>
      <c r="X124" s="162">
        <f ca="1"/>
        <v>8.3623547992150993E-4</v>
      </c>
      <c r="Y124" s="162">
        <f ca="1"/>
        <v>1.8418665806522183E-3</v>
      </c>
      <c r="Z124" s="162">
        <f ca="1"/>
        <v>5.6340217718388041E-3</v>
      </c>
      <c r="AA124" s="162">
        <f ca="1"/>
        <v>1.1516019690004264E-2</v>
      </c>
      <c r="AB124" s="162">
        <f ca="1"/>
        <v>0</v>
      </c>
      <c r="AC124" s="162">
        <f ca="1"/>
        <v>2.8678217165431952E-2</v>
      </c>
      <c r="AD124" s="162">
        <f ca="1"/>
        <v>4.9723238583217033E-2</v>
      </c>
      <c r="AE124" s="138">
        <f ca="1"/>
        <v>8.4331789369485377E-2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2.5066228406060986E-3</v>
      </c>
      <c r="P125" s="162">
        <f ca="1"/>
        <v>4.2765235472738139E-3</v>
      </c>
      <c r="Q125" s="162">
        <f ca="1"/>
        <v>1.4228839577736685E-2</v>
      </c>
      <c r="R125" s="162">
        <f ca="1"/>
        <v>3.8919514765041185E-2</v>
      </c>
      <c r="S125" s="162">
        <f ca="1"/>
        <v>0</v>
      </c>
      <c r="T125" s="162">
        <f ca="1"/>
        <v>8.4129225892282777E-2</v>
      </c>
      <c r="U125" s="162">
        <f ca="1"/>
        <v>0.1374038318910259</v>
      </c>
      <c r="V125" s="138">
        <f ca="1"/>
        <v>0.21684296090993682</v>
      </c>
      <c r="W125" s="137">
        <f ca="1"/>
        <v>0</v>
      </c>
      <c r="X125" s="162">
        <f ca="1"/>
        <v>2.6258108794496859E-3</v>
      </c>
      <c r="Y125" s="162">
        <f ca="1"/>
        <v>4.4797047660950495E-3</v>
      </c>
      <c r="Z125" s="162">
        <f ca="1"/>
        <v>1.4595652518749169E-2</v>
      </c>
      <c r="AA125" s="162">
        <f ca="1"/>
        <v>3.9439536483584892E-2</v>
      </c>
      <c r="AB125" s="162">
        <f ca="1"/>
        <v>0</v>
      </c>
      <c r="AC125" s="162">
        <f ca="1"/>
        <v>8.4941949460549893E-2</v>
      </c>
      <c r="AD125" s="162">
        <f ca="1"/>
        <v>0.13847042404230703</v>
      </c>
      <c r="AE125" s="138">
        <f ca="1"/>
        <v>0.21822758691423894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1.671777792560003E-3</v>
      </c>
      <c r="P126" s="162">
        <f ca="1"/>
        <v>3.4738867979065002E-3</v>
      </c>
      <c r="Q126" s="162">
        <f ca="1"/>
        <v>1.2010995234595923E-2</v>
      </c>
      <c r="R126" s="162">
        <f ca="1"/>
        <v>2.4027773149935983E-2</v>
      </c>
      <c r="S126" s="162">
        <f ca="1"/>
        <v>0</v>
      </c>
      <c r="T126" s="162">
        <f ca="1"/>
        <v>5.6667040305119487E-2</v>
      </c>
      <c r="U126" s="162">
        <f ca="1"/>
        <v>9.7575531029151841E-2</v>
      </c>
      <c r="V126" s="138">
        <f ca="1"/>
        <v>0.15765892566676154</v>
      </c>
      <c r="W126" s="137">
        <f ca="1"/>
        <v>0</v>
      </c>
      <c r="X126" s="162">
        <f ca="1"/>
        <v>1.7910755607916107E-3</v>
      </c>
      <c r="Y126" s="162">
        <f ca="1"/>
        <v>3.6772691189566054E-3</v>
      </c>
      <c r="Z126" s="162">
        <f ca="1"/>
        <v>1.2378704308307675E-2</v>
      </c>
      <c r="AA126" s="162">
        <f ca="1"/>
        <v>2.4555739136670529E-2</v>
      </c>
      <c r="AB126" s="162">
        <f ca="1"/>
        <v>0</v>
      </c>
      <c r="AC126" s="162">
        <f ca="1"/>
        <v>5.7490295321671159E-2</v>
      </c>
      <c r="AD126" s="162">
        <f ca="1"/>
        <v>9.8669053862513567E-2</v>
      </c>
      <c r="AE126" s="138">
        <f ca="1"/>
        <v>0.1591398201434413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3.5847268276523181E-4</v>
      </c>
      <c r="P127" s="162">
        <f ca="1"/>
        <v>1.2338695917818443E-3</v>
      </c>
      <c r="Q127" s="162">
        <f ca="1"/>
        <v>4.1455682560619378E-3</v>
      </c>
      <c r="R127" s="162">
        <f ca="1"/>
        <v>7.6760720727755416E-3</v>
      </c>
      <c r="S127" s="162">
        <f ca="1"/>
        <v>0</v>
      </c>
      <c r="T127" s="162">
        <f ca="1"/>
        <v>1.9792882239814125E-2</v>
      </c>
      <c r="U127" s="162">
        <f ca="1"/>
        <v>3.237870751287808E-2</v>
      </c>
      <c r="V127" s="138">
        <f ca="1"/>
        <v>5.4894608029945169E-2</v>
      </c>
      <c r="W127" s="137">
        <f ca="1"/>
        <v>0</v>
      </c>
      <c r="X127" s="162">
        <f ca="1"/>
        <v>4.779346426626585E-4</v>
      </c>
      <c r="Y127" s="162">
        <f ca="1"/>
        <v>1.4377139380332693E-3</v>
      </c>
      <c r="Z127" s="162">
        <f ca="1"/>
        <v>4.5160643369029918E-3</v>
      </c>
      <c r="AA127" s="162">
        <f ca="1"/>
        <v>8.212046597406375E-3</v>
      </c>
      <c r="AB127" s="162">
        <f ca="1"/>
        <v>0</v>
      </c>
      <c r="AC127" s="162">
        <f ca="1"/>
        <v>2.0652639735397438E-2</v>
      </c>
      <c r="AD127" s="162">
        <f ca="1"/>
        <v>3.3554464496966974E-2</v>
      </c>
      <c r="AE127" s="138">
        <f ca="1"/>
        <v>5.6520198673680411E-2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5.9738334703651752E-4</v>
      </c>
      <c r="P128" s="162">
        <f ca="1"/>
        <v>2.2629984946808124E-3</v>
      </c>
      <c r="Q128" s="162">
        <f ca="1"/>
        <v>7.1490590918250607E-3</v>
      </c>
      <c r="R128" s="162">
        <f ca="1"/>
        <v>1.3688041482017854E-2</v>
      </c>
      <c r="S128" s="162">
        <f ca="1"/>
        <v>0</v>
      </c>
      <c r="T128" s="162">
        <f ca="1"/>
        <v>3.397926734420309E-2</v>
      </c>
      <c r="U128" s="162">
        <f ca="1"/>
        <v>5.6849486675465633E-2</v>
      </c>
      <c r="V128" s="138">
        <f ca="1"/>
        <v>9.7883826190190537E-2</v>
      </c>
      <c r="W128" s="137">
        <f ca="1"/>
        <v>0</v>
      </c>
      <c r="X128" s="162">
        <f ca="1"/>
        <v>7.1681616400920412E-4</v>
      </c>
      <c r="Y128" s="162">
        <f ca="1"/>
        <v>2.4666665922390418E-3</v>
      </c>
      <c r="Z128" s="162">
        <f ca="1"/>
        <v>7.5185357867654234E-3</v>
      </c>
      <c r="AA128" s="162">
        <f ca="1"/>
        <v>1.4221133959659293E-2</v>
      </c>
      <c r="AB128" s="162">
        <f ca="1"/>
        <v>0</v>
      </c>
      <c r="AC128" s="162">
        <f ca="1"/>
        <v>3.4826092590448887E-2</v>
      </c>
      <c r="AD128" s="162">
        <f ca="1"/>
        <v>5.7996667977990191E-2</v>
      </c>
      <c r="AE128" s="138">
        <f ca="1"/>
        <v>9.9453822228889543E-2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1.1944112209274493E-3</v>
      </c>
      <c r="P129" s="162">
        <f ca="1"/>
        <v>3.2809504285069568E-3</v>
      </c>
      <c r="Q129" s="162">
        <f ca="1"/>
        <v>8.9955473467934199E-3</v>
      </c>
      <c r="R129" s="162">
        <f ca="1"/>
        <v>1.6913138196316346E-2</v>
      </c>
      <c r="S129" s="162">
        <f ca="1"/>
        <v>0</v>
      </c>
      <c r="T129" s="162">
        <f ca="1"/>
        <v>4.6457179535416615E-2</v>
      </c>
      <c r="U129" s="162">
        <f ca="1"/>
        <v>7.7430431824850099E-2</v>
      </c>
      <c r="V129" s="138">
        <f ca="1"/>
        <v>0.123469959071422</v>
      </c>
      <c r="W129" s="137">
        <f ca="1"/>
        <v>0</v>
      </c>
      <c r="X129" s="162">
        <f ca="1"/>
        <v>1.3137698188127045E-3</v>
      </c>
      <c r="Y129" s="162">
        <f ca="1"/>
        <v>3.4844076034201699E-3</v>
      </c>
      <c r="Z129" s="162">
        <f ca="1"/>
        <v>9.3643014722143425E-3</v>
      </c>
      <c r="AA129" s="162">
        <f ca="1"/>
        <v>1.7444515241979763E-2</v>
      </c>
      <c r="AB129" s="162">
        <f ca="1"/>
        <v>0</v>
      </c>
      <c r="AC129" s="162">
        <f ca="1"/>
        <v>4.7291004427740146E-2</v>
      </c>
      <c r="AD129" s="162">
        <f ca="1"/>
        <v>7.8552576903758498E-2</v>
      </c>
      <c r="AE129" s="138">
        <f ca="1"/>
        <v>0.12499963962004634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8.3623713561109536E-4</v>
      </c>
      <c r="P130" s="162">
        <f ca="1"/>
        <v>2.0490034029413406E-3</v>
      </c>
      <c r="Q130" s="162">
        <f ca="1"/>
        <v>6.3882165624420395E-3</v>
      </c>
      <c r="R130" s="162">
        <f ca="1"/>
        <v>1.316194780176716E-2</v>
      </c>
      <c r="S130" s="162">
        <f ca="1"/>
        <v>0</v>
      </c>
      <c r="T130" s="162">
        <f ca="1"/>
        <v>3.4060118657728067E-2</v>
      </c>
      <c r="U130" s="162">
        <f ca="1"/>
        <v>5.9583454246960654E-2</v>
      </c>
      <c r="V130" s="138">
        <f ca="1"/>
        <v>0.10531669706061597</v>
      </c>
      <c r="W130" s="137">
        <f ca="1"/>
        <v>0</v>
      </c>
      <c r="X130" s="162">
        <f ca="1"/>
        <v>9.5564050165009018E-4</v>
      </c>
      <c r="Y130" s="162">
        <f ca="1"/>
        <v>2.2526800018808357E-3</v>
      </c>
      <c r="Z130" s="162">
        <f ca="1"/>
        <v>6.7579185444024414E-3</v>
      </c>
      <c r="AA130" s="162">
        <f ca="1"/>
        <v>1.3695343159705775E-2</v>
      </c>
      <c r="AB130" s="162">
        <f ca="1"/>
        <v>0</v>
      </c>
      <c r="AC130" s="162">
        <f ca="1"/>
        <v>3.490695889480866E-2</v>
      </c>
      <c r="AD130" s="162">
        <f ca="1"/>
        <v>6.0727672592835624E-2</v>
      </c>
      <c r="AE130" s="138">
        <f ca="1"/>
        <v>0.10687822434311633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1.3137741668567404E-3</v>
      </c>
      <c r="P131" s="162">
        <f ca="1"/>
        <v>3.070470733665176E-3</v>
      </c>
      <c r="Q131" s="162">
        <f ca="1"/>
        <v>7.0986461125641664E-3</v>
      </c>
      <c r="R131" s="162">
        <f ca="1"/>
        <v>1.4199229016795378E-2</v>
      </c>
      <c r="S131" s="162">
        <f ca="1"/>
        <v>0</v>
      </c>
      <c r="T131" s="162">
        <f ca="1"/>
        <v>3.3883443387754952E-2</v>
      </c>
      <c r="U131" s="162">
        <f ca="1"/>
        <v>5.8078445493468078E-2</v>
      </c>
      <c r="V131" s="138">
        <f ca="1"/>
        <v>9.952998572260785E-2</v>
      </c>
      <c r="W131" s="137">
        <f ca="1"/>
        <v>0</v>
      </c>
      <c r="X131" s="162">
        <f ca="1"/>
        <v>1.4331176809704305E-3</v>
      </c>
      <c r="Y131" s="162">
        <f ca="1"/>
        <v>3.2739482532713193E-3</v>
      </c>
      <c r="Z131" s="162">
        <f ca="1"/>
        <v>7.4679862497334382E-3</v>
      </c>
      <c r="AA131" s="162">
        <f ca="1"/>
        <v>1.4731938113733967E-2</v>
      </c>
      <c r="AB131" s="162">
        <f ca="1"/>
        <v>0</v>
      </c>
      <c r="AC131" s="162">
        <f ca="1"/>
        <v>3.4730217850775236E-2</v>
      </c>
      <c r="AD131" s="162">
        <f ca="1"/>
        <v>5.9223819340568751E-2</v>
      </c>
      <c r="AE131" s="138">
        <f ca="1"/>
        <v>0.10109749421865688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9.5564270783932148E-4</v>
      </c>
      <c r="P132" s="162">
        <f ca="1"/>
        <v>2.0455774009857652E-3</v>
      </c>
      <c r="Q132" s="162">
        <f ca="1"/>
        <v>7.1457885928252196E-3</v>
      </c>
      <c r="R132" s="162">
        <f ca="1"/>
        <v>1.3121988440802923E-2</v>
      </c>
      <c r="S132" s="162">
        <f ca="1"/>
        <v>0</v>
      </c>
      <c r="T132" s="162">
        <f ca="1"/>
        <v>3.4018626495176174E-2</v>
      </c>
      <c r="U132" s="162">
        <f ca="1"/>
        <v>5.5562489497616996E-2</v>
      </c>
      <c r="V132" s="138">
        <f ca="1"/>
        <v>9.4262029905169631E-2</v>
      </c>
      <c r="W132" s="137">
        <f ca="1"/>
        <v>0</v>
      </c>
      <c r="X132" s="162">
        <f ca="1"/>
        <v>1.0750312308801524E-3</v>
      </c>
      <c r="Y132" s="162">
        <f ca="1"/>
        <v>2.2492426848115255E-3</v>
      </c>
      <c r="Z132" s="162">
        <f ca="1"/>
        <v>7.5152481420862616E-3</v>
      </c>
      <c r="AA132" s="162">
        <f ca="1"/>
        <v>1.3655296480272638E-2</v>
      </c>
      <c r="AB132" s="162">
        <f ca="1"/>
        <v>0</v>
      </c>
      <c r="AC132" s="162">
        <f ca="1"/>
        <v>3.4865353859572346E-2</v>
      </c>
      <c r="AD132" s="162">
        <f ca="1"/>
        <v>5.671132331707418E-2</v>
      </c>
      <c r="AE132" s="138">
        <f ca="1"/>
        <v>9.5814087371144163E-2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8.3623713561109536E-4</v>
      </c>
      <c r="P133" s="162">
        <f ca="1"/>
        <v>1.6347155792999502E-3</v>
      </c>
      <c r="Q133" s="162">
        <f ca="1"/>
        <v>4.879574938492115E-3</v>
      </c>
      <c r="R133" s="162">
        <f ca="1"/>
        <v>9.3047743524524718E-3</v>
      </c>
      <c r="S133" s="162">
        <f ca="1"/>
        <v>0</v>
      </c>
      <c r="T133" s="162">
        <f ca="1"/>
        <v>2.4253582237401705E-2</v>
      </c>
      <c r="U133" s="162">
        <f ca="1"/>
        <v>3.8413374917744991E-2</v>
      </c>
      <c r="V133" s="138">
        <f ca="1"/>
        <v>6.9099142819462278E-2</v>
      </c>
      <c r="W133" s="137">
        <f ca="1"/>
        <v>0</v>
      </c>
      <c r="X133" s="162">
        <f ca="1"/>
        <v>9.5564050165009018E-4</v>
      </c>
      <c r="Y133" s="162">
        <f ca="1"/>
        <v>1.8384532181975333E-3</v>
      </c>
      <c r="Z133" s="162">
        <f ca="1"/>
        <v>5.2497651292585656E-3</v>
      </c>
      <c r="AA133" s="162">
        <f ca="1"/>
        <v>9.8399258976986648E-3</v>
      </c>
      <c r="AB133" s="162">
        <f ca="1"/>
        <v>0</v>
      </c>
      <c r="AC133" s="162">
        <f ca="1"/>
        <v>2.5109403928040286E-2</v>
      </c>
      <c r="AD133" s="162">
        <f ca="1"/>
        <v>3.9582098732817927E-2</v>
      </c>
      <c r="AE133" s="138">
        <f ca="1"/>
        <v>7.0698689648458046E-2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3.5847268276523181E-4</v>
      </c>
      <c r="P134" s="162">
        <f ca="1"/>
        <v>1.2338695917818443E-3</v>
      </c>
      <c r="Q134" s="162">
        <f ca="1"/>
        <v>4.9077333880175322E-3</v>
      </c>
      <c r="R134" s="162">
        <f ca="1"/>
        <v>9.8971877083363635E-3</v>
      </c>
      <c r="S134" s="162">
        <f ca="1"/>
        <v>0</v>
      </c>
      <c r="T134" s="162">
        <f ca="1"/>
        <v>2.6098289306592082E-2</v>
      </c>
      <c r="U134" s="162">
        <f ca="1"/>
        <v>4.3554565062029482E-2</v>
      </c>
      <c r="V134" s="138">
        <f ca="1"/>
        <v>7.9924415505870594E-2</v>
      </c>
      <c r="W134" s="137">
        <f ca="1"/>
        <v>0</v>
      </c>
      <c r="X134" s="162">
        <f ca="1"/>
        <v>4.779346426626585E-4</v>
      </c>
      <c r="Y134" s="162">
        <f ca="1"/>
        <v>1.4377139380332693E-3</v>
      </c>
      <c r="Z134" s="162">
        <f ca="1"/>
        <v>5.2780069169406918E-3</v>
      </c>
      <c r="AA134" s="162">
        <f ca="1"/>
        <v>1.0432212313512768E-2</v>
      </c>
      <c r="AB134" s="162">
        <f ca="1"/>
        <v>0</v>
      </c>
      <c r="AC134" s="162">
        <f ca="1"/>
        <v>2.6952640776811365E-2</v>
      </c>
      <c r="AD134" s="162">
        <f ca="1"/>
        <v>4.4717885263048873E-2</v>
      </c>
      <c r="AE134" s="138">
        <f ca="1"/>
        <v>8.1504032213896127E-2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7.1681734951745124E-4</v>
      </c>
      <c r="P135" s="162">
        <f ca="1"/>
        <v>1.8452823530332729E-3</v>
      </c>
      <c r="Q135" s="162">
        <f ca="1"/>
        <v>6.7796051221902243E-3</v>
      </c>
      <c r="R135" s="162">
        <f ca="1"/>
        <v>1.3717586451847619E-2</v>
      </c>
      <c r="S135" s="162">
        <f ca="1"/>
        <v>0</v>
      </c>
      <c r="T135" s="162">
        <f ca="1"/>
        <v>3.4933635587316214E-2</v>
      </c>
      <c r="U135" s="162">
        <f ca="1"/>
        <v>5.9431685593871686E-2</v>
      </c>
      <c r="V135" s="138">
        <f ca="1"/>
        <v>0.11095057377468176</v>
      </c>
      <c r="W135" s="137">
        <f ca="1"/>
        <v>0</v>
      </c>
      <c r="X135" s="162">
        <f ca="1"/>
        <v>8.3623547992150993E-4</v>
      </c>
      <c r="Y135" s="162">
        <f ca="1"/>
        <v>2.0490009159271905E-3</v>
      </c>
      <c r="Z135" s="162">
        <f ca="1"/>
        <v>7.149220079607943E-3</v>
      </c>
      <c r="AA135" s="162">
        <f ca="1"/>
        <v>1.4250752581003945E-2</v>
      </c>
      <c r="AB135" s="162">
        <f ca="1"/>
        <v>0</v>
      </c>
      <c r="AC135" s="162">
        <f ca="1"/>
        <v>3.5779661930186224E-2</v>
      </c>
      <c r="AD135" s="162">
        <f ca="1"/>
        <v>6.0576021226178223E-2</v>
      </c>
      <c r="AE135" s="138">
        <f ca="1"/>
        <v>0.11250573674964037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1.409254296817597E-3</v>
      </c>
      <c r="P136" s="162">
        <f ca="1"/>
        <v>3.1297754732492189E-3</v>
      </c>
      <c r="Q136" s="162">
        <f ca="1"/>
        <v>7.7400384754918727E-3</v>
      </c>
      <c r="R136" s="162">
        <f ca="1"/>
        <v>1.3544420240224286E-2</v>
      </c>
      <c r="S136" s="162">
        <f ca="1"/>
        <v>0</v>
      </c>
      <c r="T136" s="162">
        <f ca="1"/>
        <v>2.8346269319180717E-2</v>
      </c>
      <c r="U136" s="162">
        <f ca="1"/>
        <v>4.4328910928322585E-2</v>
      </c>
      <c r="V136" s="138">
        <f ca="1"/>
        <v>6.9074057656152266E-2</v>
      </c>
      <c r="W136" s="137">
        <f ca="1"/>
        <v>0</v>
      </c>
      <c r="X136" s="162">
        <f ca="1"/>
        <v>1.5285856849699408E-3</v>
      </c>
      <c r="Y136" s="162">
        <f ca="1"/>
        <v>3.3332348598487105E-3</v>
      </c>
      <c r="Z136" s="162">
        <f ca="1"/>
        <v>8.1091699593586197E-3</v>
      </c>
      <c r="AA136" s="162">
        <f ca="1"/>
        <v>1.40772962025979E-2</v>
      </c>
      <c r="AB136" s="162">
        <f ca="1"/>
        <v>0</v>
      </c>
      <c r="AC136" s="162">
        <f ca="1"/>
        <v>2.9197806557873296E-2</v>
      </c>
      <c r="AD136" s="162">
        <f ca="1"/>
        <v>4.5489379958086884E-2</v>
      </c>
      <c r="AE136" s="138">
        <f ca="1"/>
        <v>7.0672154640655349E-2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1.4581379369829062E-3</v>
      </c>
      <c r="Q137" s="162">
        <f ca="1"/>
        <v>0</v>
      </c>
      <c r="R137" s="162">
        <f ca="1"/>
        <v>9.9218971022563274E-3</v>
      </c>
      <c r="S137" s="162">
        <f ca="1"/>
        <v>0</v>
      </c>
      <c r="T137" s="162">
        <f ca="1"/>
        <v>2.4681544050379367E-2</v>
      </c>
      <c r="U137" s="162">
        <f ca="1"/>
        <v>3.8117900555006412E-2</v>
      </c>
      <c r="V137" s="138">
        <f ca="1"/>
        <v>6.4046443898840955E-2</v>
      </c>
      <c r="W137" s="137">
        <f ca="1"/>
        <v>0</v>
      </c>
      <c r="X137" s="162">
        <f ca="1"/>
        <v>0</v>
      </c>
      <c r="Y137" s="162">
        <f ca="1"/>
        <v>1.6618931867068421E-3</v>
      </c>
      <c r="Z137" s="162">
        <f ca="1"/>
        <v>0</v>
      </c>
      <c r="AA137" s="162">
        <f ca="1"/>
        <v>1.0456117170368318E-2</v>
      </c>
      <c r="AB137" s="162">
        <f ca="1"/>
        <v>0</v>
      </c>
      <c r="AC137" s="162">
        <f ca="1"/>
        <v>2.553632694492447E-2</v>
      </c>
      <c r="AD137" s="162">
        <f ca="1"/>
        <v>3.9285856072190262E-2</v>
      </c>
      <c r="AE137" s="138">
        <f ca="1"/>
        <v>6.5652990104154263E-2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2.8978887970241285E-3</v>
      </c>
      <c r="Q138" s="162">
        <f ca="1"/>
        <v>0</v>
      </c>
      <c r="R138" s="162">
        <f ca="1"/>
        <v>1.4350465301071869E-2</v>
      </c>
      <c r="S138" s="162">
        <f ca="1"/>
        <v>0</v>
      </c>
      <c r="T138" s="162">
        <f ca="1"/>
        <v>3.4393492465607967E-2</v>
      </c>
      <c r="U138" s="162">
        <f ca="1"/>
        <v>5.9119108448381086E-2</v>
      </c>
      <c r="V138" s="138">
        <f ca="1"/>
        <v>9.9628635137360755E-2</v>
      </c>
      <c r="W138" s="137">
        <f ca="1"/>
        <v>0</v>
      </c>
      <c r="X138" s="162">
        <f ca="1"/>
        <v>0</v>
      </c>
      <c r="Y138" s="162">
        <f ca="1"/>
        <v>3.1013206742783739E-3</v>
      </c>
      <c r="Z138" s="162">
        <f ca="1"/>
        <v>0</v>
      </c>
      <c r="AA138" s="162">
        <f ca="1"/>
        <v>1.4881862434638071E-2</v>
      </c>
      <c r="AB138" s="162">
        <f ca="1"/>
        <v>0</v>
      </c>
      <c r="AC138" s="162">
        <f ca="1"/>
        <v>3.5238824574850947E-2</v>
      </c>
      <c r="AD138" s="162">
        <f ca="1"/>
        <v>6.0261858513370958E-2</v>
      </c>
      <c r="AE138" s="138">
        <f ca="1"/>
        <v>0.10119491503163935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1.6002118847447955E-3</v>
      </c>
      <c r="P139" s="162">
        <f ca="1"/>
        <v>4.2621791324854996E-3</v>
      </c>
      <c r="Q139" s="162">
        <f ca="1"/>
        <v>1.1414647850487181E-2</v>
      </c>
      <c r="R139" s="162">
        <f ca="1"/>
        <v>1.9211582120171822E-2</v>
      </c>
      <c r="S139" s="162">
        <f ca="1"/>
        <v>0</v>
      </c>
      <c r="T139" s="162">
        <f ca="1"/>
        <v>3.7568161102486619E-2</v>
      </c>
      <c r="U139" s="162">
        <f ca="1"/>
        <v>5.6223367851606532E-2</v>
      </c>
      <c r="V139" s="138">
        <f ca="1"/>
        <v>8.5401363628148097E-2</v>
      </c>
      <c r="W139" s="137">
        <f ca="1"/>
        <v>0</v>
      </c>
      <c r="X139" s="162">
        <f ca="1"/>
        <v>1.7195207087963293E-3</v>
      </c>
      <c r="Y139" s="162">
        <f ca="1"/>
        <v>4.4654501782855904E-3</v>
      </c>
      <c r="Z139" s="162">
        <f ca="1"/>
        <v>1.1782491947701534E-2</v>
      </c>
      <c r="AA139" s="162">
        <f ca="1"/>
        <v>1.9741462355185369E-2</v>
      </c>
      <c r="AB139" s="162">
        <f ca="1"/>
        <v>0</v>
      </c>
      <c r="AC139" s="162">
        <f ca="1"/>
        <v>3.8410173295817196E-2</v>
      </c>
      <c r="AD139" s="162">
        <f ca="1"/>
        <v>5.7367737461978763E-2</v>
      </c>
      <c r="AE139" s="138">
        <f ca="1"/>
        <v>8.6965699276854935E-2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1.5844785084363489E-3</v>
      </c>
      <c r="Q140" s="162">
        <f ca="1"/>
        <v>0</v>
      </c>
      <c r="R140" s="162">
        <f ca="1"/>
        <v>8.1538464620261042E-3</v>
      </c>
      <c r="S140" s="162">
        <f ca="1"/>
        <v>0</v>
      </c>
      <c r="T140" s="162">
        <f ca="1"/>
        <v>1.944959118512235E-2</v>
      </c>
      <c r="U140" s="162">
        <f ca="1"/>
        <v>3.1170605988622979E-2</v>
      </c>
      <c r="V140" s="138">
        <f ca="1"/>
        <v>6.2927778640449628E-2</v>
      </c>
      <c r="W140" s="137">
        <f ca="1"/>
        <v>0</v>
      </c>
      <c r="X140" s="162">
        <f ca="1"/>
        <v>0</v>
      </c>
      <c r="Y140" s="162">
        <f ca="1"/>
        <v>1.7882062103308227E-3</v>
      </c>
      <c r="Z140" s="162">
        <f ca="1"/>
        <v>0</v>
      </c>
      <c r="AA140" s="162">
        <f ca="1"/>
        <v>8.6890274706765691E-3</v>
      </c>
      <c r="AB140" s="162">
        <f ca="1"/>
        <v>0</v>
      </c>
      <c r="AC140" s="162">
        <f ca="1"/>
        <v>2.030886276003252E-2</v>
      </c>
      <c r="AD140" s="162">
        <f ca="1"/>
        <v>3.2346448424694918E-2</v>
      </c>
      <c r="AE140" s="138">
        <f ca="1"/>
        <v>6.4535793911674855E-2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1.9226672105240317E-3</v>
      </c>
      <c r="Q141" s="162">
        <f ca="1"/>
        <v>0</v>
      </c>
      <c r="R141" s="162">
        <f ca="1"/>
        <v>1.4763832981386615E-2</v>
      </c>
      <c r="S141" s="162">
        <f ca="1"/>
        <v>0</v>
      </c>
      <c r="T141" s="162">
        <f ca="1"/>
        <v>3.4881876405735701E-2</v>
      </c>
      <c r="U141" s="162">
        <f ca="1"/>
        <v>5.7198579466341326E-2</v>
      </c>
      <c r="V141" s="138">
        <f ca="1"/>
        <v>0.10004928360231347</v>
      </c>
      <c r="W141" s="137">
        <f ca="1"/>
        <v>0</v>
      </c>
      <c r="X141" s="162">
        <f ca="1"/>
        <v>0</v>
      </c>
      <c r="Y141" s="162">
        <f ca="1"/>
        <v>2.1263204005732561E-3</v>
      </c>
      <c r="Z141" s="162">
        <f ca="1"/>
        <v>0</v>
      </c>
      <c r="AA141" s="162">
        <f ca="1"/>
        <v>1.5295042189899299E-2</v>
      </c>
      <c r="AB141" s="162">
        <f ca="1"/>
        <v>0</v>
      </c>
      <c r="AC141" s="162">
        <f ca="1"/>
        <v>3.5727052142447202E-2</v>
      </c>
      <c r="AD141" s="162">
        <f ca="1"/>
        <v>5.8343950584851867E-2</v>
      </c>
      <c r="AE141" s="138">
        <f ca="1"/>
        <v>0.10161577052687698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2.4582398277526174E-3</v>
      </c>
      <c r="Q142" s="162">
        <f ca="1"/>
        <v>0</v>
      </c>
      <c r="R142" s="162">
        <f ca="1"/>
        <v>1.0416307978361461E-2</v>
      </c>
      <c r="S142" s="162">
        <f ca="1"/>
        <v>0</v>
      </c>
      <c r="T142" s="162">
        <f ca="1"/>
        <v>2.1392886005349943E-2</v>
      </c>
      <c r="U142" s="162">
        <f ca="1"/>
        <v>3.2927398525047447E-2</v>
      </c>
      <c r="V142" s="138">
        <f ca="1"/>
        <v>5.6772014614399291E-2</v>
      </c>
      <c r="W142" s="137">
        <f ca="1"/>
        <v>0</v>
      </c>
      <c r="X142" s="162">
        <f ca="1"/>
        <v>0</v>
      </c>
      <c r="Y142" s="162">
        <f ca="1"/>
        <v>2.6617726792004248E-3</v>
      </c>
      <c r="Z142" s="162">
        <f ca="1"/>
        <v>0</v>
      </c>
      <c r="AA142" s="162">
        <f ca="1"/>
        <v>1.0950099886551601E-2</v>
      </c>
      <c r="AB142" s="162">
        <f ca="1"/>
        <v>0</v>
      </c>
      <c r="AC142" s="162">
        <f ca="1"/>
        <v>2.2250040538944416E-2</v>
      </c>
      <c r="AD142" s="162">
        <f ca="1"/>
        <v>3.4100223744236047E-2</v>
      </c>
      <c r="AE142" s="138">
        <f ca="1"/>
        <v>5.839068165208583E-2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2.401234236252936E-3</v>
      </c>
      <c r="Q143" s="162">
        <f ca="1"/>
        <v>0</v>
      </c>
      <c r="R143" s="162">
        <f ca="1"/>
        <v>1.2522206011380432E-2</v>
      </c>
      <c r="S143" s="162">
        <f ca="1"/>
        <v>0</v>
      </c>
      <c r="T143" s="162">
        <f ca="1"/>
        <v>3.016389539664821E-2</v>
      </c>
      <c r="U143" s="162">
        <f ca="1"/>
        <v>5.4297806903370049E-2</v>
      </c>
      <c r="V143" s="138">
        <f ca="1"/>
        <v>9.4346535093486339E-2</v>
      </c>
      <c r="W143" s="137">
        <f ca="1"/>
        <v>0</v>
      </c>
      <c r="X143" s="162">
        <f ca="1"/>
        <v>0</v>
      </c>
      <c r="Y143" s="162">
        <f ca="1"/>
        <v>2.6047800345404548E-3</v>
      </c>
      <c r="Z143" s="162">
        <f ca="1"/>
        <v>0</v>
      </c>
      <c r="AA143" s="162">
        <f ca="1"/>
        <v>1.3054778218127394E-2</v>
      </c>
      <c r="AB143" s="162">
        <f ca="1"/>
        <v>0</v>
      </c>
      <c r="AC143" s="162">
        <f ca="1"/>
        <v>3.1013380099441101E-2</v>
      </c>
      <c r="AD143" s="162">
        <f ca="1"/>
        <v>5.544664352308537E-2</v>
      </c>
      <c r="AE143" s="138">
        <f ca="1"/>
        <v>9.5922578182018547E-2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2.4256655992006548E-3</v>
      </c>
      <c r="Q144" s="162">
        <f ca="1"/>
        <v>0</v>
      </c>
      <c r="R144" s="162">
        <f ca="1"/>
        <v>1.3212818543842042E-2</v>
      </c>
      <c r="S144" s="162">
        <f ca="1"/>
        <v>0</v>
      </c>
      <c r="T144" s="162">
        <f ca="1"/>
        <v>3.1424140211454343E-2</v>
      </c>
      <c r="U144" s="162">
        <f ca="1"/>
        <v>4.4731984651852907E-2</v>
      </c>
      <c r="V144" s="138">
        <f ca="1"/>
        <v>6.6034955443039833E-2</v>
      </c>
      <c r="W144" s="137">
        <f ca="1"/>
        <v>0</v>
      </c>
      <c r="X144" s="162">
        <f ca="1"/>
        <v>0</v>
      </c>
      <c r="Y144" s="162">
        <f ca="1"/>
        <v>2.6292058527961348E-3</v>
      </c>
      <c r="Z144" s="162">
        <f ca="1"/>
        <v>0</v>
      </c>
      <c r="AA144" s="162">
        <f ca="1"/>
        <v>1.3744967841002986E-2</v>
      </c>
      <c r="AB144" s="162">
        <f ca="1"/>
        <v>0</v>
      </c>
      <c r="AC144" s="162">
        <f ca="1"/>
        <v>3.2272441049773892E-2</v>
      </c>
      <c r="AD144" s="162">
        <f ca="1"/>
        <v>4.5891395911887845E-2</v>
      </c>
      <c r="AE144" s="138">
        <f ca="1"/>
        <v>6.763597952351641E-2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2.2485247864181268E-3</v>
      </c>
      <c r="Q145" s="162">
        <f ca="1"/>
        <v>0</v>
      </c>
      <c r="R145" s="162">
        <f ca="1"/>
        <v>9.8050674166695329E-3</v>
      </c>
      <c r="S145" s="162">
        <f ca="1"/>
        <v>0</v>
      </c>
      <c r="T145" s="162">
        <f ca="1"/>
        <v>2.2822379882871169E-2</v>
      </c>
      <c r="U145" s="162">
        <f ca="1"/>
        <v>4.3428033289753754E-2</v>
      </c>
      <c r="V145" s="138">
        <f ca="1"/>
        <v>7.6113424105501704E-2</v>
      </c>
      <c r="W145" s="137">
        <f ca="1"/>
        <v>0</v>
      </c>
      <c r="X145" s="162">
        <f ca="1"/>
        <v>0</v>
      </c>
      <c r="Y145" s="162">
        <f ca="1"/>
        <v>2.4521051042257769E-3</v>
      </c>
      <c r="Z145" s="162">
        <f ca="1"/>
        <v>0</v>
      </c>
      <c r="AA145" s="162">
        <f ca="1"/>
        <v>1.0339233884888777E-2</v>
      </c>
      <c r="AB145" s="162">
        <f ca="1"/>
        <v>0</v>
      </c>
      <c r="AC145" s="162">
        <f ca="1"/>
        <v>2.3678511252872458E-2</v>
      </c>
      <c r="AD145" s="162">
        <f ca="1"/>
        <v>4.4590025116535204E-2</v>
      </c>
      <c r="AE145" s="138">
        <f ca="1"/>
        <v>7.7699315609596753E-2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2.3890183324560832E-3</v>
      </c>
      <c r="Q146" s="162">
        <f ca="1"/>
        <v>0</v>
      </c>
      <c r="R146" s="162">
        <f ca="1"/>
        <v>1.6899093324376446E-2</v>
      </c>
      <c r="S146" s="162">
        <f ca="1"/>
        <v>0</v>
      </c>
      <c r="T146" s="162">
        <f ca="1"/>
        <v>3.4597828816727905E-2</v>
      </c>
      <c r="U146" s="162">
        <f ca="1"/>
        <v>5.9358095922321774E-2</v>
      </c>
      <c r="V146" s="138">
        <f ca="1"/>
        <v>0.1083365604276415</v>
      </c>
      <c r="W146" s="137">
        <f ca="1"/>
        <v>0</v>
      </c>
      <c r="X146" s="162">
        <f ca="1"/>
        <v>0</v>
      </c>
      <c r="Y146" s="162">
        <f ca="1"/>
        <v>2.5925669008095564E-3</v>
      </c>
      <c r="Z146" s="162">
        <f ca="1"/>
        <v>0</v>
      </c>
      <c r="AA146" s="162">
        <f ca="1"/>
        <v>1.7428848887260817E-2</v>
      </c>
      <c r="AB146" s="162">
        <f ca="1"/>
        <v>0</v>
      </c>
      <c r="AC146" s="162">
        <f ca="1"/>
        <v>3.544320760396058E-2</v>
      </c>
      <c r="AD146" s="162">
        <f ca="1"/>
        <v>6.0499779114004171E-2</v>
      </c>
      <c r="AE146" s="138">
        <f ca="1"/>
        <v>0.10989282434747061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2.1161578620102484E-3</v>
      </c>
      <c r="Q147" s="162">
        <f ca="1"/>
        <v>0</v>
      </c>
      <c r="R147" s="162">
        <f ca="1"/>
        <v>1.5544287159650061E-2</v>
      </c>
      <c r="S147" s="162">
        <f ca="1"/>
        <v>0</v>
      </c>
      <c r="T147" s="162">
        <f ca="1"/>
        <v>3.8809558794894894E-2</v>
      </c>
      <c r="U147" s="162">
        <f ca="1"/>
        <v>6.7591998046303448E-2</v>
      </c>
      <c r="V147" s="138">
        <f ca="1"/>
        <v>0.12705798236582155</v>
      </c>
      <c r="W147" s="137">
        <f ca="1"/>
        <v>0</v>
      </c>
      <c r="X147" s="162">
        <f ca="1"/>
        <v>0</v>
      </c>
      <c r="Y147" s="162">
        <f ca="1"/>
        <v>2.3197679099578039E-3</v>
      </c>
      <c r="Z147" s="162">
        <f ca="1"/>
        <v>0</v>
      </c>
      <c r="AA147" s="162">
        <f ca="1"/>
        <v>1.6074970287542567E-2</v>
      </c>
      <c r="AB147" s="162">
        <f ca="1"/>
        <v>0</v>
      </c>
      <c r="AC147" s="162">
        <f ca="1"/>
        <v>3.965073375665229E-2</v>
      </c>
      <c r="AD147" s="162">
        <f ca="1"/>
        <v>6.8724532480103018E-2</v>
      </c>
      <c r="AE147" s="138">
        <f ca="1"/>
        <v>0.12859104149033185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1.9471101862270634E-3</v>
      </c>
      <c r="Q148" s="162">
        <f ca="1"/>
        <v>0</v>
      </c>
      <c r="R148" s="162">
        <f ca="1"/>
        <v>9.845135902688984E-3</v>
      </c>
      <c r="S148" s="162">
        <f ca="1"/>
        <v>0</v>
      </c>
      <c r="T148" s="162">
        <f ca="1"/>
        <v>3.1396512157736645E-2</v>
      </c>
      <c r="U148" s="162">
        <f ca="1"/>
        <v>5.9317480220060115E-2</v>
      </c>
      <c r="V148" s="138">
        <f ca="1"/>
        <v>0.11445500888094728</v>
      </c>
      <c r="W148" s="137">
        <f ca="1"/>
        <v>0</v>
      </c>
      <c r="X148" s="162">
        <f ca="1"/>
        <v>0</v>
      </c>
      <c r="Y148" s="162">
        <f ca="1"/>
        <v>2.1507579469078886E-3</v>
      </c>
      <c r="Z148" s="162">
        <f ca="1"/>
        <v>0</v>
      </c>
      <c r="AA148" s="162">
        <f ca="1"/>
        <v>1.0379326832553493E-2</v>
      </c>
      <c r="AB148" s="162">
        <f ca="1"/>
        <v>0</v>
      </c>
      <c r="AC148" s="162">
        <f ca="1"/>
        <v>3.2244855627062585E-2</v>
      </c>
      <c r="AD148" s="162">
        <f ca="1"/>
        <v>6.0461308851036066E-2</v>
      </c>
      <c r="AE148" s="138">
        <f ca="1"/>
        <v>0.1160092409683855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1.2869415611751478E-3</v>
      </c>
      <c r="Q149" s="162">
        <f ca="1"/>
        <v>0</v>
      </c>
      <c r="R149" s="162">
        <f ca="1"/>
        <v>1.0254789433489231E-2</v>
      </c>
      <c r="S149" s="162">
        <f ca="1"/>
        <v>0</v>
      </c>
      <c r="T149" s="162">
        <f ca="1"/>
        <v>3.096365665983658E-2</v>
      </c>
      <c r="U149" s="162">
        <f ca="1"/>
        <v>5.4371945448259851E-2</v>
      </c>
      <c r="V149" s="138">
        <f ca="1"/>
        <v>0.10394841342739058</v>
      </c>
      <c r="W149" s="137">
        <f ca="1"/>
        <v>0</v>
      </c>
      <c r="X149" s="162">
        <f ca="1"/>
        <v>0</v>
      </c>
      <c r="Y149" s="162">
        <f ca="1"/>
        <v>1.4907338917145019E-3</v>
      </c>
      <c r="Z149" s="162">
        <f ca="1"/>
        <v>0</v>
      </c>
      <c r="AA149" s="162">
        <f ca="1"/>
        <v>1.0788841780244196E-2</v>
      </c>
      <c r="AB149" s="162">
        <f ca="1"/>
        <v>0</v>
      </c>
      <c r="AC149" s="162">
        <f ca="1"/>
        <v>3.1812657784408338E-2</v>
      </c>
      <c r="AD149" s="162">
        <f ca="1"/>
        <v>5.5522065409917554E-2</v>
      </c>
      <c r="AE149" s="138">
        <f ca="1"/>
        <v>0.10551545134300278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6.691699641486748E-4</v>
      </c>
      <c r="Q150" s="162">
        <f ca="1"/>
        <v>0</v>
      </c>
      <c r="R150" s="162">
        <f ca="1"/>
        <v>5.3975663678068608E-3</v>
      </c>
      <c r="S150" s="162">
        <f ca="1"/>
        <v>0</v>
      </c>
      <c r="T150" s="162">
        <f ca="1"/>
        <v>1.4853458461779212E-2</v>
      </c>
      <c r="U150" s="162">
        <f ca="1"/>
        <v>2.7946015058159412E-2</v>
      </c>
      <c r="V150" s="138">
        <f ca="1"/>
        <v>5.3962854762301227E-2</v>
      </c>
      <c r="W150" s="137">
        <f ca="1"/>
        <v>0</v>
      </c>
      <c r="X150" s="162">
        <f ca="1"/>
        <v>0</v>
      </c>
      <c r="Y150" s="162">
        <f ca="1"/>
        <v>8.7309377134781041E-4</v>
      </c>
      <c r="Z150" s="162">
        <f ca="1"/>
        <v>0</v>
      </c>
      <c r="AA150" s="162">
        <f ca="1"/>
        <v>5.9343631674338981E-3</v>
      </c>
      <c r="AB150" s="162">
        <f ca="1"/>
        <v>0</v>
      </c>
      <c r="AC150" s="162">
        <f ca="1"/>
        <v>1.5717008993188175E-2</v>
      </c>
      <c r="AD150" s="162">
        <f ca="1"/>
        <v>2.9126763566875935E-2</v>
      </c>
      <c r="AE150" s="138">
        <f ca="1"/>
        <v>5.5590001660536625E-2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6.1445231892035546E-3</v>
      </c>
      <c r="Q151" s="162">
        <f ca="1"/>
        <v>0</v>
      </c>
      <c r="R151" s="162">
        <f ca="1"/>
        <v>5.0502996799182909E-2</v>
      </c>
      <c r="S151" s="162">
        <f ca="1"/>
        <v>0</v>
      </c>
      <c r="T151" s="162">
        <f ca="1"/>
        <v>0.13095097468722794</v>
      </c>
      <c r="U151" s="162">
        <f ca="1"/>
        <v>0.20219938200018961</v>
      </c>
      <c r="V151" s="138">
        <f ca="1"/>
        <v>0.30720451357613621</v>
      </c>
      <c r="W151" s="137">
        <f ca="1"/>
        <v>0</v>
      </c>
      <c r="X151" s="162">
        <f ca="1"/>
        <v>0</v>
      </c>
      <c r="Y151" s="162">
        <f ca="1"/>
        <v>6.3471440954128155E-3</v>
      </c>
      <c r="Z151" s="162">
        <f ca="1"/>
        <v>0</v>
      </c>
      <c r="AA151" s="162">
        <f ca="1"/>
        <v>5.1018896581409234E-2</v>
      </c>
      <c r="AB151" s="162">
        <f ca="1"/>
        <v>0</v>
      </c>
      <c r="AC151" s="162">
        <f ca="1"/>
        <v>0.13172975439304346</v>
      </c>
      <c r="AD151" s="162">
        <f ca="1"/>
        <v>0.20319595365047938</v>
      </c>
      <c r="AE151" s="138">
        <f ca="1"/>
        <v>0.30844682805339141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1.0830984156228185E-3</v>
      </c>
      <c r="Q152" s="162">
        <f ca="1"/>
        <v>0</v>
      </c>
      <c r="R152" s="162">
        <f ca="1"/>
        <v>3.6635475815903762E-3</v>
      </c>
      <c r="S152" s="162">
        <f ca="1"/>
        <v>0</v>
      </c>
      <c r="T152" s="162">
        <f ca="1"/>
        <v>1.0460911454877597E-2</v>
      </c>
      <c r="U152" s="162">
        <f ca="1"/>
        <v>1.8934827216370409E-2</v>
      </c>
      <c r="V152" s="138">
        <f ca="1"/>
        <v>3.6194951676549847E-2</v>
      </c>
      <c r="W152" s="137">
        <f ca="1"/>
        <v>0</v>
      </c>
      <c r="X152" s="162">
        <f ca="1"/>
        <v>0</v>
      </c>
      <c r="Y152" s="162">
        <f ca="1"/>
        <v>1.2869345298629487E-3</v>
      </c>
      <c r="Z152" s="162">
        <f ca="1"/>
        <v>0</v>
      </c>
      <c r="AA152" s="162">
        <f ca="1"/>
        <v>4.2011009255308318E-3</v>
      </c>
      <c r="AB152" s="162">
        <f ca="1"/>
        <v>0</v>
      </c>
      <c r="AC152" s="162">
        <f ca="1"/>
        <v>1.1327913017256885E-2</v>
      </c>
      <c r="AD152" s="162">
        <f ca="1"/>
        <v>2.0125182090200755E-2</v>
      </c>
      <c r="AE152" s="138">
        <f ca="1"/>
        <v>3.7852453471537095E-2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9.7708367994375767E-4</v>
      </c>
      <c r="Q153" s="162">
        <f ca="1"/>
        <v>0</v>
      </c>
      <c r="R153" s="162">
        <f ca="1"/>
        <v>6.815689629441124E-3</v>
      </c>
      <c r="S153" s="162">
        <f ca="1"/>
        <v>0</v>
      </c>
      <c r="T153" s="162">
        <f ca="1"/>
        <v>1.8746447038596181E-2</v>
      </c>
      <c r="U153" s="162">
        <f ca="1"/>
        <v>3.2452645543148972E-2</v>
      </c>
      <c r="V153" s="138">
        <f ca="1"/>
        <v>5.5235864409187041E-2</v>
      </c>
      <c r="W153" s="137">
        <f ca="1"/>
        <v>0</v>
      </c>
      <c r="X153" s="162">
        <f ca="1"/>
        <v>0</v>
      </c>
      <c r="Y153" s="162">
        <f ca="1"/>
        <v>1.1809424082436237E-3</v>
      </c>
      <c r="Z153" s="162">
        <f ca="1"/>
        <v>0</v>
      </c>
      <c r="AA153" s="162">
        <f ca="1"/>
        <v>7.3516932756058084E-3</v>
      </c>
      <c r="AB153" s="162">
        <f ca="1"/>
        <v>0</v>
      </c>
      <c r="AC153" s="162">
        <f ca="1"/>
        <v>1.9606641990939533E-2</v>
      </c>
      <c r="AD153" s="162">
        <f ca="1"/>
        <v>3.362797782159066E-2</v>
      </c>
      <c r="AE153" s="138">
        <f ca="1"/>
        <v>5.686005271401684E-2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1.869705394748955E-3</v>
      </c>
      <c r="Q154" s="162">
        <f ca="1"/>
        <v>0</v>
      </c>
      <c r="R154" s="162">
        <f ca="1"/>
        <v>9.1956015711356365E-3</v>
      </c>
      <c r="S154" s="162">
        <f ca="1"/>
        <v>0</v>
      </c>
      <c r="T154" s="162">
        <f ca="1"/>
        <v>2.2024738895211282E-2</v>
      </c>
      <c r="U154" s="162">
        <f ca="1"/>
        <v>4.3432986157647568E-2</v>
      </c>
      <c r="V154" s="138">
        <f ca="1"/>
        <v>8.4622360801095864E-2</v>
      </c>
      <c r="W154" s="137">
        <f ca="1"/>
        <v>0</v>
      </c>
      <c r="X154" s="162">
        <f ca="1"/>
        <v>0</v>
      </c>
      <c r="Y154" s="162">
        <f ca="1"/>
        <v>2.0733703283896121E-3</v>
      </c>
      <c r="Z154" s="162">
        <f ca="1"/>
        <v>0</v>
      </c>
      <c r="AA154" s="162">
        <f ca="1"/>
        <v>9.7301664169742175E-3</v>
      </c>
      <c r="AB154" s="162">
        <f ca="1"/>
        <v>0</v>
      </c>
      <c r="AC154" s="162">
        <f ca="1"/>
        <v>2.2881708808754508E-2</v>
      </c>
      <c r="AD154" s="162">
        <f ca="1"/>
        <v>4.4595247819789297E-2</v>
      </c>
      <c r="AE154" s="138">
        <f ca="1"/>
        <v>8.62172030930064E-2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8.3435392023667454E-4</v>
      </c>
      <c r="Q155" s="162">
        <f ca="1"/>
        <v>0</v>
      </c>
      <c r="R155" s="162">
        <f ca="1"/>
        <v>6.9701646836697329E-3</v>
      </c>
      <c r="S155" s="162">
        <f ca="1"/>
        <v>0</v>
      </c>
      <c r="T155" s="162">
        <f ca="1"/>
        <v>1.6933772360062216E-2</v>
      </c>
      <c r="U155" s="162">
        <f ca="1"/>
        <v>3.4212738957180688E-2</v>
      </c>
      <c r="V155" s="138">
        <f ca="1"/>
        <v>5.9642616760652301E-2</v>
      </c>
      <c r="W155" s="137">
        <f ca="1"/>
        <v>0</v>
      </c>
      <c r="X155" s="162">
        <f ca="1"/>
        <v>0</v>
      </c>
      <c r="Y155" s="162">
        <f ca="1"/>
        <v>1.0382429260785697E-3</v>
      </c>
      <c r="Z155" s="162">
        <f ca="1"/>
        <v>0</v>
      </c>
      <c r="AA155" s="162">
        <f ca="1"/>
        <v>7.5061133127836133E-3</v>
      </c>
      <c r="AB155" s="162">
        <f ca="1"/>
        <v>0</v>
      </c>
      <c r="AC155" s="162">
        <f ca="1"/>
        <v>1.7795416141551668E-2</v>
      </c>
      <c r="AD155" s="162">
        <f ca="1"/>
        <v>3.5386280438062023E-2</v>
      </c>
      <c r="AE155" s="138">
        <f ca="1"/>
        <v>6.1260198492366746E-2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9.1744505285001887E-3</v>
      </c>
      <c r="Q156" s="162">
        <f ca="1"/>
        <v>0</v>
      </c>
      <c r="R156" s="162">
        <f ca="1"/>
        <v>2.9736170464501388E-2</v>
      </c>
      <c r="S156" s="162">
        <f ca="1"/>
        <v>0</v>
      </c>
      <c r="T156" s="162">
        <f ca="1"/>
        <v>6.038843171983721E-2</v>
      </c>
      <c r="U156" s="162">
        <f ca="1"/>
        <v>8.2033758046262339E-2</v>
      </c>
      <c r="V156" s="138">
        <f ca="1"/>
        <v>0.11363300448900737</v>
      </c>
      <c r="W156" s="137">
        <f ca="1"/>
        <v>0</v>
      </c>
      <c r="X156" s="162">
        <f ca="1"/>
        <v>0</v>
      </c>
      <c r="Y156" s="162">
        <f ca="1"/>
        <v>9.3762001075481383E-3</v>
      </c>
      <c r="Z156" s="162">
        <f ca="1"/>
        <v>0</v>
      </c>
      <c r="AA156" s="162">
        <f ca="1"/>
        <v>3.0256437826984617E-2</v>
      </c>
      <c r="AB156" s="162">
        <f ca="1"/>
        <v>0</v>
      </c>
      <c r="AC156" s="162">
        <f ca="1"/>
        <v>6.1205610941579058E-2</v>
      </c>
      <c r="AD156" s="162">
        <f ca="1"/>
        <v>8.3145495920300627E-2</v>
      </c>
      <c r="AE156" s="138">
        <f ca="1"/>
        <v>0.11514078853149345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1.3969997137315282E-3</v>
      </c>
      <c r="Q157" s="162">
        <f ca="1"/>
        <v>0</v>
      </c>
      <c r="R157" s="162">
        <f ca="1"/>
        <v>1.0334300197818225E-2</v>
      </c>
      <c r="S157" s="162">
        <f ca="1"/>
        <v>0</v>
      </c>
      <c r="T157" s="162">
        <f ca="1"/>
        <v>2.3745775108494516E-2</v>
      </c>
      <c r="U157" s="162">
        <f ca="1"/>
        <v>4.5208003501542859E-2</v>
      </c>
      <c r="V157" s="138">
        <f ca="1"/>
        <v>8.2268744160111651E-2</v>
      </c>
      <c r="W157" s="137">
        <f ca="1"/>
        <v>0</v>
      </c>
      <c r="X157" s="162">
        <f ca="1"/>
        <v>0</v>
      </c>
      <c r="Y157" s="162">
        <f ca="1"/>
        <v>1.6007682384361344E-3</v>
      </c>
      <c r="Z157" s="162">
        <f ca="1"/>
        <v>0</v>
      </c>
      <c r="AA157" s="162">
        <f ca="1"/>
        <v>1.0868291434017685E-2</v>
      </c>
      <c r="AB157" s="162">
        <f ca="1"/>
        <v>0</v>
      </c>
      <c r="AC157" s="162">
        <f ca="1"/>
        <v>2.4601342487348465E-2</v>
      </c>
      <c r="AD157" s="162">
        <f ca="1"/>
        <v>4.6368074681649052E-2</v>
      </c>
      <c r="AE157" s="138">
        <f ca="1"/>
        <v>8.3842127323497828E-2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1.8391492342126892E-3</v>
      </c>
      <c r="Q158" s="162">
        <f ca="1"/>
        <v>0</v>
      </c>
      <c r="R158" s="162">
        <f ca="1"/>
        <v>1.1928829294479804E-2</v>
      </c>
      <c r="S158" s="162">
        <f ca="1"/>
        <v>0</v>
      </c>
      <c r="T158" s="162">
        <f ca="1"/>
        <v>3.0727382263091241E-2</v>
      </c>
      <c r="U158" s="162">
        <f ca="1"/>
        <v>5.3862835832697131E-2</v>
      </c>
      <c r="V158" s="138">
        <f ca="1"/>
        <v>9.1093171238060267E-2</v>
      </c>
      <c r="W158" s="137">
        <f ca="1"/>
        <v>0</v>
      </c>
      <c r="X158" s="162">
        <f ca="1"/>
        <v>0</v>
      </c>
      <c r="Y158" s="162">
        <f ca="1"/>
        <v>2.0428209305535239E-3</v>
      </c>
      <c r="Z158" s="162">
        <f ca="1"/>
        <v>0</v>
      </c>
      <c r="AA158" s="162">
        <f ca="1"/>
        <v>1.2461823212184919E-2</v>
      </c>
      <c r="AB158" s="162">
        <f ca="1"/>
        <v>0</v>
      </c>
      <c r="AC158" s="162">
        <f ca="1"/>
        <v>3.1576503858432692E-2</v>
      </c>
      <c r="AD158" s="162">
        <f ca="1"/>
        <v>5.5012713787872536E-2</v>
      </c>
      <c r="AE158" s="138">
        <f ca="1"/>
        <v>9.2649943404922941E-2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1.282865102380959E-3</v>
      </c>
      <c r="Q159" s="162">
        <f ca="1"/>
        <v>0</v>
      </c>
      <c r="R159" s="162">
        <f ca="1"/>
        <v>9.852948301334763E-3</v>
      </c>
      <c r="S159" s="162">
        <f ca="1"/>
        <v>0</v>
      </c>
      <c r="T159" s="162">
        <f ca="1"/>
        <v>2.3359867624758501E-2</v>
      </c>
      <c r="U159" s="162">
        <f ca="1"/>
        <v>4.0864639654630053E-2</v>
      </c>
      <c r="V159" s="138">
        <f ca="1"/>
        <v>6.8966075407488336E-2</v>
      </c>
      <c r="W159" s="137">
        <f ca="1"/>
        <v>0</v>
      </c>
      <c r="X159" s="162">
        <f ca="1"/>
        <v>0</v>
      </c>
      <c r="Y159" s="162">
        <f ca="1"/>
        <v>1.4866583124338861E-3</v>
      </c>
      <c r="Z159" s="162">
        <f ca="1"/>
        <v>0</v>
      </c>
      <c r="AA159" s="162">
        <f ca="1"/>
        <v>1.0387232985661465E-2</v>
      </c>
      <c r="AB159" s="162">
        <f ca="1"/>
        <v>0</v>
      </c>
      <c r="AC159" s="162">
        <f ca="1"/>
        <v>2.4215837439229726E-2</v>
      </c>
      <c r="AD159" s="162">
        <f ca="1"/>
        <v>4.2029823526249399E-2</v>
      </c>
      <c r="AE159" s="138">
        <f ca="1"/>
        <v>7.0565080321724816E-2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2.523385123566757E-3</v>
      </c>
      <c r="Q160" s="162">
        <f ca="1"/>
        <v>0</v>
      </c>
      <c r="R160" s="162">
        <f ca="1"/>
        <v>2.211612844887445E-2</v>
      </c>
      <c r="S160" s="162">
        <f ca="1"/>
        <v>0</v>
      </c>
      <c r="T160" s="162">
        <f ca="1"/>
        <v>5.0479119378032289E-2</v>
      </c>
      <c r="U160" s="162">
        <f ca="1"/>
        <v>9.1513481406898745E-2</v>
      </c>
      <c r="V160" s="138">
        <f ca="1"/>
        <v>0.16217952410562475</v>
      </c>
      <c r="W160" s="137">
        <f ca="1"/>
        <v>0</v>
      </c>
      <c r="X160" s="162">
        <f ca="1"/>
        <v>0</v>
      </c>
      <c r="Y160" s="162">
        <f ca="1"/>
        <v>2.7269031388702514E-3</v>
      </c>
      <c r="Z160" s="162">
        <f ca="1"/>
        <v>0</v>
      </c>
      <c r="AA160" s="162">
        <f ca="1"/>
        <v>2.2642035678605787E-2</v>
      </c>
      <c r="AB160" s="162">
        <f ca="1"/>
        <v>0</v>
      </c>
      <c r="AC160" s="162">
        <f ca="1"/>
        <v>5.1308330089183229E-2</v>
      </c>
      <c r="AD160" s="162">
        <f ca="1"/>
        <v>9.2612131763303518E-2</v>
      </c>
      <c r="AE160" s="138">
        <f ca="1"/>
        <v>0.16366168431435346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6.7855773769867067E-2</v>
      </c>
      <c r="Q161" s="162">
        <f ca="1"/>
        <v>0</v>
      </c>
      <c r="R161" s="162">
        <f ca="1"/>
        <v>0.1672022978007135</v>
      </c>
      <c r="S161" s="162">
        <f ca="1"/>
        <v>0</v>
      </c>
      <c r="T161" s="162">
        <f ca="1"/>
        <v>0.22662715466059513</v>
      </c>
      <c r="U161" s="162">
        <f ca="1"/>
        <v>0.27930276042925317</v>
      </c>
      <c r="V161" s="138">
        <f ca="1"/>
        <v>0.35944524236473008</v>
      </c>
      <c r="W161" s="137">
        <f ca="1"/>
        <v>0</v>
      </c>
      <c r="X161" s="162">
        <f ca="1"/>
        <v>0</v>
      </c>
      <c r="Y161" s="162">
        <f ca="1"/>
        <v>6.8045977784469525E-2</v>
      </c>
      <c r="Z161" s="162">
        <f ca="1"/>
        <v>0</v>
      </c>
      <c r="AA161" s="162">
        <f ca="1"/>
        <v>0.16765131635279495</v>
      </c>
      <c r="AB161" s="162">
        <f ca="1"/>
        <v>0</v>
      </c>
      <c r="AC161" s="162">
        <f ca="1"/>
        <v>0.22729457803173436</v>
      </c>
      <c r="AD161" s="162">
        <f ca="1"/>
        <v>0.28014308359161677</v>
      </c>
      <c r="AE161" s="138">
        <f ca="1"/>
        <v>0.36051194446210433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2.2077983550373714E-3</v>
      </c>
      <c r="Q162" s="162">
        <f ca="1"/>
        <v>0</v>
      </c>
      <c r="R162" s="162">
        <f ca="1"/>
        <v>1.6628689569885502E-2</v>
      </c>
      <c r="S162" s="162">
        <f ca="1"/>
        <v>0</v>
      </c>
      <c r="T162" s="162">
        <f ca="1"/>
        <v>4.3581645890946152E-2</v>
      </c>
      <c r="U162" s="162">
        <f ca="1"/>
        <v>8.080381881290799E-2</v>
      </c>
      <c r="V162" s="138">
        <f ca="1"/>
        <v>0.15196014084842402</v>
      </c>
      <c r="W162" s="137">
        <f ca="1"/>
        <v>0</v>
      </c>
      <c r="X162" s="162">
        <f ca="1"/>
        <v>0</v>
      </c>
      <c r="Y162" s="162">
        <f ca="1"/>
        <v>2.4113878389899757E-3</v>
      </c>
      <c r="Z162" s="162">
        <f ca="1"/>
        <v>0</v>
      </c>
      <c r="AA162" s="162">
        <f ca="1"/>
        <v>1.715863717787447E-2</v>
      </c>
      <c r="AB162" s="162">
        <f ca="1"/>
        <v>0</v>
      </c>
      <c r="AC162" s="162">
        <f ca="1"/>
        <v>4.4417720810142391E-2</v>
      </c>
      <c r="AD162" s="162">
        <f ca="1"/>
        <v>8.1918361449093924E-2</v>
      </c>
      <c r="AE162" s="138">
        <f ca="1"/>
        <v>0.15346101984073945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2.2363070299418197E-3</v>
      </c>
      <c r="Q163" s="162">
        <f ca="1"/>
        <v>0</v>
      </c>
      <c r="R163" s="162">
        <f ca="1"/>
        <v>8.9246553429881414E-3</v>
      </c>
      <c r="S163" s="162">
        <f ca="1"/>
        <v>0</v>
      </c>
      <c r="T163" s="162">
        <f ca="1"/>
        <v>2.1573244429292093E-2</v>
      </c>
      <c r="U163" s="162">
        <f ca="1"/>
        <v>3.2944317776568699E-2</v>
      </c>
      <c r="V163" s="138">
        <f ca="1"/>
        <v>5.835492728002234E-2</v>
      </c>
      <c r="W163" s="137">
        <f ca="1"/>
        <v>0</v>
      </c>
      <c r="X163" s="162">
        <f ca="1"/>
        <v>0</v>
      </c>
      <c r="Y163" s="162">
        <f ca="1"/>
        <v>2.4398900993451988E-3</v>
      </c>
      <c r="Z163" s="162">
        <f ca="1"/>
        <v>0</v>
      </c>
      <c r="AA163" s="162">
        <f ca="1"/>
        <v>9.4593068012684967E-3</v>
      </c>
      <c r="AB163" s="162">
        <f ca="1"/>
        <v>0</v>
      </c>
      <c r="AC163" s="162">
        <f ca="1"/>
        <v>2.243050585060935E-2</v>
      </c>
      <c r="AD163" s="162">
        <f ca="1"/>
        <v>3.4117737698802553E-2</v>
      </c>
      <c r="AE163" s="138">
        <f ca="1"/>
        <v>5.9971333043649322E-2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3.0667769344088214E-3</v>
      </c>
      <c r="Q164" s="162">
        <f ca="1"/>
        <v>0</v>
      </c>
      <c r="R164" s="162">
        <f ca="1"/>
        <v>1.4161215875890587E-2</v>
      </c>
      <c r="S164" s="162">
        <f ca="1"/>
        <v>0</v>
      </c>
      <c r="T164" s="162">
        <f ca="1"/>
        <v>3.3508076002017328E-2</v>
      </c>
      <c r="U164" s="162">
        <f ca="1"/>
        <v>5.981348125221897E-2</v>
      </c>
      <c r="V164" s="138">
        <f ca="1"/>
        <v>0.10228293469172312</v>
      </c>
      <c r="W164" s="137">
        <f ca="1"/>
        <v>0</v>
      </c>
      <c r="X164" s="162">
        <f ca="1"/>
        <v>0</v>
      </c>
      <c r="Y164" s="162">
        <f ca="1"/>
        <v>3.2701694886476673E-3</v>
      </c>
      <c r="Z164" s="162">
        <f ca="1"/>
        <v>0</v>
      </c>
      <c r="AA164" s="162">
        <f ca="1"/>
        <v>1.4692715522935273E-2</v>
      </c>
      <c r="AB164" s="162">
        <f ca="1"/>
        <v>0</v>
      </c>
      <c r="AC164" s="162">
        <f ca="1"/>
        <v>3.4354211792982814E-2</v>
      </c>
      <c r="AD164" s="162">
        <f ca="1"/>
        <v>6.0955159585607377E-2</v>
      </c>
      <c r="AE164" s="138">
        <f ca="1"/>
        <v>0.10384660943865298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1.0830984156228185E-3</v>
      </c>
      <c r="Q165" s="162">
        <f ca="1"/>
        <v>0</v>
      </c>
      <c r="R165" s="162">
        <f ca="1"/>
        <v>7.9278191572179635E-3</v>
      </c>
      <c r="S165" s="162">
        <f ca="1"/>
        <v>0</v>
      </c>
      <c r="T165" s="162">
        <f ca="1"/>
        <v>1.9067990670594837E-2</v>
      </c>
      <c r="U165" s="162">
        <f ca="1"/>
        <v>3.5239203156868792E-2</v>
      </c>
      <c r="V165" s="138">
        <f ca="1"/>
        <v>7.2194385634252733E-2</v>
      </c>
      <c r="W165" s="137">
        <f ca="1"/>
        <v>0</v>
      </c>
      <c r="X165" s="162">
        <f ca="1"/>
        <v>0</v>
      </c>
      <c r="Y165" s="162">
        <f ca="1"/>
        <v>1.2869345298629487E-3</v>
      </c>
      <c r="Z165" s="162">
        <f ca="1"/>
        <v>0</v>
      </c>
      <c r="AA165" s="162">
        <f ca="1"/>
        <v>8.4632094887080456E-3</v>
      </c>
      <c r="AB165" s="162">
        <f ca="1"/>
        <v>0</v>
      </c>
      <c r="AC165" s="162">
        <f ca="1"/>
        <v>1.9927747489799419E-2</v>
      </c>
      <c r="AD165" s="162">
        <f ca="1"/>
        <v>3.6411196987829353E-2</v>
      </c>
      <c r="AE165" s="138">
        <f ca="1"/>
        <v>7.3785617825283256E-2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5.9705384048532872E-2</v>
      </c>
      <c r="Q166" s="162">
        <f ca="1"/>
        <v>0</v>
      </c>
      <c r="R166" s="162">
        <f ca="1"/>
        <v>0.10949017763950042</v>
      </c>
      <c r="S166" s="162">
        <f ca="1"/>
        <v>0</v>
      </c>
      <c r="T166" s="162">
        <f ca="1"/>
        <v>0.14285520090990433</v>
      </c>
      <c r="U166" s="162">
        <f ca="1"/>
        <v>0.17471531533559537</v>
      </c>
      <c r="V166" s="138">
        <f ca="1"/>
        <v>0.22501538956388478</v>
      </c>
      <c r="W166" s="137">
        <f ca="1"/>
        <v>0</v>
      </c>
      <c r="X166" s="162">
        <f ca="1"/>
        <v>0</v>
      </c>
      <c r="Y166" s="162">
        <f ca="1"/>
        <v>5.9897252480382024E-2</v>
      </c>
      <c r="Z166" s="162">
        <f ca="1"/>
        <v>0</v>
      </c>
      <c r="AA166" s="162">
        <f ca="1"/>
        <v>0.10996607490972332</v>
      </c>
      <c r="AB166" s="162">
        <f ca="1"/>
        <v>0</v>
      </c>
      <c r="AC166" s="162">
        <f ca="1"/>
        <v>0.14356919070539476</v>
      </c>
      <c r="AD166" s="162">
        <f ca="1"/>
        <v>0.17567758603400629</v>
      </c>
      <c r="AE166" s="138">
        <f ca="1"/>
        <v>0.22630595481153781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1.6802422549039298E-3</v>
      </c>
      <c r="Q167" s="162">
        <f ca="1"/>
        <v>0</v>
      </c>
      <c r="R167" s="162">
        <f ca="1"/>
        <v>1.3838399968781001E-2</v>
      </c>
      <c r="S167" s="162">
        <f ca="1"/>
        <v>0</v>
      </c>
      <c r="T167" s="162">
        <f ca="1"/>
        <v>3.1421915129213773E-2</v>
      </c>
      <c r="U167" s="162">
        <f ca="1"/>
        <v>5.7122765679556875E-2</v>
      </c>
      <c r="V167" s="138">
        <f ca="1"/>
        <v>0.10550171729191515</v>
      </c>
      <c r="W167" s="137">
        <f ca="1"/>
        <v>0</v>
      </c>
      <c r="X167" s="162">
        <f ca="1"/>
        <v>0</v>
      </c>
      <c r="Y167" s="162">
        <f ca="1"/>
        <v>1.8839489719718605E-3</v>
      </c>
      <c r="Z167" s="162">
        <f ca="1"/>
        <v>0</v>
      </c>
      <c r="AA167" s="162">
        <f ca="1"/>
        <v>1.4370225083032206E-2</v>
      </c>
      <c r="AB167" s="162">
        <f ca="1"/>
        <v>0</v>
      </c>
      <c r="AC167" s="162">
        <f ca="1"/>
        <v>3.2270452426754415E-2</v>
      </c>
      <c r="AD167" s="162">
        <f ca="1"/>
        <v>5.8268009521979525E-2</v>
      </c>
      <c r="AE167" s="138">
        <f ca="1"/>
        <v>0.10706442798600324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1.3969997137315282E-3</v>
      </c>
      <c r="Q168" s="162">
        <f ca="1"/>
        <v>0</v>
      </c>
      <c r="R168" s="162">
        <f ca="1"/>
        <v>1.2414948450212626E-2</v>
      </c>
      <c r="S168" s="162">
        <f ca="1"/>
        <v>0</v>
      </c>
      <c r="T168" s="162">
        <f ca="1"/>
        <v>3.0713262372675798E-2</v>
      </c>
      <c r="U168" s="162">
        <f ca="1"/>
        <v>6.150109951676519E-2</v>
      </c>
      <c r="V168" s="138">
        <f ca="1"/>
        <v>0.11428513723462552</v>
      </c>
      <c r="W168" s="137">
        <f ca="1"/>
        <v>0</v>
      </c>
      <c r="X168" s="162">
        <f ca="1"/>
        <v>0</v>
      </c>
      <c r="Y168" s="162">
        <f ca="1"/>
        <v>1.6007682384361344E-3</v>
      </c>
      <c r="Z168" s="162">
        <f ca="1"/>
        <v>0</v>
      </c>
      <c r="AA168" s="162">
        <f ca="1"/>
        <v>1.2947693978640928E-2</v>
      </c>
      <c r="AB168" s="162">
        <f ca="1"/>
        <v>0</v>
      </c>
      <c r="AC168" s="162">
        <f ca="1"/>
        <v>3.156254080051879E-2</v>
      </c>
      <c r="AD168" s="162">
        <f ca="1"/>
        <v>6.26409009196639E-2</v>
      </c>
      <c r="AE168" s="138">
        <f ca="1"/>
        <v>0.11583825250423052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9.2611108652029817E-4</v>
      </c>
      <c r="Q169" s="162">
        <f ca="1"/>
        <v>0</v>
      </c>
      <c r="R169" s="162">
        <f ca="1"/>
        <v>8.5356673467189559E-3</v>
      </c>
      <c r="S169" s="162">
        <f ca="1"/>
        <v>0</v>
      </c>
      <c r="T169" s="162">
        <f ca="1"/>
        <v>2.037360633784846E-2</v>
      </c>
      <c r="U169" s="162">
        <f ca="1"/>
        <v>3.7475893895111079E-2</v>
      </c>
      <c r="V169" s="138">
        <f ca="1"/>
        <v>6.5314728967057034E-2</v>
      </c>
      <c r="W169" s="137">
        <f ca="1"/>
        <v>0</v>
      </c>
      <c r="X169" s="162">
        <f ca="1"/>
        <v>0</v>
      </c>
      <c r="Y169" s="162">
        <f ca="1"/>
        <v>1.1299806498458187E-3</v>
      </c>
      <c r="Z169" s="162">
        <f ca="1"/>
        <v>0</v>
      </c>
      <c r="AA169" s="162">
        <f ca="1"/>
        <v>9.0707496895741091E-3</v>
      </c>
      <c r="AB169" s="162">
        <f ca="1"/>
        <v>0</v>
      </c>
      <c r="AC169" s="162">
        <f ca="1"/>
        <v>2.1232286026150682E-2</v>
      </c>
      <c r="AD169" s="162">
        <f ca="1"/>
        <v>3.8645315224794419E-2</v>
      </c>
      <c r="AE169" s="138">
        <f ca="1"/>
        <v>6.6920997768223467E-2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1.5050080622550643E-3</v>
      </c>
      <c r="Q170" s="162">
        <f ca="1"/>
        <v>0</v>
      </c>
      <c r="R170" s="162">
        <f ca="1"/>
        <v>1.103615663950841E-2</v>
      </c>
      <c r="S170" s="162">
        <f ca="1"/>
        <v>0</v>
      </c>
      <c r="T170" s="162">
        <f ca="1"/>
        <v>2.1857826500411792E-2</v>
      </c>
      <c r="U170" s="162">
        <f ca="1"/>
        <v>3.457681234992005E-2</v>
      </c>
      <c r="V170" s="138">
        <f ca="1"/>
        <v>6.4077352012697819E-2</v>
      </c>
      <c r="W170" s="137">
        <f ca="1"/>
        <v>0</v>
      </c>
      <c r="X170" s="162">
        <f ca="1"/>
        <v>0</v>
      </c>
      <c r="Y170" s="162">
        <f ca="1"/>
        <v>1.7087531103219256E-3</v>
      </c>
      <c r="Z170" s="162">
        <f ca="1"/>
        <v>0</v>
      </c>
      <c r="AA170" s="162">
        <f ca="1"/>
        <v>1.1569722928526094E-2</v>
      </c>
      <c r="AB170" s="162">
        <f ca="1"/>
        <v>0</v>
      </c>
      <c r="AC170" s="162">
        <f ca="1"/>
        <v>2.2714817766491979E-2</v>
      </c>
      <c r="AD170" s="162">
        <f ca="1"/>
        <v>3.5748056415856877E-2</v>
      </c>
      <c r="AE170" s="138">
        <f ca="1"/>
        <v>6.5682842175154521E-2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1.9878471608762993E-3</v>
      </c>
      <c r="Q171" s="162">
        <f ca="1"/>
        <v>0</v>
      </c>
      <c r="R171" s="162">
        <f ca="1"/>
        <v>1.6898897659639034E-2</v>
      </c>
      <c r="S171" s="162">
        <f ca="1"/>
        <v>0</v>
      </c>
      <c r="T171" s="162">
        <f ca="1"/>
        <v>4.3571045624021032E-2</v>
      </c>
      <c r="U171" s="162">
        <f ca="1"/>
        <v>7.4497150923686584E-2</v>
      </c>
      <c r="V171" s="138">
        <f ca="1"/>
        <v>0.12273648374387724</v>
      </c>
      <c r="W171" s="137">
        <f ca="1"/>
        <v>0</v>
      </c>
      <c r="X171" s="162">
        <f ca="1"/>
        <v>0</v>
      </c>
      <c r="Y171" s="162">
        <f ca="1"/>
        <v>2.1914858597612552E-3</v>
      </c>
      <c r="Z171" s="162">
        <f ca="1"/>
        <v>0</v>
      </c>
      <c r="AA171" s="162">
        <f ca="1"/>
        <v>1.742866674302701E-2</v>
      </c>
      <c r="AB171" s="162">
        <f ca="1"/>
        <v>0</v>
      </c>
      <c r="AC171" s="162">
        <f ca="1"/>
        <v>4.4407257136201972E-2</v>
      </c>
      <c r="AD171" s="162">
        <f ca="1"/>
        <v>7.5621194774814993E-2</v>
      </c>
      <c r="AE171" s="138">
        <f ca="1"/>
        <v>0.12426935545927831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0.15975993854626569</v>
      </c>
      <c r="Q172" s="162">
        <f ca="1"/>
        <v>0</v>
      </c>
      <c r="R172" s="162">
        <f ca="1"/>
        <v>0.2348931647779523</v>
      </c>
      <c r="S172" s="162">
        <f ca="1"/>
        <v>0</v>
      </c>
      <c r="T172" s="162">
        <f ca="1"/>
        <v>0.26726931590137626</v>
      </c>
      <c r="U172" s="162">
        <f ca="1"/>
        <v>0.29101325997851779</v>
      </c>
      <c r="V172" s="138">
        <f ca="1"/>
        <v>0.34519909389732684</v>
      </c>
      <c r="W172" s="137">
        <f ca="1"/>
        <v>0</v>
      </c>
      <c r="X172" s="162">
        <f ca="1"/>
        <v>0</v>
      </c>
      <c r="Y172" s="162">
        <f ca="1"/>
        <v>0.15993137155419035</v>
      </c>
      <c r="Z172" s="162">
        <f ca="1"/>
        <v>0</v>
      </c>
      <c r="AA172" s="162">
        <f ca="1"/>
        <v>0.2352756225731637</v>
      </c>
      <c r="AB172" s="162">
        <f ca="1"/>
        <v>0</v>
      </c>
      <c r="AC172" s="162">
        <f ca="1"/>
        <v>0.26787967045509331</v>
      </c>
      <c r="AD172" s="162">
        <f ca="1"/>
        <v>0.29178575830510545</v>
      </c>
      <c r="AE172" s="138">
        <f ca="1"/>
        <v>0.34622157114015994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2.0021047127243286E-3</v>
      </c>
      <c r="Q173" s="162">
        <f ca="1"/>
        <v>0</v>
      </c>
      <c r="R173" s="162">
        <f ca="1"/>
        <v>1.7407708377652487E-2</v>
      </c>
      <c r="S173" s="162">
        <f ca="1"/>
        <v>0</v>
      </c>
      <c r="T173" s="162">
        <f ca="1"/>
        <v>4.083774987813682E-2</v>
      </c>
      <c r="U173" s="162">
        <f ca="1"/>
        <v>7.2921811499982447E-2</v>
      </c>
      <c r="V173" s="138">
        <f ca="1"/>
        <v>0.12841504615113397</v>
      </c>
      <c r="W173" s="137">
        <f ca="1"/>
        <v>0</v>
      </c>
      <c r="X173" s="162">
        <f ca="1"/>
        <v>0</v>
      </c>
      <c r="Y173" s="162">
        <f ca="1"/>
        <v>2.2057402361568279E-3</v>
      </c>
      <c r="Z173" s="162">
        <f ca="1"/>
        <v>0</v>
      </c>
      <c r="AA173" s="162">
        <f ca="1"/>
        <v>1.7937121777985343E-2</v>
      </c>
      <c r="AB173" s="162">
        <f ca="1"/>
        <v>0</v>
      </c>
      <c r="AC173" s="162">
        <f ca="1"/>
        <v>4.1677051416674549E-2</v>
      </c>
      <c r="AD173" s="162">
        <f ca="1"/>
        <v>7.4046851896074517E-2</v>
      </c>
      <c r="AE173" s="138">
        <f ca="1"/>
        <v>0.12994346674811919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2.4582398277526174E-3</v>
      </c>
      <c r="Q174" s="162">
        <f ca="1"/>
        <v>0</v>
      </c>
      <c r="R174" s="162">
        <f ca="1"/>
        <v>1.5516620935354886E-2</v>
      </c>
      <c r="S174" s="162">
        <f ca="1"/>
        <v>0</v>
      </c>
      <c r="T174" s="162">
        <f ca="1"/>
        <v>4.1901525594732369E-2</v>
      </c>
      <c r="U174" s="162">
        <f ca="1"/>
        <v>7.8341675394565935E-2</v>
      </c>
      <c r="V174" s="138">
        <f ca="1"/>
        <v>0.13114288690464437</v>
      </c>
      <c r="W174" s="137">
        <f ca="1"/>
        <v>0</v>
      </c>
      <c r="X174" s="162">
        <f ca="1"/>
        <v>0</v>
      </c>
      <c r="Y174" s="162">
        <f ca="1"/>
        <v>2.6617726792004248E-3</v>
      </c>
      <c r="Z174" s="162">
        <f ca="1"/>
        <v>0</v>
      </c>
      <c r="AA174" s="162">
        <f ca="1"/>
        <v>1.6047301991804819E-2</v>
      </c>
      <c r="AB174" s="162">
        <f ca="1"/>
        <v>0</v>
      </c>
      <c r="AC174" s="162">
        <f ca="1"/>
        <v>4.2739211584920556E-2</v>
      </c>
      <c r="AD174" s="162">
        <f ca="1"/>
        <v>7.9459597880625954E-2</v>
      </c>
      <c r="AE174" s="138">
        <f ca="1"/>
        <v>0.13266704013499331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1.0260149439718091E-3</v>
      </c>
      <c r="Q175" s="162">
        <f ca="1"/>
        <v>0</v>
      </c>
      <c r="R175" s="162">
        <f ca="1"/>
        <v>1.1773010036704834E-2</v>
      </c>
      <c r="S175" s="162">
        <f ca="1"/>
        <v>0</v>
      </c>
      <c r="T175" s="162">
        <f ca="1"/>
        <v>2.6318125860164687E-2</v>
      </c>
      <c r="U175" s="162">
        <f ca="1"/>
        <v>4.804656840757382E-2</v>
      </c>
      <c r="V175" s="138">
        <f ca="1"/>
        <v>8.9284305216068671E-2</v>
      </c>
      <c r="W175" s="137">
        <f ca="1"/>
        <v>0</v>
      </c>
      <c r="X175" s="162">
        <f ca="1"/>
        <v>0</v>
      </c>
      <c r="Y175" s="162">
        <f ca="1"/>
        <v>1.2298632479786908E-3</v>
      </c>
      <c r="Z175" s="162">
        <f ca="1"/>
        <v>0</v>
      </c>
      <c r="AA175" s="162">
        <f ca="1"/>
        <v>1.2306188769837134E-2</v>
      </c>
      <c r="AB175" s="162">
        <f ca="1"/>
        <v>0</v>
      </c>
      <c r="AC175" s="162">
        <f ca="1"/>
        <v>2.7171505101214466E-2</v>
      </c>
      <c r="AD175" s="162">
        <f ca="1"/>
        <v>4.9203149340556251E-2</v>
      </c>
      <c r="AE175" s="138">
        <f ca="1"/>
        <v>9.0870144444334056E-2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3.1135722481473449E-3</v>
      </c>
      <c r="Q176" s="162">
        <f ca="1"/>
        <v>0</v>
      </c>
      <c r="R176" s="162">
        <f ca="1"/>
        <v>1.6083408621402673E-2</v>
      </c>
      <c r="S176" s="162">
        <f ca="1"/>
        <v>0</v>
      </c>
      <c r="T176" s="162">
        <f ca="1"/>
        <v>4.0886164229634203E-2</v>
      </c>
      <c r="U176" s="162">
        <f ca="1"/>
        <v>6.9587901852110723E-2</v>
      </c>
      <c r="V176" s="138">
        <f ca="1"/>
        <v>0.13034825804644956</v>
      </c>
      <c r="W176" s="137">
        <f ca="1"/>
        <v>0</v>
      </c>
      <c r="X176" s="162">
        <f ca="1"/>
        <v>0</v>
      </c>
      <c r="Y176" s="162">
        <f ca="1"/>
        <v>3.3169538537654031E-3</v>
      </c>
      <c r="Z176" s="162">
        <f ca="1"/>
        <v>0</v>
      </c>
      <c r="AA176" s="162">
        <f ca="1"/>
        <v>1.6613676153743095E-2</v>
      </c>
      <c r="AB176" s="162">
        <f ca="1"/>
        <v>0</v>
      </c>
      <c r="AC176" s="162">
        <f ca="1"/>
        <v>4.1724871209818715E-2</v>
      </c>
      <c r="AD176" s="162">
        <f ca="1"/>
        <v>7.0717833586641854E-2</v>
      </c>
      <c r="AE176" s="138">
        <f ca="1"/>
        <v>0.13187587816501101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1.0994073849865948E-3</v>
      </c>
      <c r="Q177" s="162">
        <f ca="1"/>
        <v>0</v>
      </c>
      <c r="R177" s="162">
        <f ca="1"/>
        <v>9.8672749478440069E-3</v>
      </c>
      <c r="S177" s="162">
        <f ca="1"/>
        <v>0</v>
      </c>
      <c r="T177" s="162">
        <f ca="1"/>
        <v>2.3374475610732692E-2</v>
      </c>
      <c r="U177" s="162">
        <f ca="1"/>
        <v>4.0879451040910286E-2</v>
      </c>
      <c r="V177" s="138">
        <f ca="1"/>
        <v>6.898095277802696E-2</v>
      </c>
      <c r="W177" s="137">
        <f ca="1"/>
        <v>0</v>
      </c>
      <c r="X177" s="162">
        <f ca="1"/>
        <v>0</v>
      </c>
      <c r="Y177" s="162">
        <f ca="1"/>
        <v>1.3032400108368147E-3</v>
      </c>
      <c r="Z177" s="162">
        <f ca="1"/>
        <v>0</v>
      </c>
      <c r="AA177" s="162">
        <f ca="1"/>
        <v>1.0401577315372612E-2</v>
      </c>
      <c r="AB177" s="162">
        <f ca="1"/>
        <v>0</v>
      </c>
      <c r="AC177" s="162">
        <f ca="1"/>
        <v>2.4230487662600497E-2</v>
      </c>
      <c r="AD177" s="162">
        <f ca="1"/>
        <v>4.2044671585608762E-2</v>
      </c>
      <c r="AE177" s="138">
        <f ca="1"/>
        <v>7.0579985828252312E-2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1.2645208337910274E-3</v>
      </c>
      <c r="Q178" s="162">
        <f ca="1"/>
        <v>0</v>
      </c>
      <c r="R178" s="162">
        <f ca="1"/>
        <v>8.5590865069093969E-3</v>
      </c>
      <c r="S178" s="162">
        <f ca="1"/>
        <v>0</v>
      </c>
      <c r="T178" s="162">
        <f ca="1"/>
        <v>1.9433998842333544E-2</v>
      </c>
      <c r="U178" s="162">
        <f ca="1"/>
        <v>3.5496751584784825E-2</v>
      </c>
      <c r="V178" s="138">
        <f ca="1"/>
        <v>6.550928867137118E-2</v>
      </c>
      <c r="W178" s="137">
        <f ca="1"/>
        <v>0</v>
      </c>
      <c r="X178" s="162">
        <f ca="1"/>
        <v>0</v>
      </c>
      <c r="Y178" s="162">
        <f ca="1"/>
        <v>1.4683179996586304E-3</v>
      </c>
      <c r="Z178" s="162">
        <f ca="1"/>
        <v>0</v>
      </c>
      <c r="AA178" s="162">
        <f ca="1"/>
        <v>9.0941011361280744E-3</v>
      </c>
      <c r="AB178" s="162">
        <f ca="1"/>
        <v>0</v>
      </c>
      <c r="AC178" s="162">
        <f ca="1"/>
        <v>2.0293322259005264E-2</v>
      </c>
      <c r="AD178" s="162">
        <f ca="1"/>
        <v>3.666817401389233E-2</v>
      </c>
      <c r="AE178" s="138">
        <f ca="1"/>
        <v>6.7114422727237111E-2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2.1426326387726791E-3</v>
      </c>
      <c r="Q179" s="162">
        <f ca="1"/>
        <v>0</v>
      </c>
      <c r="R179" s="162">
        <f ca="1"/>
        <v>1.197632159483597E-2</v>
      </c>
      <c r="S179" s="162">
        <f ca="1"/>
        <v>0</v>
      </c>
      <c r="T179" s="162">
        <f ca="1"/>
        <v>2.8898055427547753E-2</v>
      </c>
      <c r="U179" s="162">
        <f ca="1"/>
        <v>5.3347970807007594E-2</v>
      </c>
      <c r="V179" s="138">
        <f ca="1"/>
        <v>9.157282734898764E-2</v>
      </c>
      <c r="W179" s="137">
        <f ca="1"/>
        <v>0</v>
      </c>
      <c r="X179" s="162">
        <f ca="1"/>
        <v>0</v>
      </c>
      <c r="Y179" s="162">
        <f ca="1"/>
        <v>2.3462367545337148E-3</v>
      </c>
      <c r="Z179" s="162">
        <f ca="1"/>
        <v>0</v>
      </c>
      <c r="AA179" s="162">
        <f ca="1"/>
        <v>1.2509251339444583E-2</v>
      </c>
      <c r="AB179" s="162">
        <f ca="1"/>
        <v>0</v>
      </c>
      <c r="AC179" s="162">
        <f ca="1"/>
        <v>2.9748791208623837E-2</v>
      </c>
      <c r="AD179" s="162">
        <f ca="1"/>
        <v>5.4498051321127616E-2</v>
      </c>
      <c r="AE179" s="138">
        <f ca="1"/>
        <v>9.3128653060238875E-2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7.4462772302619218E-4</v>
      </c>
      <c r="Q180" s="162">
        <f ca="1"/>
        <v>0</v>
      </c>
      <c r="R180" s="162">
        <f ca="1"/>
        <v>1.3093885924723714E-2</v>
      </c>
      <c r="S180" s="162">
        <f ca="1"/>
        <v>0</v>
      </c>
      <c r="T180" s="162">
        <f ca="1"/>
        <v>2.7102224142333098E-2</v>
      </c>
      <c r="U180" s="162">
        <f ca="1"/>
        <v>4.862683188403305E-2</v>
      </c>
      <c r="V180" s="138">
        <f ca="1"/>
        <v>8.7448344756140162E-2</v>
      </c>
      <c r="W180" s="137">
        <f ca="1"/>
        <v>0</v>
      </c>
      <c r="X180" s="162">
        <f ca="1"/>
        <v>0</v>
      </c>
      <c r="Y180" s="162">
        <f ca="1"/>
        <v>9.4853566429642377E-4</v>
      </c>
      <c r="Z180" s="162">
        <f ca="1"/>
        <v>0</v>
      </c>
      <c r="AA180" s="162">
        <f ca="1"/>
        <v>1.3626262500577857E-2</v>
      </c>
      <c r="AB180" s="162">
        <f ca="1"/>
        <v>0</v>
      </c>
      <c r="AC180" s="162">
        <f ca="1"/>
        <v>2.7954929365332837E-2</v>
      </c>
      <c r="AD180" s="162">
        <f ca="1"/>
        <v>4.9782413341526222E-2</v>
      </c>
      <c r="AE180" s="138">
        <f ca="1"/>
        <v>8.9010401801291494E-2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2.7941001028345402E-3</v>
      </c>
      <c r="Q181" s="162">
        <f ca="1"/>
        <v>0</v>
      </c>
      <c r="R181" s="162">
        <f ca="1"/>
        <v>1.0494532868212336E-2</v>
      </c>
      <c r="S181" s="162">
        <f ca="1"/>
        <v>0</v>
      </c>
      <c r="T181" s="162">
        <f ca="1"/>
        <v>2.9897484790450735E-2</v>
      </c>
      <c r="U181" s="162">
        <f ca="1"/>
        <v>5.5436241148873688E-2</v>
      </c>
      <c r="V181" s="138">
        <f ca="1"/>
        <v>9.4118300144092171E-2</v>
      </c>
      <c r="W181" s="137">
        <f ca="1"/>
        <v>0</v>
      </c>
      <c r="X181" s="162">
        <f ca="1"/>
        <v>0</v>
      </c>
      <c r="Y181" s="162">
        <f ca="1"/>
        <v>2.9975559977499788E-3</v>
      </c>
      <c r="Z181" s="162">
        <f ca="1"/>
        <v>0</v>
      </c>
      <c r="AA181" s="162">
        <f ca="1"/>
        <v>1.1028229547109247E-2</v>
      </c>
      <c r="AB181" s="162">
        <f ca="1"/>
        <v>0</v>
      </c>
      <c r="AC181" s="162">
        <f ca="1"/>
        <v>3.0747080283491712E-2</v>
      </c>
      <c r="AD181" s="162">
        <f ca="1"/>
        <v>5.6584251203405156E-2</v>
      </c>
      <c r="AE181" s="138">
        <f ca="1"/>
        <v>9.5670004994366176E-2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8.9960431886459968E-4</v>
      </c>
      <c r="Q182" s="162">
        <f ca="1"/>
        <v>0</v>
      </c>
      <c r="R182" s="162">
        <f ca="1"/>
        <v>7.9419768802001522E-3</v>
      </c>
      <c r="S182" s="162">
        <f ca="1"/>
        <v>0</v>
      </c>
      <c r="T182" s="162">
        <f ca="1"/>
        <v>1.8183417651204459E-2</v>
      </c>
      <c r="U182" s="162">
        <f ca="1"/>
        <v>3.4692177766556309E-2</v>
      </c>
      <c r="V182" s="138">
        <f ca="1"/>
        <v>6.5591312597133244E-2</v>
      </c>
      <c r="W182" s="137">
        <f ca="1"/>
        <v>0</v>
      </c>
      <c r="X182" s="162">
        <f ca="1"/>
        <v>0</v>
      </c>
      <c r="Y182" s="162">
        <f ca="1"/>
        <v>1.1034795069208014E-3</v>
      </c>
      <c r="Z182" s="162">
        <f ca="1"/>
        <v>0</v>
      </c>
      <c r="AA182" s="162">
        <f ca="1"/>
        <v>8.4773907619856148E-3</v>
      </c>
      <c r="AB182" s="162">
        <f ca="1"/>
        <v>0</v>
      </c>
      <c r="AC182" s="162">
        <f ca="1"/>
        <v>1.9043921134797026E-2</v>
      </c>
      <c r="AD182" s="162">
        <f ca="1"/>
        <v>3.5864815777683745E-2</v>
      </c>
      <c r="AE182" s="138">
        <f ca="1"/>
        <v>6.7196702555932908E-2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1.5620644019455066E-3</v>
      </c>
      <c r="Q183" s="162">
        <f ca="1"/>
        <v>0</v>
      </c>
      <c r="R183" s="162">
        <f ca="1"/>
        <v>1.3704962577804514E-2</v>
      </c>
      <c r="S183" s="162">
        <f ca="1"/>
        <v>0</v>
      </c>
      <c r="T183" s="162">
        <f ca="1"/>
        <v>2.8758911437307355E-2</v>
      </c>
      <c r="U183" s="162">
        <f ca="1"/>
        <v>5.2761567531518172E-2</v>
      </c>
      <c r="V183" s="138">
        <f ca="1"/>
        <v>9.0965348420129599E-2</v>
      </c>
      <c r="W183" s="137">
        <f ca="1"/>
        <v>0</v>
      </c>
      <c r="X183" s="162">
        <f ca="1"/>
        <v>0</v>
      </c>
      <c r="Y183" s="162">
        <f ca="1"/>
        <v>1.7657970024580472E-3</v>
      </c>
      <c r="Z183" s="162">
        <f ca="1"/>
        <v>0</v>
      </c>
      <c r="AA183" s="162">
        <f ca="1"/>
        <v>1.4236882503433246E-2</v>
      </c>
      <c r="AB183" s="162">
        <f ca="1"/>
        <v>0</v>
      </c>
      <c r="AC183" s="162">
        <f ca="1"/>
        <v>2.9609893288486622E-2</v>
      </c>
      <c r="AD183" s="162">
        <f ca="1"/>
        <v>5.3911885390199976E-2</v>
      </c>
      <c r="AE183" s="138">
        <f ca="1"/>
        <v>9.2521633848991036E-2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3.4512478394150836E-3</v>
      </c>
      <c r="Q184" s="162">
        <f ca="1"/>
        <v>0</v>
      </c>
      <c r="R184" s="162">
        <f ca="1"/>
        <v>2.3583525838474562E-2</v>
      </c>
      <c r="S184" s="162">
        <f ca="1"/>
        <v>0</v>
      </c>
      <c r="T184" s="162">
        <f ca="1"/>
        <v>6.5692577338157032E-2</v>
      </c>
      <c r="U184" s="162">
        <f ca="1"/>
        <v>0.11767555198296753</v>
      </c>
      <c r="V184" s="138">
        <f ca="1"/>
        <v>0.21978823372049083</v>
      </c>
      <c r="W184" s="137">
        <f ca="1"/>
        <v>0</v>
      </c>
      <c r="X184" s="162">
        <f ca="1"/>
        <v>0</v>
      </c>
      <c r="Y184" s="162">
        <f ca="1"/>
        <v>3.6545497513785774E-3</v>
      </c>
      <c r="Z184" s="162">
        <f ca="1"/>
        <v>0</v>
      </c>
      <c r="AA184" s="162">
        <f ca="1"/>
        <v>2.4108322608113131E-2</v>
      </c>
      <c r="AB184" s="162">
        <f ca="1"/>
        <v>0</v>
      </c>
      <c r="AC184" s="162">
        <f ca="1"/>
        <v>6.6501325151184787E-2</v>
      </c>
      <c r="AD184" s="162">
        <f ca="1"/>
        <v>0.11876965934296235</v>
      </c>
      <c r="AE184" s="138">
        <f ca="1"/>
        <v>0.22119171337009524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6.6905574642139864E-4</v>
      </c>
      <c r="P185" s="162">
        <f ca="1"/>
        <v>1.4322962972554976E-3</v>
      </c>
      <c r="Q185" s="162">
        <f ca="1"/>
        <v>4.2055822680735488E-3</v>
      </c>
      <c r="R185" s="162">
        <f ca="1"/>
        <v>8.4482349014903813E-3</v>
      </c>
      <c r="S185" s="162">
        <f ca="1"/>
        <v>0</v>
      </c>
      <c r="T185" s="162">
        <f ca="1"/>
        <v>2.1338525182994061E-2</v>
      </c>
      <c r="U185" s="162">
        <f ca="1"/>
        <v>3.2900202383912558E-2</v>
      </c>
      <c r="V185" s="138">
        <f ca="1"/>
        <v>5.425437138079392E-2</v>
      </c>
      <c r="W185" s="137">
        <f ca="1"/>
        <v>0</v>
      </c>
      <c r="X185" s="162">
        <f ca="1"/>
        <v>7.8848159964084452E-4</v>
      </c>
      <c r="Y185" s="162">
        <f ca="1"/>
        <v>1.6360824406567165E-3</v>
      </c>
      <c r="Z185" s="162">
        <f ca="1"/>
        <v>4.5759889955415689E-3</v>
      </c>
      <c r="AA185" s="162">
        <f ca="1"/>
        <v>8.983738875743108E-3</v>
      </c>
      <c r="AB185" s="162">
        <f ca="1"/>
        <v>0</v>
      </c>
      <c r="AC185" s="162">
        <f ca="1"/>
        <v>2.2196388997141492E-2</v>
      </c>
      <c r="AD185" s="162">
        <f ca="1"/>
        <v>3.4074241635249636E-2</v>
      </c>
      <c r="AE185" s="138">
        <f ca="1"/>
        <v>5.5878701456861468E-2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7.1946906194575444E-3</v>
      </c>
      <c r="Q186" s="162">
        <f ca="1"/>
        <v>0</v>
      </c>
      <c r="R186" s="162">
        <f ca="1"/>
        <v>3.4587088496223162E-2</v>
      </c>
      <c r="S186" s="162">
        <f ca="1"/>
        <v>0</v>
      </c>
      <c r="T186" s="162">
        <f ca="1"/>
        <v>9.3156953039719492E-2</v>
      </c>
      <c r="U186" s="162">
        <f ca="1"/>
        <v>0.14686471554112246</v>
      </c>
      <c r="V186" s="138">
        <f ca="1"/>
        <v>0.23639183998675972</v>
      </c>
      <c r="W186" s="137">
        <f ca="1"/>
        <v>0</v>
      </c>
      <c r="X186" s="162">
        <f ca="1"/>
        <v>0</v>
      </c>
      <c r="Y186" s="162">
        <f ca="1"/>
        <v>7.3970227914115227E-3</v>
      </c>
      <c r="Z186" s="162">
        <f ca="1"/>
        <v>0</v>
      </c>
      <c r="AA186" s="162">
        <f ca="1"/>
        <v>3.5102633156694485E-2</v>
      </c>
      <c r="AB186" s="162">
        <f ca="1"/>
        <v>0</v>
      </c>
      <c r="AC186" s="162">
        <f ca="1"/>
        <v>9.3964070758809193E-2</v>
      </c>
      <c r="AD186" s="162">
        <f ca="1"/>
        <v>0.14792086263837334</v>
      </c>
      <c r="AE186" s="138">
        <f ca="1"/>
        <v>0.23774896515462696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2.1568879995419454E-3</v>
      </c>
      <c r="Q187" s="162">
        <f ca="1"/>
        <v>0</v>
      </c>
      <c r="R187" s="162">
        <f ca="1"/>
        <v>1.063261177001662E-2</v>
      </c>
      <c r="S187" s="162">
        <f ca="1"/>
        <v>0</v>
      </c>
      <c r="T187" s="162">
        <f ca="1"/>
        <v>2.3198226004273126E-2</v>
      </c>
      <c r="U187" s="162">
        <f ca="1"/>
        <v>3.3901779578111357E-2</v>
      </c>
      <c r="V187" s="138">
        <f ca="1"/>
        <v>5.5531340023681874E-2</v>
      </c>
      <c r="W187" s="137">
        <f ca="1"/>
        <v>0</v>
      </c>
      <c r="X187" s="162">
        <f ca="1"/>
        <v>0</v>
      </c>
      <c r="Y187" s="162">
        <f ca="1"/>
        <v>2.3604889181533251E-3</v>
      </c>
      <c r="Z187" s="162">
        <f ca="1"/>
        <v>0</v>
      </c>
      <c r="AA187" s="162">
        <f ca="1"/>
        <v>1.116632509634552E-2</v>
      </c>
      <c r="AB187" s="162">
        <f ca="1"/>
        <v>0</v>
      </c>
      <c r="AC187" s="162">
        <f ca="1"/>
        <v>2.4053988153076022E-2</v>
      </c>
      <c r="AD187" s="162">
        <f ca="1"/>
        <v>3.5073487450124619E-2</v>
      </c>
      <c r="AE187" s="138">
        <f ca="1"/>
        <v>5.7151783611081641E-2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2.4582398277526174E-3</v>
      </c>
      <c r="Q188" s="162">
        <f ca="1"/>
        <v>0</v>
      </c>
      <c r="R188" s="162">
        <f ca="1"/>
        <v>1.6542493212035381E-2</v>
      </c>
      <c r="S188" s="162">
        <f ca="1"/>
        <v>0</v>
      </c>
      <c r="T188" s="162">
        <f ca="1"/>
        <v>4.3124149547116297E-2</v>
      </c>
      <c r="U188" s="162">
        <f ca="1"/>
        <v>7.179951939380147E-2</v>
      </c>
      <c r="V188" s="138">
        <f ca="1"/>
        <v>0.11818088264896898</v>
      </c>
      <c r="W188" s="137">
        <f ca="1"/>
        <v>0</v>
      </c>
      <c r="X188" s="162">
        <f ca="1"/>
        <v>0</v>
      </c>
      <c r="Y188" s="162">
        <f ca="1"/>
        <v>2.6617726792004248E-3</v>
      </c>
      <c r="Z188" s="162">
        <f ca="1"/>
        <v>0</v>
      </c>
      <c r="AA188" s="162">
        <f ca="1"/>
        <v>1.7072489180920081E-2</v>
      </c>
      <c r="AB188" s="162">
        <f ca="1"/>
        <v>0</v>
      </c>
      <c r="AC188" s="162">
        <f ca="1"/>
        <v>4.3960649599535828E-2</v>
      </c>
      <c r="AD188" s="162">
        <f ca="1"/>
        <v>7.2927179280228072E-2</v>
      </c>
      <c r="AE188" s="138">
        <f ca="1"/>
        <v>0.11971948481208972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5.3917012577557877E-3</v>
      </c>
      <c r="Q189" s="162">
        <f ca="1"/>
        <v>0</v>
      </c>
      <c r="R189" s="162">
        <f ca="1"/>
        <v>2.6257577951855904E-2</v>
      </c>
      <c r="S189" s="162">
        <f ca="1"/>
        <v>0</v>
      </c>
      <c r="T189" s="162">
        <f ca="1"/>
        <v>6.428549399899508E-2</v>
      </c>
      <c r="U189" s="162">
        <f ca="1"/>
        <v>0.101753086999403</v>
      </c>
      <c r="V189" s="138">
        <f ca="1"/>
        <v>0.15984745280536616</v>
      </c>
      <c r="W189" s="137">
        <f ca="1"/>
        <v>0</v>
      </c>
      <c r="X189" s="162">
        <f ca="1"/>
        <v>0</v>
      </c>
      <c r="Y189" s="162">
        <f ca="1"/>
        <v>5.5945209164477427E-3</v>
      </c>
      <c r="Z189" s="162">
        <f ca="1"/>
        <v>0</v>
      </c>
      <c r="AA189" s="162">
        <f ca="1"/>
        <v>2.6780354692552244E-2</v>
      </c>
      <c r="AB189" s="162">
        <f ca="1"/>
        <v>0</v>
      </c>
      <c r="AC189" s="162">
        <f ca="1"/>
        <v>6.5097158997761029E-2</v>
      </c>
      <c r="AD189" s="162">
        <f ca="1"/>
        <v>0.10284080700630072</v>
      </c>
      <c r="AE189" s="138">
        <f ca="1"/>
        <v>0.16132083918508855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2.9569011258104849E-3</v>
      </c>
      <c r="Q190" s="162">
        <f ca="1"/>
        <v>0</v>
      </c>
      <c r="R190" s="162">
        <f ca="1"/>
        <v>2.3925700032202513E-2</v>
      </c>
      <c r="S190" s="162">
        <f ca="1"/>
        <v>0</v>
      </c>
      <c r="T190" s="162">
        <f ca="1"/>
        <v>6.040055170225922E-2</v>
      </c>
      <c r="U190" s="162">
        <f ca="1"/>
        <v>9.9430996998041365E-2</v>
      </c>
      <c r="V190" s="138">
        <f ca="1"/>
        <v>0.16993491759123958</v>
      </c>
      <c r="W190" s="137">
        <f ca="1"/>
        <v>0</v>
      </c>
      <c r="X190" s="162">
        <f ca="1"/>
        <v>0</v>
      </c>
      <c r="Y190" s="162">
        <f ca="1"/>
        <v>3.1603192969382743E-3</v>
      </c>
      <c r="Z190" s="162">
        <f ca="1"/>
        <v>0</v>
      </c>
      <c r="AA190" s="162">
        <f ca="1"/>
        <v>2.4450179241403247E-2</v>
      </c>
      <c r="AB190" s="162">
        <f ca="1"/>
        <v>0</v>
      </c>
      <c r="AC190" s="162">
        <f ca="1"/>
        <v>6.121743824228254E-2</v>
      </c>
      <c r="AD190" s="162">
        <f ca="1"/>
        <v>0.10052184388361773</v>
      </c>
      <c r="AE190" s="138">
        <f ca="1"/>
        <v>0.17140196426161725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3.4410785425172952E-3</v>
      </c>
      <c r="Q191" s="162">
        <f ca="1"/>
        <v>0</v>
      </c>
      <c r="R191" s="162">
        <f ca="1"/>
        <v>1.4378177380088175E-2</v>
      </c>
      <c r="S191" s="162">
        <f ca="1"/>
        <v>0</v>
      </c>
      <c r="T191" s="162">
        <f ca="1"/>
        <v>2.8961857891557363E-2</v>
      </c>
      <c r="U191" s="162">
        <f ca="1"/>
        <v>4.024060316384781E-2</v>
      </c>
      <c r="V191" s="138">
        <f ca="1"/>
        <v>5.9131791502485154E-2</v>
      </c>
      <c r="W191" s="137">
        <f ca="1"/>
        <v>0</v>
      </c>
      <c r="X191" s="162">
        <f ca="1"/>
        <v>0</v>
      </c>
      <c r="Y191" s="162">
        <f ca="1"/>
        <v>3.6443828722363403E-3</v>
      </c>
      <c r="Z191" s="162">
        <f ca="1"/>
        <v>0</v>
      </c>
      <c r="AA191" s="162">
        <f ca="1"/>
        <v>1.490950632165422E-2</v>
      </c>
      <c r="AB191" s="162">
        <f ca="1"/>
        <v>0</v>
      </c>
      <c r="AC191" s="162">
        <f ca="1"/>
        <v>2.9812047486602489E-2</v>
      </c>
      <c r="AD191" s="162">
        <f ca="1"/>
        <v>4.1403839885571947E-2</v>
      </c>
      <c r="AE191" s="138">
        <f ca="1"/>
        <v>6.0743483019949029E-2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1.0525183865510712E-3</v>
      </c>
      <c r="Q192" s="162">
        <f ca="1"/>
        <v>0</v>
      </c>
      <c r="R192" s="162">
        <f ca="1"/>
        <v>1.0421877610480967E-2</v>
      </c>
      <c r="S192" s="162">
        <f ca="1"/>
        <v>0</v>
      </c>
      <c r="T192" s="162">
        <f ca="1"/>
        <v>2.4662933309730795E-2</v>
      </c>
      <c r="U192" s="162">
        <f ca="1"/>
        <v>4.4471657449781987E-2</v>
      </c>
      <c r="V192" s="138">
        <f ca="1"/>
        <v>8.2527770375380283E-2</v>
      </c>
      <c r="W192" s="137">
        <f ca="1"/>
        <v>0</v>
      </c>
      <c r="X192" s="162">
        <f ca="1"/>
        <v>0</v>
      </c>
      <c r="Y192" s="162">
        <f ca="1"/>
        <v>1.2563610348073073E-3</v>
      </c>
      <c r="Z192" s="162">
        <f ca="1"/>
        <v>0</v>
      </c>
      <c r="AA192" s="162">
        <f ca="1"/>
        <v>1.0955863558760326E-2</v>
      </c>
      <c r="AB192" s="162">
        <f ca="1"/>
        <v>0</v>
      </c>
      <c r="AC192" s="162">
        <f ca="1"/>
        <v>2.5517820860006757E-2</v>
      </c>
      <c r="AD192" s="162">
        <f ca="1"/>
        <v>4.5632739358388741E-2</v>
      </c>
      <c r="AE192" s="138">
        <f ca="1"/>
        <v>8.4099652364451161E-2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9.7708367994375767E-4</v>
      </c>
      <c r="Q193" s="162">
        <f ca="1"/>
        <v>0</v>
      </c>
      <c r="R193" s="162">
        <f ca="1"/>
        <v>7.4007722949166466E-3</v>
      </c>
      <c r="S193" s="162">
        <f ca="1"/>
        <v>0</v>
      </c>
      <c r="T193" s="162">
        <f ca="1"/>
        <v>1.8684000259849842E-2</v>
      </c>
      <c r="U193" s="162">
        <f ca="1"/>
        <v>3.6664834255050627E-2</v>
      </c>
      <c r="V193" s="138">
        <f ca="1"/>
        <v>7.2108881688356274E-2</v>
      </c>
      <c r="W193" s="137">
        <f ca="1"/>
        <v>0</v>
      </c>
      <c r="X193" s="162">
        <f ca="1"/>
        <v>0</v>
      </c>
      <c r="Y193" s="162">
        <f ca="1"/>
        <v>1.1809424082436237E-3</v>
      </c>
      <c r="Z193" s="162">
        <f ca="1"/>
        <v>0</v>
      </c>
      <c r="AA193" s="162">
        <f ca="1"/>
        <v>7.9364654466470563E-3</v>
      </c>
      <c r="AB193" s="162">
        <f ca="1"/>
        <v>0</v>
      </c>
      <c r="AC193" s="162">
        <f ca="1"/>
        <v>1.9544167201188123E-2</v>
      </c>
      <c r="AD193" s="162">
        <f ca="1"/>
        <v>3.7835524554157063E-2</v>
      </c>
      <c r="AE193" s="138">
        <f ca="1"/>
        <v>7.3701766737302665E-2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9.7708367994375767E-4</v>
      </c>
      <c r="Q194" s="162">
        <f ca="1"/>
        <v>0</v>
      </c>
      <c r="R194" s="162">
        <f ca="1"/>
        <v>7.8532430943335507E-3</v>
      </c>
      <c r="S194" s="162">
        <f ca="1"/>
        <v>0</v>
      </c>
      <c r="T194" s="162">
        <f ca="1"/>
        <v>1.8635703180666319E-2</v>
      </c>
      <c r="U194" s="162">
        <f ca="1"/>
        <v>3.4860129559877939E-2</v>
      </c>
      <c r="V194" s="138">
        <f ca="1"/>
        <v>6.4252898636515954E-2</v>
      </c>
      <c r="W194" s="137">
        <f ca="1"/>
        <v>0</v>
      </c>
      <c r="X194" s="162">
        <f ca="1"/>
        <v>0</v>
      </c>
      <c r="Y194" s="162">
        <f ca="1"/>
        <v>1.1809424082436237E-3</v>
      </c>
      <c r="Z194" s="162">
        <f ca="1"/>
        <v>0</v>
      </c>
      <c r="AA194" s="162">
        <f ca="1"/>
        <v>8.3886921305313944E-3</v>
      </c>
      <c r="AB194" s="162">
        <f ca="1"/>
        <v>0</v>
      </c>
      <c r="AC194" s="162">
        <f ca="1"/>
        <v>1.9495843757745379E-2</v>
      </c>
      <c r="AD194" s="162">
        <f ca="1"/>
        <v>3.6032592126099883E-2</v>
      </c>
      <c r="AE194" s="138">
        <f ca="1"/>
        <v>6.5860890708693831E-2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1.7434005946935782E-3</v>
      </c>
      <c r="Q195" s="162">
        <f ca="1"/>
        <v>0</v>
      </c>
      <c r="R195" s="162">
        <f ca="1"/>
        <v>1.0048322862681314E-2</v>
      </c>
      <c r="S195" s="162">
        <f ca="1"/>
        <v>0</v>
      </c>
      <c r="T195" s="162">
        <f ca="1"/>
        <v>2.5995622708411381E-2</v>
      </c>
      <c r="U195" s="162">
        <f ca="1"/>
        <v>3.8976604791582159E-2</v>
      </c>
      <c r="V195" s="138">
        <f ca="1"/>
        <v>6.6907154262543678E-2</v>
      </c>
      <c r="W195" s="137">
        <f ca="1"/>
        <v>0</v>
      </c>
      <c r="X195" s="162">
        <f ca="1"/>
        <v>0</v>
      </c>
      <c r="Y195" s="162">
        <f ca="1"/>
        <v>1.9470934224534719E-3</v>
      </c>
      <c r="Z195" s="162">
        <f ca="1"/>
        <v>0</v>
      </c>
      <c r="AA195" s="162">
        <f ca="1"/>
        <v>1.0582429387397618E-2</v>
      </c>
      <c r="AB195" s="162">
        <f ca="1"/>
        <v>0</v>
      </c>
      <c r="AC195" s="162">
        <f ca="1"/>
        <v>2.6849157605758234E-2</v>
      </c>
      <c r="AD195" s="162">
        <f ca="1"/>
        <v>4.0143486767503456E-2</v>
      </c>
      <c r="AE195" s="138">
        <f ca="1"/>
        <v>6.8507992974699339E-2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8.4658869185383345E-4</v>
      </c>
      <c r="Q196" s="162">
        <f ca="1"/>
        <v>0</v>
      </c>
      <c r="R196" s="162">
        <f ca="1"/>
        <v>8.7403646997836759E-3</v>
      </c>
      <c r="S196" s="162">
        <f ca="1"/>
        <v>0</v>
      </c>
      <c r="T196" s="162">
        <f ca="1"/>
        <v>1.8552297578476984E-2</v>
      </c>
      <c r="U196" s="162">
        <f ca="1"/>
        <v>3.4557921589619123E-2</v>
      </c>
      <c r="V196" s="138">
        <f ca="1"/>
        <v>6.3493651337758084E-2</v>
      </c>
      <c r="W196" s="137">
        <f ca="1"/>
        <v>0</v>
      </c>
      <c r="X196" s="162">
        <f ca="1"/>
        <v>0</v>
      </c>
      <c r="Y196" s="162">
        <f ca="1"/>
        <v>1.0504751097909493E-3</v>
      </c>
      <c r="Z196" s="162">
        <f ca="1"/>
        <v>0</v>
      </c>
      <c r="AA196" s="162">
        <f ca="1"/>
        <v>9.2753452239527912E-3</v>
      </c>
      <c r="AB196" s="162">
        <f ca="1"/>
        <v>0</v>
      </c>
      <c r="AC196" s="162">
        <f ca="1"/>
        <v>1.9412405469106386E-2</v>
      </c>
      <c r="AD196" s="162">
        <f ca="1"/>
        <v>3.5730415048349728E-2</v>
      </c>
      <c r="AE196" s="138">
        <f ca="1"/>
        <v>6.5102710319848156E-2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4.4859448762283316E-3</v>
      </c>
      <c r="Q197" s="162">
        <f ca="1"/>
        <v>0</v>
      </c>
      <c r="R197" s="162">
        <f ca="1"/>
        <v>2.0705654385165362E-2</v>
      </c>
      <c r="S197" s="162">
        <f ca="1"/>
        <v>0</v>
      </c>
      <c r="T197" s="162">
        <f ca="1"/>
        <v>4.6451420227225482E-2</v>
      </c>
      <c r="U197" s="162">
        <f ca="1"/>
        <v>7.3965179594963737E-2</v>
      </c>
      <c r="V197" s="138">
        <f ca="1"/>
        <v>0.12434399827176401</v>
      </c>
      <c r="W197" s="137">
        <f ca="1"/>
        <v>0</v>
      </c>
      <c r="X197" s="162">
        <f ca="1"/>
        <v>0</v>
      </c>
      <c r="Y197" s="162">
        <f ca="1"/>
        <v>4.6889948968804607E-3</v>
      </c>
      <c r="Z197" s="162">
        <f ca="1"/>
        <v>0</v>
      </c>
      <c r="AA197" s="162">
        <f ca="1"/>
        <v>2.1232688421260471E-2</v>
      </c>
      <c r="AB197" s="162">
        <f ca="1"/>
        <v>0</v>
      </c>
      <c r="AC197" s="162">
        <f ca="1"/>
        <v>4.7284337126106246E-2</v>
      </c>
      <c r="AD197" s="162">
        <f ca="1"/>
        <v>7.5088662679263951E-2</v>
      </c>
      <c r="AE197" s="138">
        <f ca="1"/>
        <v>0.12587182588967205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9.995108042356593E-4</v>
      </c>
      <c r="Q198" s="162">
        <f ca="1"/>
        <v>0</v>
      </c>
      <c r="R198" s="162">
        <f ca="1"/>
        <v>8.4638030443090484E-3</v>
      </c>
      <c r="S198" s="162">
        <f ca="1"/>
        <v>0</v>
      </c>
      <c r="T198" s="162">
        <f ca="1"/>
        <v>1.9017937599428936E-2</v>
      </c>
      <c r="U198" s="162">
        <f ca="1"/>
        <v>3.5188564900703767E-2</v>
      </c>
      <c r="V198" s="138">
        <f ca="1"/>
        <v>6.6284975629990806E-2</v>
      </c>
      <c r="W198" s="137">
        <f ca="1"/>
        <v>0</v>
      </c>
      <c r="X198" s="162">
        <f ca="1"/>
        <v>0</v>
      </c>
      <c r="Y198" s="162">
        <f ca="1"/>
        <v>1.2033647575020456E-3</v>
      </c>
      <c r="Z198" s="162">
        <f ca="1"/>
        <v>0</v>
      </c>
      <c r="AA198" s="162">
        <f ca="1"/>
        <v>8.998913470606551E-3</v>
      </c>
      <c r="AB198" s="162">
        <f ca="1"/>
        <v>0</v>
      </c>
      <c r="AC198" s="162">
        <f ca="1"/>
        <v>1.9877681553160831E-2</v>
      </c>
      <c r="AD198" s="162">
        <f ca="1"/>
        <v>3.6360438703549436E-2</v>
      </c>
      <c r="AE198" s="138">
        <f ca="1"/>
        <v>6.7888663440485164E-2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1.6619052209513319E-3</v>
      </c>
      <c r="Q199" s="162">
        <f ca="1"/>
        <v>0</v>
      </c>
      <c r="R199" s="162">
        <f ca="1"/>
        <v>8.5668908234552976E-3</v>
      </c>
      <c r="S199" s="162">
        <f ca="1"/>
        <v>0</v>
      </c>
      <c r="T199" s="162">
        <f ca="1"/>
        <v>1.7592159944588626E-2</v>
      </c>
      <c r="U199" s="162">
        <f ca="1"/>
        <v>3.2391953992414901E-2</v>
      </c>
      <c r="V199" s="138">
        <f ca="1"/>
        <v>5.9337287400202832E-2</v>
      </c>
      <c r="W199" s="137">
        <f ca="1"/>
        <v>0</v>
      </c>
      <c r="X199" s="162">
        <f ca="1"/>
        <v>0</v>
      </c>
      <c r="Y199" s="162">
        <f ca="1"/>
        <v>1.8656159632222113E-3</v>
      </c>
      <c r="Z199" s="162">
        <f ca="1"/>
        <v>0</v>
      </c>
      <c r="AA199" s="162">
        <f ca="1"/>
        <v>9.1018348077799294E-3</v>
      </c>
      <c r="AB199" s="162">
        <f ca="1"/>
        <v>0</v>
      </c>
      <c r="AC199" s="162">
        <f ca="1"/>
        <v>1.8452780709744876E-2</v>
      </c>
      <c r="AD199" s="162">
        <f ca="1"/>
        <v>3.3566542828817547E-2</v>
      </c>
      <c r="AE199" s="138">
        <f ca="1"/>
        <v>6.0953522573596763E-2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1.0035884095545011E-3</v>
      </c>
      <c r="Q200" s="162">
        <f ca="1"/>
        <v>0</v>
      </c>
      <c r="R200" s="162">
        <f ca="1"/>
        <v>9.3236218951979755E-3</v>
      </c>
      <c r="S200" s="162">
        <f ca="1"/>
        <v>0</v>
      </c>
      <c r="T200" s="162">
        <f ca="1"/>
        <v>2.2086864213911594E-2</v>
      </c>
      <c r="U200" s="162">
        <f ca="1"/>
        <v>3.8026459305328109E-2</v>
      </c>
      <c r="V200" s="138">
        <f ca="1"/>
        <v>6.7135016709294448E-2</v>
      </c>
      <c r="W200" s="137">
        <f ca="1"/>
        <v>0</v>
      </c>
      <c r="X200" s="162">
        <f ca="1"/>
        <v>0</v>
      </c>
      <c r="Y200" s="162">
        <f ca="1"/>
        <v>1.2074414941749545E-3</v>
      </c>
      <c r="Z200" s="162">
        <f ca="1"/>
        <v>0</v>
      </c>
      <c r="AA200" s="162">
        <f ca="1"/>
        <v>9.8582492956655887E-3</v>
      </c>
      <c r="AB200" s="162">
        <f ca="1"/>
        <v>0</v>
      </c>
      <c r="AC200" s="162">
        <f ca="1"/>
        <v>2.2944031398665077E-2</v>
      </c>
      <c r="AD200" s="162">
        <f ca="1"/>
        <v>3.9194967550215676E-2</v>
      </c>
      <c r="AE200" s="138">
        <f ca="1"/>
        <v>6.8736984862383332E-2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5.4018508544143584E-3</v>
      </c>
      <c r="Q201" s="162">
        <f ca="1"/>
        <v>0</v>
      </c>
      <c r="R201" s="162">
        <f ca="1"/>
        <v>3.7249301273589941E-2</v>
      </c>
      <c r="S201" s="162">
        <f ca="1"/>
        <v>0</v>
      </c>
      <c r="T201" s="162">
        <f ca="1"/>
        <v>9.2998620513628505E-2</v>
      </c>
      <c r="U201" s="162">
        <f ca="1"/>
        <v>0.14592419523746702</v>
      </c>
      <c r="V201" s="138">
        <f ca="1"/>
        <v>0.24791889556928348</v>
      </c>
      <c r="W201" s="137">
        <f ca="1"/>
        <v>0</v>
      </c>
      <c r="X201" s="162">
        <f ca="1"/>
        <v>0</v>
      </c>
      <c r="Y201" s="162">
        <f ca="1"/>
        <v>5.6046678780862225E-3</v>
      </c>
      <c r="Z201" s="162">
        <f ca="1"/>
        <v>0</v>
      </c>
      <c r="AA201" s="162">
        <f ca="1"/>
        <v>3.7761588115408973E-2</v>
      </c>
      <c r="AB201" s="162">
        <f ca="1"/>
        <v>0</v>
      </c>
      <c r="AC201" s="162">
        <f ca="1"/>
        <v>9.3805762074521515E-2</v>
      </c>
      <c r="AD201" s="162">
        <f ca="1"/>
        <v>0.14698100695299965</v>
      </c>
      <c r="AE201" s="138">
        <f ca="1"/>
        <v>0.24926455561440386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3.4410785425172952E-3</v>
      </c>
      <c r="Q202" s="162">
        <f ca="1"/>
        <v>0</v>
      </c>
      <c r="R202" s="162">
        <f ca="1"/>
        <v>1.7021548415095955E-2</v>
      </c>
      <c r="S202" s="162">
        <f ca="1"/>
        <v>0</v>
      </c>
      <c r="T202" s="162">
        <f ca="1"/>
        <v>3.6276067494801723E-2</v>
      </c>
      <c r="U202" s="162">
        <f ca="1"/>
        <v>5.4632980320919233E-2</v>
      </c>
      <c r="V202" s="138">
        <f ca="1"/>
        <v>8.1555013842047441E-2</v>
      </c>
      <c r="W202" s="137">
        <f ca="1"/>
        <v>0</v>
      </c>
      <c r="X202" s="162">
        <f ca="1"/>
        <v>0</v>
      </c>
      <c r="Y202" s="162">
        <f ca="1"/>
        <v>3.6443828722363403E-3</v>
      </c>
      <c r="Z202" s="162">
        <f ca="1"/>
        <v>0</v>
      </c>
      <c r="AA202" s="162">
        <f ca="1"/>
        <v>1.7551175205935854E-2</v>
      </c>
      <c r="AB202" s="162">
        <f ca="1"/>
        <v>0</v>
      </c>
      <c r="AC202" s="162">
        <f ca="1"/>
        <v>3.7119520685648388E-2</v>
      </c>
      <c r="AD202" s="162">
        <f ca="1"/>
        <v>5.5780154326507181E-2</v>
      </c>
      <c r="AE202" s="138">
        <f ca="1"/>
        <v>8.3127764692608963E-2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2.9589359720082475E-3</v>
      </c>
      <c r="Q203" s="162">
        <f ca="1"/>
        <v>0</v>
      </c>
      <c r="R203" s="162">
        <f ca="1"/>
        <v>1.0305499684541419E-2</v>
      </c>
      <c r="S203" s="162">
        <f ca="1"/>
        <v>0</v>
      </c>
      <c r="T203" s="162">
        <f ca="1"/>
        <v>3.4397683633950571E-2</v>
      </c>
      <c r="U203" s="162">
        <f ca="1"/>
        <v>6.6217071712286302E-2</v>
      </c>
      <c r="V203" s="138">
        <f ca="1"/>
        <v>0.11488165435099762</v>
      </c>
      <c r="W203" s="137">
        <f ca="1"/>
        <v>0</v>
      </c>
      <c r="X203" s="162">
        <f ca="1"/>
        <v>0</v>
      </c>
      <c r="Y203" s="162">
        <f ca="1"/>
        <v>3.1623536698544008E-3</v>
      </c>
      <c r="Z203" s="162">
        <f ca="1"/>
        <v>0</v>
      </c>
      <c r="AA203" s="162">
        <f ca="1"/>
        <v>1.0839275513265356E-2</v>
      </c>
      <c r="AB203" s="162">
        <f ca="1"/>
        <v>0</v>
      </c>
      <c r="AC203" s="162">
        <f ca="1"/>
        <v>3.5242651114910206E-2</v>
      </c>
      <c r="AD203" s="162">
        <f ca="1"/>
        <v>6.7351820532712048E-2</v>
      </c>
      <c r="AE203" s="138">
        <f ca="1"/>
        <v>0.1164314476130619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9.2157569157633179E-2</v>
      </c>
      <c r="Q204" s="162">
        <f ca="1"/>
        <v>0</v>
      </c>
      <c r="R204" s="162">
        <f ca="1"/>
        <v>0.19558499918061378</v>
      </c>
      <c r="S204" s="162">
        <f ca="1"/>
        <v>0</v>
      </c>
      <c r="T204" s="162">
        <f ca="1"/>
        <v>0.24927660968237253</v>
      </c>
      <c r="U204" s="162">
        <f ca="1"/>
        <v>0.29558374871362536</v>
      </c>
      <c r="V204" s="138">
        <f ca="1"/>
        <v>0.34767259273126694</v>
      </c>
      <c r="W204" s="137">
        <f ca="1"/>
        <v>0</v>
      </c>
      <c r="X204" s="162">
        <f ca="1"/>
        <v>0</v>
      </c>
      <c r="Y204" s="162">
        <f ca="1"/>
        <v>9.2342810549404852E-2</v>
      </c>
      <c r="Z204" s="162">
        <f ca="1"/>
        <v>0</v>
      </c>
      <c r="AA204" s="162">
        <f ca="1"/>
        <v>0.1960155623931874</v>
      </c>
      <c r="AB204" s="162">
        <f ca="1"/>
        <v>0</v>
      </c>
      <c r="AC204" s="162">
        <f ca="1"/>
        <v>0.24990195191216669</v>
      </c>
      <c r="AD204" s="162">
        <f ca="1"/>
        <v>0.29640508846546165</v>
      </c>
      <c r="AE204" s="138">
        <f ca="1"/>
        <v>0.34872618877779582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5.7347008402101052E-3</v>
      </c>
      <c r="Q205" s="162">
        <f ca="1"/>
        <v>0</v>
      </c>
      <c r="R205" s="162">
        <f ca="1"/>
        <v>2.9131982266296985E-2</v>
      </c>
      <c r="S205" s="162">
        <f ca="1"/>
        <v>0</v>
      </c>
      <c r="T205" s="162">
        <f ca="1"/>
        <v>7.8097425724194092E-2</v>
      </c>
      <c r="U205" s="162">
        <f ca="1"/>
        <v>0.12756250368836086</v>
      </c>
      <c r="V205" s="138">
        <f ca="1"/>
        <v>0.21477220876388214</v>
      </c>
      <c r="W205" s="137">
        <f ca="1"/>
        <v>0</v>
      </c>
      <c r="X205" s="162">
        <f ca="1"/>
        <v>0</v>
      </c>
      <c r="Y205" s="162">
        <f ca="1"/>
        <v>5.9374307786907998E-3</v>
      </c>
      <c r="Z205" s="162">
        <f ca="1"/>
        <v>0</v>
      </c>
      <c r="AA205" s="162">
        <f ca="1"/>
        <v>2.9652342809106114E-2</v>
      </c>
      <c r="AB205" s="162">
        <f ca="1"/>
        <v>0</v>
      </c>
      <c r="AC205" s="162">
        <f ca="1"/>
        <v>7.8915389545305303E-2</v>
      </c>
      <c r="AD205" s="162">
        <f ca="1"/>
        <v>0.12864002062110458</v>
      </c>
      <c r="AE205" s="138">
        <f ca="1"/>
        <v>0.21616711175215741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1.3508969166675322E-2</v>
      </c>
      <c r="Q206" s="162">
        <f ca="1"/>
        <v>0</v>
      </c>
      <c r="R206" s="162">
        <f ca="1"/>
        <v>6.373459593466424E-2</v>
      </c>
      <c r="S206" s="162">
        <f ca="1"/>
        <v>0</v>
      </c>
      <c r="T206" s="162">
        <f ca="1"/>
        <v>0.15035370464193432</v>
      </c>
      <c r="U206" s="162">
        <f ca="1"/>
        <v>0.22499792676530883</v>
      </c>
      <c r="V206" s="138">
        <f ca="1"/>
        <v>0.34200590079614157</v>
      </c>
      <c r="W206" s="137">
        <f ca="1"/>
        <v>0</v>
      </c>
      <c r="X206" s="162">
        <f ca="1"/>
        <v>0</v>
      </c>
      <c r="Y206" s="162">
        <f ca="1"/>
        <v>1.3709251561306868E-2</v>
      </c>
      <c r="Z206" s="162">
        <f ca="1"/>
        <v>0</v>
      </c>
      <c r="AA206" s="162">
        <f ca="1"/>
        <v>6.4242833825712831E-2</v>
      </c>
      <c r="AB206" s="162">
        <f ca="1"/>
        <v>0</v>
      </c>
      <c r="AC206" s="162">
        <f ca="1"/>
        <v>0.15111466775540128</v>
      </c>
      <c r="AD206" s="162">
        <f ca="1"/>
        <v>0.22596483909756537</v>
      </c>
      <c r="AE206" s="138">
        <f ca="1"/>
        <v>0.34319038614253894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9.6077273056571766E-4</v>
      </c>
      <c r="Q207" s="162">
        <f ca="1"/>
        <v>0</v>
      </c>
      <c r="R207" s="162">
        <f ca="1"/>
        <v>1.0329906030986713E-2</v>
      </c>
      <c r="S207" s="162">
        <f ca="1"/>
        <v>0</v>
      </c>
      <c r="T207" s="162">
        <f ca="1"/>
        <v>2.2878778690655355E-2</v>
      </c>
      <c r="U207" s="162">
        <f ca="1"/>
        <v>4.3024921209630307E-2</v>
      </c>
      <c r="V207" s="138">
        <f ca="1"/>
        <v>7.883784895062762E-2</v>
      </c>
      <c r="W207" s="137">
        <f ca="1"/>
        <v>0</v>
      </c>
      <c r="X207" s="162">
        <f ca="1"/>
        <v>0</v>
      </c>
      <c r="Y207" s="162">
        <f ca="1"/>
        <v>1.1646349287413038E-3</v>
      </c>
      <c r="Z207" s="162">
        <f ca="1"/>
        <v>0</v>
      </c>
      <c r="AA207" s="162">
        <f ca="1"/>
        <v>1.0863957896933285E-2</v>
      </c>
      <c r="AB207" s="162">
        <f ca="1"/>
        <v>0</v>
      </c>
      <c r="AC207" s="162">
        <f ca="1"/>
        <v>2.3735199992754752E-2</v>
      </c>
      <c r="AD207" s="162">
        <f ca="1"/>
        <v>4.4187589865356758E-2</v>
      </c>
      <c r="AE207" s="138">
        <f ca="1"/>
        <v>8.0417733841235739E-2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2.2872133707038111E-3</v>
      </c>
      <c r="Q208" s="162">
        <f ca="1"/>
        <v>0</v>
      </c>
      <c r="R208" s="162">
        <f ca="1"/>
        <v>1.0523300314449147E-2</v>
      </c>
      <c r="S208" s="162">
        <f ca="1"/>
        <v>0</v>
      </c>
      <c r="T208" s="162">
        <f ca="1"/>
        <v>2.6799754848623625E-2</v>
      </c>
      <c r="U208" s="162">
        <f ca="1"/>
        <v>4.961132977100291E-2</v>
      </c>
      <c r="V208" s="138">
        <f ca="1"/>
        <v>9.1270815335043887E-2</v>
      </c>
      <c r="W208" s="137">
        <f ca="1"/>
        <v>0</v>
      </c>
      <c r="X208" s="162">
        <f ca="1"/>
        <v>0</v>
      </c>
      <c r="Y208" s="162">
        <f ca="1"/>
        <v>2.4907849654746128E-3</v>
      </c>
      <c r="Z208" s="162">
        <f ca="1"/>
        <v>0</v>
      </c>
      <c r="AA208" s="162">
        <f ca="1"/>
        <v>1.1057057126140468E-2</v>
      </c>
      <c r="AB208" s="162">
        <f ca="1"/>
        <v>0</v>
      </c>
      <c r="AC208" s="162">
        <f ca="1"/>
        <v>2.7652386822282549E-2</v>
      </c>
      <c r="AD208" s="162">
        <f ca="1"/>
        <v>5.076617433838182E-2</v>
      </c>
      <c r="AE208" s="138">
        <f ca="1"/>
        <v>9.2853915295991296E-2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7.688538437008241E-2</v>
      </c>
      <c r="Q209" s="162">
        <f ca="1"/>
        <v>0</v>
      </c>
      <c r="R209" s="162">
        <f ca="1"/>
        <v>0.19146502186409964</v>
      </c>
      <c r="S209" s="162">
        <f ca="1"/>
        <v>0</v>
      </c>
      <c r="T209" s="162">
        <f ca="1"/>
        <v>0.25426519286509397</v>
      </c>
      <c r="U209" s="162">
        <f ca="1"/>
        <v>0.30920921135304813</v>
      </c>
      <c r="V209" s="138">
        <f ca="1"/>
        <v>0.38249645438732405</v>
      </c>
      <c r="W209" s="137">
        <f ca="1"/>
        <v>0</v>
      </c>
      <c r="X209" s="162">
        <f ca="1"/>
        <v>0</v>
      </c>
      <c r="Y209" s="162">
        <f ca="1"/>
        <v>7.7073744449813186E-2</v>
      </c>
      <c r="Z209" s="162">
        <f ca="1"/>
        <v>0</v>
      </c>
      <c r="AA209" s="162">
        <f ca="1"/>
        <v>0.19190130079777734</v>
      </c>
      <c r="AB209" s="162">
        <f ca="1"/>
        <v>0</v>
      </c>
      <c r="AC209" s="162">
        <f ca="1"/>
        <v>0.2549064856092601</v>
      </c>
      <c r="AD209" s="162">
        <f ca="1"/>
        <v>0.31001466400107358</v>
      </c>
      <c r="AE209" s="138">
        <f ca="1"/>
        <v>0.38352476979582273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8.6869579393775709E-3</v>
      </c>
      <c r="Q210" s="162">
        <f ca="1"/>
        <v>0</v>
      </c>
      <c r="R210" s="162">
        <f ca="1"/>
        <v>4.0702199562467567E-2</v>
      </c>
      <c r="S210" s="162">
        <f ca="1"/>
        <v>0</v>
      </c>
      <c r="T210" s="162">
        <f ca="1"/>
        <v>0.1038288225330517</v>
      </c>
      <c r="U210" s="162">
        <f ca="1"/>
        <v>0.16625752894510437</v>
      </c>
      <c r="V210" s="138">
        <f ca="1"/>
        <v>0.27558024065127296</v>
      </c>
      <c r="W210" s="137">
        <f ca="1"/>
        <v>0</v>
      </c>
      <c r="X210" s="162">
        <f ca="1"/>
        <v>0</v>
      </c>
      <c r="Y210" s="162">
        <f ca="1"/>
        <v>8.8888557725997908E-3</v>
      </c>
      <c r="Z210" s="162">
        <f ca="1"/>
        <v>0</v>
      </c>
      <c r="AA210" s="162">
        <f ca="1"/>
        <v>4.1211783772558297E-2</v>
      </c>
      <c r="AB210" s="162">
        <f ca="1"/>
        <v>0</v>
      </c>
      <c r="AC210" s="162">
        <f ca="1"/>
        <v>0.10462759062358895</v>
      </c>
      <c r="AD210" s="162">
        <f ca="1"/>
        <v>0.16729370341056682</v>
      </c>
      <c r="AE210" s="138">
        <f ca="1"/>
        <v>0.27688318806094714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7.3709624776813198E-3</v>
      </c>
      <c r="Q211" s="162">
        <f ca="1"/>
        <v>0</v>
      </c>
      <c r="R211" s="162">
        <f ca="1"/>
        <v>4.2118245662029374E-2</v>
      </c>
      <c r="S211" s="162">
        <f ca="1"/>
        <v>0</v>
      </c>
      <c r="T211" s="162">
        <f ca="1"/>
        <v>0.10507720785967778</v>
      </c>
      <c r="U211" s="162">
        <f ca="1"/>
        <v>0.16060862210554572</v>
      </c>
      <c r="V211" s="138">
        <f ca="1"/>
        <v>0.25620443791983827</v>
      </c>
      <c r="W211" s="137">
        <f ca="1"/>
        <v>0</v>
      </c>
      <c r="X211" s="162">
        <f ca="1"/>
        <v>0</v>
      </c>
      <c r="Y211" s="162">
        <f ca="1"/>
        <v>7.5732448386037765E-3</v>
      </c>
      <c r="Z211" s="162">
        <f ca="1"/>
        <v>0</v>
      </c>
      <c r="AA211" s="162">
        <f ca="1"/>
        <v>4.2625727567008331E-2</v>
      </c>
      <c r="AB211" s="162">
        <f ca="1"/>
        <v>0</v>
      </c>
      <c r="AC211" s="162">
        <f ca="1"/>
        <v>0.10587537502565836</v>
      </c>
      <c r="AD211" s="162">
        <f ca="1"/>
        <v>0.16164861917341788</v>
      </c>
      <c r="AE211" s="138">
        <f ca="1"/>
        <v>0.2575292389259044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1.3786575231897746E-3</v>
      </c>
      <c r="Q212" s="162">
        <f ca="1"/>
        <v>0</v>
      </c>
      <c r="R212" s="162">
        <f ca="1"/>
        <v>6.304652015610146E-3</v>
      </c>
      <c r="S212" s="162">
        <f ca="1"/>
        <v>0</v>
      </c>
      <c r="T212" s="162">
        <f ca="1"/>
        <v>1.7407461747432906E-2</v>
      </c>
      <c r="U212" s="162">
        <f ca="1"/>
        <v>3.0994943202693137E-2</v>
      </c>
      <c r="V212" s="138">
        <f ca="1"/>
        <v>6.5480783502632756E-2</v>
      </c>
      <c r="W212" s="137">
        <f ca="1"/>
        <v>0</v>
      </c>
      <c r="X212" s="162">
        <f ca="1"/>
        <v>0</v>
      </c>
      <c r="Y212" s="162">
        <f ca="1"/>
        <v>1.5824300235124378E-3</v>
      </c>
      <c r="Z212" s="162">
        <f ca="1"/>
        <v>0</v>
      </c>
      <c r="AA212" s="162">
        <f ca="1"/>
        <v>6.8408419242227403E-3</v>
      </c>
      <c r="AB212" s="162">
        <f ca="1"/>
        <v>0</v>
      </c>
      <c r="AC212" s="162">
        <f ca="1"/>
        <v>1.826867624974704E-2</v>
      </c>
      <c r="AD212" s="162">
        <f ca="1"/>
        <v>3.217189623244765E-2</v>
      </c>
      <c r="AE212" s="138">
        <f ca="1"/>
        <v>6.708493446356123E-2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1.0545570840144736E-3</v>
      </c>
      <c r="Q213" s="162">
        <f ca="1"/>
        <v>0</v>
      </c>
      <c r="R213" s="162">
        <f ca="1"/>
        <v>5.9096854570747093E-3</v>
      </c>
      <c r="S213" s="162">
        <f ca="1"/>
        <v>0</v>
      </c>
      <c r="T213" s="162">
        <f ca="1"/>
        <v>1.7027314693629614E-2</v>
      </c>
      <c r="U213" s="162">
        <f ca="1"/>
        <v>2.7392926364340431E-2</v>
      </c>
      <c r="V213" s="138">
        <f ca="1"/>
        <v>4.9655618359877307E-2</v>
      </c>
      <c r="W213" s="137">
        <f ca="1"/>
        <v>0</v>
      </c>
      <c r="X213" s="162">
        <f ca="1"/>
        <v>0</v>
      </c>
      <c r="Y213" s="162">
        <f ca="1"/>
        <v>1.2583992969615876E-3</v>
      </c>
      <c r="Z213" s="162">
        <f ca="1"/>
        <v>0</v>
      </c>
      <c r="AA213" s="162">
        <f ca="1"/>
        <v>6.4461427605981836E-3</v>
      </c>
      <c r="AB213" s="162">
        <f ca="1"/>
        <v>0</v>
      </c>
      <c r="AC213" s="162">
        <f ca="1"/>
        <v>1.7888983901473532E-2</v>
      </c>
      <c r="AD213" s="162">
        <f ca="1"/>
        <v>2.8573658544983616E-2</v>
      </c>
      <c r="AE213" s="138">
        <f ca="1"/>
        <v>5.1289109567792424E-2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1.1666790933914095E-3</v>
      </c>
      <c r="Q214" s="162">
        <f ca="1"/>
        <v>0</v>
      </c>
      <c r="R214" s="162">
        <f ca="1"/>
        <v>1.2691772542849811E-2</v>
      </c>
      <c r="S214" s="162">
        <f ca="1"/>
        <v>0</v>
      </c>
      <c r="T214" s="162">
        <f ca="1"/>
        <v>3.6978021845384457E-2</v>
      </c>
      <c r="U214" s="162">
        <f ca="1"/>
        <v>7.2466051547342425E-2</v>
      </c>
      <c r="V214" s="138">
        <f ca="1"/>
        <v>0.1225178602705046</v>
      </c>
      <c r="W214" s="137">
        <f ca="1"/>
        <v>0</v>
      </c>
      <c r="X214" s="162">
        <f ca="1"/>
        <v>0</v>
      </c>
      <c r="Y214" s="162">
        <f ca="1"/>
        <v>1.3704973034486256E-3</v>
      </c>
      <c r="Z214" s="162">
        <f ca="1"/>
        <v>0</v>
      </c>
      <c r="AA214" s="162">
        <f ca="1"/>
        <v>1.322436803579119E-2</v>
      </c>
      <c r="AB214" s="162">
        <f ca="1"/>
        <v>0</v>
      </c>
      <c r="AC214" s="162">
        <f ca="1"/>
        <v>3.7821076050970404E-2</v>
      </c>
      <c r="AD214" s="162">
        <f ca="1"/>
        <v>7.3592223431232395E-2</v>
      </c>
      <c r="AE214" s="138">
        <f ca="1"/>
        <v>0.12405634442620661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2.7676424497831142E-3</v>
      </c>
      <c r="Q215" s="162">
        <f ca="1"/>
        <v>0</v>
      </c>
      <c r="R215" s="162">
        <f ca="1"/>
        <v>1.3844738400561218E-2</v>
      </c>
      <c r="S215" s="162">
        <f ca="1"/>
        <v>0</v>
      </c>
      <c r="T215" s="162">
        <f ca="1"/>
        <v>4.1176484075672093E-2</v>
      </c>
      <c r="U215" s="162">
        <f ca="1"/>
        <v>7.150025907226143E-2</v>
      </c>
      <c r="V215" s="138">
        <f ca="1"/>
        <v>0.1429824100283944</v>
      </c>
      <c r="W215" s="137">
        <f ca="1"/>
        <v>0</v>
      </c>
      <c r="X215" s="162">
        <f ca="1"/>
        <v>0</v>
      </c>
      <c r="Y215" s="162">
        <f ca="1"/>
        <v>2.9711044492779504E-3</v>
      </c>
      <c r="Z215" s="162">
        <f ca="1"/>
        <v>0</v>
      </c>
      <c r="AA215" s="162">
        <f ca="1"/>
        <v>1.4376463337463341E-2</v>
      </c>
      <c r="AB215" s="162">
        <f ca="1"/>
        <v>0</v>
      </c>
      <c r="AC215" s="162">
        <f ca="1"/>
        <v>4.2014574222951406E-2</v>
      </c>
      <c r="AD215" s="162">
        <f ca="1"/>
        <v>7.2628636204969954E-2</v>
      </c>
      <c r="AE215" s="138">
        <f ca="1"/>
        <v>0.14449728262735861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5.9346484770659624E-2</v>
      </c>
      <c r="Q216" s="162">
        <f ca="1"/>
        <v>0</v>
      </c>
      <c r="R216" s="162">
        <f ca="1"/>
        <v>0.13895661447340169</v>
      </c>
      <c r="S216" s="162">
        <f ca="1"/>
        <v>0</v>
      </c>
      <c r="T216" s="162">
        <f ca="1"/>
        <v>0.1935851838584095</v>
      </c>
      <c r="U216" s="162">
        <f ca="1"/>
        <v>0.21687288034188612</v>
      </c>
      <c r="V216" s="138">
        <f ca="1"/>
        <v>0.24599441083798546</v>
      </c>
      <c r="W216" s="137">
        <f ca="1"/>
        <v>0</v>
      </c>
      <c r="X216" s="162">
        <f ca="1"/>
        <v>0</v>
      </c>
      <c r="Y216" s="162">
        <f ca="1"/>
        <v>5.9538426495212238E-2</v>
      </c>
      <c r="Z216" s="162">
        <f ca="1"/>
        <v>0</v>
      </c>
      <c r="AA216" s="162">
        <f ca="1"/>
        <v>0.139419984358371</v>
      </c>
      <c r="AB216" s="162">
        <f ca="1"/>
        <v>0</v>
      </c>
      <c r="AC216" s="162">
        <f ca="1"/>
        <v>0.1942832182007429</v>
      </c>
      <c r="AD216" s="162">
        <f ca="1"/>
        <v>0.21778599589382963</v>
      </c>
      <c r="AE216" s="138">
        <f ca="1"/>
        <v>0.24720344513768244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2.3991982625777286E-3</v>
      </c>
      <c r="Q217" s="162">
        <f ca="1"/>
        <v>0</v>
      </c>
      <c r="R217" s="162">
        <f ca="1"/>
        <v>1.075118065337044E-2</v>
      </c>
      <c r="S217" s="162">
        <f ca="1"/>
        <v>0</v>
      </c>
      <c r="T217" s="162">
        <f ca="1"/>
        <v>2.1810216773920255E-2</v>
      </c>
      <c r="U217" s="162">
        <f ca="1"/>
        <v>4.0027032921378436E-2</v>
      </c>
      <c r="V217" s="138">
        <f ca="1"/>
        <v>7.1612118672453651E-2</v>
      </c>
      <c r="W217" s="137">
        <f ca="1"/>
        <v>0</v>
      </c>
      <c r="X217" s="162">
        <f ca="1"/>
        <v>0</v>
      </c>
      <c r="Y217" s="162">
        <f ca="1"/>
        <v>2.6027445226385337E-3</v>
      </c>
      <c r="Z217" s="162">
        <f ca="1"/>
        <v>0</v>
      </c>
      <c r="AA217" s="162">
        <f ca="1"/>
        <v>1.1284791451309562E-2</v>
      </c>
      <c r="AB217" s="162">
        <f ca="1"/>
        <v>0</v>
      </c>
      <c r="AC217" s="162">
        <f ca="1"/>
        <v>2.2667012675867904E-2</v>
      </c>
      <c r="AD217" s="162">
        <f ca="1"/>
        <v>4.1192406885080857E-2</v>
      </c>
      <c r="AE217" s="138">
        <f ca="1"/>
        <v>7.3205240371851277E-2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1.2400612894613028E-3</v>
      </c>
      <c r="Q218" s="162">
        <f ca="1"/>
        <v>0</v>
      </c>
      <c r="R218" s="162">
        <f ca="1"/>
        <v>9.2390770986465753E-3</v>
      </c>
      <c r="S218" s="162">
        <f ca="1"/>
        <v>0</v>
      </c>
      <c r="T218" s="162">
        <f ca="1"/>
        <v>2.2523889073406522E-2</v>
      </c>
      <c r="U218" s="162">
        <f ca="1"/>
        <v>4.2291761321580523E-2</v>
      </c>
      <c r="V218" s="138">
        <f ca="1"/>
        <v>7.5550168563688125E-2</v>
      </c>
      <c r="W218" s="137">
        <f ca="1"/>
        <v>0</v>
      </c>
      <c r="X218" s="162">
        <f ca="1"/>
        <v>0</v>
      </c>
      <c r="Y218" s="162">
        <f ca="1"/>
        <v>1.4438637247644603E-3</v>
      </c>
      <c r="Z218" s="162">
        <f ca="1"/>
        <v>0</v>
      </c>
      <c r="AA218" s="162">
        <f ca="1"/>
        <v>9.7737168789648887E-3</v>
      </c>
      <c r="AB218" s="162">
        <f ca="1"/>
        <v>0</v>
      </c>
      <c r="AC218" s="162">
        <f ca="1"/>
        <v>2.3380629928898555E-2</v>
      </c>
      <c r="AD218" s="162">
        <f ca="1"/>
        <v>4.3455563835190558E-2</v>
      </c>
      <c r="AE218" s="138">
        <f ca="1"/>
        <v>7.7137177412621827E-2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5.8036925354779667E-3</v>
      </c>
      <c r="Q219" s="162">
        <f ca="1"/>
        <v>0</v>
      </c>
      <c r="R219" s="162">
        <f ca="1"/>
        <v>2.1813039575300563E-2</v>
      </c>
      <c r="S219" s="162">
        <f ca="1"/>
        <v>0</v>
      </c>
      <c r="T219" s="162">
        <f ca="1"/>
        <v>6.126329823961707E-2</v>
      </c>
      <c r="U219" s="162">
        <f ca="1"/>
        <v>0.10154632660532115</v>
      </c>
      <c r="V219" s="138">
        <f ca="1"/>
        <v>0.17105716088460499</v>
      </c>
      <c r="W219" s="137">
        <f ca="1"/>
        <v>0</v>
      </c>
      <c r="X219" s="162">
        <f ca="1"/>
        <v>0</v>
      </c>
      <c r="Y219" s="162">
        <f ca="1"/>
        <v>6.006404259349285E-3</v>
      </c>
      <c r="Z219" s="162">
        <f ca="1"/>
        <v>0</v>
      </c>
      <c r="AA219" s="162">
        <f ca="1"/>
        <v>2.2339273722398967E-2</v>
      </c>
      <c r="AB219" s="162">
        <f ca="1"/>
        <v>0</v>
      </c>
      <c r="AC219" s="162">
        <f ca="1"/>
        <v>6.2077009650154502E-2</v>
      </c>
      <c r="AD219" s="162">
        <f ca="1"/>
        <v>0.10263410733216827</v>
      </c>
      <c r="AE219" s="138">
        <f ca="1"/>
        <v>0.17252212386508603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2.3869823341023944E-3</v>
      </c>
      <c r="Q220" s="162">
        <f ca="1"/>
        <v>0</v>
      </c>
      <c r="R220" s="162">
        <f ca="1"/>
        <v>1.1736982274806795E-2</v>
      </c>
      <c r="S220" s="162">
        <f ca="1"/>
        <v>0</v>
      </c>
      <c r="T220" s="162">
        <f ca="1"/>
        <v>2.979635761480004E-2</v>
      </c>
      <c r="U220" s="162">
        <f ca="1"/>
        <v>4.3059469508348713E-2</v>
      </c>
      <c r="V220" s="138">
        <f ca="1"/>
        <v>7.0293433429561736E-2</v>
      </c>
      <c r="W220" s="137">
        <f ca="1"/>
        <v>0</v>
      </c>
      <c r="X220" s="162">
        <f ca="1"/>
        <v>0</v>
      </c>
      <c r="Y220" s="162">
        <f ca="1"/>
        <v>2.5905313639896788E-3</v>
      </c>
      <c r="Z220" s="162">
        <f ca="1"/>
        <v>0</v>
      </c>
      <c r="AA220" s="162">
        <f ca="1"/>
        <v>1.227002366114649E-2</v>
      </c>
      <c r="AB220" s="162">
        <f ca="1"/>
        <v>0</v>
      </c>
      <c r="AC220" s="162">
        <f ca="1"/>
        <v>3.0646189529503043E-2</v>
      </c>
      <c r="AD220" s="162">
        <f ca="1"/>
        <v>4.4221213881291077E-2</v>
      </c>
      <c r="AE220" s="138">
        <f ca="1"/>
        <v>7.1887314162832339E-2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1.7271020473855758E-3</v>
      </c>
      <c r="Q221" s="162">
        <f ca="1"/>
        <v>0</v>
      </c>
      <c r="R221" s="162">
        <f ca="1"/>
        <v>1.305963270008581E-2</v>
      </c>
      <c r="S221" s="162">
        <f ca="1"/>
        <v>0</v>
      </c>
      <c r="T221" s="162">
        <f ca="1"/>
        <v>3.4200467024223302E-2</v>
      </c>
      <c r="U221" s="162">
        <f ca="1"/>
        <v>6.357100696950857E-2</v>
      </c>
      <c r="V221" s="138">
        <f ca="1"/>
        <v>0.12740501102005652</v>
      </c>
      <c r="W221" s="137">
        <f ca="1"/>
        <v>0</v>
      </c>
      <c r="X221" s="162">
        <f ca="1"/>
        <v>0</v>
      </c>
      <c r="Y221" s="162">
        <f ca="1"/>
        <v>1.9307984632072062E-3</v>
      </c>
      <c r="Z221" s="162">
        <f ca="1"/>
        <v>0</v>
      </c>
      <c r="AA221" s="162">
        <f ca="1"/>
        <v>1.3591945709597431E-2</v>
      </c>
      <c r="AB221" s="162">
        <f ca="1"/>
        <v>0</v>
      </c>
      <c r="AC221" s="162">
        <f ca="1"/>
        <v>3.504627351353784E-2</v>
      </c>
      <c r="AD221" s="162">
        <f ca="1"/>
        <v>6.470870121467609E-2</v>
      </c>
      <c r="AE221" s="138">
        <f ca="1"/>
        <v>0.12894203734828669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1.9715525687515889E-3</v>
      </c>
      <c r="Q222" s="162">
        <f ca="1"/>
        <v>0</v>
      </c>
      <c r="R222" s="162">
        <f ca="1"/>
        <v>1.1808331919555326E-2</v>
      </c>
      <c r="S222" s="162">
        <f ca="1"/>
        <v>0</v>
      </c>
      <c r="T222" s="162">
        <f ca="1"/>
        <v>2.4887415327919382E-2</v>
      </c>
      <c r="U222" s="162">
        <f ca="1"/>
        <v>4.5439932384595316E-2</v>
      </c>
      <c r="V222" s="138">
        <f ca="1"/>
        <v>8.1910436782121065E-2</v>
      </c>
      <c r="W222" s="137">
        <f ca="1"/>
        <v>0</v>
      </c>
      <c r="X222" s="162">
        <f ca="1"/>
        <v>0</v>
      </c>
      <c r="Y222" s="162">
        <f ca="1"/>
        <v>2.1751948943042887E-3</v>
      </c>
      <c r="Z222" s="162">
        <f ca="1"/>
        <v>0</v>
      </c>
      <c r="AA222" s="162">
        <f ca="1"/>
        <v>1.2341382407519919E-2</v>
      </c>
      <c r="AB222" s="162">
        <f ca="1"/>
        <v>0</v>
      </c>
      <c r="AC222" s="162">
        <f ca="1"/>
        <v>2.5741716507290069E-2</v>
      </c>
      <c r="AD222" s="162">
        <f ca="1"/>
        <v>4.6599107587130484E-2</v>
      </c>
      <c r="AE222" s="138">
        <f ca="1"/>
        <v>8.348357412399865E-2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1.0382473887108334E-3</v>
      </c>
      <c r="Q223" s="162">
        <f ca="1"/>
        <v>0</v>
      </c>
      <c r="R223" s="162">
        <f ca="1"/>
        <v>9.9712344702427291E-3</v>
      </c>
      <c r="S223" s="162">
        <f ca="1"/>
        <v>0</v>
      </c>
      <c r="T223" s="162">
        <f ca="1"/>
        <v>2.4713333954488492E-2</v>
      </c>
      <c r="U223" s="162">
        <f ca="1"/>
        <v>4.3167580498708169E-2</v>
      </c>
      <c r="V223" s="138">
        <f ca="1"/>
        <v>7.9787098992177286E-2</v>
      </c>
      <c r="W223" s="137">
        <f ca="1"/>
        <v>0</v>
      </c>
      <c r="X223" s="162">
        <f ca="1"/>
        <v>0</v>
      </c>
      <c r="Y223" s="162">
        <f ca="1"/>
        <v>1.2420930832190979E-3</v>
      </c>
      <c r="Z223" s="162">
        <f ca="1"/>
        <v>0</v>
      </c>
      <c r="AA223" s="162">
        <f ca="1"/>
        <v>1.0505485214521548E-2</v>
      </c>
      <c r="AB223" s="162">
        <f ca="1"/>
        <v>0</v>
      </c>
      <c r="AC223" s="162">
        <f ca="1"/>
        <v>2.55682138231349E-2</v>
      </c>
      <c r="AD223" s="162">
        <f ca="1"/>
        <v>4.4330309071129448E-2</v>
      </c>
      <c r="AE223" s="138">
        <f ca="1"/>
        <v>8.1364345131162863E-2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7.6298145875086654E-4</v>
      </c>
      <c r="Q224" s="162">
        <f ca="1"/>
        <v>0</v>
      </c>
      <c r="R224" s="162">
        <f ca="1"/>
        <v>9.2817038462567059E-3</v>
      </c>
      <c r="S224" s="162">
        <f ca="1"/>
        <v>0</v>
      </c>
      <c r="T224" s="162">
        <f ca="1"/>
        <v>2.3916149341491222E-2</v>
      </c>
      <c r="U224" s="162">
        <f ca="1"/>
        <v>4.8280961222782692E-2</v>
      </c>
      <c r="V224" s="138">
        <f ca="1"/>
        <v>9.1519684763238573E-2</v>
      </c>
      <c r="W224" s="137">
        <f ca="1"/>
        <v>0</v>
      </c>
      <c r="X224" s="162">
        <f ca="1"/>
        <v>0</v>
      </c>
      <c r="Y224" s="162">
        <f ca="1"/>
        <v>9.6688553288826196E-4</v>
      </c>
      <c r="Z224" s="162">
        <f ca="1"/>
        <v>0</v>
      </c>
      <c r="AA224" s="162">
        <f ca="1"/>
        <v>9.8163902817832716E-3</v>
      </c>
      <c r="AB224" s="162">
        <f ca="1"/>
        <v>0</v>
      </c>
      <c r="AC224" s="162">
        <f ca="1"/>
        <v>2.4771848787905393E-2</v>
      </c>
      <c r="AD224" s="162">
        <f ca="1"/>
        <v>4.9437939225196903E-2</v>
      </c>
      <c r="AE224" s="138">
        <f ca="1"/>
        <v>9.310517677994623E-2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1.2685973667998507E-3</v>
      </c>
      <c r="Q225" s="162">
        <f ca="1"/>
        <v>0</v>
      </c>
      <c r="R225" s="162">
        <f ca="1"/>
        <v>1.2843179304712349E-2</v>
      </c>
      <c r="S225" s="162">
        <f ca="1"/>
        <v>0</v>
      </c>
      <c r="T225" s="162">
        <f ca="1"/>
        <v>2.8880682130414947E-2</v>
      </c>
      <c r="U225" s="162">
        <f ca="1"/>
        <v>5.2656077569298909E-2</v>
      </c>
      <c r="V225" s="138">
        <f ca="1"/>
        <v>9.1306946876741568E-2</v>
      </c>
      <c r="W225" s="137">
        <f ca="1"/>
        <v>0</v>
      </c>
      <c r="X225" s="162">
        <f ca="1"/>
        <v>0</v>
      </c>
      <c r="Y225" s="162">
        <f ca="1"/>
        <v>1.4723936538263427E-3</v>
      </c>
      <c r="Z225" s="162">
        <f ca="1"/>
        <v>0</v>
      </c>
      <c r="AA225" s="162">
        <f ca="1"/>
        <v>1.3375670428269482E-2</v>
      </c>
      <c r="AB225" s="162">
        <f ca="1"/>
        <v>0</v>
      </c>
      <c r="AC225" s="162">
        <f ca="1"/>
        <v>2.9731681009235733E-2</v>
      </c>
      <c r="AD225" s="162">
        <f ca="1"/>
        <v>5.3806964344813468E-2</v>
      </c>
      <c r="AE225" s="138">
        <f ca="1"/>
        <v>9.2862724981348621E-2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1.4764786805037122E-3</v>
      </c>
      <c r="Q226" s="162">
        <f ca="1"/>
        <v>0</v>
      </c>
      <c r="R226" s="162">
        <f ca="1"/>
        <v>8.6915228738152495E-3</v>
      </c>
      <c r="S226" s="162">
        <f ca="1"/>
        <v>0</v>
      </c>
      <c r="T226" s="162">
        <f ca="1"/>
        <v>2.3010980171887518E-2</v>
      </c>
      <c r="U226" s="162">
        <f ca="1"/>
        <v>3.6969437634496449E-2</v>
      </c>
      <c r="V226" s="138">
        <f ca="1"/>
        <v>7.2110576526242531E-2</v>
      </c>
      <c r="W226" s="137">
        <f ca="1"/>
        <v>0</v>
      </c>
      <c r="X226" s="162">
        <f ca="1"/>
        <v>0</v>
      </c>
      <c r="Y226" s="162">
        <f ca="1"/>
        <v>1.680229940720368E-3</v>
      </c>
      <c r="Z226" s="162">
        <f ca="1"/>
        <v>0</v>
      </c>
      <c r="AA226" s="162">
        <f ca="1"/>
        <v>9.2264297452501198E-3</v>
      </c>
      <c r="AB226" s="162">
        <f ca="1"/>
        <v>0</v>
      </c>
      <c r="AC226" s="162">
        <f ca="1"/>
        <v>2.3867285189984155E-2</v>
      </c>
      <c r="AD226" s="162">
        <f ca="1"/>
        <v>3.8139101792582952E-2</v>
      </c>
      <c r="AE226" s="138">
        <f ca="1"/>
        <v>7.3701285181465681E-2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9.1795523225957076E-4</v>
      </c>
      <c r="Q227" s="162">
        <f ca="1"/>
        <v>0</v>
      </c>
      <c r="R227" s="162">
        <f ca="1"/>
        <v>6.3398439241268978E-3</v>
      </c>
      <c r="S227" s="162">
        <f ca="1"/>
        <v>0</v>
      </c>
      <c r="T227" s="162">
        <f ca="1"/>
        <v>1.8352575163348317E-2</v>
      </c>
      <c r="U227" s="162">
        <f ca="1"/>
        <v>3.3556023056399376E-2</v>
      </c>
      <c r="V227" s="138">
        <f ca="1"/>
        <v>6.4998815620537775E-2</v>
      </c>
      <c r="W227" s="137">
        <f ca="1"/>
        <v>0</v>
      </c>
      <c r="X227" s="162">
        <f ca="1"/>
        <v>0</v>
      </c>
      <c r="Y227" s="162">
        <f ca="1"/>
        <v>1.1218265269633543E-3</v>
      </c>
      <c r="Z227" s="162">
        <f ca="1"/>
        <v>0</v>
      </c>
      <c r="AA227" s="162">
        <f ca="1"/>
        <v>6.8761074127668964E-3</v>
      </c>
      <c r="AB227" s="162">
        <f ca="1"/>
        <v>0</v>
      </c>
      <c r="AC227" s="162">
        <f ca="1"/>
        <v>1.9213166859854192E-2</v>
      </c>
      <c r="AD227" s="162">
        <f ca="1"/>
        <v>3.4730447084300842E-2</v>
      </c>
      <c r="AE227" s="138">
        <f ca="1"/>
        <v>6.6605332016718921E-2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1.0830984156228185E-3</v>
      </c>
      <c r="Q228" s="162">
        <f ca="1"/>
        <v>0</v>
      </c>
      <c r="R228" s="162">
        <f ca="1"/>
        <v>8.9921911626940076E-3</v>
      </c>
      <c r="S228" s="162">
        <f ca="1"/>
        <v>0</v>
      </c>
      <c r="T228" s="162">
        <f ca="1"/>
        <v>2.3919370309428367E-2</v>
      </c>
      <c r="U228" s="162">
        <f ca="1"/>
        <v>4.7633960977477185E-2</v>
      </c>
      <c r="V228" s="138">
        <f ca="1"/>
        <v>8.68353355839383E-2</v>
      </c>
      <c r="W228" s="137">
        <f ca="1"/>
        <v>0</v>
      </c>
      <c r="X228" s="162">
        <f ca="1"/>
        <v>0</v>
      </c>
      <c r="Y228" s="162">
        <f ca="1"/>
        <v>1.2869345298629487E-3</v>
      </c>
      <c r="Z228" s="162">
        <f ca="1"/>
        <v>0</v>
      </c>
      <c r="AA228" s="162">
        <f ca="1"/>
        <v>9.5269938206411497E-3</v>
      </c>
      <c r="AB228" s="162">
        <f ca="1"/>
        <v>0</v>
      </c>
      <c r="AC228" s="162">
        <f ca="1"/>
        <v>2.4774989229437216E-2</v>
      </c>
      <c r="AD228" s="162">
        <f ca="1"/>
        <v>4.8791747383748696E-2</v>
      </c>
      <c r="AE228" s="138">
        <f ca="1"/>
        <v>8.8400781566786213E-2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3.1461242268674416E-3</v>
      </c>
      <c r="Q229" s="162">
        <f ca="1"/>
        <v>0</v>
      </c>
      <c r="R229" s="162">
        <f ca="1"/>
        <v>1.2017824512547959E-2</v>
      </c>
      <c r="S229" s="162">
        <f ca="1"/>
        <v>0</v>
      </c>
      <c r="T229" s="162">
        <f ca="1"/>
        <v>2.6558952549807224E-2</v>
      </c>
      <c r="U229" s="162">
        <f ca="1"/>
        <v>4.9339137222028762E-2</v>
      </c>
      <c r="V229" s="138">
        <f ca="1"/>
        <v>9.317905135896698E-2</v>
      </c>
      <c r="W229" s="137">
        <f ca="1"/>
        <v>0</v>
      </c>
      <c r="X229" s="162">
        <f ca="1"/>
        <v>0</v>
      </c>
      <c r="Y229" s="162">
        <f ca="1"/>
        <v>3.3494982027284514E-3</v>
      </c>
      <c r="Z229" s="162">
        <f ca="1"/>
        <v>0</v>
      </c>
      <c r="AA229" s="162">
        <f ca="1"/>
        <v>1.2550602525114751E-2</v>
      </c>
      <c r="AB229" s="162">
        <f ca="1"/>
        <v>0</v>
      </c>
      <c r="AC229" s="162">
        <f ca="1"/>
        <v>2.7411459905938296E-2</v>
      </c>
      <c r="AD229" s="162">
        <f ca="1"/>
        <v>5.0493437363968274E-2</v>
      </c>
      <c r="AE229" s="138">
        <f ca="1"/>
        <v>9.4759489308445466E-2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2.0143253108538817E-3</v>
      </c>
      <c r="Q230" s="162">
        <f ca="1"/>
        <v>0</v>
      </c>
      <c r="R230" s="162">
        <f ca="1"/>
        <v>1.1133675112551256E-2</v>
      </c>
      <c r="S230" s="162">
        <f ca="1"/>
        <v>0</v>
      </c>
      <c r="T230" s="162">
        <f ca="1"/>
        <v>2.7204496532256872E-2</v>
      </c>
      <c r="U230" s="162">
        <f ca="1"/>
        <v>4.9216500533092344E-2</v>
      </c>
      <c r="V230" s="138">
        <f ca="1"/>
        <v>8.7853017158487479E-2</v>
      </c>
      <c r="W230" s="137">
        <f ca="1"/>
        <v>0</v>
      </c>
      <c r="X230" s="162">
        <f ca="1"/>
        <v>0</v>
      </c>
      <c r="Y230" s="162">
        <f ca="1"/>
        <v>2.2179581108155988E-3</v>
      </c>
      <c r="Z230" s="162">
        <f ca="1"/>
        <v>0</v>
      </c>
      <c r="AA230" s="162">
        <f ca="1"/>
        <v>1.1667118398208332E-2</v>
      </c>
      <c r="AB230" s="162">
        <f ca="1"/>
        <v>0</v>
      </c>
      <c r="AC230" s="162">
        <f ca="1"/>
        <v>2.8056826038448057E-2</v>
      </c>
      <c r="AD230" s="162">
        <f ca="1"/>
        <v>5.0371727016912948E-2</v>
      </c>
      <c r="AE230" s="138">
        <f ca="1"/>
        <v>8.9414961392810799E-2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7.4215959595520187E-2</v>
      </c>
      <c r="Q231" s="162">
        <f ca="1"/>
        <v>0</v>
      </c>
      <c r="R231" s="162">
        <f ca="1"/>
        <v>0.18139880876930048</v>
      </c>
      <c r="S231" s="162">
        <f ca="1"/>
        <v>0</v>
      </c>
      <c r="T231" s="162">
        <f ca="1"/>
        <v>0.24081854696269567</v>
      </c>
      <c r="U231" s="162">
        <f ca="1"/>
        <v>0.28777250640651975</v>
      </c>
      <c r="V231" s="138">
        <f ca="1"/>
        <v>0.3643167642373013</v>
      </c>
      <c r="W231" s="137">
        <f ca="1"/>
        <v>0</v>
      </c>
      <c r="X231" s="162">
        <f ca="1"/>
        <v>0</v>
      </c>
      <c r="Y231" s="162">
        <f ca="1"/>
        <v>7.4404864795025838E-2</v>
      </c>
      <c r="Z231" s="162">
        <f ca="1"/>
        <v>0</v>
      </c>
      <c r="AA231" s="162">
        <f ca="1"/>
        <v>0.1818400880742872</v>
      </c>
      <c r="AB231" s="162">
        <f ca="1"/>
        <v>0</v>
      </c>
      <c r="AC231" s="162">
        <f ca="1"/>
        <v>0.24147150460140598</v>
      </c>
      <c r="AD231" s="162">
        <f ca="1"/>
        <v>0.28860295396042057</v>
      </c>
      <c r="AE231" s="138">
        <f ca="1"/>
        <v>0.36537535389381715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2.2383433329966618E-3</v>
      </c>
      <c r="Q232" s="162">
        <f ca="1"/>
        <v>0</v>
      </c>
      <c r="R232" s="162">
        <f ca="1"/>
        <v>1.1952245407353068E-2</v>
      </c>
      <c r="S232" s="162">
        <f ca="1"/>
        <v>0</v>
      </c>
      <c r="T232" s="162">
        <f ca="1"/>
        <v>3.9654344874548109E-2</v>
      </c>
      <c r="U232" s="162">
        <f ca="1"/>
        <v>7.0245054163585285E-2</v>
      </c>
      <c r="V232" s="138">
        <f ca="1"/>
        <v>0.12149296909255713</v>
      </c>
      <c r="W232" s="137">
        <f ca="1"/>
        <v>0</v>
      </c>
      <c r="X232" s="162">
        <f ca="1"/>
        <v>0</v>
      </c>
      <c r="Y232" s="162">
        <f ca="1"/>
        <v>2.4419259438883678E-3</v>
      </c>
      <c r="Z232" s="162">
        <f ca="1"/>
        <v>0</v>
      </c>
      <c r="AA232" s="162">
        <f ca="1"/>
        <v>1.2485177962715088E-2</v>
      </c>
      <c r="AB232" s="162">
        <f ca="1"/>
        <v>0</v>
      </c>
      <c r="AC232" s="162">
        <f ca="1"/>
        <v>4.0493967648039919E-2</v>
      </c>
      <c r="AD232" s="162">
        <f ca="1"/>
        <v>7.1375581798961307E-2</v>
      </c>
      <c r="AE232" s="138">
        <f ca="1"/>
        <v>0.12303203789596151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0.23092174711224545</v>
      </c>
      <c r="Q233" s="162">
        <f ca="1"/>
        <v>0</v>
      </c>
      <c r="R233" s="162">
        <f ca="1"/>
        <v>0.36858536950046472</v>
      </c>
      <c r="S233" s="162">
        <f ca="1"/>
        <v>0</v>
      </c>
      <c r="T233" s="162">
        <f ca="1"/>
        <v>0.39239829184377217</v>
      </c>
      <c r="U233" s="162">
        <f ca="1"/>
        <v>0.46330518292922385</v>
      </c>
      <c r="V233" s="138">
        <f ca="1"/>
        <v>0.54147371141092138</v>
      </c>
      <c r="W233" s="137">
        <f ca="1"/>
        <v>0</v>
      </c>
      <c r="X233" s="162">
        <f ca="1"/>
        <v>0</v>
      </c>
      <c r="Y233" s="162">
        <f ca="1"/>
        <v>0.23107858797937875</v>
      </c>
      <c r="Z233" s="162">
        <f ca="1"/>
        <v>0</v>
      </c>
      <c r="AA233" s="162">
        <f ca="1"/>
        <v>0.36890099790201525</v>
      </c>
      <c r="AB233" s="162">
        <f ca="1"/>
        <v>0</v>
      </c>
      <c r="AC233" s="162">
        <f ca="1"/>
        <v>0.39287116927408849</v>
      </c>
      <c r="AD233" s="162">
        <f ca="1"/>
        <v>0.46387941056343041</v>
      </c>
      <c r="AE233" s="138">
        <f ca="1"/>
        <v>0.54215233406215579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1.1564866990201317E-3</v>
      </c>
      <c r="Q234" s="162">
        <f ca="1"/>
        <v>0</v>
      </c>
      <c r="R234" s="162">
        <f ca="1"/>
        <v>6.857144602131604E-3</v>
      </c>
      <c r="S234" s="162">
        <f ca="1"/>
        <v>0</v>
      </c>
      <c r="T234" s="162">
        <f ca="1"/>
        <v>1.8276824647885159E-2</v>
      </c>
      <c r="U234" s="162">
        <f ca="1"/>
        <v>3.4786815942222216E-2</v>
      </c>
      <c r="V234" s="138">
        <f ca="1"/>
        <v>6.6657983012159083E-2</v>
      </c>
      <c r="W234" s="137">
        <f ca="1"/>
        <v>0</v>
      </c>
      <c r="X234" s="162">
        <f ca="1"/>
        <v>0</v>
      </c>
      <c r="Y234" s="162">
        <f ca="1"/>
        <v>1.3603070959609109E-3</v>
      </c>
      <c r="Z234" s="162">
        <f ca="1"/>
        <v>0</v>
      </c>
      <c r="AA234" s="162">
        <f ca="1"/>
        <v>7.3930925059777497E-3</v>
      </c>
      <c r="AB234" s="162">
        <f ca="1"/>
        <v>0</v>
      </c>
      <c r="AC234" s="162">
        <f ca="1"/>
        <v>1.9137337038162894E-2</v>
      </c>
      <c r="AD234" s="162">
        <f ca="1"/>
        <v>3.5959679561760938E-2</v>
      </c>
      <c r="AE234" s="138">
        <f ca="1"/>
        <v>6.8261555437580501E-2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1.5498383154953776E-3</v>
      </c>
      <c r="Q235" s="162">
        <f ca="1"/>
        <v>0</v>
      </c>
      <c r="R235" s="162">
        <f ca="1"/>
        <v>1.1346387666350322E-2</v>
      </c>
      <c r="S235" s="162">
        <f ca="1"/>
        <v>0</v>
      </c>
      <c r="T235" s="162">
        <f ca="1"/>
        <v>2.4070213395993356E-2</v>
      </c>
      <c r="U235" s="162">
        <f ca="1"/>
        <v>4.5312875207194514E-2</v>
      </c>
      <c r="V235" s="138">
        <f ca="1"/>
        <v>8.3885939678677857E-2</v>
      </c>
      <c r="W235" s="137">
        <f ca="1"/>
        <v>0</v>
      </c>
      <c r="X235" s="162">
        <f ca="1"/>
        <v>0</v>
      </c>
      <c r="Y235" s="162">
        <f ca="1"/>
        <v>1.7535735859279811E-3</v>
      </c>
      <c r="Z235" s="162">
        <f ca="1"/>
        <v>0</v>
      </c>
      <c r="AA235" s="162">
        <f ca="1"/>
        <v>1.187976441122629E-2</v>
      </c>
      <c r="AB235" s="162">
        <f ca="1"/>
        <v>0</v>
      </c>
      <c r="AC235" s="162">
        <f ca="1"/>
        <v>2.4925367046737867E-2</v>
      </c>
      <c r="AD235" s="162">
        <f ca="1"/>
        <v>4.6472428649193653E-2</v>
      </c>
      <c r="AE235" s="138">
        <f ca="1"/>
        <v>8.5455092087562745E-2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2.3605139806384123E-3</v>
      </c>
      <c r="Q236" s="162">
        <f ca="1"/>
        <v>0</v>
      </c>
      <c r="R236" s="162">
        <f ca="1"/>
        <v>1.8058006149672234E-2</v>
      </c>
      <c r="S236" s="162">
        <f ca="1"/>
        <v>0</v>
      </c>
      <c r="T236" s="162">
        <f ca="1"/>
        <v>4.1173160368347728E-2</v>
      </c>
      <c r="U236" s="162">
        <f ca="1"/>
        <v>7.5558601363107103E-2</v>
      </c>
      <c r="V236" s="138">
        <f ca="1"/>
        <v>0.13130384438795262</v>
      </c>
      <c r="W236" s="137">
        <f ca="1"/>
        <v>0</v>
      </c>
      <c r="X236" s="162">
        <f ca="1"/>
        <v>0</v>
      </c>
      <c r="Y236" s="162">
        <f ca="1"/>
        <v>2.5640690068219341E-3</v>
      </c>
      <c r="Z236" s="162">
        <f ca="1"/>
        <v>0</v>
      </c>
      <c r="AA236" s="162">
        <f ca="1"/>
        <v>1.85869536165989E-2</v>
      </c>
      <c r="AB236" s="162">
        <f ca="1"/>
        <v>0</v>
      </c>
      <c r="AC236" s="162">
        <f ca="1"/>
        <v>4.20120790862335E-2</v>
      </c>
      <c r="AD236" s="162">
        <f ca="1"/>
        <v>7.6679497648043049E-2</v>
      </c>
      <c r="AE236" s="138">
        <f ca="1"/>
        <v>0.13282796005624387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2.165033829377272E-3</v>
      </c>
      <c r="Q237" s="162">
        <f ca="1"/>
        <v>0</v>
      </c>
      <c r="R237" s="162">
        <f ca="1"/>
        <v>1.0764076765803932E-2</v>
      </c>
      <c r="S237" s="162">
        <f ca="1"/>
        <v>0</v>
      </c>
      <c r="T237" s="162">
        <f ca="1"/>
        <v>2.7679083323313591E-2</v>
      </c>
      <c r="U237" s="162">
        <f ca="1"/>
        <v>4.6850961439089733E-2</v>
      </c>
      <c r="V237" s="138">
        <f ca="1"/>
        <v>9.7571109980886361E-2</v>
      </c>
      <c r="W237" s="137">
        <f ca="1"/>
        <v>0</v>
      </c>
      <c r="X237" s="162">
        <f ca="1"/>
        <v>0</v>
      </c>
      <c r="Y237" s="162">
        <f ca="1"/>
        <v>2.368632920182967E-3</v>
      </c>
      <c r="Z237" s="162">
        <f ca="1"/>
        <v>0</v>
      </c>
      <c r="AA237" s="162">
        <f ca="1"/>
        <v>1.1297713554448641E-2</v>
      </c>
      <c r="AB237" s="162">
        <f ca="1"/>
        <v>0</v>
      </c>
      <c r="AC237" s="162">
        <f ca="1"/>
        <v>2.8530949509875558E-2</v>
      </c>
      <c r="AD237" s="162">
        <f ca="1"/>
        <v>4.8009077539243106E-2</v>
      </c>
      <c r="AE237" s="138">
        <f ca="1"/>
        <v>9.9148275599275526E-2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2.1039384995288346E-3</v>
      </c>
      <c r="Q238" s="162">
        <f ca="1"/>
        <v>0</v>
      </c>
      <c r="R238" s="162">
        <f ca="1"/>
        <v>9.8769426247903302E-3</v>
      </c>
      <c r="S238" s="162">
        <f ca="1"/>
        <v>0</v>
      </c>
      <c r="T238" s="162">
        <f ca="1"/>
        <v>2.3733101347511054E-2</v>
      </c>
      <c r="U238" s="162">
        <f ca="1"/>
        <v>4.375856209770379E-2</v>
      </c>
      <c r="V238" s="138">
        <f ca="1"/>
        <v>7.9174841968063014E-2</v>
      </c>
      <c r="W238" s="137">
        <f ca="1"/>
        <v>0</v>
      </c>
      <c r="X238" s="162">
        <f ca="1"/>
        <v>0</v>
      </c>
      <c r="Y238" s="162">
        <f ca="1"/>
        <v>2.3075512830901257E-3</v>
      </c>
      <c r="Z238" s="162">
        <f ca="1"/>
        <v>0</v>
      </c>
      <c r="AA238" s="162">
        <f ca="1"/>
        <v>1.0411091596384314E-2</v>
      </c>
      <c r="AB238" s="162">
        <f ca="1"/>
        <v>0</v>
      </c>
      <c r="AC238" s="162">
        <f ca="1"/>
        <v>2.4588505034533581E-2</v>
      </c>
      <c r="AD238" s="162">
        <f ca="1"/>
        <v>4.4920264613563021E-2</v>
      </c>
      <c r="AE238" s="138">
        <f ca="1"/>
        <v>8.0753989296284856E-2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1.2278312945961378E-3</v>
      </c>
      <c r="Q239" s="162">
        <f ca="1"/>
        <v>0</v>
      </c>
      <c r="R239" s="162">
        <f ca="1"/>
        <v>1.11075150591744E-2</v>
      </c>
      <c r="S239" s="162">
        <f ca="1"/>
        <v>0</v>
      </c>
      <c r="T239" s="162">
        <f ca="1"/>
        <v>2.2322740331526925E-2</v>
      </c>
      <c r="U239" s="162">
        <f ca="1"/>
        <v>4.3619507709467098E-2</v>
      </c>
      <c r="V239" s="138">
        <f ca="1"/>
        <v>7.964036957367715E-2</v>
      </c>
      <c r="W239" s="137">
        <f ca="1"/>
        <v>0</v>
      </c>
      <c r="X239" s="162">
        <f ca="1"/>
        <v>0</v>
      </c>
      <c r="Y239" s="162">
        <f ca="1"/>
        <v>1.4316363625260786E-3</v>
      </c>
      <c r="Z239" s="162">
        <f ca="1"/>
        <v>0</v>
      </c>
      <c r="AA239" s="162">
        <f ca="1"/>
        <v>1.1641073180423955E-2</v>
      </c>
      <c r="AB239" s="162">
        <f ca="1"/>
        <v>0</v>
      </c>
      <c r="AC239" s="162">
        <f ca="1"/>
        <v>2.3179438316459411E-2</v>
      </c>
      <c r="AD239" s="162">
        <f ca="1"/>
        <v>4.4781066994479701E-2</v>
      </c>
      <c r="AE239" s="138">
        <f ca="1"/>
        <v>8.1218754275881877E-2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1.9185933235655872E-3</v>
      </c>
      <c r="Q240" s="162">
        <f ca="1"/>
        <v>0</v>
      </c>
      <c r="R240" s="162">
        <f ca="1"/>
        <v>1.1130206229573947E-2</v>
      </c>
      <c r="S240" s="162">
        <f ca="1"/>
        <v>0</v>
      </c>
      <c r="T240" s="162">
        <f ca="1"/>
        <v>2.8108113525388778E-2</v>
      </c>
      <c r="U240" s="162">
        <f ca="1"/>
        <v>5.0400809985184924E-2</v>
      </c>
      <c r="V240" s="138">
        <f ca="1"/>
        <v>8.9442964368155353E-2</v>
      </c>
      <c r="W240" s="137">
        <f ca="1"/>
        <v>0</v>
      </c>
      <c r="X240" s="162">
        <f ca="1"/>
        <v>0</v>
      </c>
      <c r="Y240" s="162">
        <f ca="1"/>
        <v>2.1222474179167783E-3</v>
      </c>
      <c r="Z240" s="162">
        <f ca="1"/>
        <v>0</v>
      </c>
      <c r="AA240" s="162">
        <f ca="1"/>
        <v>1.1663664124562434E-2</v>
      </c>
      <c r="AB240" s="162">
        <f ca="1"/>
        <v>0</v>
      </c>
      <c r="AC240" s="162">
        <f ca="1"/>
        <v>2.8959655349165336E-2</v>
      </c>
      <c r="AD240" s="162">
        <f ca="1"/>
        <v>5.1554770508324133E-2</v>
      </c>
      <c r="AE240" s="138">
        <f ca="1"/>
        <v>9.1001888754636662E-2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2.0530228932288397E-3</v>
      </c>
      <c r="Q241" s="162">
        <f ca="1"/>
        <v>0</v>
      </c>
      <c r="R241" s="162">
        <f ca="1"/>
        <v>1.3363456446968569E-2</v>
      </c>
      <c r="S241" s="162">
        <f ca="1"/>
        <v>0</v>
      </c>
      <c r="T241" s="162">
        <f ca="1"/>
        <v>2.471033042620141E-2</v>
      </c>
      <c r="U241" s="162">
        <f ca="1"/>
        <v>4.1808915600411667E-2</v>
      </c>
      <c r="V241" s="138">
        <f ca="1"/>
        <v>6.5930178737848899E-2</v>
      </c>
      <c r="W241" s="137">
        <f ca="1"/>
        <v>0</v>
      </c>
      <c r="X241" s="162">
        <f ca="1"/>
        <v>0</v>
      </c>
      <c r="Y241" s="162">
        <f ca="1"/>
        <v>2.2566470594221899E-3</v>
      </c>
      <c r="Z241" s="162">
        <f ca="1"/>
        <v>0</v>
      </c>
      <c r="AA241" s="162">
        <f ca="1"/>
        <v>1.3895549096005544E-2</v>
      </c>
      <c r="AB241" s="162">
        <f ca="1"/>
        <v>0</v>
      </c>
      <c r="AC241" s="162">
        <f ca="1"/>
        <v>2.5564584248615518E-2</v>
      </c>
      <c r="AD241" s="162">
        <f ca="1"/>
        <v>4.2971546026345564E-2</v>
      </c>
      <c r="AE241" s="138">
        <f ca="1"/>
        <v>6.7533111088034947E-2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4.2339752498260497E-3</v>
      </c>
      <c r="Q242" s="162">
        <f ca="1"/>
        <v>0</v>
      </c>
      <c r="R242" s="162">
        <f ca="1"/>
        <v>1.9026099479698022E-2</v>
      </c>
      <c r="S242" s="162">
        <f ca="1"/>
        <v>0</v>
      </c>
      <c r="T242" s="162">
        <f ca="1"/>
        <v>4.5787548760414243E-2</v>
      </c>
      <c r="U242" s="162">
        <f ca="1"/>
        <v>7.4753535523092718E-2</v>
      </c>
      <c r="V242" s="138">
        <f ca="1"/>
        <v>0.12020608385405429</v>
      </c>
      <c r="W242" s="137">
        <f ca="1"/>
        <v>0</v>
      </c>
      <c r="X242" s="162">
        <f ca="1"/>
        <v>0</v>
      </c>
      <c r="Y242" s="162">
        <f ca="1"/>
        <v>4.4370876984384244E-3</v>
      </c>
      <c r="Z242" s="162">
        <f ca="1"/>
        <v>0</v>
      </c>
      <c r="AA242" s="162">
        <f ca="1"/>
        <v>1.9554328438077473E-2</v>
      </c>
      <c r="AB242" s="162">
        <f ca="1"/>
        <v>0</v>
      </c>
      <c r="AC242" s="162">
        <f ca="1"/>
        <v>4.6620959076303037E-2</v>
      </c>
      <c r="AD242" s="162">
        <f ca="1"/>
        <v>7.587646121780045E-2</v>
      </c>
      <c r="AE242" s="138">
        <f ca="1"/>
        <v>0.12173895718800354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1.4092276552277738E-3</v>
      </c>
      <c r="Q243" s="162">
        <f ca="1"/>
        <v>0</v>
      </c>
      <c r="R243" s="162">
        <f ca="1"/>
        <v>1.5864975685775384E-2</v>
      </c>
      <c r="S243" s="162">
        <f ca="1"/>
        <v>0</v>
      </c>
      <c r="T243" s="162">
        <f ca="1"/>
        <v>3.7494596563342975E-2</v>
      </c>
      <c r="U243" s="162">
        <f ca="1"/>
        <v>6.586159142830339E-2</v>
      </c>
      <c r="V243" s="138">
        <f ca="1"/>
        <v>0.11527159597697456</v>
      </c>
      <c r="W243" s="137">
        <f ca="1"/>
        <v>0</v>
      </c>
      <c r="X243" s="162">
        <f ca="1"/>
        <v>0</v>
      </c>
      <c r="Y243" s="162">
        <f ca="1"/>
        <v>1.6129935277420238E-3</v>
      </c>
      <c r="Z243" s="162">
        <f ca="1"/>
        <v>0</v>
      </c>
      <c r="AA243" s="162">
        <f ca="1"/>
        <v>1.6395476855540769E-2</v>
      </c>
      <c r="AB243" s="162">
        <f ca="1"/>
        <v>0</v>
      </c>
      <c r="AC243" s="162">
        <f ca="1"/>
        <v>3.8337394141107928E-2</v>
      </c>
      <c r="AD243" s="162">
        <f ca="1"/>
        <v>6.6996184292511085E-2</v>
      </c>
      <c r="AE243" s="138">
        <f ca="1"/>
        <v>0.11681805121370492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5.0973183798993515E-3</v>
      </c>
      <c r="Q244" s="162">
        <f ca="1"/>
        <v>0</v>
      </c>
      <c r="R244" s="162">
        <f ca="1"/>
        <v>3.370364293654915E-2</v>
      </c>
      <c r="S244" s="162">
        <f ca="1"/>
        <v>0</v>
      </c>
      <c r="T244" s="162">
        <f ca="1"/>
        <v>7.3037079507009883E-2</v>
      </c>
      <c r="U244" s="162">
        <f ca="1"/>
        <v>0.11986608242312868</v>
      </c>
      <c r="V244" s="138">
        <f ca="1"/>
        <v>0.2057733428390065</v>
      </c>
      <c r="W244" s="137">
        <f ca="1"/>
        <v>0</v>
      </c>
      <c r="X244" s="162">
        <f ca="1"/>
        <v>0</v>
      </c>
      <c r="Y244" s="162">
        <f ca="1"/>
        <v>5.3002139438133034E-3</v>
      </c>
      <c r="Z244" s="162">
        <f ca="1"/>
        <v>0</v>
      </c>
      <c r="AA244" s="162">
        <f ca="1"/>
        <v>3.4219558486673796E-2</v>
      </c>
      <c r="AB244" s="162">
        <f ca="1"/>
        <v>0</v>
      </c>
      <c r="AC244" s="162">
        <f ca="1"/>
        <v>7.383992826883401E-2</v>
      </c>
      <c r="AD244" s="162">
        <f ca="1"/>
        <v>0.12095229214463765</v>
      </c>
      <c r="AE244" s="138">
        <f ca="1"/>
        <v>0.20718381672553743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6.3716794323331882E-3</v>
      </c>
      <c r="Q245" s="162">
        <f ca="1"/>
        <v>0</v>
      </c>
      <c r="R245" s="162">
        <f ca="1"/>
        <v>3.8289859947672755E-2</v>
      </c>
      <c r="S245" s="162">
        <f ca="1"/>
        <v>0</v>
      </c>
      <c r="T245" s="162">
        <f ca="1"/>
        <v>0.10113425101515339</v>
      </c>
      <c r="U245" s="162">
        <f ca="1"/>
        <v>0.15861427625187086</v>
      </c>
      <c r="V245" s="138">
        <f ca="1"/>
        <v>0.25224816921017379</v>
      </c>
      <c r="W245" s="137">
        <f ca="1"/>
        <v>0</v>
      </c>
      <c r="X245" s="162">
        <f ca="1"/>
        <v>0</v>
      </c>
      <c r="Y245" s="162">
        <f ca="1"/>
        <v>6.5742390327637734E-3</v>
      </c>
      <c r="Z245" s="162">
        <f ca="1"/>
        <v>0</v>
      </c>
      <c r="AA245" s="162">
        <f ca="1"/>
        <v>3.8801324896485911E-2</v>
      </c>
      <c r="AB245" s="162">
        <f ca="1"/>
        <v>0</v>
      </c>
      <c r="AC245" s="162">
        <f ca="1"/>
        <v>0.10193601799825069</v>
      </c>
      <c r="AD245" s="162">
        <f ca="1"/>
        <v>0.15965840274288123</v>
      </c>
      <c r="AE245" s="138">
        <f ca="1"/>
        <v>0.25358059736718086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1.3032472313232457E-3</v>
      </c>
      <c r="Q246" s="162">
        <f ca="1"/>
        <v>0</v>
      </c>
      <c r="R246" s="162">
        <f ca="1"/>
        <v>7.9108328444899012E-3</v>
      </c>
      <c r="S246" s="162">
        <f ca="1"/>
        <v>0</v>
      </c>
      <c r="T246" s="162">
        <f ca="1"/>
        <v>2.3110814683012793E-2</v>
      </c>
      <c r="U246" s="162">
        <f ca="1"/>
        <v>4.1944295733811754E-2</v>
      </c>
      <c r="V246" s="138">
        <f ca="1"/>
        <v>7.8321862332501491E-2</v>
      </c>
      <c r="W246" s="137">
        <f ca="1"/>
        <v>0</v>
      </c>
      <c r="X246" s="162">
        <f ca="1"/>
        <v>0</v>
      </c>
      <c r="Y246" s="162">
        <f ca="1"/>
        <v>1.5070360422707596E-3</v>
      </c>
      <c r="Z246" s="162">
        <f ca="1"/>
        <v>0</v>
      </c>
      <c r="AA246" s="162">
        <f ca="1"/>
        <v>8.4461941372309113E-3</v>
      </c>
      <c r="AB246" s="162">
        <f ca="1"/>
        <v>0</v>
      </c>
      <c r="AC246" s="162">
        <f ca="1"/>
        <v>2.3967141045671436E-2</v>
      </c>
      <c r="AD246" s="162">
        <f ca="1"/>
        <v>4.3109011554585797E-2</v>
      </c>
      <c r="AE246" s="138">
        <f ca="1"/>
        <v>7.9902833418973529E-2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1.2441379214417347E-3</v>
      </c>
      <c r="Q247" s="162">
        <f ca="1"/>
        <v>0</v>
      </c>
      <c r="R247" s="162">
        <f ca="1"/>
        <v>1.2696619026316691E-2</v>
      </c>
      <c r="S247" s="162">
        <f ca="1"/>
        <v>0</v>
      </c>
      <c r="T247" s="162">
        <f ca="1"/>
        <v>2.3950173923351414E-2</v>
      </c>
      <c r="U247" s="162">
        <f ca="1"/>
        <v>4.4541058415065726E-2</v>
      </c>
      <c r="V247" s="138">
        <f ca="1"/>
        <v>8.6742913366304575E-2</v>
      </c>
      <c r="W247" s="137">
        <f ca="1"/>
        <v>0</v>
      </c>
      <c r="X247" s="162">
        <f ca="1"/>
        <v>0</v>
      </c>
      <c r="Y247" s="162">
        <f ca="1"/>
        <v>1.4479394788654565E-3</v>
      </c>
      <c r="Z247" s="162">
        <f ca="1"/>
        <v>0</v>
      </c>
      <c r="AA247" s="162">
        <f ca="1"/>
        <v>1.3229204282908746E-2</v>
      </c>
      <c r="AB247" s="162">
        <f ca="1"/>
        <v>0</v>
      </c>
      <c r="AC247" s="162">
        <f ca="1"/>
        <v>2.4805367295116842E-2</v>
      </c>
      <c r="AD247" s="162">
        <f ca="1"/>
        <v>4.5701097776074451E-2</v>
      </c>
      <c r="AE247" s="138">
        <f ca="1"/>
        <v>8.8333200261566547E-2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4.8354342690473118E-2</v>
      </c>
      <c r="Q248" s="162">
        <f ca="1"/>
        <v>0</v>
      </c>
      <c r="R248" s="162">
        <f ca="1"/>
        <v>0.12207196755768246</v>
      </c>
      <c r="S248" s="162">
        <f ca="1"/>
        <v>0</v>
      </c>
      <c r="T248" s="162">
        <f ca="1"/>
        <v>0.17166189926094377</v>
      </c>
      <c r="U248" s="162">
        <f ca="1"/>
        <v>0.21952617311845313</v>
      </c>
      <c r="V248" s="138">
        <f ca="1"/>
        <v>0.28242982762492697</v>
      </c>
      <c r="W248" s="137">
        <f ca="1"/>
        <v>0</v>
      </c>
      <c r="X248" s="162">
        <f ca="1"/>
        <v>0</v>
      </c>
      <c r="Y248" s="162">
        <f ca="1"/>
        <v>4.8548529209638591E-2</v>
      </c>
      <c r="Z248" s="162">
        <f ca="1"/>
        <v>0</v>
      </c>
      <c r="AA248" s="162">
        <f ca="1"/>
        <v>0.12254551472771369</v>
      </c>
      <c r="AB248" s="162">
        <f ca="1"/>
        <v>0</v>
      </c>
      <c r="AC248" s="162">
        <f ca="1"/>
        <v>0.17238118518970524</v>
      </c>
      <c r="AD248" s="162">
        <f ca="1"/>
        <v>0.22046031389689524</v>
      </c>
      <c r="AE248" s="138">
        <f ca="1"/>
        <v>0.28362478184043916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3.1908814787712236E-3</v>
      </c>
      <c r="Q249" s="162">
        <f ca="1"/>
        <v>0</v>
      </c>
      <c r="R249" s="162">
        <f ca="1"/>
        <v>1.2734234706803238E-2</v>
      </c>
      <c r="S249" s="162">
        <f ca="1"/>
        <v>0</v>
      </c>
      <c r="T249" s="162">
        <f ca="1"/>
        <v>2.422150125812117E-2</v>
      </c>
      <c r="U249" s="162">
        <f ca="1"/>
        <v>4.4010120415388543E-2</v>
      </c>
      <c r="V249" s="138">
        <f ca="1"/>
        <v>7.5215146403207145E-2</v>
      </c>
      <c r="W249" s="137">
        <f ca="1"/>
        <v>0</v>
      </c>
      <c r="X249" s="162">
        <f ca="1"/>
        <v>0</v>
      </c>
      <c r="Y249" s="162">
        <f ca="1"/>
        <v>3.3942449458047586E-3</v>
      </c>
      <c r="Z249" s="162">
        <f ca="1"/>
        <v>0</v>
      </c>
      <c r="AA249" s="162">
        <f ca="1"/>
        <v>1.3266586814888792E-2</v>
      </c>
      <c r="AB249" s="162">
        <f ca="1"/>
        <v>0</v>
      </c>
      <c r="AC249" s="162">
        <f ca="1"/>
        <v>2.5075875670532044E-2</v>
      </c>
      <c r="AD249" s="162">
        <f ca="1"/>
        <v>4.5170156809725803E-2</v>
      </c>
      <c r="AE249" s="138">
        <f ca="1"/>
        <v>7.6801238940180094E-2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1.4234933993533261E-3</v>
      </c>
      <c r="Q250" s="162">
        <f ca="1"/>
        <v>0</v>
      </c>
      <c r="R250" s="162">
        <f ca="1"/>
        <v>8.8996042812051757E-3</v>
      </c>
      <c r="S250" s="162">
        <f ca="1"/>
        <v>0</v>
      </c>
      <c r="T250" s="162">
        <f ca="1"/>
        <v>2.3899390320044511E-2</v>
      </c>
      <c r="U250" s="162">
        <f ca="1"/>
        <v>4.589280320580591E-2</v>
      </c>
      <c r="V250" s="138">
        <f ca="1"/>
        <v>8.7865448207721908E-2</v>
      </c>
      <c r="W250" s="137">
        <f ca="1"/>
        <v>0</v>
      </c>
      <c r="X250" s="162">
        <f ca="1"/>
        <v>0</v>
      </c>
      <c r="Y250" s="162">
        <f ca="1"/>
        <v>1.6272561759086424E-3</v>
      </c>
      <c r="Z250" s="162">
        <f ca="1"/>
        <v>0</v>
      </c>
      <c r="AA250" s="162">
        <f ca="1"/>
        <v>9.434404960919851E-3</v>
      </c>
      <c r="AB250" s="162">
        <f ca="1"/>
        <v>0</v>
      </c>
      <c r="AC250" s="162">
        <f ca="1"/>
        <v>2.4754929625619204E-2</v>
      </c>
      <c r="AD250" s="162">
        <f ca="1"/>
        <v>4.705261786611159E-2</v>
      </c>
      <c r="AE250" s="138">
        <f ca="1"/>
        <v>8.9455530941965788E-2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3.9270560291838619E-3</v>
      </c>
      <c r="Q251" s="162">
        <f ca="1"/>
        <v>0</v>
      </c>
      <c r="R251" s="162">
        <f ca="1"/>
        <v>2.5473819334623227E-2</v>
      </c>
      <c r="S251" s="162">
        <f ca="1"/>
        <v>0</v>
      </c>
      <c r="T251" s="162">
        <f ca="1"/>
        <v>5.9234665393779862E-2</v>
      </c>
      <c r="U251" s="162">
        <f ca="1"/>
        <v>0.10244601480429916</v>
      </c>
      <c r="V251" s="138">
        <f ca="1"/>
        <v>0.16903682930616482</v>
      </c>
      <c r="W251" s="137">
        <f ca="1"/>
        <v>0</v>
      </c>
      <c r="X251" s="162">
        <f ca="1"/>
        <v>0</v>
      </c>
      <c r="Y251" s="162">
        <f ca="1"/>
        <v>4.1302435676029425E-3</v>
      </c>
      <c r="Z251" s="162">
        <f ca="1"/>
        <v>0</v>
      </c>
      <c r="AA251" s="162">
        <f ca="1"/>
        <v>2.5997105298628642E-2</v>
      </c>
      <c r="AB251" s="162">
        <f ca="1"/>
        <v>0</v>
      </c>
      <c r="AC251" s="162">
        <f ca="1"/>
        <v>6.0053484991384298E-2</v>
      </c>
      <c r="AD251" s="162">
        <f ca="1"/>
        <v>0.10352980731591654</v>
      </c>
      <c r="AE251" s="138">
        <f ca="1"/>
        <v>0.17050357929644366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1.2278312945961378E-3</v>
      </c>
      <c r="Q252" s="162">
        <f ca="1"/>
        <v>0</v>
      </c>
      <c r="R252" s="162">
        <f ca="1"/>
        <v>1.5747901734238456E-2</v>
      </c>
      <c r="S252" s="162">
        <f ca="1"/>
        <v>0</v>
      </c>
      <c r="T252" s="162">
        <f ca="1"/>
        <v>3.3943340937633848E-2</v>
      </c>
      <c r="U252" s="162">
        <f ca="1"/>
        <v>5.6992370880387E-2</v>
      </c>
      <c r="V252" s="138">
        <f ca="1"/>
        <v>9.9224544262959458E-2</v>
      </c>
      <c r="W252" s="137">
        <f ca="1"/>
        <v>0</v>
      </c>
      <c r="X252" s="162">
        <f ca="1"/>
        <v>0</v>
      </c>
      <c r="Y252" s="162">
        <f ca="1"/>
        <v>1.4316363625260786E-3</v>
      </c>
      <c r="Z252" s="162">
        <f ca="1"/>
        <v>0</v>
      </c>
      <c r="AA252" s="162">
        <f ca="1"/>
        <v>1.6278490161533044E-2</v>
      </c>
      <c r="AB252" s="162">
        <f ca="1"/>
        <v>0</v>
      </c>
      <c r="AC252" s="162">
        <f ca="1"/>
        <v>3.4789679362368986E-2</v>
      </c>
      <c r="AD252" s="162">
        <f ca="1"/>
        <v>5.8137691122837953E-2</v>
      </c>
      <c r="AE252" s="138">
        <f ca="1"/>
        <v>0.10079217349370961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7.6298145875086654E-4</v>
      </c>
      <c r="Q253" s="162">
        <f ca="1"/>
        <v>0</v>
      </c>
      <c r="R253" s="162">
        <f ca="1"/>
        <v>6.8873041668877644E-3</v>
      </c>
      <c r="S253" s="162">
        <f ca="1"/>
        <v>0</v>
      </c>
      <c r="T253" s="162">
        <f ca="1"/>
        <v>1.7398628543263128E-2</v>
      </c>
      <c r="U253" s="162">
        <f ca="1"/>
        <v>3.8219634058810015E-2</v>
      </c>
      <c r="V253" s="138">
        <f ca="1"/>
        <v>6.2376236363831494E-2</v>
      </c>
      <c r="W253" s="137">
        <f ca="1"/>
        <v>0</v>
      </c>
      <c r="X253" s="162">
        <f ca="1"/>
        <v>0</v>
      </c>
      <c r="Y253" s="162">
        <f ca="1"/>
        <v>9.6688553288826196E-4</v>
      </c>
      <c r="Z253" s="162">
        <f ca="1"/>
        <v>0</v>
      </c>
      <c r="AA253" s="162">
        <f ca="1"/>
        <v>7.4233098885871929E-3</v>
      </c>
      <c r="AB253" s="162">
        <f ca="1"/>
        <v>0</v>
      </c>
      <c r="AC253" s="162">
        <f ca="1"/>
        <v>1.8259946920215153E-2</v>
      </c>
      <c r="AD253" s="162">
        <f ca="1"/>
        <v>3.9388774802198157E-2</v>
      </c>
      <c r="AE253" s="138">
        <f ca="1"/>
        <v>6.3990225442032811E-2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2.213907424735817E-3</v>
      </c>
      <c r="Q254" s="162">
        <f ca="1"/>
        <v>0</v>
      </c>
      <c r="R254" s="162">
        <f ca="1"/>
        <v>7.040894519446117E-3</v>
      </c>
      <c r="S254" s="162">
        <f ca="1"/>
        <v>0</v>
      </c>
      <c r="T254" s="162">
        <f ca="1"/>
        <v>1.9514029786349862E-2</v>
      </c>
      <c r="U254" s="162">
        <f ca="1"/>
        <v>3.6488829480712526E-2</v>
      </c>
      <c r="V254" s="138">
        <f ca="1"/>
        <v>6.0229909978896767E-2</v>
      </c>
      <c r="W254" s="137">
        <f ca="1"/>
        <v>0</v>
      </c>
      <c r="X254" s="162">
        <f ca="1"/>
        <v>0</v>
      </c>
      <c r="Y254" s="162">
        <f ca="1"/>
        <v>2.4174955348348348E-3</v>
      </c>
      <c r="Z254" s="162">
        <f ca="1"/>
        <v>0</v>
      </c>
      <c r="AA254" s="162">
        <f ca="1"/>
        <v>7.5765394036051426E-3</v>
      </c>
      <c r="AB254" s="162">
        <f ca="1"/>
        <v>0</v>
      </c>
      <c r="AC254" s="162">
        <f ca="1"/>
        <v>2.0373204080715412E-2</v>
      </c>
      <c r="AD254" s="162">
        <f ca="1"/>
        <v>3.7659473361294604E-2</v>
      </c>
      <c r="AE254" s="138">
        <f ca="1"/>
        <v>6.1845745250642459E-2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1.4173795337368844E-3</v>
      </c>
      <c r="Q255" s="162">
        <f ca="1"/>
        <v>0</v>
      </c>
      <c r="R255" s="162">
        <f ca="1"/>
        <v>8.4314544307362294E-3</v>
      </c>
      <c r="S255" s="162">
        <f ca="1"/>
        <v>0</v>
      </c>
      <c r="T255" s="162">
        <f ca="1"/>
        <v>2.0791002327367192E-2</v>
      </c>
      <c r="U255" s="162">
        <f ca="1"/>
        <v>4.0189771609092872E-2</v>
      </c>
      <c r="V255" s="138">
        <f ca="1"/>
        <v>8.1704703146132207E-2</v>
      </c>
      <c r="W255" s="137">
        <f ca="1"/>
        <v>0</v>
      </c>
      <c r="X255" s="162">
        <f ca="1"/>
        <v>0</v>
      </c>
      <c r="Y255" s="162">
        <f ca="1"/>
        <v>1.6211436373722021E-3</v>
      </c>
      <c r="Z255" s="162">
        <f ca="1"/>
        <v>0</v>
      </c>
      <c r="AA255" s="162">
        <f ca="1"/>
        <v>8.9665136391723355E-3</v>
      </c>
      <c r="AB255" s="162">
        <f ca="1"/>
        <v>0</v>
      </c>
      <c r="AC255" s="162">
        <f ca="1"/>
        <v>2.1649207391411074E-2</v>
      </c>
      <c r="AD255" s="162">
        <f ca="1"/>
        <v>4.1356098520479945E-2</v>
      </c>
      <c r="AE255" s="138">
        <f ca="1"/>
        <v>8.3304726896679671E-2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4.1740368162902275E-2</v>
      </c>
      <c r="Q256" s="162">
        <f ca="1"/>
        <v>0</v>
      </c>
      <c r="R256" s="162">
        <f ca="1"/>
        <v>9.7213768650085464E-2</v>
      </c>
      <c r="S256" s="162">
        <f ca="1"/>
        <v>0</v>
      </c>
      <c r="T256" s="162">
        <f ca="1"/>
        <v>0.12707101203155624</v>
      </c>
      <c r="U256" s="162">
        <f ca="1"/>
        <v>0.16509143031347273</v>
      </c>
      <c r="V256" s="138">
        <f ca="1"/>
        <v>0.21089762899053455</v>
      </c>
      <c r="W256" s="137">
        <f ca="1"/>
        <v>0</v>
      </c>
      <c r="X256" s="162">
        <f ca="1"/>
        <v>0</v>
      </c>
      <c r="Y256" s="162">
        <f ca="1"/>
        <v>4.1921930187728829E-2</v>
      </c>
      <c r="Z256" s="162">
        <f ca="1"/>
        <v>0</v>
      </c>
      <c r="AA256" s="162">
        <f ca="1"/>
        <v>9.7701487026635614E-2</v>
      </c>
      <c r="AB256" s="162">
        <f ca="1"/>
        <v>0</v>
      </c>
      <c r="AC256" s="162">
        <f ca="1"/>
        <v>0.12779814983868298</v>
      </c>
      <c r="AD256" s="162">
        <f ca="1"/>
        <v>0.16606492233065984</v>
      </c>
      <c r="AE256" s="138">
        <f ca="1"/>
        <v>0.21223907938555298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2.7350782298978249E-3</v>
      </c>
      <c r="Q257" s="162">
        <f ca="1"/>
        <v>0</v>
      </c>
      <c r="R257" s="162">
        <f ca="1"/>
        <v>1.3775944647948513E-2</v>
      </c>
      <c r="S257" s="162">
        <f ca="1"/>
        <v>0</v>
      </c>
      <c r="T257" s="162">
        <f ca="1"/>
        <v>2.9538664785782598E-2</v>
      </c>
      <c r="U257" s="162">
        <f ca="1"/>
        <v>4.1668462342387524E-2</v>
      </c>
      <c r="V257" s="138">
        <f ca="1"/>
        <v>6.0083010750428545E-2</v>
      </c>
      <c r="W257" s="137">
        <f ca="1"/>
        <v>0</v>
      </c>
      <c r="X257" s="162">
        <f ca="1"/>
        <v>0</v>
      </c>
      <c r="Y257" s="162">
        <f ca="1"/>
        <v>2.9385477330127197E-3</v>
      </c>
      <c r="Z257" s="162">
        <f ca="1"/>
        <v>0</v>
      </c>
      <c r="AA257" s="162">
        <f ca="1"/>
        <v>1.430771540875897E-2</v>
      </c>
      <c r="AB257" s="162">
        <f ca="1"/>
        <v>0</v>
      </c>
      <c r="AC257" s="162">
        <f ca="1"/>
        <v>3.0388592156176952E-2</v>
      </c>
      <c r="AD257" s="162">
        <f ca="1"/>
        <v>4.2830714629993771E-2</v>
      </c>
      <c r="AE257" s="138">
        <f ca="1"/>
        <v>6.1693666450795215E-2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5.7915178745251428E-3</v>
      </c>
      <c r="Q258" s="162">
        <f ca="1"/>
        <v>0</v>
      </c>
      <c r="R258" s="162">
        <f ca="1"/>
        <v>2.3657585752871246E-2</v>
      </c>
      <c r="S258" s="162">
        <f ca="1"/>
        <v>0</v>
      </c>
      <c r="T258" s="162">
        <f ca="1"/>
        <v>6.2803445496190324E-2</v>
      </c>
      <c r="U258" s="162">
        <f ca="1"/>
        <v>0.10387882168373042</v>
      </c>
      <c r="V258" s="138">
        <f ca="1"/>
        <v>0.17461819961352765</v>
      </c>
      <c r="W258" s="137">
        <f ca="1"/>
        <v>0</v>
      </c>
      <c r="X258" s="162">
        <f ca="1"/>
        <v>0</v>
      </c>
      <c r="Y258" s="162">
        <f ca="1"/>
        <v>5.99423281671152E-3</v>
      </c>
      <c r="Z258" s="162">
        <f ca="1"/>
        <v>0</v>
      </c>
      <c r="AA258" s="162">
        <f ca="1"/>
        <v>2.4182451248797809E-2</v>
      </c>
      <c r="AB258" s="162">
        <f ca="1"/>
        <v>0</v>
      </c>
      <c r="AC258" s="162">
        <f ca="1"/>
        <v>6.3615830897070014E-2</v>
      </c>
      <c r="AD258" s="162">
        <f ca="1"/>
        <v>0.10496286533108212</v>
      </c>
      <c r="AE258" s="138">
        <f ca="1"/>
        <v>0.17607750425324387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2.4032702057826816E-3</v>
      </c>
      <c r="Q259" s="162">
        <f ca="1"/>
        <v>0</v>
      </c>
      <c r="R259" s="162">
        <f ca="1"/>
        <v>1.3906878333152517E-2</v>
      </c>
      <c r="S259" s="162">
        <f ca="1"/>
        <v>0</v>
      </c>
      <c r="T259" s="162">
        <f ca="1"/>
        <v>4.1203503893396665E-2</v>
      </c>
      <c r="U259" s="162">
        <f ca="1"/>
        <v>7.0055995716073571E-2</v>
      </c>
      <c r="V259" s="138">
        <f ca="1"/>
        <v>0.11514341741039869</v>
      </c>
      <c r="W259" s="137">
        <f ca="1"/>
        <v>0</v>
      </c>
      <c r="X259" s="162">
        <f ca="1"/>
        <v>0</v>
      </c>
      <c r="Y259" s="162">
        <f ca="1"/>
        <v>2.6068155422485084E-3</v>
      </c>
      <c r="Z259" s="162">
        <f ca="1"/>
        <v>0</v>
      </c>
      <c r="AA259" s="162">
        <f ca="1"/>
        <v>1.4438598494611821E-2</v>
      </c>
      <c r="AB259" s="162">
        <f ca="1"/>
        <v>0</v>
      </c>
      <c r="AC259" s="162">
        <f ca="1"/>
        <v>4.2041688024553214E-2</v>
      </c>
      <c r="AD259" s="162">
        <f ca="1"/>
        <v>7.1186487174413893E-2</v>
      </c>
      <c r="AE259" s="138">
        <f ca="1"/>
        <v>0.11668760403975043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1.176871384681033E-3</v>
      </c>
      <c r="Q260" s="162">
        <f ca="1"/>
        <v>0</v>
      </c>
      <c r="R260" s="162">
        <f ca="1"/>
        <v>6.275892306685682E-3</v>
      </c>
      <c r="S260" s="162">
        <f ca="1"/>
        <v>0</v>
      </c>
      <c r="T260" s="162">
        <f ca="1"/>
        <v>1.7877805416443127E-2</v>
      </c>
      <c r="U260" s="162">
        <f ca="1"/>
        <v>3.2530937405049754E-2</v>
      </c>
      <c r="V260" s="138">
        <f ca="1"/>
        <v>6.0888736688914036E-2</v>
      </c>
      <c r="W260" s="137">
        <f ca="1"/>
        <v>0</v>
      </c>
      <c r="X260" s="162">
        <f ca="1"/>
        <v>0</v>
      </c>
      <c r="Y260" s="162">
        <f ca="1"/>
        <v>1.3806874067949781E-3</v>
      </c>
      <c r="Z260" s="162">
        <f ca="1"/>
        <v>0</v>
      </c>
      <c r="AA260" s="162">
        <f ca="1"/>
        <v>6.8121375925035421E-3</v>
      </c>
      <c r="AB260" s="162">
        <f ca="1"/>
        <v>0</v>
      </c>
      <c r="AC260" s="162">
        <f ca="1"/>
        <v>1.8738710026217742E-2</v>
      </c>
      <c r="AD260" s="162">
        <f ca="1"/>
        <v>3.3706380521627888E-2</v>
      </c>
      <c r="AE260" s="138">
        <f ca="1"/>
        <v>6.2503027895404517E-2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5.190718144180817E-3</v>
      </c>
      <c r="Q261" s="162">
        <f ca="1"/>
        <v>0</v>
      </c>
      <c r="R261" s="162">
        <f ca="1"/>
        <v>2.08270794331471E-2</v>
      </c>
      <c r="S261" s="162">
        <f ca="1"/>
        <v>0</v>
      </c>
      <c r="T261" s="162">
        <f ca="1"/>
        <v>4.3706204931502457E-2</v>
      </c>
      <c r="U261" s="162">
        <f ca="1"/>
        <v>6.7371586063030842E-2</v>
      </c>
      <c r="V261" s="138">
        <f ca="1"/>
        <v>0.10857877717189346</v>
      </c>
      <c r="W261" s="137">
        <f ca="1"/>
        <v>0</v>
      </c>
      <c r="X261" s="162">
        <f ca="1"/>
        <v>0</v>
      </c>
      <c r="Y261" s="162">
        <f ca="1"/>
        <v>5.3935897344477013E-3</v>
      </c>
      <c r="Z261" s="162">
        <f ca="1"/>
        <v>0</v>
      </c>
      <c r="AA261" s="162">
        <f ca="1"/>
        <v>2.1354023712214953E-2</v>
      </c>
      <c r="AB261" s="162">
        <f ca="1"/>
        <v>0</v>
      </c>
      <c r="AC261" s="162">
        <f ca="1"/>
        <v>4.4541914282465234E-2</v>
      </c>
      <c r="AD261" s="162">
        <f ca="1"/>
        <v>6.8502668127512711E-2</v>
      </c>
      <c r="AE261" s="138">
        <f ca="1"/>
        <v>0.11012587581694833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5.0063762653936972E-2</v>
      </c>
      <c r="Q262" s="162">
        <f ca="1"/>
        <v>0</v>
      </c>
      <c r="R262" s="162">
        <f ca="1"/>
        <v>0.1262052781455214</v>
      </c>
      <c r="S262" s="162">
        <f ca="1"/>
        <v>0</v>
      </c>
      <c r="T262" s="162">
        <f ca="1"/>
        <v>0.1772574025729331</v>
      </c>
      <c r="U262" s="162">
        <f ca="1"/>
        <v>0.22642133805504072</v>
      </c>
      <c r="V262" s="138">
        <f ca="1"/>
        <v>0.29087540526273759</v>
      </c>
      <c r="W262" s="137">
        <f ca="1"/>
        <v>0</v>
      </c>
      <c r="X262" s="162">
        <f ca="1"/>
        <v>0</v>
      </c>
      <c r="Y262" s="162">
        <f ca="1"/>
        <v>5.0257600074322784E-2</v>
      </c>
      <c r="Z262" s="162">
        <f ca="1"/>
        <v>0</v>
      </c>
      <c r="AA262" s="162">
        <f ca="1"/>
        <v>0.12667659220962824</v>
      </c>
      <c r="AB262" s="162">
        <f ca="1"/>
        <v>0</v>
      </c>
      <c r="AC262" s="162">
        <f ca="1"/>
        <v>0.17797160715983451</v>
      </c>
      <c r="AD262" s="162">
        <f ca="1"/>
        <v>0.22734680177863575</v>
      </c>
      <c r="AE262" s="138">
        <f ca="1"/>
        <v>0.29205629523895227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9.0005176876578608E-3</v>
      </c>
      <c r="Q263" s="162">
        <f ca="1"/>
        <v>0</v>
      </c>
      <c r="R263" s="162">
        <f ca="1"/>
        <v>4.2153447920071807E-2</v>
      </c>
      <c r="S263" s="162">
        <f ca="1"/>
        <v>0</v>
      </c>
      <c r="T263" s="162">
        <f ca="1"/>
        <v>0.10744312846767023</v>
      </c>
      <c r="U263" s="162">
        <f ca="1"/>
        <v>0.17188105826821276</v>
      </c>
      <c r="V263" s="138">
        <f ca="1"/>
        <v>0.28442110322176495</v>
      </c>
      <c r="W263" s="137">
        <f ca="1"/>
        <v>0</v>
      </c>
      <c r="X263" s="162">
        <f ca="1"/>
        <v>0</v>
      </c>
      <c r="Y263" s="162">
        <f ca="1"/>
        <v>9.202320530378838E-3</v>
      </c>
      <c r="Z263" s="162">
        <f ca="1"/>
        <v>0</v>
      </c>
      <c r="AA263" s="162">
        <f ca="1"/>
        <v>4.2661513795489769E-2</v>
      </c>
      <c r="AB263" s="162">
        <f ca="1"/>
        <v>0</v>
      </c>
      <c r="AC263" s="162">
        <f ca="1"/>
        <v>0.10823931489274941</v>
      </c>
      <c r="AD263" s="162">
        <f ca="1"/>
        <v>0.17291141749717054</v>
      </c>
      <c r="AE263" s="138">
        <f ca="1"/>
        <v>0.28571093173869366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2.6258296851542351E-3</v>
      </c>
      <c r="P264" s="162">
        <f ca="1"/>
        <v>5.9264200539338452E-3</v>
      </c>
      <c r="Q264" s="162">
        <f ca="1"/>
        <v>1.7945799789713002E-2</v>
      </c>
      <c r="R264" s="162">
        <f ca="1"/>
        <v>3.7524205435525149E-2</v>
      </c>
      <c r="S264" s="162">
        <f ca="1"/>
        <v>6.9327362356055411E-2</v>
      </c>
      <c r="T264" s="162">
        <f ca="1"/>
        <v>0.1055627763019179</v>
      </c>
      <c r="U264" s="162">
        <f ca="1"/>
        <v>0.17977933917955724</v>
      </c>
      <c r="V264" s="138">
        <f ca="1"/>
        <v>0.28028212582505663</v>
      </c>
      <c r="W264" s="137">
        <f ca="1"/>
        <v>0</v>
      </c>
      <c r="X264" s="162">
        <f ca="1"/>
        <v>2.7450016948982192E-3</v>
      </c>
      <c r="Y264" s="162">
        <f ca="1"/>
        <v>6.1293364647115878E-3</v>
      </c>
      <c r="Z264" s="162">
        <f ca="1"/>
        <v>1.8311189968927999E-2</v>
      </c>
      <c r="AA264" s="162">
        <f ca="1"/>
        <v>3.8044918012213769E-2</v>
      </c>
      <c r="AB264" s="162">
        <f ca="1"/>
        <v>6.9989925430980926E-2</v>
      </c>
      <c r="AC264" s="162">
        <f ca="1"/>
        <v>0.10635553105566931</v>
      </c>
      <c r="AD264" s="162">
        <f ca="1"/>
        <v>0.18080835985605359</v>
      </c>
      <c r="AE264" s="138">
        <f ca="1"/>
        <v>0.28157707174627533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6.432977633571868E-3</v>
      </c>
      <c r="P265" s="162">
        <f ca="1"/>
        <v>1.0959846013344432E-2</v>
      </c>
      <c r="Q265" s="162">
        <f ca="1"/>
        <v>3.0027830686409906E-2</v>
      </c>
      <c r="R265" s="162">
        <f ca="1"/>
        <v>5.2494602850081562E-2</v>
      </c>
      <c r="S265" s="162">
        <f ca="1"/>
        <v>0</v>
      </c>
      <c r="T265" s="162">
        <f ca="1"/>
        <v>0.10712460585415973</v>
      </c>
      <c r="U265" s="162">
        <f ca="1"/>
        <v>0.17249247092114817</v>
      </c>
      <c r="V265" s="138">
        <f ca="1"/>
        <v>0.25309459359201858</v>
      </c>
      <c r="W265" s="137">
        <f ca="1"/>
        <v>0</v>
      </c>
      <c r="X265" s="162">
        <f ca="1"/>
        <v>6.5515843802941287E-3</v>
      </c>
      <c r="Y265" s="162">
        <f ca="1"/>
        <v>1.1161627725738144E-2</v>
      </c>
      <c r="Z265" s="162">
        <f ca="1"/>
        <v>3.0387852957566408E-2</v>
      </c>
      <c r="AA265" s="162">
        <f ca="1"/>
        <v>5.3006292696136437E-2</v>
      </c>
      <c r="AB265" s="162">
        <f ca="1"/>
        <v>0</v>
      </c>
      <c r="AC265" s="162">
        <f ca="1"/>
        <v>0.10791637340220472</v>
      </c>
      <c r="AD265" s="162">
        <f ca="1"/>
        <v>0.17351789683896379</v>
      </c>
      <c r="AE265" s="138">
        <f ca="1"/>
        <v>0.25441148869547558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7.6383503757548876E-3</v>
      </c>
      <c r="Q266" s="162">
        <f ca="1"/>
        <v>0</v>
      </c>
      <c r="R266" s="162">
        <f ca="1"/>
        <v>4.3621882771665899E-2</v>
      </c>
      <c r="S266" s="162">
        <f ca="1"/>
        <v>0</v>
      </c>
      <c r="T266" s="162">
        <f ca="1"/>
        <v>0.10873094493987312</v>
      </c>
      <c r="U266" s="162">
        <f ca="1"/>
        <v>0.16603572537987499</v>
      </c>
      <c r="V266" s="138">
        <f ca="1"/>
        <v>0.26445807339302441</v>
      </c>
      <c r="W266" s="137">
        <f ca="1"/>
        <v>0</v>
      </c>
      <c r="X266" s="162">
        <f ca="1"/>
        <v>0</v>
      </c>
      <c r="Y266" s="162">
        <f ca="1"/>
        <v>7.8405564240974224E-3</v>
      </c>
      <c r="Z266" s="162">
        <f ca="1"/>
        <v>0</v>
      </c>
      <c r="AA266" s="162">
        <f ca="1"/>
        <v>4.412768181754767E-2</v>
      </c>
      <c r="AB266" s="162">
        <f ca="1"/>
        <v>0</v>
      </c>
      <c r="AC266" s="162">
        <f ca="1"/>
        <v>0.10952652582293498</v>
      </c>
      <c r="AD266" s="162">
        <f ca="1"/>
        <v>0.16707005246196449</v>
      </c>
      <c r="AE266" s="138">
        <f ca="1"/>
        <v>0.26577042273657081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5.5865556138449124E-3</v>
      </c>
      <c r="Q267" s="162">
        <f ca="1"/>
        <v>0</v>
      </c>
      <c r="R267" s="162">
        <f ca="1"/>
        <v>2.7198525127008155E-2</v>
      </c>
      <c r="S267" s="162">
        <f ca="1"/>
        <v>0</v>
      </c>
      <c r="T267" s="162">
        <f ca="1"/>
        <v>6.6557794260701852E-2</v>
      </c>
      <c r="U267" s="162">
        <f ca="1"/>
        <v>0.10528788840964509</v>
      </c>
      <c r="V267" s="138">
        <f ca="1"/>
        <v>0.16525245824705181</v>
      </c>
      <c r="W267" s="137">
        <f ca="1"/>
        <v>0</v>
      </c>
      <c r="X267" s="162">
        <f ca="1"/>
        <v>0</v>
      </c>
      <c r="Y267" s="162">
        <f ca="1"/>
        <v>5.7893244735336413E-3</v>
      </c>
      <c r="Z267" s="162">
        <f ca="1"/>
        <v>0</v>
      </c>
      <c r="AA267" s="162">
        <f ca="1"/>
        <v>2.7720536394935213E-2</v>
      </c>
      <c r="AB267" s="162">
        <f ca="1"/>
        <v>0</v>
      </c>
      <c r="AC267" s="162">
        <f ca="1"/>
        <v>6.7366547494099538E-2</v>
      </c>
      <c r="AD267" s="162">
        <f ca="1"/>
        <v>0.10637073817575204</v>
      </c>
      <c r="AE267" s="138">
        <f ca="1"/>
        <v>0.16671801589637703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2.6149885652556604E-3</v>
      </c>
      <c r="Q268" s="162">
        <f ca="1"/>
        <v>0</v>
      </c>
      <c r="R268" s="162">
        <f ca="1"/>
        <v>2.2911664505154916E-2</v>
      </c>
      <c r="S268" s="162">
        <f ca="1"/>
        <v>0</v>
      </c>
      <c r="T268" s="162">
        <f ca="1"/>
        <v>5.2269988291347436E-2</v>
      </c>
      <c r="U268" s="162">
        <f ca="1"/>
        <v>9.4714426721004719E-2</v>
      </c>
      <c r="V268" s="138">
        <f ca="1"/>
        <v>0.167690238652209</v>
      </c>
      <c r="W268" s="137">
        <f ca="1"/>
        <v>0</v>
      </c>
      <c r="X268" s="162">
        <f ca="1"/>
        <v>0</v>
      </c>
      <c r="Y268" s="162">
        <f ca="1"/>
        <v>2.8184856451921592E-3</v>
      </c>
      <c r="Z268" s="162">
        <f ca="1"/>
        <v>0</v>
      </c>
      <c r="AA268" s="162">
        <f ca="1"/>
        <v>2.3436942233330482E-2</v>
      </c>
      <c r="AB268" s="162">
        <f ca="1"/>
        <v>0</v>
      </c>
      <c r="AC268" s="162">
        <f ca="1"/>
        <v>5.3097234193237086E-2</v>
      </c>
      <c r="AD268" s="162">
        <f ca="1"/>
        <v>9.580838392033697E-2</v>
      </c>
      <c r="AE268" s="138">
        <f ca="1"/>
        <v>0.16916478868333196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8.3623713561109536E-4</v>
      </c>
      <c r="P269" s="162">
        <f ca="1"/>
        <v>2.8773691933182688E-3</v>
      </c>
      <c r="Q269" s="162">
        <f ca="1"/>
        <v>9.4012217378036667E-3</v>
      </c>
      <c r="R269" s="162">
        <f ca="1"/>
        <v>1.9727699480122096E-2</v>
      </c>
      <c r="S269" s="162">
        <f ca="1"/>
        <v>0</v>
      </c>
      <c r="T269" s="162">
        <f ca="1"/>
        <v>4.9910075876040794E-2</v>
      </c>
      <c r="U269" s="162">
        <f ca="1"/>
        <v>8.5964864416963604E-2</v>
      </c>
      <c r="V269" s="138">
        <f ca="1"/>
        <v>0.14797835911775115</v>
      </c>
      <c r="W269" s="137">
        <f ca="1"/>
        <v>0</v>
      </c>
      <c r="X269" s="162">
        <f ca="1"/>
        <v>9.5564050165009018E-4</v>
      </c>
      <c r="Y269" s="162">
        <f ca="1"/>
        <v>3.0809217055600691E-3</v>
      </c>
      <c r="Z269" s="162">
        <f ca="1"/>
        <v>9.7699179248644796E-3</v>
      </c>
      <c r="AA269" s="162">
        <f ca="1"/>
        <v>2.0257938082512861E-2</v>
      </c>
      <c r="AB269" s="162">
        <f ca="1"/>
        <v>0</v>
      </c>
      <c r="AC269" s="162">
        <f ca="1"/>
        <v>5.0740713130909554E-2</v>
      </c>
      <c r="AD269" s="162">
        <f ca="1"/>
        <v>8.7075211608700021E-2</v>
      </c>
      <c r="AE269" s="138">
        <f ca="1"/>
        <v>0.14947757967833553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5.8503607033779659E-3</v>
      </c>
      <c r="Q270" s="162">
        <f ca="1"/>
        <v>0</v>
      </c>
      <c r="R270" s="162">
        <f ca="1"/>
        <v>6.0890922567264361E-2</v>
      </c>
      <c r="S270" s="162">
        <f ca="1"/>
        <v>0</v>
      </c>
      <c r="T270" s="162">
        <f ca="1"/>
        <v>9.7659432864478757E-2</v>
      </c>
      <c r="U270" s="162">
        <f ca="1"/>
        <v>0.12501274035868282</v>
      </c>
      <c r="V270" s="138">
        <f ca="1"/>
        <v>0.16609210754326409</v>
      </c>
      <c r="W270" s="137">
        <f ca="1"/>
        <v>0</v>
      </c>
      <c r="X270" s="162">
        <f ca="1"/>
        <v>0</v>
      </c>
      <c r="Y270" s="162">
        <f ca="1"/>
        <v>6.0530600741934837E-3</v>
      </c>
      <c r="Z270" s="162">
        <f ca="1"/>
        <v>0</v>
      </c>
      <c r="AA270" s="162">
        <f ca="1"/>
        <v>6.1402390944448104E-2</v>
      </c>
      <c r="AB270" s="162">
        <f ca="1"/>
        <v>0</v>
      </c>
      <c r="AC270" s="162">
        <f ca="1"/>
        <v>9.8437828460792964E-2</v>
      </c>
      <c r="AD270" s="162">
        <f ca="1"/>
        <v>0.12606623755350466</v>
      </c>
      <c r="AE270" s="138">
        <f ca="1"/>
        <v>0.1675226598303261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3.998204582067455E-3</v>
      </c>
      <c r="Q271" s="162">
        <f ca="1"/>
        <v>0</v>
      </c>
      <c r="R271" s="162">
        <f ca="1"/>
        <v>2.3433451454859311E-2</v>
      </c>
      <c r="S271" s="162">
        <f ca="1"/>
        <v>0</v>
      </c>
      <c r="T271" s="162">
        <f ca="1"/>
        <v>6.3533667128721438E-2</v>
      </c>
      <c r="U271" s="162">
        <f ca="1"/>
        <v>9.7322869499733677E-2</v>
      </c>
      <c r="V271" s="138">
        <f ca="1"/>
        <v>0.15637160809825035</v>
      </c>
      <c r="W271" s="137">
        <f ca="1"/>
        <v>0</v>
      </c>
      <c r="X271" s="162">
        <f ca="1"/>
        <v>0</v>
      </c>
      <c r="Y271" s="162">
        <f ca="1"/>
        <v>4.2013748059657186E-3</v>
      </c>
      <c r="Z271" s="162">
        <f ca="1"/>
        <v>0</v>
      </c>
      <c r="AA271" s="162">
        <f ca="1"/>
        <v>2.3958404245578269E-2</v>
      </c>
      <c r="AB271" s="162">
        <f ca="1"/>
        <v>0</v>
      </c>
      <c r="AC271" s="162">
        <f ca="1"/>
        <v>6.4345436065581518E-2</v>
      </c>
      <c r="AD271" s="162">
        <f ca="1"/>
        <v>9.8418901526813984E-2</v>
      </c>
      <c r="AE271" s="138">
        <f ca="1"/>
        <v>0.15785175653002537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4.0734132962367831E-3</v>
      </c>
      <c r="Q272" s="162">
        <f ca="1"/>
        <v>0</v>
      </c>
      <c r="R272" s="162">
        <f ca="1"/>
        <v>1.8962770459613032E-2</v>
      </c>
      <c r="S272" s="162">
        <f ca="1"/>
        <v>0</v>
      </c>
      <c r="T272" s="162">
        <f ca="1"/>
        <v>4.4306336191588636E-2</v>
      </c>
      <c r="U272" s="162">
        <f ca="1"/>
        <v>8.4209782069158412E-2</v>
      </c>
      <c r="V272" s="138">
        <f ca="1"/>
        <v>0.15198686228191416</v>
      </c>
      <c r="W272" s="137">
        <f ca="1"/>
        <v>0</v>
      </c>
      <c r="X272" s="162">
        <f ca="1"/>
        <v>0</v>
      </c>
      <c r="Y272" s="162">
        <f ca="1"/>
        <v>4.2765651570833008E-3</v>
      </c>
      <c r="Z272" s="162">
        <f ca="1"/>
        <v>0</v>
      </c>
      <c r="AA272" s="162">
        <f ca="1"/>
        <v>1.9491047599058731E-2</v>
      </c>
      <c r="AB272" s="162">
        <f ca="1"/>
        <v>0</v>
      </c>
      <c r="AC272" s="162">
        <f ca="1"/>
        <v>4.514145563962535E-2</v>
      </c>
      <c r="AD272" s="162">
        <f ca="1"/>
        <v>8.5317647811374075E-2</v>
      </c>
      <c r="AE272" s="138">
        <f ca="1"/>
        <v>0.15348490187008379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4.4412451928852459E-3</v>
      </c>
      <c r="Q273" s="162">
        <f ca="1"/>
        <v>0</v>
      </c>
      <c r="R273" s="162">
        <f ca="1"/>
        <v>2.1572599266783121E-2</v>
      </c>
      <c r="S273" s="162">
        <f ca="1"/>
        <v>0</v>
      </c>
      <c r="T273" s="162">
        <f ca="1"/>
        <v>4.857294239972243E-2</v>
      </c>
      <c r="U273" s="162">
        <f ca="1"/>
        <v>7.354266026748002E-2</v>
      </c>
      <c r="V273" s="138">
        <f ca="1"/>
        <v>0.12000776126566282</v>
      </c>
      <c r="W273" s="137">
        <f ca="1"/>
        <v>0</v>
      </c>
      <c r="X273" s="162">
        <f ca="1"/>
        <v>0</v>
      </c>
      <c r="Y273" s="162">
        <f ca="1"/>
        <v>4.6443063401127027E-3</v>
      </c>
      <c r="Z273" s="162">
        <f ca="1"/>
        <v>0</v>
      </c>
      <c r="AA273" s="162">
        <f ca="1"/>
        <v>2.2098996759387757E-2</v>
      </c>
      <c r="AB273" s="162">
        <f ca="1"/>
        <v>0</v>
      </c>
      <c r="AC273" s="162">
        <f ca="1"/>
        <v>4.9403637094811437E-2</v>
      </c>
      <c r="AD273" s="162">
        <f ca="1"/>
        <v>7.466699285424494E-2</v>
      </c>
      <c r="AE273" s="138">
        <f ca="1"/>
        <v>0.12153903236171415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1.1944112209274493E-3</v>
      </c>
      <c r="P274" s="162">
        <f ca="1"/>
        <v>3.2809504285069568E-3</v>
      </c>
      <c r="Q274" s="162">
        <f ca="1"/>
        <v>8.9955473467934199E-3</v>
      </c>
      <c r="R274" s="162">
        <f ca="1"/>
        <v>1.6913138196316346E-2</v>
      </c>
      <c r="S274" s="162">
        <f ca="1"/>
        <v>0</v>
      </c>
      <c r="T274" s="162">
        <f ca="1"/>
        <v>4.6457179535416615E-2</v>
      </c>
      <c r="U274" s="162">
        <f ca="1"/>
        <v>7.7430431824850099E-2</v>
      </c>
      <c r="V274" s="138">
        <f ca="1"/>
        <v>0.123469959071422</v>
      </c>
      <c r="W274" s="137">
        <f ca="1"/>
        <v>0</v>
      </c>
      <c r="X274" s="162">
        <f ca="1"/>
        <v>1.3137698188127045E-3</v>
      </c>
      <c r="Y274" s="162">
        <f ca="1"/>
        <v>3.4844076034201699E-3</v>
      </c>
      <c r="Z274" s="162">
        <f ca="1"/>
        <v>9.3643014722143425E-3</v>
      </c>
      <c r="AA274" s="162">
        <f ca="1"/>
        <v>1.7444515241979763E-2</v>
      </c>
      <c r="AB274" s="162">
        <f ca="1"/>
        <v>0</v>
      </c>
      <c r="AC274" s="162">
        <f ca="1"/>
        <v>4.7291004427740146E-2</v>
      </c>
      <c r="AD274" s="162">
        <f ca="1"/>
        <v>7.8552576903758498E-2</v>
      </c>
      <c r="AE274" s="138">
        <f ca="1"/>
        <v>0.12499963962004634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7.6241725017609507E-3</v>
      </c>
      <c r="Q275" s="162">
        <f ca="1"/>
        <v>0</v>
      </c>
      <c r="R275" s="162">
        <f ca="1"/>
        <v>4.0375577862907353E-2</v>
      </c>
      <c r="S275" s="162">
        <f ca="1"/>
        <v>0</v>
      </c>
      <c r="T275" s="162">
        <f ca="1"/>
        <v>0.13136334284882167</v>
      </c>
      <c r="U275" s="162">
        <f ca="1"/>
        <v>0.20216168735914486</v>
      </c>
      <c r="V275" s="138">
        <f ca="1"/>
        <v>0.29932714966357665</v>
      </c>
      <c r="W275" s="137">
        <f ca="1"/>
        <v>0</v>
      </c>
      <c r="X275" s="162">
        <f ca="1"/>
        <v>0</v>
      </c>
      <c r="Y275" s="162">
        <f ca="1"/>
        <v>7.7757602358753397E-3</v>
      </c>
      <c r="Z275" s="162">
        <f ca="1"/>
        <v>0</v>
      </c>
      <c r="AA275" s="162">
        <f ca="1"/>
        <v>4.0755214370507886E-2</v>
      </c>
      <c r="AB275" s="162">
        <f ca="1"/>
        <v>0</v>
      </c>
      <c r="AC275" s="162">
        <f ca="1"/>
        <v>0.13195110482965533</v>
      </c>
      <c r="AD275" s="162">
        <f ca="1"/>
        <v>0.20291296436339668</v>
      </c>
      <c r="AE275" s="138">
        <f ca="1"/>
        <v>0.30026878366515386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2.2161141249346983E-2</v>
      </c>
      <c r="P276" s="162">
        <f ca="1"/>
        <v>3.7542283552118416E-2</v>
      </c>
      <c r="Q276" s="162">
        <f ca="1"/>
        <v>6.1900293164265707E-2</v>
      </c>
      <c r="R276" s="162">
        <f ca="1"/>
        <v>8.466961919759064E-2</v>
      </c>
      <c r="S276" s="162">
        <f ca="1"/>
        <v>0</v>
      </c>
      <c r="T276" s="162">
        <f ca="1"/>
        <v>0.12125501153256157</v>
      </c>
      <c r="U276" s="162">
        <f ca="1"/>
        <v>0.16440236734892277</v>
      </c>
      <c r="V276" s="138">
        <f ca="1"/>
        <v>0.22528071354863988</v>
      </c>
      <c r="W276" s="137">
        <f ca="1"/>
        <v>0</v>
      </c>
      <c r="X276" s="162">
        <f ca="1"/>
        <v>2.2275811077474117E-2</v>
      </c>
      <c r="Y276" s="162">
        <f ca="1"/>
        <v>3.7738034017288258E-2</v>
      </c>
      <c r="Z276" s="162">
        <f ca="1"/>
        <v>6.2245021349321084E-2</v>
      </c>
      <c r="AA276" s="162">
        <f ca="1"/>
        <v>8.5159367680653908E-2</v>
      </c>
      <c r="AB276" s="162">
        <f ca="1"/>
        <v>0</v>
      </c>
      <c r="AC276" s="162">
        <f ca="1"/>
        <v>0.12198699398787172</v>
      </c>
      <c r="AD276" s="162">
        <f ca="1"/>
        <v>0.16541485503735509</v>
      </c>
      <c r="AE276" s="138">
        <f ca="1"/>
        <v>0.22660964384929272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1.0225692010894183E-2</v>
      </c>
      <c r="P277" s="162">
        <f ca="1"/>
        <v>1.7397798074194948E-2</v>
      </c>
      <c r="Q277" s="162">
        <f ca="1"/>
        <v>3.1478131164764833E-2</v>
      </c>
      <c r="R277" s="162">
        <f ca="1"/>
        <v>4.689761801897252E-2</v>
      </c>
      <c r="S277" s="162">
        <f ca="1"/>
        <v>0</v>
      </c>
      <c r="T277" s="162">
        <f ca="1"/>
        <v>8.047135469291522E-2</v>
      </c>
      <c r="U277" s="162">
        <f ca="1"/>
        <v>0.10933813603248932</v>
      </c>
      <c r="V277" s="138">
        <f ca="1"/>
        <v>0.15099136034564642</v>
      </c>
      <c r="W277" s="137">
        <f ca="1"/>
        <v>0</v>
      </c>
      <c r="X277" s="162">
        <f ca="1"/>
        <v>1.0343614279871738E-2</v>
      </c>
      <c r="Y277" s="162">
        <f ca="1"/>
        <v>1.7598194679405488E-2</v>
      </c>
      <c r="Z277" s="162">
        <f ca="1"/>
        <v>3.1837324292760649E-2</v>
      </c>
      <c r="AA277" s="162">
        <f ca="1"/>
        <v>4.7411116047539781E-2</v>
      </c>
      <c r="AB277" s="162">
        <f ca="1"/>
        <v>0</v>
      </c>
      <c r="AC277" s="162">
        <f ca="1"/>
        <v>8.1266853905703096E-2</v>
      </c>
      <c r="AD277" s="162">
        <f ca="1"/>
        <v>0.11041103520768158</v>
      </c>
      <c r="AE277" s="138">
        <f ca="1"/>
        <v>0.15245183159923814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5.3795216065227747E-3</v>
      </c>
      <c r="Q278" s="162">
        <f ca="1"/>
        <v>0</v>
      </c>
      <c r="R278" s="162">
        <f ca="1"/>
        <v>2.1575765922058232E-2</v>
      </c>
      <c r="S278" s="162">
        <f ca="1"/>
        <v>0</v>
      </c>
      <c r="T278" s="162">
        <f ca="1"/>
        <v>4.5259726651119658E-2</v>
      </c>
      <c r="U278" s="162">
        <f ca="1"/>
        <v>6.9749701193081548E-2</v>
      </c>
      <c r="V278" s="138">
        <f ca="1"/>
        <v>0.11232955636657926</v>
      </c>
      <c r="W278" s="137">
        <f ca="1"/>
        <v>0</v>
      </c>
      <c r="X278" s="162">
        <f ca="1"/>
        <v>0</v>
      </c>
      <c r="Y278" s="162">
        <f ca="1"/>
        <v>5.5823444257325772E-3</v>
      </c>
      <c r="Z278" s="162">
        <f ca="1"/>
        <v>0</v>
      </c>
      <c r="AA278" s="162">
        <f ca="1"/>
        <v>2.2102170992624348E-2</v>
      </c>
      <c r="AB278" s="162">
        <f ca="1"/>
        <v>0</v>
      </c>
      <c r="AC278" s="162">
        <f ca="1"/>
        <v>4.6093824252304016E-2</v>
      </c>
      <c r="AD278" s="162">
        <f ca="1"/>
        <v>7.087777196562095E-2</v>
      </c>
      <c r="AE278" s="138">
        <f ca="1"/>
        <v>0.1138709952744712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1.433122909088036E-3</v>
      </c>
      <c r="P279" s="162">
        <f ca="1"/>
        <v>3.4809060274593184E-3</v>
      </c>
      <c r="Q279" s="162">
        <f ca="1"/>
        <v>1.0500152113618655E-2</v>
      </c>
      <c r="R279" s="162">
        <f ca="1"/>
        <v>1.9068350468711914E-2</v>
      </c>
      <c r="S279" s="162">
        <f ca="1"/>
        <v>0</v>
      </c>
      <c r="T279" s="162">
        <f ca="1"/>
        <v>3.9754831133156587E-2</v>
      </c>
      <c r="U279" s="162">
        <f ca="1"/>
        <v>6.3400232317436966E-2</v>
      </c>
      <c r="V279" s="138">
        <f ca="1"/>
        <v>0.10691741839379332</v>
      </c>
      <c r="W279" s="137">
        <f ca="1"/>
        <v>0</v>
      </c>
      <c r="X279" s="162">
        <f ca="1"/>
        <v>1.5524512575108007E-3</v>
      </c>
      <c r="Y279" s="162">
        <f ca="1"/>
        <v>3.6843101420301894E-3</v>
      </c>
      <c r="Z279" s="162">
        <f ca="1"/>
        <v>1.0868386227509297E-2</v>
      </c>
      <c r="AA279" s="162">
        <f ca="1"/>
        <v>1.9598625595019126E-2</v>
      </c>
      <c r="AB279" s="162">
        <f ca="1"/>
        <v>0</v>
      </c>
      <c r="AC279" s="162">
        <f ca="1"/>
        <v>4.0595784870471441E-2</v>
      </c>
      <c r="AD279" s="162">
        <f ca="1"/>
        <v>6.4537845981590958E-2</v>
      </c>
      <c r="AE279" s="138">
        <f ca="1"/>
        <v>0.10847077409459327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1.3137741668567404E-3</v>
      </c>
      <c r="P280" s="162">
        <f ca="1"/>
        <v>3.070470733665176E-3</v>
      </c>
      <c r="Q280" s="162">
        <f ca="1"/>
        <v>7.0986461125641664E-3</v>
      </c>
      <c r="R280" s="162">
        <f ca="1"/>
        <v>1.4199229016795378E-2</v>
      </c>
      <c r="S280" s="162">
        <f ca="1"/>
        <v>0</v>
      </c>
      <c r="T280" s="162">
        <f ca="1"/>
        <v>3.3883443387754952E-2</v>
      </c>
      <c r="U280" s="162">
        <f ca="1"/>
        <v>5.8078445493468078E-2</v>
      </c>
      <c r="V280" s="138">
        <f ca="1"/>
        <v>9.952998572260785E-2</v>
      </c>
      <c r="W280" s="137">
        <f ca="1"/>
        <v>0</v>
      </c>
      <c r="X280" s="162">
        <f ca="1"/>
        <v>1.4331176809704305E-3</v>
      </c>
      <c r="Y280" s="162">
        <f ca="1"/>
        <v>3.2739482532713193E-3</v>
      </c>
      <c r="Z280" s="162">
        <f ca="1"/>
        <v>7.4679862497334382E-3</v>
      </c>
      <c r="AA280" s="162">
        <f ca="1"/>
        <v>1.4731938113733967E-2</v>
      </c>
      <c r="AB280" s="162">
        <f ca="1"/>
        <v>0</v>
      </c>
      <c r="AC280" s="162">
        <f ca="1"/>
        <v>3.4730217850775236E-2</v>
      </c>
      <c r="AD280" s="162">
        <f ca="1"/>
        <v>5.9223819340568751E-2</v>
      </c>
      <c r="AE280" s="138">
        <f ca="1"/>
        <v>0.10109749421865688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1.3137741668567404E-3</v>
      </c>
      <c r="P281" s="162">
        <f ca="1"/>
        <v>3.2774521759320052E-3</v>
      </c>
      <c r="Q281" s="162">
        <f ca="1"/>
        <v>7.4715877332750535E-3</v>
      </c>
      <c r="R281" s="162">
        <f ca="1"/>
        <v>1.5297937043370791E-2</v>
      </c>
      <c r="S281" s="162">
        <f ca="1"/>
        <v>0</v>
      </c>
      <c r="T281" s="162">
        <f ca="1"/>
        <v>3.4694393920407185E-2</v>
      </c>
      <c r="U281" s="162">
        <f ca="1"/>
        <v>5.653952476214219E-2</v>
      </c>
      <c r="V281" s="138">
        <f ca="1"/>
        <v>9.7572049304876507E-2</v>
      </c>
      <c r="W281" s="137">
        <f ca="1"/>
        <v>0</v>
      </c>
      <c r="X281" s="162">
        <f ca="1"/>
        <v>1.4331176809704305E-3</v>
      </c>
      <c r="Y281" s="162">
        <f ca="1"/>
        <v>3.4808984870801085E-3</v>
      </c>
      <c r="Z281" s="162">
        <f ca="1"/>
        <v>7.8407962602790038E-3</v>
      </c>
      <c r="AA281" s="162">
        <f ca="1"/>
        <v>1.5830129429817874E-2</v>
      </c>
      <c r="AB281" s="162">
        <f ca="1"/>
        <v>0</v>
      </c>
      <c r="AC281" s="162">
        <f ca="1"/>
        <v>3.5540396875733293E-2</v>
      </c>
      <c r="AD281" s="162">
        <f ca="1"/>
        <v>5.7686366174136472E-2</v>
      </c>
      <c r="AE281" s="138">
        <f ca="1"/>
        <v>9.914141288323508E-2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1.9043345894662611E-3</v>
      </c>
      <c r="Q282" s="162">
        <f ca="1"/>
        <v>0</v>
      </c>
      <c r="R282" s="162">
        <f ca="1"/>
        <v>1.2358200311417766E-2</v>
      </c>
      <c r="S282" s="162">
        <f ca="1"/>
        <v>0</v>
      </c>
      <c r="T282" s="162">
        <f ca="1"/>
        <v>3.1827301963061938E-2</v>
      </c>
      <c r="U282" s="162">
        <f ca="1"/>
        <v>5.5783002301590168E-2</v>
      </c>
      <c r="V282" s="138">
        <f ca="1"/>
        <v>9.429541522512408E-2</v>
      </c>
      <c r="W282" s="137">
        <f ca="1"/>
        <v>0</v>
      </c>
      <c r="X282" s="162">
        <f ca="1"/>
        <v>0</v>
      </c>
      <c r="Y282" s="162">
        <f ca="1"/>
        <v>2.1079918476510917E-3</v>
      </c>
      <c r="Z282" s="162">
        <f ca="1"/>
        <v>0</v>
      </c>
      <c r="AA282" s="162">
        <f ca="1"/>
        <v>1.2890927311091316E-2</v>
      </c>
      <c r="AB282" s="162">
        <f ca="1"/>
        <v>0</v>
      </c>
      <c r="AC282" s="162">
        <f ca="1"/>
        <v>3.2675358530011023E-2</v>
      </c>
      <c r="AD282" s="162">
        <f ca="1"/>
        <v>5.6930517555090043E-2</v>
      </c>
      <c r="AE282" s="138">
        <f ca="1"/>
        <v>9.5845761442757471E-2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9.5564270783932148E-4</v>
      </c>
      <c r="P283" s="162">
        <f ca="1"/>
        <v>2.0455774009857652E-3</v>
      </c>
      <c r="Q283" s="162">
        <f ca="1"/>
        <v>7.1457885928252196E-3</v>
      </c>
      <c r="R283" s="162">
        <f ca="1"/>
        <v>1.3121988440802923E-2</v>
      </c>
      <c r="S283" s="162">
        <f ca="1"/>
        <v>0</v>
      </c>
      <c r="T283" s="162">
        <f ca="1"/>
        <v>3.4018626495176174E-2</v>
      </c>
      <c r="U283" s="162">
        <f ca="1"/>
        <v>5.5562489497616996E-2</v>
      </c>
      <c r="V283" s="138">
        <f ca="1"/>
        <v>9.4262029905169631E-2</v>
      </c>
      <c r="W283" s="137">
        <f ca="1"/>
        <v>0</v>
      </c>
      <c r="X283" s="162">
        <f ca="1"/>
        <v>1.0750312308801524E-3</v>
      </c>
      <c r="Y283" s="162">
        <f ca="1"/>
        <v>2.2492426848115255E-3</v>
      </c>
      <c r="Z283" s="162">
        <f ca="1"/>
        <v>7.5152481420862616E-3</v>
      </c>
      <c r="AA283" s="162">
        <f ca="1"/>
        <v>1.3655296480272638E-2</v>
      </c>
      <c r="AB283" s="162">
        <f ca="1"/>
        <v>0</v>
      </c>
      <c r="AC283" s="162">
        <f ca="1"/>
        <v>3.4865353859572346E-2</v>
      </c>
      <c r="AD283" s="162">
        <f ca="1"/>
        <v>5.671132331707418E-2</v>
      </c>
      <c r="AE283" s="138">
        <f ca="1"/>
        <v>9.5814087371144163E-2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5.8596289665058254E-4</v>
      </c>
      <c r="O284" s="162">
        <f ca="1"/>
        <v>8.9595269192654925E-4</v>
      </c>
      <c r="P284" s="162">
        <f ca="1"/>
        <v>1.9955141439083057E-3</v>
      </c>
      <c r="Q284" s="162">
        <f ca="1"/>
        <v>4.4842134749337736E-3</v>
      </c>
      <c r="R284" s="162">
        <f ca="1"/>
        <v>9.4516403600507504E-3</v>
      </c>
      <c r="S284" s="162">
        <f ca="1"/>
        <v>1.5163985553720893E-2</v>
      </c>
      <c r="T284" s="162">
        <f ca="1"/>
        <v>2.2230064306328678E-2</v>
      </c>
      <c r="U284" s="162">
        <f ca="1"/>
        <v>4.1527674595965847E-2</v>
      </c>
      <c r="V284" s="138">
        <f ca="1"/>
        <v>7.2465296333612428E-2</v>
      </c>
      <c r="W284" s="137">
        <f ca="1"/>
        <v>6.4453971661004861E-4</v>
      </c>
      <c r="X284" s="162">
        <f ca="1"/>
        <v>9.8550367113015014E-4</v>
      </c>
      <c r="Y284" s="162">
        <f ca="1"/>
        <v>2.1482778985104645E-3</v>
      </c>
      <c r="Z284" s="162">
        <f ca="1"/>
        <v>4.7619018560437487E-3</v>
      </c>
      <c r="AA284" s="162">
        <f ca="1"/>
        <v>9.8528793596581732E-3</v>
      </c>
      <c r="AB284" s="162">
        <f ca="1"/>
        <v>1.5687641386035955E-2</v>
      </c>
      <c r="AC284" s="162">
        <f ca="1"/>
        <v>2.2873819053064626E-2</v>
      </c>
      <c r="AD284" s="162">
        <f ca="1"/>
        <v>4.2400302985856841E-2</v>
      </c>
      <c r="AE284" s="138">
        <f ca="1"/>
        <v>7.365664097747493E-2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1.7719224178260884E-3</v>
      </c>
      <c r="Q285" s="162">
        <f ca="1"/>
        <v>0</v>
      </c>
      <c r="R285" s="162">
        <f ca="1"/>
        <v>1.2401704058276564E-2</v>
      </c>
      <c r="S285" s="162">
        <f ca="1"/>
        <v>0</v>
      </c>
      <c r="T285" s="162">
        <f ca="1"/>
        <v>2.9042595325783904E-2</v>
      </c>
      <c r="U285" s="162">
        <f ca="1"/>
        <v>5.2815607290010114E-2</v>
      </c>
      <c r="V285" s="138">
        <f ca="1"/>
        <v>9.3388060832441888E-2</v>
      </c>
      <c r="W285" s="137">
        <f ca="1"/>
        <v>0</v>
      </c>
      <c r="X285" s="162">
        <f ca="1"/>
        <v>0</v>
      </c>
      <c r="Y285" s="162">
        <f ca="1"/>
        <v>1.9756089604168192E-3</v>
      </c>
      <c r="Z285" s="162">
        <f ca="1"/>
        <v>0</v>
      </c>
      <c r="AA285" s="162">
        <f ca="1"/>
        <v>1.2934418843452478E-2</v>
      </c>
      <c r="AB285" s="162">
        <f ca="1"/>
        <v>0</v>
      </c>
      <c r="AC285" s="162">
        <f ca="1"/>
        <v>2.9893304599320158E-2</v>
      </c>
      <c r="AD285" s="162">
        <f ca="1"/>
        <v>5.3966330853583599E-2</v>
      </c>
      <c r="AE285" s="138">
        <f ca="1"/>
        <v>9.4966332808193443E-2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7.1681734951745124E-4</v>
      </c>
      <c r="P286" s="162">
        <f ca="1"/>
        <v>1.6381174803081766E-3</v>
      </c>
      <c r="Q286" s="162">
        <f ca="1"/>
        <v>4.8830326104830624E-3</v>
      </c>
      <c r="R286" s="162">
        <f ca="1"/>
        <v>1.0435854084552498E-2</v>
      </c>
      <c r="S286" s="162">
        <f ca="1"/>
        <v>0</v>
      </c>
      <c r="T286" s="162">
        <f ca="1"/>
        <v>2.7885894371531106E-2</v>
      </c>
      <c r="U286" s="162">
        <f ca="1"/>
        <v>4.9959535200305161E-2</v>
      </c>
      <c r="V286" s="138">
        <f ca="1"/>
        <v>8.8484795331157717E-2</v>
      </c>
      <c r="W286" s="137">
        <f ca="1"/>
        <v>0</v>
      </c>
      <c r="X286" s="162">
        <f ca="1"/>
        <v>8.3623547992150993E-4</v>
      </c>
      <c r="Y286" s="162">
        <f ca="1"/>
        <v>1.8418665806522183E-3</v>
      </c>
      <c r="Z286" s="162">
        <f ca="1"/>
        <v>5.2532340342620332E-3</v>
      </c>
      <c r="AA286" s="162">
        <f ca="1"/>
        <v>1.097058072608148E-2</v>
      </c>
      <c r="AB286" s="162">
        <f ca="1"/>
        <v>0</v>
      </c>
      <c r="AC286" s="162">
        <f ca="1"/>
        <v>2.8738599578048807E-2</v>
      </c>
      <c r="AD286" s="162">
        <f ca="1"/>
        <v>5.1115613660747017E-2</v>
      </c>
      <c r="AE286" s="138">
        <f ca="1"/>
        <v>9.0049271761284855E-2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5.9738334703651752E-4</v>
      </c>
      <c r="P287" s="162">
        <f ca="1"/>
        <v>1.4343251221308195E-3</v>
      </c>
      <c r="Q287" s="162">
        <f ca="1"/>
        <v>4.8936523573168689E-3</v>
      </c>
      <c r="R287" s="162">
        <f ca="1"/>
        <v>9.3190168532427675E-3</v>
      </c>
      <c r="S287" s="162">
        <f ca="1"/>
        <v>0</v>
      </c>
      <c r="T287" s="162">
        <f ca="1"/>
        <v>2.6125165902248004E-2</v>
      </c>
      <c r="U287" s="162">
        <f ca="1"/>
        <v>4.8919818445912866E-2</v>
      </c>
      <c r="V287" s="138">
        <f ca="1"/>
        <v>8.7018996525527914E-2</v>
      </c>
      <c r="W287" s="137">
        <f ca="1"/>
        <v>0</v>
      </c>
      <c r="X287" s="162">
        <f ca="1"/>
        <v>7.1681616400920412E-4</v>
      </c>
      <c r="Y287" s="162">
        <f ca="1"/>
        <v>1.6381161039986658E-3</v>
      </c>
      <c r="Z287" s="162">
        <f ca="1"/>
        <v>5.263884378412631E-3</v>
      </c>
      <c r="AA287" s="162">
        <f ca="1"/>
        <v>9.8542131727259452E-3</v>
      </c>
      <c r="AB287" s="162">
        <f ca="1"/>
        <v>0</v>
      </c>
      <c r="AC287" s="162">
        <f ca="1"/>
        <v>2.6979436267904777E-2</v>
      </c>
      <c r="AD287" s="162">
        <f ca="1"/>
        <v>5.0077326483680018E-2</v>
      </c>
      <c r="AE287" s="138">
        <f ca="1"/>
        <v>8.8587030423350921E-2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8.3623713561109536E-4</v>
      </c>
      <c r="P288" s="162">
        <f ca="1"/>
        <v>1.6347155792999502E-3</v>
      </c>
      <c r="Q288" s="162">
        <f ca="1"/>
        <v>4.879574938492115E-3</v>
      </c>
      <c r="R288" s="162">
        <f ca="1"/>
        <v>1.0995969353060686E-2</v>
      </c>
      <c r="S288" s="162">
        <f ca="1"/>
        <v>0</v>
      </c>
      <c r="T288" s="162">
        <f ca="1"/>
        <v>2.9693930487831643E-2</v>
      </c>
      <c r="U288" s="162">
        <f ca="1"/>
        <v>4.971621902948764E-2</v>
      </c>
      <c r="V288" s="138">
        <f ca="1"/>
        <v>8.6289444073452626E-2</v>
      </c>
      <c r="W288" s="137">
        <f ca="1"/>
        <v>0</v>
      </c>
      <c r="X288" s="162">
        <f ca="1"/>
        <v>9.5564050165009018E-4</v>
      </c>
      <c r="Y288" s="162">
        <f ca="1"/>
        <v>1.8384532181975333E-3</v>
      </c>
      <c r="Z288" s="162">
        <f ca="1"/>
        <v>5.2497651292585656E-3</v>
      </c>
      <c r="AA288" s="162">
        <f ca="1"/>
        <v>1.1530463797306267E-2</v>
      </c>
      <c r="AB288" s="162">
        <f ca="1"/>
        <v>0</v>
      </c>
      <c r="AC288" s="162">
        <f ca="1"/>
        <v>3.0545019906078386E-2</v>
      </c>
      <c r="AD288" s="162">
        <f ca="1"/>
        <v>5.0872496227995279E-2</v>
      </c>
      <c r="AE288" s="138">
        <f ca="1"/>
        <v>8.7857659960822621E-2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1.1218317868411098E-3</v>
      </c>
      <c r="Q289" s="162">
        <f ca="1"/>
        <v>0</v>
      </c>
      <c r="R289" s="162">
        <f ca="1"/>
        <v>9.3144195108788574E-3</v>
      </c>
      <c r="S289" s="162">
        <f ca="1"/>
        <v>0</v>
      </c>
      <c r="T289" s="162">
        <f ca="1"/>
        <v>2.4777546065067879E-2</v>
      </c>
      <c r="U289" s="162">
        <f ca="1"/>
        <v>4.932779184257563E-2</v>
      </c>
      <c r="V289" s="138">
        <f ca="1"/>
        <v>8.9863272012183359E-2</v>
      </c>
      <c r="W289" s="137">
        <f ca="1"/>
        <v>0</v>
      </c>
      <c r="X289" s="162">
        <f ca="1"/>
        <v>0</v>
      </c>
      <c r="Y289" s="162">
        <f ca="1"/>
        <v>1.3256596121230535E-3</v>
      </c>
      <c r="Z289" s="162">
        <f ca="1"/>
        <v>0</v>
      </c>
      <c r="AA289" s="162">
        <f ca="1"/>
        <v>9.8490345803997625E-3</v>
      </c>
      <c r="AB289" s="162">
        <f ca="1"/>
        <v>0</v>
      </c>
      <c r="AC289" s="162">
        <f ca="1"/>
        <v>2.5632383677000048E-2</v>
      </c>
      <c r="AD289" s="162">
        <f ca="1"/>
        <v>5.0483490000654108E-2</v>
      </c>
      <c r="AE289" s="138">
        <f ca="1"/>
        <v>9.1449625211802554E-2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8.3623713561109536E-4</v>
      </c>
      <c r="P290" s="162">
        <f ca="1"/>
        <v>1.841868236999944E-3</v>
      </c>
      <c r="Q290" s="162">
        <f ca="1"/>
        <v>4.8724146166454485E-3</v>
      </c>
      <c r="R290" s="162">
        <f ca="1"/>
        <v>9.8613301748484705E-3</v>
      </c>
      <c r="S290" s="162">
        <f ca="1"/>
        <v>0</v>
      </c>
      <c r="T290" s="162">
        <f ca="1"/>
        <v>2.6061302410276488E-2</v>
      </c>
      <c r="U290" s="162">
        <f ca="1"/>
        <v>4.485222009364398E-2</v>
      </c>
      <c r="V290" s="138">
        <f ca="1"/>
        <v>7.7739868169416027E-2</v>
      </c>
      <c r="W290" s="137">
        <f ca="1"/>
        <v>0</v>
      </c>
      <c r="X290" s="162">
        <f ca="1"/>
        <v>9.5564050165009018E-4</v>
      </c>
      <c r="Y290" s="162">
        <f ca="1"/>
        <v>2.0455754380691582E-3</v>
      </c>
      <c r="Z290" s="162">
        <f ca="1"/>
        <v>5.2425851074258123E-3</v>
      </c>
      <c r="AA290" s="162">
        <f ca="1"/>
        <v>1.0396241720018295E-2</v>
      </c>
      <c r="AB290" s="162">
        <f ca="1"/>
        <v>0</v>
      </c>
      <c r="AC290" s="162">
        <f ca="1"/>
        <v>2.691555507947363E-2</v>
      </c>
      <c r="AD290" s="162">
        <f ca="1"/>
        <v>4.6014032605349642E-2</v>
      </c>
      <c r="AE290" s="138">
        <f ca="1"/>
        <v>7.9324662142353786E-2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7.1681734951745124E-4</v>
      </c>
      <c r="P291" s="162">
        <f ca="1"/>
        <v>1.4309351125588732E-3</v>
      </c>
      <c r="Q291" s="162">
        <f ca="1"/>
        <v>4.5092051011401679E-3</v>
      </c>
      <c r="R291" s="162">
        <f ca="1"/>
        <v>9.8972056949840903E-3</v>
      </c>
      <c r="S291" s="162">
        <f ca="1"/>
        <v>0</v>
      </c>
      <c r="T291" s="162">
        <f ca="1"/>
        <v>2.5170087393553975E-2</v>
      </c>
      <c r="U291" s="162">
        <f ca="1"/>
        <v>4.3651725719563661E-2</v>
      </c>
      <c r="V291" s="138">
        <f ca="1"/>
        <v>7.806298026511671E-2</v>
      </c>
      <c r="W291" s="137">
        <f ca="1"/>
        <v>0</v>
      </c>
      <c r="X291" s="162">
        <f ca="1"/>
        <v>8.3623547992150993E-4</v>
      </c>
      <c r="Y291" s="162">
        <f ca="1"/>
        <v>1.6347145870914126E-3</v>
      </c>
      <c r="Z291" s="162">
        <f ca="1"/>
        <v>4.8795370731286036E-3</v>
      </c>
      <c r="AA291" s="162">
        <f ca="1"/>
        <v>1.0432217827766932E-2</v>
      </c>
      <c r="AB291" s="162">
        <f ca="1"/>
        <v>0</v>
      </c>
      <c r="AC291" s="162">
        <f ca="1"/>
        <v>2.6025236377802075E-2</v>
      </c>
      <c r="AD291" s="162">
        <f ca="1"/>
        <v>4.4814955365076514E-2</v>
      </c>
      <c r="AE291" s="138">
        <f ca="1"/>
        <v>7.9646917600235567E-2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6.1802296428552284E-2</v>
      </c>
      <c r="Q292" s="162">
        <f ca="1"/>
        <v>0</v>
      </c>
      <c r="R292" s="162">
        <f ca="1"/>
        <v>0.11319143116007324</v>
      </c>
      <c r="S292" s="162">
        <f ca="1"/>
        <v>0</v>
      </c>
      <c r="T292" s="162">
        <f ca="1"/>
        <v>0.14754809165666238</v>
      </c>
      <c r="U292" s="162">
        <f ca="1"/>
        <v>0.18031619412955524</v>
      </c>
      <c r="V292" s="138">
        <f ca="1"/>
        <v>0.23196050707500004</v>
      </c>
      <c r="W292" s="137">
        <f ca="1"/>
        <v>0</v>
      </c>
      <c r="X292" s="162">
        <f ca="1"/>
        <v>0</v>
      </c>
      <c r="Y292" s="162">
        <f ca="1"/>
        <v>6.1993736640268082E-2</v>
      </c>
      <c r="Z292" s="162">
        <f ca="1"/>
        <v>0</v>
      </c>
      <c r="AA292" s="162">
        <f ca="1"/>
        <v>0.11366517930641695</v>
      </c>
      <c r="AB292" s="162">
        <f ca="1"/>
        <v>0</v>
      </c>
      <c r="AC292" s="162">
        <f ca="1"/>
        <v>0.14825817233888661</v>
      </c>
      <c r="AD292" s="162">
        <f ca="1"/>
        <v>0.18127193427958033</v>
      </c>
      <c r="AE292" s="138">
        <f ca="1"/>
        <v>0.23323950676740512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5.4231151117999365E-3</v>
      </c>
      <c r="P293" s="162">
        <f ca="1"/>
        <v>1.1569818232196494E-2</v>
      </c>
      <c r="Q293" s="162">
        <f ca="1"/>
        <v>2.9476472826917233E-2</v>
      </c>
      <c r="R293" s="162">
        <f ca="1"/>
        <v>5.2650153907274677E-2</v>
      </c>
      <c r="S293" s="162">
        <f ca="1"/>
        <v>0</v>
      </c>
      <c r="T293" s="162">
        <f ca="1"/>
        <v>0.10716094054752101</v>
      </c>
      <c r="U293" s="162">
        <f ca="1"/>
        <v>0.1501151883264068</v>
      </c>
      <c r="V293" s="138">
        <f ca="1"/>
        <v>0.21297417004744634</v>
      </c>
      <c r="W293" s="137">
        <f ca="1"/>
        <v>0</v>
      </c>
      <c r="X293" s="162">
        <f ca="1"/>
        <v>5.5418825601711852E-3</v>
      </c>
      <c r="Y293" s="162">
        <f ca="1"/>
        <v>1.1771576851144494E-2</v>
      </c>
      <c r="Z293" s="162">
        <f ca="1"/>
        <v>2.9836879601909616E-2</v>
      </c>
      <c r="AA293" s="162">
        <f ca="1"/>
        <v>5.3161735361301088E-2</v>
      </c>
      <c r="AB293" s="162">
        <f ca="1"/>
        <v>0</v>
      </c>
      <c r="AC293" s="162">
        <f ca="1"/>
        <v>0.10795277463179898</v>
      </c>
      <c r="AD293" s="162">
        <f ca="1"/>
        <v>0.15115710138556104</v>
      </c>
      <c r="AE293" s="138">
        <f ca="1"/>
        <v>0.21434170049793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1.2093323660196109E-3</v>
      </c>
      <c r="P294" s="162">
        <f ca="1"/>
        <v>3.5702727424405944E-3</v>
      </c>
      <c r="Q294" s="162">
        <f ca="1"/>
        <v>1.0836147987954625E-2</v>
      </c>
      <c r="R294" s="162">
        <f ca="1"/>
        <v>2.1887070995389446E-2</v>
      </c>
      <c r="S294" s="162">
        <f ca="1"/>
        <v>0</v>
      </c>
      <c r="T294" s="162">
        <f ca="1"/>
        <v>4.7778933285850478E-2</v>
      </c>
      <c r="U294" s="162">
        <f ca="1"/>
        <v>7.2769097200040544E-2</v>
      </c>
      <c r="V294" s="138">
        <f ca="1"/>
        <v>0.10686598106223577</v>
      </c>
      <c r="W294" s="137">
        <f ca="1"/>
        <v>0</v>
      </c>
      <c r="X294" s="162">
        <f ca="1"/>
        <v>1.2988503324938838E-3</v>
      </c>
      <c r="Y294" s="162">
        <f ca="1"/>
        <v>3.7228328687696211E-3</v>
      </c>
      <c r="Z294" s="162">
        <f ca="1"/>
        <v>1.1112215935104697E-2</v>
      </c>
      <c r="AA294" s="162">
        <f ca="1"/>
        <v>2.2283758378429996E-2</v>
      </c>
      <c r="AB294" s="162">
        <f ca="1"/>
        <v>0</v>
      </c>
      <c r="AC294" s="162">
        <f ca="1"/>
        <v>4.8402392018607188E-2</v>
      </c>
      <c r="AD294" s="162">
        <f ca="1"/>
        <v>7.3612850182776302E-2</v>
      </c>
      <c r="AE294" s="138">
        <f ca="1"/>
        <v>0.10802614431304114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6.809886416166977E-4</v>
      </c>
      <c r="P295" s="162">
        <f ca="1"/>
        <v>2.5505488437402857E-3</v>
      </c>
      <c r="Q295" s="162">
        <f ca="1"/>
        <v>7.3265605163598257E-3</v>
      </c>
      <c r="R295" s="162">
        <f ca="1"/>
        <v>1.4622292224140465E-2</v>
      </c>
      <c r="S295" s="162">
        <f ca="1"/>
        <v>0</v>
      </c>
      <c r="T295" s="162">
        <f ca="1"/>
        <v>3.5730184658413378E-2</v>
      </c>
      <c r="U295" s="162">
        <f ca="1"/>
        <v>6.0659593444824411E-2</v>
      </c>
      <c r="V295" s="138">
        <f ca="1"/>
        <v>0.1103115235021277</v>
      </c>
      <c r="W295" s="137">
        <f ca="1"/>
        <v>0</v>
      </c>
      <c r="X295" s="162">
        <f ca="1"/>
        <v>8.0041118610640893E-4</v>
      </c>
      <c r="Y295" s="162">
        <f ca="1"/>
        <v>2.7541656291912853E-3</v>
      </c>
      <c r="Z295" s="162">
        <f ca="1"/>
        <v>7.695947967665151E-3</v>
      </c>
      <c r="AA295" s="162">
        <f ca="1"/>
        <v>1.5154940677384876E-2</v>
      </c>
      <c r="AB295" s="162">
        <f ca="1"/>
        <v>0</v>
      </c>
      <c r="AC295" s="162">
        <f ca="1"/>
        <v>3.6575343776523606E-2</v>
      </c>
      <c r="AD295" s="162">
        <f ca="1"/>
        <v>6.1802087871349221E-2</v>
      </c>
      <c r="AE295" s="138">
        <f ca="1"/>
        <v>0.111866114239208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1.3134381411429308E-3</v>
      </c>
      <c r="Q296" s="162">
        <f ca="1"/>
        <v>0</v>
      </c>
      <c r="R296" s="162">
        <f ca="1"/>
        <v>1.3307028779069863E-2</v>
      </c>
      <c r="S296" s="162">
        <f ca="1"/>
        <v>0</v>
      </c>
      <c r="T296" s="162">
        <f ca="1"/>
        <v>2.991432614508982E-2</v>
      </c>
      <c r="U296" s="162">
        <f ca="1"/>
        <v>5.4530190597632422E-2</v>
      </c>
      <c r="V296" s="138">
        <f ca="1"/>
        <v>9.4479095230978527E-2</v>
      </c>
      <c r="W296" s="137">
        <f ca="1"/>
        <v>0</v>
      </c>
      <c r="X296" s="162">
        <f ca="1"/>
        <v>0</v>
      </c>
      <c r="Y296" s="162">
        <f ca="1"/>
        <v>1.5172247511210379E-3</v>
      </c>
      <c r="Z296" s="162">
        <f ca="1"/>
        <v>0</v>
      </c>
      <c r="AA296" s="162">
        <f ca="1"/>
        <v>1.3839222851776189E-2</v>
      </c>
      <c r="AB296" s="162">
        <f ca="1"/>
        <v>0</v>
      </c>
      <c r="AC296" s="162">
        <f ca="1"/>
        <v>3.0764367098865097E-2</v>
      </c>
      <c r="AD296" s="162">
        <f ca="1"/>
        <v>5.5678738203661204E-2</v>
      </c>
      <c r="AE296" s="138">
        <f ca="1"/>
        <v>9.6055070591544722E-2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1.2726738833055418E-3</v>
      </c>
      <c r="Q297" s="162">
        <f ca="1"/>
        <v>0</v>
      </c>
      <c r="R297" s="162">
        <f ca="1"/>
        <v>1.1505847703142669E-2</v>
      </c>
      <c r="S297" s="162">
        <f ca="1"/>
        <v>0</v>
      </c>
      <c r="T297" s="162">
        <f ca="1"/>
        <v>2.3125311249194036E-2</v>
      </c>
      <c r="U297" s="162">
        <f ca="1"/>
        <v>4.5177104734176576E-2</v>
      </c>
      <c r="V297" s="138">
        <f ca="1"/>
        <v>8.2445961091331732E-2</v>
      </c>
      <c r="W297" s="137">
        <f ca="1"/>
        <v>0</v>
      </c>
      <c r="X297" s="162">
        <f ca="1"/>
        <v>0</v>
      </c>
      <c r="Y297" s="162">
        <f ca="1"/>
        <v>1.4764692913959987E-3</v>
      </c>
      <c r="Z297" s="162">
        <f ca="1"/>
        <v>0</v>
      </c>
      <c r="AA297" s="162">
        <f ca="1"/>
        <v>1.2039161578596524E-2</v>
      </c>
      <c r="AB297" s="162">
        <f ca="1"/>
        <v>0</v>
      </c>
      <c r="AC297" s="162">
        <f ca="1"/>
        <v>2.3981302980114916E-2</v>
      </c>
      <c r="AD297" s="162">
        <f ca="1"/>
        <v>4.633674753965511E-2</v>
      </c>
      <c r="AE297" s="138">
        <f ca="1"/>
        <v>8.4018747726239629E-2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2.4460246155170173E-3</v>
      </c>
      <c r="Q298" s="162">
        <f ca="1"/>
        <v>0</v>
      </c>
      <c r="R298" s="162">
        <f ca="1"/>
        <v>1.0863067926158987E-2</v>
      </c>
      <c r="S298" s="162">
        <f ca="1"/>
        <v>0</v>
      </c>
      <c r="T298" s="162">
        <f ca="1"/>
        <v>2.6822839372464102E-2</v>
      </c>
      <c r="U298" s="162">
        <f ca="1"/>
        <v>5.0104006755005814E-2</v>
      </c>
      <c r="V298" s="138">
        <f ca="1"/>
        <v>9.9027096633148681E-2</v>
      </c>
      <c r="W298" s="137">
        <f ca="1"/>
        <v>0</v>
      </c>
      <c r="X298" s="162">
        <f ca="1"/>
        <v>0</v>
      </c>
      <c r="Y298" s="162">
        <f ca="1"/>
        <v>2.6495602440359534E-3</v>
      </c>
      <c r="Z298" s="162">
        <f ca="1"/>
        <v>0</v>
      </c>
      <c r="AA298" s="162">
        <f ca="1"/>
        <v>1.139660810840637E-2</v>
      </c>
      <c r="AB298" s="162">
        <f ca="1"/>
        <v>0</v>
      </c>
      <c r="AC298" s="162">
        <f ca="1"/>
        <v>2.7675389416340401E-2</v>
      </c>
      <c r="AD298" s="162">
        <f ca="1"/>
        <v>5.1258075627244049E-2</v>
      </c>
      <c r="AE298" s="138">
        <f ca="1"/>
        <v>0.10060178026618161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2.4460246155170173E-3</v>
      </c>
      <c r="Q299" s="162">
        <f ca="1"/>
        <v>0</v>
      </c>
      <c r="R299" s="162">
        <f ca="1"/>
        <v>1.0863067926158987E-2</v>
      </c>
      <c r="S299" s="162">
        <f ca="1"/>
        <v>0</v>
      </c>
      <c r="T299" s="162">
        <f ca="1"/>
        <v>2.6822839372464102E-2</v>
      </c>
      <c r="U299" s="162">
        <f ca="1"/>
        <v>5.0104006755005814E-2</v>
      </c>
      <c r="V299" s="138">
        <f ca="1"/>
        <v>9.9027096633148681E-2</v>
      </c>
      <c r="W299" s="137">
        <f ca="1"/>
        <v>0</v>
      </c>
      <c r="X299" s="162">
        <f ca="1"/>
        <v>0</v>
      </c>
      <c r="Y299" s="162">
        <f ca="1"/>
        <v>2.6495602440359534E-3</v>
      </c>
      <c r="Z299" s="162">
        <f ca="1"/>
        <v>0</v>
      </c>
      <c r="AA299" s="162">
        <f ca="1"/>
        <v>1.139660810840637E-2</v>
      </c>
      <c r="AB299" s="162">
        <f ca="1"/>
        <v>0</v>
      </c>
      <c r="AC299" s="162">
        <f ca="1"/>
        <v>2.7675389416340401E-2</v>
      </c>
      <c r="AD299" s="162">
        <f ca="1"/>
        <v>5.1258075627244049E-2</v>
      </c>
      <c r="AE299" s="138">
        <f ca="1"/>
        <v>0.10060178026618161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9.9543318240913337E-4</v>
      </c>
      <c r="Q300" s="162">
        <f ca="1"/>
        <v>0</v>
      </c>
      <c r="R300" s="162">
        <f ca="1"/>
        <v>1.0701760569385765E-2</v>
      </c>
      <c r="S300" s="162">
        <f ca="1"/>
        <v>0</v>
      </c>
      <c r="T300" s="162">
        <f ca="1"/>
        <v>2.3703906377029793E-2</v>
      </c>
      <c r="U300" s="162">
        <f ca="1"/>
        <v>4.4557714438738572E-2</v>
      </c>
      <c r="V300" s="138">
        <f ca="1"/>
        <v>8.1611203161686907E-2</v>
      </c>
      <c r="W300" s="137">
        <f ca="1"/>
        <v>0</v>
      </c>
      <c r="X300" s="162">
        <f ca="1"/>
        <v>0</v>
      </c>
      <c r="Y300" s="162">
        <f ca="1"/>
        <v>1.1992880042267506E-3</v>
      </c>
      <c r="Z300" s="162">
        <f ca="1"/>
        <v>0</v>
      </c>
      <c r="AA300" s="162">
        <f ca="1"/>
        <v>1.1235588552935494E-2</v>
      </c>
      <c r="AB300" s="162">
        <f ca="1"/>
        <v>0</v>
      </c>
      <c r="AC300" s="162">
        <f ca="1"/>
        <v>2.4559597001499123E-2</v>
      </c>
      <c r="AD300" s="162">
        <f ca="1"/>
        <v>4.5718531392593853E-2</v>
      </c>
      <c r="AE300" s="138">
        <f ca="1"/>
        <v>8.3185557858376558E-2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1.472402988582644E-3</v>
      </c>
      <c r="Q301" s="162">
        <f ca="1"/>
        <v>0</v>
      </c>
      <c r="R301" s="162">
        <f ca="1"/>
        <v>9.7555063572588585E-3</v>
      </c>
      <c r="S301" s="162">
        <f ca="1"/>
        <v>0</v>
      </c>
      <c r="T301" s="162">
        <f ca="1"/>
        <v>2.2830642353503405E-2</v>
      </c>
      <c r="U301" s="162">
        <f ca="1"/>
        <v>4.3673772256232479E-2</v>
      </c>
      <c r="V301" s="138">
        <f ca="1"/>
        <v>7.7738658218718948E-2</v>
      </c>
      <c r="W301" s="137">
        <f ca="1"/>
        <v>0</v>
      </c>
      <c r="X301" s="162">
        <f ca="1"/>
        <v>0</v>
      </c>
      <c r="Y301" s="162">
        <f ca="1"/>
        <v>1.6761551356668791E-3</v>
      </c>
      <c r="Z301" s="162">
        <f ca="1"/>
        <v>0</v>
      </c>
      <c r="AA301" s="162">
        <f ca="1"/>
        <v>1.028981917332028E-2</v>
      </c>
      <c r="AB301" s="162">
        <f ca="1"/>
        <v>0</v>
      </c>
      <c r="AC301" s="162">
        <f ca="1"/>
        <v>2.3687006582099324E-2</v>
      </c>
      <c r="AD301" s="162">
        <f ca="1"/>
        <v>4.48357422300244E-2</v>
      </c>
      <c r="AE301" s="138">
        <f ca="1"/>
        <v>7.9321514485646283E-2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7.1681734951745124E-4</v>
      </c>
      <c r="P302" s="162">
        <f ca="1"/>
        <v>1.2237352475930052E-3</v>
      </c>
      <c r="Q302" s="162">
        <f ca="1"/>
        <v>4.5163409093492701E-3</v>
      </c>
      <c r="R302" s="162">
        <f ca="1"/>
        <v>9.9044779633699065E-3</v>
      </c>
      <c r="S302" s="162">
        <f ca="1"/>
        <v>0</v>
      </c>
      <c r="T302" s="162">
        <f ca="1"/>
        <v>2.6105819627473381E-2</v>
      </c>
      <c r="U302" s="162">
        <f ca="1"/>
        <v>4.3562187296557919E-2</v>
      </c>
      <c r="V302" s="138">
        <f ca="1"/>
        <v>7.9932172982731919E-2</v>
      </c>
      <c r="W302" s="137">
        <f ca="1"/>
        <v>0</v>
      </c>
      <c r="X302" s="162">
        <f ca="1"/>
        <v>8.3623547992150993E-4</v>
      </c>
      <c r="Y302" s="162">
        <f ca="1"/>
        <v>1.4275449347880276E-3</v>
      </c>
      <c r="Z302" s="162">
        <f ca="1"/>
        <v>4.8866925465305133E-3</v>
      </c>
      <c r="AA302" s="162">
        <f ca="1"/>
        <v>1.0439513646776866E-2</v>
      </c>
      <c r="AB302" s="162">
        <f ca="1"/>
        <v>0</v>
      </c>
      <c r="AC302" s="162">
        <f ca="1"/>
        <v>2.6960196007625337E-2</v>
      </c>
      <c r="AD302" s="162">
        <f ca="1"/>
        <v>4.4725529552604115E-2</v>
      </c>
      <c r="AE302" s="138">
        <f ca="1"/>
        <v>8.1511806954182253E-2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1.3297433825193439E-3</v>
      </c>
      <c r="Q303" s="162">
        <f ca="1"/>
        <v>0</v>
      </c>
      <c r="R303" s="162">
        <f ca="1"/>
        <v>1.0207371953044886E-2</v>
      </c>
      <c r="S303" s="162">
        <f ca="1"/>
        <v>0</v>
      </c>
      <c r="T303" s="162">
        <f ca="1"/>
        <v>2.4195009561787106E-2</v>
      </c>
      <c r="U303" s="162">
        <f ca="1"/>
        <v>4.2317236122910384E-2</v>
      </c>
      <c r="V303" s="138">
        <f ca="1"/>
        <v>7.1384141922389621E-2</v>
      </c>
      <c r="W303" s="137">
        <f ca="1"/>
        <v>0</v>
      </c>
      <c r="X303" s="162">
        <f ca="1"/>
        <v>0</v>
      </c>
      <c r="Y303" s="162">
        <f ca="1"/>
        <v>1.5335264688197681E-3</v>
      </c>
      <c r="Z303" s="162">
        <f ca="1"/>
        <v>0</v>
      </c>
      <c r="AA303" s="162">
        <f ca="1"/>
        <v>1.0741445930143922E-2</v>
      </c>
      <c r="AB303" s="162">
        <f ca="1"/>
        <v>0</v>
      </c>
      <c r="AC303" s="162">
        <f ca="1"/>
        <v>2.5050228483195602E-2</v>
      </c>
      <c r="AD303" s="162">
        <f ca="1"/>
        <v>4.3480703430812229E-2</v>
      </c>
      <c r="AE303" s="138">
        <f ca="1"/>
        <v>7.297865254729774E-2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5.9738334703651752E-4</v>
      </c>
      <c r="P304" s="162">
        <f ca="1"/>
        <v>1.0198834551679026E-3</v>
      </c>
      <c r="Q304" s="162">
        <f ca="1"/>
        <v>3.7646288311834475E-3</v>
      </c>
      <c r="R304" s="162">
        <f ca="1"/>
        <v>8.2582903206976921E-3</v>
      </c>
      <c r="S304" s="162">
        <f ca="1"/>
        <v>0</v>
      </c>
      <c r="T304" s="162">
        <f ca="1"/>
        <v>2.3491270146874466E-2</v>
      </c>
      <c r="U304" s="162">
        <f ca="1"/>
        <v>4.1353355639728084E-2</v>
      </c>
      <c r="V304" s="138">
        <f ca="1"/>
        <v>7.0961436013044721E-2</v>
      </c>
      <c r="W304" s="137">
        <f ca="1"/>
        <v>0</v>
      </c>
      <c r="X304" s="162">
        <f ca="1"/>
        <v>7.1681616400920412E-4</v>
      </c>
      <c r="Y304" s="162">
        <f ca="1"/>
        <v>1.2237348987873542E-3</v>
      </c>
      <c r="Z304" s="162">
        <f ca="1"/>
        <v>4.1352325795708245E-3</v>
      </c>
      <c r="AA304" s="162">
        <f ca="1"/>
        <v>8.7941005768071845E-3</v>
      </c>
      <c r="AB304" s="162">
        <f ca="1"/>
        <v>0</v>
      </c>
      <c r="AC304" s="162">
        <f ca="1"/>
        <v>2.4348059719578208E-2</v>
      </c>
      <c r="AD304" s="162">
        <f ca="1"/>
        <v>4.2519733613597621E-2</v>
      </c>
      <c r="AE304" s="138">
        <f ca="1"/>
        <v>7.2559657878051298E-2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4.7793512564608953E-4</v>
      </c>
      <c r="P305" s="162">
        <f ca="1"/>
        <v>1.2304911535642171E-3</v>
      </c>
      <c r="Q305" s="162">
        <f ca="1"/>
        <v>4.1421328094489729E-3</v>
      </c>
      <c r="R305" s="162">
        <f ca="1"/>
        <v>7.6726064498067181E-3</v>
      </c>
      <c r="S305" s="162">
        <f ca="1"/>
        <v>0</v>
      </c>
      <c r="T305" s="162">
        <f ca="1"/>
        <v>2.1650496137598729E-2</v>
      </c>
      <c r="U305" s="162">
        <f ca="1"/>
        <v>4.0227304276557851E-2</v>
      </c>
      <c r="V305" s="138">
        <f ca="1"/>
        <v>7.3327214156228337E-2</v>
      </c>
      <c r="W305" s="137">
        <f ca="1"/>
        <v>0</v>
      </c>
      <c r="X305" s="162">
        <f ca="1"/>
        <v>5.9738255214170088E-4</v>
      </c>
      <c r="Y305" s="162">
        <f ca="1"/>
        <v>1.4343239996221779E-3</v>
      </c>
      <c r="Z305" s="162">
        <f ca="1"/>
        <v>4.5126176347740632E-3</v>
      </c>
      <c r="AA305" s="162">
        <f ca="1"/>
        <v>8.2085703356600259E-3</v>
      </c>
      <c r="AB305" s="162">
        <f ca="1"/>
        <v>0</v>
      </c>
      <c r="AC305" s="162">
        <f ca="1"/>
        <v>2.2508748364394648E-2</v>
      </c>
      <c r="AD305" s="162">
        <f ca="1"/>
        <v>4.1394984322616568E-2</v>
      </c>
      <c r="AE305" s="138">
        <f ca="1"/>
        <v>7.4921057472746133E-2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7.8949182022691744E-4</v>
      </c>
      <c r="Q306" s="162">
        <f ca="1"/>
        <v>0</v>
      </c>
      <c r="R306" s="162">
        <f ca="1"/>
        <v>7.1336957437898585E-3</v>
      </c>
      <c r="S306" s="162">
        <f ca="1"/>
        <v>0</v>
      </c>
      <c r="T306" s="162">
        <f ca="1"/>
        <v>1.8026115461466263E-2</v>
      </c>
      <c r="U306" s="162">
        <f ca="1"/>
        <v>3.9582457333386611E-2</v>
      </c>
      <c r="V306" s="138">
        <f ca="1"/>
        <v>6.4587776666881425E-2</v>
      </c>
      <c r="W306" s="137">
        <f ca="1"/>
        <v>0</v>
      </c>
      <c r="X306" s="162">
        <f ca="1"/>
        <v>0</v>
      </c>
      <c r="Y306" s="162">
        <f ca="1"/>
        <v>9.9339030306955234E-4</v>
      </c>
      <c r="Z306" s="162">
        <f ca="1"/>
        <v>0</v>
      </c>
      <c r="AA306" s="162">
        <f ca="1"/>
        <v>7.6695654776716138E-3</v>
      </c>
      <c r="AB306" s="162">
        <f ca="1"/>
        <v>0</v>
      </c>
      <c r="AC306" s="162">
        <f ca="1"/>
        <v>1.8886897283799997E-2</v>
      </c>
      <c r="AD306" s="162">
        <f ca="1"/>
        <v>4.0749965036632751E-2</v>
      </c>
      <c r="AE306" s="138">
        <f ca="1"/>
        <v>6.6197899122351855E-2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4.7793512564608953E-4</v>
      </c>
      <c r="P307" s="162">
        <f ca="1"/>
        <v>1.8521115658701737E-3</v>
      </c>
      <c r="Q307" s="162">
        <f ca="1"/>
        <v>5.2636844698019658E-3</v>
      </c>
      <c r="R307" s="162">
        <f ca="1"/>
        <v>9.2902686856825012E-3</v>
      </c>
      <c r="S307" s="162">
        <f ca="1"/>
        <v>0</v>
      </c>
      <c r="T307" s="162">
        <f ca="1"/>
        <v>2.2380685209792528E-2</v>
      </c>
      <c r="U307" s="162">
        <f ca="1"/>
        <v>3.5912667467062787E-2</v>
      </c>
      <c r="V307" s="138">
        <f ca="1"/>
        <v>5.9790685879798522E-2</v>
      </c>
      <c r="W307" s="137">
        <f ca="1"/>
        <v>0</v>
      </c>
      <c r="X307" s="162">
        <f ca="1"/>
        <v>5.9738255214170088E-4</v>
      </c>
      <c r="Y307" s="162">
        <f ca="1"/>
        <v>2.0558526921055087E-3</v>
      </c>
      <c r="Z307" s="162">
        <f ca="1"/>
        <v>5.6337776258730266E-3</v>
      </c>
      <c r="AA307" s="162">
        <f ca="1"/>
        <v>9.8253826013713352E-3</v>
      </c>
      <c r="AB307" s="162">
        <f ca="1"/>
        <v>0</v>
      </c>
      <c r="AC307" s="162">
        <f ca="1"/>
        <v>2.323798997728177E-2</v>
      </c>
      <c r="AD307" s="162">
        <f ca="1"/>
        <v>3.7083958647255222E-2</v>
      </c>
      <c r="AE307" s="138">
        <f ca="1"/>
        <v>6.1406978503445453E-2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5.9738334703651752E-4</v>
      </c>
      <c r="P308" s="162">
        <f ca="1"/>
        <v>1.4343251221308195E-3</v>
      </c>
      <c r="Q308" s="162">
        <f ca="1"/>
        <v>4.1315872168807832E-3</v>
      </c>
      <c r="R308" s="162">
        <f ca="1"/>
        <v>8.7904452461410321E-3</v>
      </c>
      <c r="S308" s="162">
        <f ca="1"/>
        <v>0</v>
      </c>
      <c r="T308" s="162">
        <f ca="1"/>
        <v>2.0627530396717719E-2</v>
      </c>
      <c r="U308" s="162">
        <f ca="1"/>
        <v>3.6210658131369367E-2</v>
      </c>
      <c r="V308" s="138">
        <f ca="1"/>
        <v>6.6008534259813012E-2</v>
      </c>
      <c r="W308" s="137">
        <f ca="1"/>
        <v>0</v>
      </c>
      <c r="X308" s="162">
        <f ca="1"/>
        <v>7.1681616400920412E-4</v>
      </c>
      <c r="Y308" s="162">
        <f ca="1"/>
        <v>1.6381161039986658E-3</v>
      </c>
      <c r="Z308" s="162">
        <f ca="1"/>
        <v>4.5020404949429604E-3</v>
      </c>
      <c r="AA308" s="162">
        <f ca="1"/>
        <v>9.3259473849640617E-3</v>
      </c>
      <c r="AB308" s="162">
        <f ca="1"/>
        <v>0</v>
      </c>
      <c r="AC308" s="162">
        <f ca="1"/>
        <v>2.1486504416461938E-2</v>
      </c>
      <c r="AD308" s="162">
        <f ca="1"/>
        <v>3.7382194033184435E-2</v>
      </c>
      <c r="AE308" s="138">
        <f ca="1"/>
        <v>6.7614781150619807E-2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4.7793512564608953E-4</v>
      </c>
      <c r="P309" s="162">
        <f ca="1"/>
        <v>1.0232493494065631E-3</v>
      </c>
      <c r="Q309" s="162">
        <f ca="1"/>
        <v>3.3867972580835515E-3</v>
      </c>
      <c r="R309" s="162">
        <f ca="1"/>
        <v>7.7149363818332928E-3</v>
      </c>
      <c r="S309" s="162">
        <f ca="1"/>
        <v>0</v>
      </c>
      <c r="T309" s="162">
        <f ca="1"/>
        <v>1.890146385166902E-2</v>
      </c>
      <c r="U309" s="162">
        <f ca="1"/>
        <v>3.5197646352621126E-2</v>
      </c>
      <c r="V309" s="138">
        <f ca="1"/>
        <v>6.060009917144904E-2</v>
      </c>
      <c r="W309" s="137">
        <f ca="1"/>
        <v>0</v>
      </c>
      <c r="X309" s="162">
        <f ca="1"/>
        <v>5.9738255214170088E-4</v>
      </c>
      <c r="Y309" s="162">
        <f ca="1"/>
        <v>1.2271124440105252E-3</v>
      </c>
      <c r="Z309" s="162">
        <f ca="1"/>
        <v>3.7575213600318236E-3</v>
      </c>
      <c r="AA309" s="162">
        <f ca="1"/>
        <v>8.2510181696360263E-3</v>
      </c>
      <c r="AB309" s="162">
        <f ca="1"/>
        <v>0</v>
      </c>
      <c r="AC309" s="162">
        <f ca="1"/>
        <v>1.9762064360643761E-2</v>
      </c>
      <c r="AD309" s="162">
        <f ca="1"/>
        <v>3.6370835060467122E-2</v>
      </c>
      <c r="AE309" s="138">
        <f ca="1"/>
        <v>6.2217088503842444E-2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5.9738334703651752E-4</v>
      </c>
      <c r="P310" s="162">
        <f ca="1"/>
        <v>1.2271130388825657E-3</v>
      </c>
      <c r="Q310" s="162">
        <f ca="1"/>
        <v>4.5197878575824468E-3</v>
      </c>
      <c r="R310" s="162">
        <f ca="1"/>
        <v>8.7799667148139582E-3</v>
      </c>
      <c r="S310" s="162">
        <f ca="1"/>
        <v>0</v>
      </c>
      <c r="T310" s="162">
        <f ca="1"/>
        <v>2.0616860712318497E-2</v>
      </c>
      <c r="U310" s="162">
        <f ca="1"/>
        <v>3.3518634252767354E-2</v>
      </c>
      <c r="V310" s="138">
        <f ca="1"/>
        <v>5.8467047399499261E-2</v>
      </c>
      <c r="W310" s="137">
        <f ca="1"/>
        <v>0</v>
      </c>
      <c r="X310" s="162">
        <f ca="1"/>
        <v>7.1681616400920412E-4</v>
      </c>
      <c r="Y310" s="162">
        <f ca="1"/>
        <v>1.430934331878686E-3</v>
      </c>
      <c r="Z310" s="162">
        <f ca="1"/>
        <v>4.8901507347623996E-3</v>
      </c>
      <c r="AA310" s="162">
        <f ca="1"/>
        <v>9.3154470759110319E-3</v>
      </c>
      <c r="AB310" s="162">
        <f ca="1"/>
        <v>0</v>
      </c>
      <c r="AC310" s="162">
        <f ca="1"/>
        <v>2.1475802690835821E-2</v>
      </c>
      <c r="AD310" s="162">
        <f ca="1"/>
        <v>3.4692790159870812E-2</v>
      </c>
      <c r="AE310" s="138">
        <f ca="1"/>
        <v>6.0086061076910502E-2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3.5847268276523181E-4</v>
      </c>
      <c r="P311" s="162">
        <f ca="1"/>
        <v>1.0266155659914844E-3</v>
      </c>
      <c r="Q311" s="162">
        <f ca="1"/>
        <v>3.3902091262216771E-3</v>
      </c>
      <c r="R311" s="162">
        <f ca="1"/>
        <v>7.1538215134686611E-3</v>
      </c>
      <c r="S311" s="162">
        <f ca="1"/>
        <v>0</v>
      </c>
      <c r="T311" s="162">
        <f ca="1"/>
        <v>1.8945553586546704E-2</v>
      </c>
      <c r="U311" s="162">
        <f ca="1"/>
        <v>3.3900275584016426E-2</v>
      </c>
      <c r="V311" s="138">
        <f ca="1"/>
        <v>6.0828057869768304E-2</v>
      </c>
      <c r="W311" s="137">
        <f ca="1"/>
        <v>0</v>
      </c>
      <c r="X311" s="162">
        <f ca="1"/>
        <v>4.779346426626585E-4</v>
      </c>
      <c r="Y311" s="162">
        <f ca="1"/>
        <v>1.2304902589456157E-3</v>
      </c>
      <c r="Z311" s="162">
        <f ca="1"/>
        <v>3.7609444923344393E-3</v>
      </c>
      <c r="AA311" s="162">
        <f ca="1"/>
        <v>7.6901275444932748E-3</v>
      </c>
      <c r="AB311" s="162">
        <f ca="1"/>
        <v>0</v>
      </c>
      <c r="AC311" s="162">
        <f ca="1"/>
        <v>1.9806175561696726E-2</v>
      </c>
      <c r="AD311" s="162">
        <f ca="1"/>
        <v>3.5074946662061679E-2</v>
      </c>
      <c r="AE311" s="138">
        <f ca="1"/>
        <v>6.244440302148424E-2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1.1360877055830887E-2</v>
      </c>
      <c r="P312" s="162">
        <f ca="1"/>
        <v>1.9321193658078606E-2</v>
      </c>
      <c r="Q312" s="162">
        <f ca="1"/>
        <v>3.3848009989000394E-2</v>
      </c>
      <c r="R312" s="162">
        <f ca="1"/>
        <v>4.771248447270815E-2</v>
      </c>
      <c r="S312" s="162">
        <f ca="1"/>
        <v>0</v>
      </c>
      <c r="T312" s="162">
        <f ca="1"/>
        <v>7.2019458931900315E-2</v>
      </c>
      <c r="U312" s="162">
        <f ca="1"/>
        <v>9.8413948692714914E-2</v>
      </c>
      <c r="V312" s="138">
        <f ca="1"/>
        <v>0.13664562425092663</v>
      </c>
      <c r="W312" s="137">
        <f ca="1"/>
        <v>0</v>
      </c>
      <c r="X312" s="162">
        <f ca="1"/>
        <v>1.1478569362512681E-2</v>
      </c>
      <c r="Y312" s="162">
        <f ca="1"/>
        <v>1.9521170424910639E-2</v>
      </c>
      <c r="Z312" s="162">
        <f ca="1"/>
        <v>3.4206107826412424E-2</v>
      </c>
      <c r="AA312" s="162">
        <f ca="1"/>
        <v>4.8225005249124653E-2</v>
      </c>
      <c r="AB312" s="162">
        <f ca="1"/>
        <v>0</v>
      </c>
      <c r="AC312" s="162">
        <f ca="1"/>
        <v>7.2823654105582336E-2</v>
      </c>
      <c r="AD312" s="162">
        <f ca="1"/>
        <v>9.9496489791597198E-2</v>
      </c>
      <c r="AE312" s="138">
        <f ca="1"/>
        <v>0.13812615247493099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2.0147447091455328E-3</v>
      </c>
      <c r="P313" s="162">
        <f ca="1"/>
        <v>4.6013945853456972E-3</v>
      </c>
      <c r="Q313" s="162">
        <f ca="1"/>
        <v>1.2621940202550697E-2</v>
      </c>
      <c r="R313" s="162">
        <f ca="1"/>
        <v>2.2778225481795533E-2</v>
      </c>
      <c r="S313" s="162">
        <f ca="1"/>
        <v>0</v>
      </c>
      <c r="T313" s="162">
        <f ca="1"/>
        <v>4.959055972135773E-2</v>
      </c>
      <c r="U313" s="162">
        <f ca="1"/>
        <v>7.4255694750989365E-2</v>
      </c>
      <c r="V313" s="138">
        <f ca="1"/>
        <v>0.11255681701728593</v>
      </c>
      <c r="W313" s="137">
        <f ca="1"/>
        <v>0</v>
      </c>
      <c r="X313" s="162">
        <f ca="1"/>
        <v>2.1041832753974088E-3</v>
      </c>
      <c r="Y313" s="162">
        <f ca="1"/>
        <v>4.7537790797563817E-3</v>
      </c>
      <c r="Z313" s="162">
        <f ca="1"/>
        <v>1.2897437775075016E-2</v>
      </c>
      <c r="AA313" s="162">
        <f ca="1"/>
        <v>2.3174364623400501E-2</v>
      </c>
      <c r="AB313" s="162">
        <f ca="1"/>
        <v>0</v>
      </c>
      <c r="AC313" s="162">
        <f ca="1"/>
        <v>5.0212147742629054E-2</v>
      </c>
      <c r="AD313" s="162">
        <f ca="1"/>
        <v>7.509773202604586E-2</v>
      </c>
      <c r="AE313" s="138">
        <f ca="1"/>
        <v>0.11371098967727766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4.0734132962367831E-3</v>
      </c>
      <c r="Q314" s="162">
        <f ca="1"/>
        <v>0</v>
      </c>
      <c r="R314" s="162">
        <f ca="1"/>
        <v>1.8962770459613032E-2</v>
      </c>
      <c r="S314" s="162">
        <f ca="1"/>
        <v>0</v>
      </c>
      <c r="T314" s="162">
        <f ca="1"/>
        <v>3.9687970844215381E-2</v>
      </c>
      <c r="U314" s="162">
        <f ca="1"/>
        <v>6.74684042067899E-2</v>
      </c>
      <c r="V314" s="138">
        <f ca="1"/>
        <v>0.11265751537659319</v>
      </c>
      <c r="W314" s="137">
        <f ca="1"/>
        <v>0</v>
      </c>
      <c r="X314" s="162">
        <f ca="1"/>
        <v>0</v>
      </c>
      <c r="Y314" s="162">
        <f ca="1"/>
        <v>4.2765651570833008E-3</v>
      </c>
      <c r="Z314" s="162">
        <f ca="1"/>
        <v>0</v>
      </c>
      <c r="AA314" s="162">
        <f ca="1"/>
        <v>1.9491047599058731E-2</v>
      </c>
      <c r="AB314" s="162">
        <f ca="1"/>
        <v>0</v>
      </c>
      <c r="AC314" s="162">
        <f ca="1"/>
        <v>4.052797785564366E-2</v>
      </c>
      <c r="AD314" s="162">
        <f ca="1"/>
        <v>6.8599421167176877E-2</v>
      </c>
      <c r="AE314" s="138">
        <f ca="1"/>
        <v>0.11420310586186722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7.0311431042457961E-4</v>
      </c>
      <c r="O315" s="162">
        <f ca="1"/>
        <v>1.0750467358076055E-3</v>
      </c>
      <c r="P315" s="162">
        <f ca="1"/>
        <v>2.4563246839049979E-3</v>
      </c>
      <c r="Q315" s="162">
        <f ca="1"/>
        <v>5.6052291097110629E-3</v>
      </c>
      <c r="R315" s="162">
        <f ca="1"/>
        <v>1.14898342766524E-2</v>
      </c>
      <c r="S315" s="162">
        <f ca="1"/>
        <v>1.8381116787535956E-2</v>
      </c>
      <c r="T315" s="162">
        <f ca="1"/>
        <v>2.6885688911124639E-2</v>
      </c>
      <c r="U315" s="162">
        <f ca="1"/>
        <v>5.0846303098860401E-2</v>
      </c>
      <c r="V315" s="138">
        <f ca="1"/>
        <v>8.8025042826292421E-2</v>
      </c>
      <c r="W315" s="137">
        <f ca="1"/>
        <v>7.6168400582543594E-4</v>
      </c>
      <c r="X315" s="162">
        <f ca="1"/>
        <v>1.1645816082914706E-3</v>
      </c>
      <c r="Y315" s="162">
        <f ca="1"/>
        <v>2.6090236093629926E-3</v>
      </c>
      <c r="Z315" s="162">
        <f ca="1"/>
        <v>5.8826201045379944E-3</v>
      </c>
      <c r="AA315" s="162">
        <f ca="1"/>
        <v>1.1890296951846735E-2</v>
      </c>
      <c r="AB315" s="162">
        <f ca="1"/>
        <v>1.8903208569435392E-2</v>
      </c>
      <c r="AC315" s="162">
        <f ca="1"/>
        <v>2.7526691804679593E-2</v>
      </c>
      <c r="AD315" s="162">
        <f ca="1"/>
        <v>5.1709815216685606E-2</v>
      </c>
      <c r="AE315" s="138">
        <f ca="1"/>
        <v>8.921484010983638E-2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1.2361898678423522E-3</v>
      </c>
      <c r="P316" s="162">
        <f ca="1"/>
        <v>3.2590278511729354E-3</v>
      </c>
      <c r="Q316" s="162">
        <f ca="1"/>
        <v>8.7670387647799108E-3</v>
      </c>
      <c r="R316" s="162">
        <f ca="1"/>
        <v>1.6025015281166843E-2</v>
      </c>
      <c r="S316" s="162">
        <f ca="1"/>
        <v>0</v>
      </c>
      <c r="T316" s="162">
        <f ca="1"/>
        <v>3.3881337441695192E-2</v>
      </c>
      <c r="U316" s="162">
        <f ca="1"/>
        <v>5.3377104197797509E-2</v>
      </c>
      <c r="V316" s="138">
        <f ca="1"/>
        <v>8.3922748355229615E-2</v>
      </c>
      <c r="W316" s="137">
        <f ca="1"/>
        <v>0</v>
      </c>
      <c r="X316" s="162">
        <f ca="1"/>
        <v>1.3257052489101806E-3</v>
      </c>
      <c r="Y316" s="162">
        <f ca="1"/>
        <v>3.4116222941854568E-3</v>
      </c>
      <c r="Z316" s="162">
        <f ca="1"/>
        <v>9.0436400021952634E-3</v>
      </c>
      <c r="AA316" s="162">
        <f ca="1"/>
        <v>1.6423815007940989E-2</v>
      </c>
      <c r="AB316" s="162">
        <f ca="1"/>
        <v>0</v>
      </c>
      <c r="AC316" s="162">
        <f ca="1"/>
        <v>3.4515669893004031E-2</v>
      </c>
      <c r="AD316" s="162">
        <f ca="1"/>
        <v>5.423888931359544E-2</v>
      </c>
      <c r="AE316" s="138">
        <f ca="1"/>
        <v>8.5098055702256703E-2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1.3525640659235449E-3</v>
      </c>
      <c r="P317" s="162">
        <f ca="1"/>
        <v>3.2711410921427708E-3</v>
      </c>
      <c r="Q317" s="162">
        <f ca="1"/>
        <v>8.2784402813863567E-3</v>
      </c>
      <c r="R317" s="162">
        <f ca="1"/>
        <v>1.5075137428202101E-2</v>
      </c>
      <c r="S317" s="162">
        <f ca="1"/>
        <v>0</v>
      </c>
      <c r="T317" s="162">
        <f ca="1"/>
        <v>3.3282622101509562E-2</v>
      </c>
      <c r="U317" s="162">
        <f ca="1"/>
        <v>5.2351055845681338E-2</v>
      </c>
      <c r="V317" s="138">
        <f ca="1"/>
        <v>8.1338998471918056E-2</v>
      </c>
      <c r="W317" s="137">
        <f ca="1"/>
        <v>0</v>
      </c>
      <c r="X317" s="162">
        <f ca="1"/>
        <v>1.4420681956868187E-3</v>
      </c>
      <c r="Y317" s="162">
        <f ca="1"/>
        <v>3.4237260096546818E-3</v>
      </c>
      <c r="Z317" s="162">
        <f ca="1"/>
        <v>8.5551498431000184E-3</v>
      </c>
      <c r="AA317" s="162">
        <f ca="1"/>
        <v>1.5474262798346183E-2</v>
      </c>
      <c r="AB317" s="162">
        <f ca="1"/>
        <v>0</v>
      </c>
      <c r="AC317" s="162">
        <f ca="1"/>
        <v>3.3917356670423615E-2</v>
      </c>
      <c r="AD317" s="162">
        <f ca="1"/>
        <v>5.3213979709392567E-2</v>
      </c>
      <c r="AE317" s="138">
        <f ca="1"/>
        <v>8.2518497199242091E-2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2.5132064489452599E-3</v>
      </c>
      <c r="Q318" s="162">
        <f ca="1"/>
        <v>0</v>
      </c>
      <c r="R318" s="162">
        <f ca="1"/>
        <v>1.3694826321789533E-2</v>
      </c>
      <c r="S318" s="162">
        <f ca="1"/>
        <v>0</v>
      </c>
      <c r="T318" s="162">
        <f ca="1"/>
        <v>3.2552029740438249E-2</v>
      </c>
      <c r="U318" s="162">
        <f ca="1"/>
        <v>4.6322814933655532E-2</v>
      </c>
      <c r="V318" s="138">
        <f ca="1"/>
        <v>6.8359752447707423E-2</v>
      </c>
      <c r="W318" s="137">
        <f ca="1"/>
        <v>0</v>
      </c>
      <c r="X318" s="162">
        <f ca="1"/>
        <v>0</v>
      </c>
      <c r="Y318" s="162">
        <f ca="1"/>
        <v>2.7167267851561094E-3</v>
      </c>
      <c r="Z318" s="162">
        <f ca="1"/>
        <v>0</v>
      </c>
      <c r="AA318" s="162">
        <f ca="1"/>
        <v>1.4226668850001456E-2</v>
      </c>
      <c r="AB318" s="162">
        <f ca="1"/>
        <v>0</v>
      </c>
      <c r="AC318" s="162">
        <f ca="1"/>
        <v>3.3399241540127189E-2</v>
      </c>
      <c r="AD318" s="162">
        <f ca="1"/>
        <v>4.7480362734302339E-2</v>
      </c>
      <c r="AE318" s="138">
        <f ca="1"/>
        <v>6.9956554837600327E-2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1.4331449387990913E-3</v>
      </c>
      <c r="P319" s="162">
        <f ca="1"/>
        <v>2.9117611624088768E-3</v>
      </c>
      <c r="Q319" s="162">
        <f ca="1"/>
        <v>7.0052269840507053E-3</v>
      </c>
      <c r="R319" s="162">
        <f ca="1"/>
        <v>1.2237464116346408E-2</v>
      </c>
      <c r="S319" s="162">
        <f ca="1"/>
        <v>0</v>
      </c>
      <c r="T319" s="162">
        <f ca="1"/>
        <v>2.4574565216286204E-2</v>
      </c>
      <c r="U319" s="162">
        <f ca="1"/>
        <v>3.5648509814653617E-2</v>
      </c>
      <c r="V319" s="138">
        <f ca="1"/>
        <v>5.1278950524024869E-2</v>
      </c>
      <c r="W319" s="137">
        <f ca="1"/>
        <v>0</v>
      </c>
      <c r="X319" s="162">
        <f ca="1"/>
        <v>1.522642619441239E-3</v>
      </c>
      <c r="Y319" s="162">
        <f ca="1"/>
        <v>3.0643829545334844E-3</v>
      </c>
      <c r="Z319" s="162">
        <f ca="1"/>
        <v>7.2822389233765383E-3</v>
      </c>
      <c r="AA319" s="162">
        <f ca="1"/>
        <v>1.2637509335039376E-2</v>
      </c>
      <c r="AB319" s="162">
        <f ca="1"/>
        <v>0</v>
      </c>
      <c r="AC319" s="162">
        <f ca="1"/>
        <v>2.5215015092671433E-2</v>
      </c>
      <c r="AD319" s="162">
        <f ca="1"/>
        <v>3.6525235293479841E-2</v>
      </c>
      <c r="AE319" s="138">
        <f ca="1"/>
        <v>5.2498070806144104E-2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1.7365158438659378E-2</v>
      </c>
      <c r="U320" s="162">
        <f ca="1"/>
        <v>4.5856287215592539E-2</v>
      </c>
      <c r="V320" s="138">
        <f ca="1"/>
        <v>8.8965060620085801E-2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1.8218692569051509E-2</v>
      </c>
      <c r="AD320" s="162">
        <f ca="1"/>
        <v>4.7014842965894865E-2</v>
      </c>
      <c r="AE320" s="138">
        <f ca="1"/>
        <v>9.0556558890846128E-2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1.4211886739504687E-3</v>
      </c>
      <c r="P321" s="162">
        <f ca="1"/>
        <v>2.9224438558695942E-3</v>
      </c>
      <c r="Q321" s="162">
        <f ca="1"/>
        <v>7.1386224227958373E-3</v>
      </c>
      <c r="R321" s="162">
        <f ca="1"/>
        <v>1.2624242139644859E-2</v>
      </c>
      <c r="S321" s="162">
        <f ca="1"/>
        <v>0</v>
      </c>
      <c r="T321" s="162">
        <f ca="1"/>
        <v>2.7528467538184831E-2</v>
      </c>
      <c r="U321" s="162">
        <f ca="1"/>
        <v>4.3067969963492381E-2</v>
      </c>
      <c r="V321" s="138">
        <f ca="1"/>
        <v>6.7519420323630563E-2</v>
      </c>
      <c r="W321" s="137">
        <f ca="1"/>
        <v>0</v>
      </c>
      <c r="X321" s="162">
        <f ca="1"/>
        <v>1.5405185426607959E-3</v>
      </c>
      <c r="Y321" s="162">
        <f ca="1"/>
        <v>3.1259331364010823E-3</v>
      </c>
      <c r="Z321" s="162">
        <f ca="1"/>
        <v>7.5079536269356817E-3</v>
      </c>
      <c r="AA321" s="162">
        <f ca="1"/>
        <v>1.3157580750420617E-2</v>
      </c>
      <c r="AB321" s="162">
        <f ca="1"/>
        <v>0</v>
      </c>
      <c r="AC321" s="162">
        <f ca="1"/>
        <v>2.8380839948556225E-2</v>
      </c>
      <c r="AD321" s="162">
        <f ca="1"/>
        <v>4.4230173158435027E-2</v>
      </c>
      <c r="AE321" s="138">
        <f ca="1"/>
        <v>6.9120615185588652E-2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5.9738334703651752E-4</v>
      </c>
      <c r="P322" s="162">
        <f ca="1"/>
        <v>1.641519707128225E-3</v>
      </c>
      <c r="Q322" s="162">
        <f ca="1"/>
        <v>4.5055156337587832E-3</v>
      </c>
      <c r="R322" s="162">
        <f ca="1"/>
        <v>8.7655244476484429E-3</v>
      </c>
      <c r="S322" s="162">
        <f ca="1"/>
        <v>0</v>
      </c>
      <c r="T322" s="162">
        <f ca="1"/>
        <v>2.3391289910791757E-2</v>
      </c>
      <c r="U322" s="162">
        <f ca="1"/>
        <v>3.9914379510854414E-2</v>
      </c>
      <c r="V322" s="138">
        <f ca="1"/>
        <v>6.3172044878699873E-2</v>
      </c>
      <c r="W322" s="137">
        <f ca="1"/>
        <v>0</v>
      </c>
      <c r="X322" s="162">
        <f ca="1"/>
        <v>7.1681616400920412E-4</v>
      </c>
      <c r="Y322" s="162">
        <f ca="1"/>
        <v>1.845280215647005E-3</v>
      </c>
      <c r="Z322" s="162">
        <f ca="1"/>
        <v>4.875838850450287E-3</v>
      </c>
      <c r="AA322" s="162">
        <f ca="1"/>
        <v>9.3009576782562275E-3</v>
      </c>
      <c r="AB322" s="162">
        <f ca="1"/>
        <v>0</v>
      </c>
      <c r="AC322" s="162">
        <f ca="1"/>
        <v>2.4247936285849758E-2</v>
      </c>
      <c r="AD322" s="162">
        <f ca="1"/>
        <v>4.1081891395522097E-2</v>
      </c>
      <c r="AE322" s="138">
        <f ca="1"/>
        <v>6.4783470422228207E-2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1.2237545966496954E-3</v>
      </c>
      <c r="Q323" s="162">
        <f ca="1"/>
        <v>0</v>
      </c>
      <c r="R323" s="162">
        <f ca="1"/>
        <v>6.5483736140057314E-3</v>
      </c>
      <c r="S323" s="162">
        <f ca="1"/>
        <v>0</v>
      </c>
      <c r="T323" s="162">
        <f ca="1"/>
        <v>1.898780146682566E-2</v>
      </c>
      <c r="U323" s="162">
        <f ca="1"/>
        <v>3.8136702119179744E-2</v>
      </c>
      <c r="V323" s="138">
        <f ca="1"/>
        <v>7.4811468609189191E-2</v>
      </c>
      <c r="W323" s="137">
        <f ca="1"/>
        <v>0</v>
      </c>
      <c r="X323" s="162">
        <f ca="1"/>
        <v>0</v>
      </c>
      <c r="Y323" s="162">
        <f ca="1"/>
        <v>1.4275605418342385E-3</v>
      </c>
      <c r="Z323" s="162">
        <f ca="1"/>
        <v>0</v>
      </c>
      <c r="AA323" s="162">
        <f ca="1"/>
        <v>7.0844691780918012E-3</v>
      </c>
      <c r="AB323" s="162">
        <f ca="1"/>
        <v>0</v>
      </c>
      <c r="AC323" s="162">
        <f ca="1"/>
        <v>1.9847759791134068E-2</v>
      </c>
      <c r="AD323" s="162">
        <f ca="1"/>
        <v>3.9306018628569528E-2</v>
      </c>
      <c r="AE323" s="138">
        <f ca="1"/>
        <v>7.6399597785990592E-2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3.5847268276523181E-4</v>
      </c>
      <c r="P324" s="162">
        <f ca="1"/>
        <v>1.0266155659914844E-3</v>
      </c>
      <c r="Q324" s="162">
        <f ca="1"/>
        <v>3.7714763982246158E-3</v>
      </c>
      <c r="R324" s="162">
        <f ca="1"/>
        <v>8.2652474410943588E-3</v>
      </c>
      <c r="S324" s="162">
        <f ca="1"/>
        <v>0</v>
      </c>
      <c r="T324" s="162">
        <f ca="1"/>
        <v>2.0708217059014156E-2</v>
      </c>
      <c r="U324" s="162">
        <f ca="1"/>
        <v>3.6292258192957783E-2</v>
      </c>
      <c r="V324" s="138">
        <f ca="1"/>
        <v>6.0170472729888513E-2</v>
      </c>
      <c r="W324" s="137">
        <f ca="1"/>
        <v>0</v>
      </c>
      <c r="X324" s="162">
        <f ca="1"/>
        <v>4.779346426626585E-4</v>
      </c>
      <c r="Y324" s="162">
        <f ca="1"/>
        <v>1.2304902589456157E-3</v>
      </c>
      <c r="Z324" s="162">
        <f ca="1"/>
        <v>4.1421026586109244E-3</v>
      </c>
      <c r="AA324" s="162">
        <f ca="1"/>
        <v>8.801078953520669E-3</v>
      </c>
      <c r="AB324" s="162">
        <f ca="1"/>
        <v>0</v>
      </c>
      <c r="AC324" s="162">
        <f ca="1"/>
        <v>2.1567308800820362E-2</v>
      </c>
      <c r="AD324" s="162">
        <f ca="1"/>
        <v>3.7464009076607296E-2</v>
      </c>
      <c r="AE324" s="138">
        <f ca="1"/>
        <v>6.1787583918745725E-2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1.0117435707188704E-3</v>
      </c>
      <c r="Q325" s="162">
        <f ca="1"/>
        <v>0</v>
      </c>
      <c r="R325" s="162">
        <f ca="1"/>
        <v>7.0614390834474738E-3</v>
      </c>
      <c r="S325" s="162">
        <f ca="1"/>
        <v>0</v>
      </c>
      <c r="T325" s="162">
        <f ca="1"/>
        <v>1.9419649251381399E-2</v>
      </c>
      <c r="U325" s="162">
        <f ca="1"/>
        <v>3.360787065649351E-2</v>
      </c>
      <c r="V325" s="138">
        <f ca="1"/>
        <v>5.7199486954030765E-2</v>
      </c>
      <c r="W325" s="137">
        <f ca="1"/>
        <v>0</v>
      </c>
      <c r="X325" s="162">
        <f ca="1"/>
        <v>0</v>
      </c>
      <c r="Y325" s="162">
        <f ca="1"/>
        <v>1.2155949175168823E-3</v>
      </c>
      <c r="Z325" s="162">
        <f ca="1"/>
        <v>0</v>
      </c>
      <c r="AA325" s="162">
        <f ca="1"/>
        <v>7.5973066195746952E-3</v>
      </c>
      <c r="AB325" s="162">
        <f ca="1"/>
        <v>0</v>
      </c>
      <c r="AC325" s="162">
        <f ca="1"/>
        <v>2.0279257162404973E-2</v>
      </c>
      <c r="AD325" s="162">
        <f ca="1"/>
        <v>3.4781892439750828E-2</v>
      </c>
      <c r="AE325" s="138">
        <f ca="1"/>
        <v>5.8820194890820465E-2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6.0767649362140075E-3</v>
      </c>
      <c r="P326" s="162">
        <f ca="1"/>
        <v>1.0354233821525005E-2</v>
      </c>
      <c r="Q326" s="162">
        <f ca="1"/>
        <v>1.8787532954061992E-2</v>
      </c>
      <c r="R326" s="162">
        <f ca="1"/>
        <v>2.976530020424395E-2</v>
      </c>
      <c r="S326" s="162">
        <f ca="1"/>
        <v>0</v>
      </c>
      <c r="T326" s="162">
        <f ca="1"/>
        <v>5.1688947382731443E-2</v>
      </c>
      <c r="U326" s="162">
        <f ca="1"/>
        <v>7.3368953857468333E-2</v>
      </c>
      <c r="V326" s="138">
        <f ca="1"/>
        <v>0.10368992570468361</v>
      </c>
      <c r="W326" s="137">
        <f ca="1"/>
        <v>0</v>
      </c>
      <c r="X326" s="162">
        <f ca="1"/>
        <v>6.1954313551121354E-3</v>
      </c>
      <c r="Y326" s="162">
        <f ca="1"/>
        <v>1.0556145911225112E-2</v>
      </c>
      <c r="Z326" s="162">
        <f ca="1"/>
        <v>1.91520606426413E-2</v>
      </c>
      <c r="AA326" s="162">
        <f ca="1"/>
        <v>3.028870128502259E-2</v>
      </c>
      <c r="AB326" s="162">
        <f ca="1"/>
        <v>0</v>
      </c>
      <c r="AC326" s="162">
        <f ca="1"/>
        <v>5.2515673714197186E-2</v>
      </c>
      <c r="AD326" s="162">
        <f ca="1"/>
        <v>7.4488986633569065E-2</v>
      </c>
      <c r="AE326" s="138">
        <f ca="1"/>
        <v>0.10521549895159388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2.4969203554775499E-3</v>
      </c>
      <c r="Q327" s="162">
        <f ca="1"/>
        <v>0</v>
      </c>
      <c r="R327" s="162">
        <f ca="1"/>
        <v>1.3333517862532229E-2</v>
      </c>
      <c r="S327" s="162">
        <f ca="1"/>
        <v>0</v>
      </c>
      <c r="T327" s="162">
        <f ca="1"/>
        <v>4.4186972451658924E-2</v>
      </c>
      <c r="U327" s="162">
        <f ca="1"/>
        <v>6.9608085534214603E-2</v>
      </c>
      <c r="V327" s="138">
        <f ca="1"/>
        <v>0.11013793652185078</v>
      </c>
      <c r="W327" s="137">
        <f ca="1"/>
        <v>0</v>
      </c>
      <c r="X327" s="162">
        <f ca="1"/>
        <v>0</v>
      </c>
      <c r="Y327" s="162">
        <f ca="1"/>
        <v>2.7004444031000219E-3</v>
      </c>
      <c r="Z327" s="162">
        <f ca="1"/>
        <v>0</v>
      </c>
      <c r="AA327" s="162">
        <f ca="1"/>
        <v>1.3865585634526889E-2</v>
      </c>
      <c r="AB327" s="162">
        <f ca="1"/>
        <v>0</v>
      </c>
      <c r="AC327" s="162">
        <f ca="1"/>
        <v>4.5021450391840911E-2</v>
      </c>
      <c r="AD327" s="162">
        <f ca="1"/>
        <v>7.074029047960162E-2</v>
      </c>
      <c r="AE327" s="138">
        <f ca="1"/>
        <v>0.11168649618031012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8.4220775179111307E-4</v>
      </c>
      <c r="P328" s="162">
        <f ca="1"/>
        <v>1.5465005756467587E-3</v>
      </c>
      <c r="Q328" s="162">
        <f ca="1"/>
        <v>5.6727374826812671E-3</v>
      </c>
      <c r="R328" s="162">
        <f ca="1"/>
        <v>1.2412283867782703E-2</v>
      </c>
      <c r="S328" s="162">
        <f ca="1"/>
        <v>0</v>
      </c>
      <c r="T328" s="162">
        <f ca="1"/>
        <v>3.2326462234955167E-2</v>
      </c>
      <c r="U328" s="162">
        <f ca="1"/>
        <v>5.0937959601173977E-2</v>
      </c>
      <c r="V328" s="138">
        <f ca="1"/>
        <v>8.073476665175694E-2</v>
      </c>
      <c r="W328" s="137">
        <f ca="1"/>
        <v>0</v>
      </c>
      <c r="X328" s="162">
        <f ca="1"/>
        <v>9.3176064170275019E-4</v>
      </c>
      <c r="Y328" s="162">
        <f ca="1"/>
        <v>1.6993167539796072E-3</v>
      </c>
      <c r="Z328" s="162">
        <f ca="1"/>
        <v>5.9502080752928954E-3</v>
      </c>
      <c r="AA328" s="162">
        <f ca="1"/>
        <v>1.281265271189358E-2</v>
      </c>
      <c r="AB328" s="162">
        <f ca="1"/>
        <v>0</v>
      </c>
      <c r="AC328" s="162">
        <f ca="1"/>
        <v>3.2962172424539471E-2</v>
      </c>
      <c r="AD328" s="162">
        <f ca="1"/>
        <v>5.1803259117799705E-2</v>
      </c>
      <c r="AE328" s="138">
        <f ca="1"/>
        <v>8.1916012505632629E-2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1.137708845159846E-3</v>
      </c>
      <c r="P329" s="162">
        <f ca="1"/>
        <v>2.7495532130352718E-3</v>
      </c>
      <c r="Q329" s="162">
        <f ca="1"/>
        <v>7.2770122647646263E-3</v>
      </c>
      <c r="R329" s="162">
        <f ca="1"/>
        <v>1.3420987582671073E-2</v>
      </c>
      <c r="S329" s="162">
        <f ca="1"/>
        <v>0</v>
      </c>
      <c r="T329" s="162">
        <f ca="1"/>
        <v>3.0717883360555254E-2</v>
      </c>
      <c r="U329" s="162">
        <f ca="1"/>
        <v>4.9068557193955087E-2</v>
      </c>
      <c r="V329" s="138">
        <f ca="1"/>
        <v>7.6520443397241178E-2</v>
      </c>
      <c r="W329" s="137">
        <f ca="1"/>
        <v>0</v>
      </c>
      <c r="X329" s="162">
        <f ca="1"/>
        <v>1.2272336858085708E-3</v>
      </c>
      <c r="Y329" s="162">
        <f ca="1"/>
        <v>2.9022130175995198E-3</v>
      </c>
      <c r="Z329" s="162">
        <f ca="1"/>
        <v>7.5540079746115874E-3</v>
      </c>
      <c r="AA329" s="162">
        <f ca="1"/>
        <v>1.3820775101387794E-2</v>
      </c>
      <c r="AB329" s="162">
        <f ca="1"/>
        <v>0</v>
      </c>
      <c r="AC329" s="162">
        <f ca="1"/>
        <v>3.1354576307447202E-2</v>
      </c>
      <c r="AD329" s="162">
        <f ca="1"/>
        <v>4.9934753955943822E-2</v>
      </c>
      <c r="AE329" s="138">
        <f ca="1"/>
        <v>7.7707376203824841E-2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8.4220775179111307E-4</v>
      </c>
      <c r="P330" s="162">
        <f ca="1"/>
        <v>2.5562378450926238E-3</v>
      </c>
      <c r="Q330" s="162">
        <f ca="1"/>
        <v>7.2358342708503942E-3</v>
      </c>
      <c r="R330" s="162">
        <f ca="1"/>
        <v>1.4072745105647488E-2</v>
      </c>
      <c r="S330" s="162">
        <f ca="1"/>
        <v>0</v>
      </c>
      <c r="T330" s="162">
        <f ca="1"/>
        <v>3.2076354129525142E-2</v>
      </c>
      <c r="U330" s="162">
        <f ca="1"/>
        <v>5.1384776556412159E-2</v>
      </c>
      <c r="V330" s="138">
        <f ca="1"/>
        <v>8.0386273530504981E-2</v>
      </c>
      <c r="W330" s="137">
        <f ca="1"/>
        <v>0</v>
      </c>
      <c r="X330" s="162">
        <f ca="1"/>
        <v>9.3176064170275019E-4</v>
      </c>
      <c r="Y330" s="162">
        <f ca="1"/>
        <v>2.7089407207742111E-3</v>
      </c>
      <c r="Z330" s="162">
        <f ca="1"/>
        <v>7.5128749186836874E-3</v>
      </c>
      <c r="AA330" s="162">
        <f ca="1"/>
        <v>1.4472375172478347E-2</v>
      </c>
      <c r="AB330" s="162">
        <f ca="1"/>
        <v>0</v>
      </c>
      <c r="AC330" s="162">
        <f ca="1"/>
        <v>3.2712148387687323E-2</v>
      </c>
      <c r="AD330" s="162">
        <f ca="1"/>
        <v>5.2248935448151235E-2</v>
      </c>
      <c r="AE330" s="138">
        <f ca="1"/>
        <v>8.1567676334002859E-2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9.944464588255153E-4</v>
      </c>
      <c r="P331" s="162">
        <f ca="1"/>
        <v>2.6605396032028938E-3</v>
      </c>
      <c r="Q331" s="162">
        <f ca="1"/>
        <v>7.2845456455340463E-3</v>
      </c>
      <c r="R331" s="162">
        <f ca="1"/>
        <v>1.3723983751795954E-2</v>
      </c>
      <c r="S331" s="162">
        <f ca="1"/>
        <v>0</v>
      </c>
      <c r="T331" s="162">
        <f ca="1"/>
        <v>3.2090326418496296E-2</v>
      </c>
      <c r="U331" s="162">
        <f ca="1"/>
        <v>5.1498373613693915E-2</v>
      </c>
      <c r="V331" s="138">
        <f ca="1"/>
        <v>8.0386048779664265E-2</v>
      </c>
      <c r="W331" s="137">
        <f ca="1"/>
        <v>0</v>
      </c>
      <c r="X331" s="162">
        <f ca="1"/>
        <v>1.0839849604388219E-3</v>
      </c>
      <c r="Y331" s="162">
        <f ca="1"/>
        <v>2.8132197547410254E-3</v>
      </c>
      <c r="Z331" s="162">
        <f ca="1"/>
        <v>7.5615563767946758E-3</v>
      </c>
      <c r="AA331" s="162">
        <f ca="1"/>
        <v>1.4123696931114926E-2</v>
      </c>
      <c r="AB331" s="162">
        <f ca="1"/>
        <v>0</v>
      </c>
      <c r="AC331" s="162">
        <f ca="1"/>
        <v>3.272604086445996E-2</v>
      </c>
      <c r="AD331" s="162">
        <f ca="1"/>
        <v>5.2362479261115813E-2</v>
      </c>
      <c r="AE331" s="138">
        <f ca="1"/>
        <v>8.1567561489491069E-2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9.4967276678448176E-4</v>
      </c>
      <c r="P332" s="162">
        <f ca="1"/>
        <v>2.351224028339427E-3</v>
      </c>
      <c r="Q332" s="162">
        <f ca="1"/>
        <v>6.9544617764146777E-3</v>
      </c>
      <c r="R332" s="162">
        <f ca="1"/>
        <v>1.3499716282915908E-2</v>
      </c>
      <c r="S332" s="162">
        <f ca="1"/>
        <v>0</v>
      </c>
      <c r="T332" s="162">
        <f ca="1"/>
        <v>3.1445750697472574E-2</v>
      </c>
      <c r="U332" s="162">
        <f ca="1"/>
        <v>5.0026565312751292E-2</v>
      </c>
      <c r="V332" s="138">
        <f ca="1"/>
        <v>7.7806226646003562E-2</v>
      </c>
      <c r="W332" s="137">
        <f ca="1"/>
        <v>0</v>
      </c>
      <c r="X332" s="162">
        <f ca="1"/>
        <v>1.0392155136816905E-3</v>
      </c>
      <c r="Y332" s="162">
        <f ca="1"/>
        <v>2.503942496126621E-3</v>
      </c>
      <c r="Z332" s="162">
        <f ca="1"/>
        <v>7.2315729432705922E-3</v>
      </c>
      <c r="AA332" s="162">
        <f ca="1"/>
        <v>1.3899559032039543E-2</v>
      </c>
      <c r="AB332" s="162">
        <f ca="1"/>
        <v>0</v>
      </c>
      <c r="AC332" s="162">
        <f ca="1"/>
        <v>3.2082008677473906E-2</v>
      </c>
      <c r="AD332" s="162">
        <f ca="1"/>
        <v>5.0892064624775912E-2</v>
      </c>
      <c r="AE332" s="138">
        <f ca="1"/>
        <v>7.8991471555983739E-2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1.3734503132861731E-3</v>
      </c>
      <c r="P333" s="162">
        <f ca="1"/>
        <v>3.7102945244652519E-3</v>
      </c>
      <c r="Q333" s="162">
        <f ca="1"/>
        <v>1.0493671988683229E-2</v>
      </c>
      <c r="R333" s="162">
        <f ca="1"/>
        <v>1.9061757298491688E-2</v>
      </c>
      <c r="S333" s="162">
        <f ca="1"/>
        <v>0</v>
      </c>
      <c r="T333" s="162">
        <f ca="1"/>
        <v>4.0667487301720984E-2</v>
      </c>
      <c r="U333" s="162">
        <f ca="1"/>
        <v>6.329196134511228E-2</v>
      </c>
      <c r="V333" s="138">
        <f ca="1"/>
        <v>9.72006354206566E-2</v>
      </c>
      <c r="W333" s="137">
        <f ca="1"/>
        <v>0</v>
      </c>
      <c r="X333" s="162">
        <f ca="1"/>
        <v>1.4927862548357318E-3</v>
      </c>
      <c r="Y333" s="162">
        <f ca="1"/>
        <v>3.9136693873683681E-3</v>
      </c>
      <c r="Z333" s="162">
        <f ca="1"/>
        <v>1.0861897561140865E-2</v>
      </c>
      <c r="AA333" s="162">
        <f ca="1"/>
        <v>1.9592011789330566E-2</v>
      </c>
      <c r="AB333" s="162">
        <f ca="1"/>
        <v>0</v>
      </c>
      <c r="AC333" s="162">
        <f ca="1"/>
        <v>4.1507529130963561E-2</v>
      </c>
      <c r="AD333" s="162">
        <f ca="1"/>
        <v>6.4429794167448318E-2</v>
      </c>
      <c r="AE333" s="138">
        <f ca="1"/>
        <v>9.8746380381353416E-2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1.4599968607926783E-3</v>
      </c>
      <c r="P334" s="162">
        <f ca="1"/>
        <v>2.8178359700988809E-3</v>
      </c>
      <c r="Q334" s="162">
        <f ca="1"/>
        <v>6.2659562940760027E-3</v>
      </c>
      <c r="R334" s="162">
        <f ca="1"/>
        <v>1.1431311400280642E-2</v>
      </c>
      <c r="S334" s="162">
        <f ca="1"/>
        <v>0</v>
      </c>
      <c r="T334" s="162">
        <f ca="1"/>
        <v>3.097251513157262E-2</v>
      </c>
      <c r="U334" s="162">
        <f ca="1"/>
        <v>4.5569149544512744E-2</v>
      </c>
      <c r="V334" s="138">
        <f ca="1"/>
        <v>7.1663878728059127E-2</v>
      </c>
      <c r="W334" s="137">
        <f ca="1"/>
        <v>0</v>
      </c>
      <c r="X334" s="162">
        <f ca="1"/>
        <v>1.5494919216144654E-3</v>
      </c>
      <c r="Y334" s="162">
        <f ca="1"/>
        <v>2.970466448597997E-3</v>
      </c>
      <c r="Z334" s="162">
        <f ca="1"/>
        <v>6.5431421422798008E-3</v>
      </c>
      <c r="AA334" s="162">
        <f ca="1"/>
        <v>1.1831671180176362E-2</v>
      </c>
      <c r="AB334" s="162">
        <f ca="1"/>
        <v>0</v>
      </c>
      <c r="AC334" s="162">
        <f ca="1"/>
        <v>3.1608217551623241E-2</v>
      </c>
      <c r="AD334" s="162">
        <f ca="1"/>
        <v>4.6438306129666707E-2</v>
      </c>
      <c r="AE334" s="138">
        <f ca="1"/>
        <v>7.2855673857041725E-2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3.5651369451116244E-3</v>
      </c>
      <c r="Q335" s="162">
        <f ca="1"/>
        <v>0</v>
      </c>
      <c r="R335" s="162">
        <f ca="1"/>
        <v>1.7635964374778212E-2</v>
      </c>
      <c r="S335" s="162">
        <f ca="1"/>
        <v>0</v>
      </c>
      <c r="T335" s="162">
        <f ca="1"/>
        <v>3.7574539433667065E-2</v>
      </c>
      <c r="U335" s="162">
        <f ca="1"/>
        <v>5.6570688986215756E-2</v>
      </c>
      <c r="V335" s="138">
        <f ca="1"/>
        <v>8.4396902198935919E-2</v>
      </c>
      <c r="W335" s="137">
        <f ca="1"/>
        <v>0</v>
      </c>
      <c r="X335" s="162">
        <f ca="1"/>
        <v>0</v>
      </c>
      <c r="Y335" s="162">
        <f ca="1"/>
        <v>3.7684117037307674E-3</v>
      </c>
      <c r="Z335" s="162">
        <f ca="1"/>
        <v>0</v>
      </c>
      <c r="AA335" s="162">
        <f ca="1"/>
        <v>1.8165171095376853E-2</v>
      </c>
      <c r="AB335" s="162">
        <f ca="1"/>
        <v>0</v>
      </c>
      <c r="AC335" s="162">
        <f ca="1"/>
        <v>3.8416716121229211E-2</v>
      </c>
      <c r="AD335" s="162">
        <f ca="1"/>
        <v>5.7715506490199187E-2</v>
      </c>
      <c r="AE335" s="138">
        <f ca="1"/>
        <v>8.5964311164932194E-2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1.5493288919871118E-3</v>
      </c>
      <c r="Q336" s="162">
        <f ca="1"/>
        <v>0</v>
      </c>
      <c r="R336" s="162">
        <f ca="1"/>
        <v>8.290285048098478E-3</v>
      </c>
      <c r="S336" s="162">
        <f ca="1"/>
        <v>0</v>
      </c>
      <c r="T336" s="162">
        <f ca="1"/>
        <v>2.4860672825088526E-2</v>
      </c>
      <c r="U336" s="162">
        <f ca="1"/>
        <v>3.9083626076992561E-2</v>
      </c>
      <c r="V336" s="138">
        <f ca="1"/>
        <v>6.2318932536754024E-2</v>
      </c>
      <c r="W336" s="137">
        <f ca="1"/>
        <v>0</v>
      </c>
      <c r="X336" s="162">
        <f ca="1"/>
        <v>0</v>
      </c>
      <c r="Y336" s="162">
        <f ca="1"/>
        <v>1.702131734682033E-3</v>
      </c>
      <c r="Z336" s="162">
        <f ca="1"/>
        <v>0</v>
      </c>
      <c r="AA336" s="162">
        <f ca="1"/>
        <v>8.6915592671633624E-3</v>
      </c>
      <c r="AB336" s="162">
        <f ca="1"/>
        <v>0</v>
      </c>
      <c r="AC336" s="162">
        <f ca="1"/>
        <v>2.5501139873070122E-2</v>
      </c>
      <c r="AD336" s="162">
        <f ca="1"/>
        <v>3.995902556146691E-2</v>
      </c>
      <c r="AE336" s="138">
        <f ca="1"/>
        <v>6.3525211898303735E-2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4.4807084828524246E-4</v>
      </c>
      <c r="P337" s="162">
        <f ca="1"/>
        <v>1.5421702069667864E-3</v>
      </c>
      <c r="Q337" s="162">
        <f ca="1"/>
        <v>4.5133916186022027E-3</v>
      </c>
      <c r="R337" s="162">
        <f ca="1"/>
        <v>9.0555242803371794E-3</v>
      </c>
      <c r="S337" s="162">
        <f ca="1"/>
        <v>0</v>
      </c>
      <c r="T337" s="162">
        <f ca="1"/>
        <v>2.2217125544567673E-2</v>
      </c>
      <c r="U337" s="162">
        <f ca="1"/>
        <v>3.6340512878726972E-2</v>
      </c>
      <c r="V337" s="138">
        <f ca="1"/>
        <v>5.9344640689515504E-2</v>
      </c>
      <c r="W337" s="137">
        <f ca="1"/>
        <v>0</v>
      </c>
      <c r="X337" s="162">
        <f ca="1"/>
        <v>5.3766038567726326E-4</v>
      </c>
      <c r="Y337" s="162">
        <f ca="1"/>
        <v>1.6950161178658218E-3</v>
      </c>
      <c r="Z337" s="162">
        <f ca="1"/>
        <v>4.7911571520148355E-3</v>
      </c>
      <c r="AA337" s="162">
        <f ca="1"/>
        <v>9.4570457667106922E-3</v>
      </c>
      <c r="AB337" s="162">
        <f ca="1"/>
        <v>0</v>
      </c>
      <c r="AC337" s="162">
        <f ca="1"/>
        <v>2.2860074931241203E-2</v>
      </c>
      <c r="AD337" s="162">
        <f ca="1"/>
        <v>3.7218617392619113E-2</v>
      </c>
      <c r="AE337" s="138">
        <f ca="1"/>
        <v>6.0556299966842198E-2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2.7818889647546197E-3</v>
      </c>
      <c r="Q338" s="162">
        <f ca="1"/>
        <v>0</v>
      </c>
      <c r="R338" s="162">
        <f ca="1"/>
        <v>2.0142223206540133E-2</v>
      </c>
      <c r="S338" s="162">
        <f ca="1"/>
        <v>0</v>
      </c>
      <c r="T338" s="162">
        <f ca="1"/>
        <v>3.782363465713956E-2</v>
      </c>
      <c r="U338" s="162">
        <f ca="1"/>
        <v>5.2275530915123714E-2</v>
      </c>
      <c r="V338" s="138">
        <f ca="1"/>
        <v>7.3827555120637989E-2</v>
      </c>
      <c r="W338" s="137">
        <f ca="1"/>
        <v>0</v>
      </c>
      <c r="X338" s="162">
        <f ca="1"/>
        <v>0</v>
      </c>
      <c r="Y338" s="162">
        <f ca="1"/>
        <v>2.9853476780760113E-3</v>
      </c>
      <c r="Z338" s="162">
        <f ca="1"/>
        <v>0</v>
      </c>
      <c r="AA338" s="162">
        <f ca="1"/>
        <v>2.0669655679233734E-2</v>
      </c>
      <c r="AB338" s="162">
        <f ca="1"/>
        <v>0</v>
      </c>
      <c r="AC338" s="162">
        <f ca="1"/>
        <v>3.8665928865788013E-2</v>
      </c>
      <c r="AD338" s="162">
        <f ca="1"/>
        <v>5.3424344109059607E-2</v>
      </c>
      <c r="AE338" s="138">
        <f ca="1"/>
        <v>7.5411967441147087E-2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1.5737809288980387E-3</v>
      </c>
      <c r="Q339" s="162">
        <f ca="1"/>
        <v>0</v>
      </c>
      <c r="R339" s="162">
        <f ca="1"/>
        <v>1.0330090459319985E-2</v>
      </c>
      <c r="S339" s="162">
        <f ca="1"/>
        <v>0</v>
      </c>
      <c r="T339" s="162">
        <f ca="1"/>
        <v>2.3809992853620954E-2</v>
      </c>
      <c r="U339" s="162">
        <f ca="1"/>
        <v>3.2490495597835678E-2</v>
      </c>
      <c r="V339" s="138">
        <f ca="1"/>
        <v>5.1471392545957673E-2</v>
      </c>
      <c r="W339" s="137">
        <f ca="1"/>
        <v>0</v>
      </c>
      <c r="X339" s="162">
        <f ca="1"/>
        <v>0</v>
      </c>
      <c r="Y339" s="162">
        <f ca="1"/>
        <v>1.7265796788531462E-3</v>
      </c>
      <c r="Z339" s="162">
        <f ca="1"/>
        <v>0</v>
      </c>
      <c r="AA339" s="162">
        <f ca="1"/>
        <v>1.0730443326039785E-2</v>
      </c>
      <c r="AB339" s="162">
        <f ca="1"/>
        <v>0</v>
      </c>
      <c r="AC339" s="162">
        <f ca="1"/>
        <v>2.4451263691512737E-2</v>
      </c>
      <c r="AD339" s="162">
        <f ca="1"/>
        <v>3.3370436595700936E-2</v>
      </c>
      <c r="AE339" s="138">
        <f ca="1"/>
        <v>5.269064412971336E-2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1.0142920450807447E-3</v>
      </c>
      <c r="Q340" s="162">
        <f ca="1"/>
        <v>0</v>
      </c>
      <c r="R340" s="162">
        <f ca="1"/>
        <v>6.2910689143665932E-3</v>
      </c>
      <c r="S340" s="162">
        <f ca="1"/>
        <v>0</v>
      </c>
      <c r="T340" s="162">
        <f ca="1"/>
        <v>1.7979264508127368E-2</v>
      </c>
      <c r="U340" s="162">
        <f ca="1"/>
        <v>3.2587679189374552E-2</v>
      </c>
      <c r="V340" s="138">
        <f ca="1"/>
        <v>5.7836397423060681E-2</v>
      </c>
      <c r="W340" s="137">
        <f ca="1"/>
        <v>0</v>
      </c>
      <c r="X340" s="162">
        <f ca="1"/>
        <v>0</v>
      </c>
      <c r="Y340" s="162">
        <f ca="1"/>
        <v>1.1671829916923837E-3</v>
      </c>
      <c r="Z340" s="162">
        <f ca="1"/>
        <v>0</v>
      </c>
      <c r="AA340" s="162">
        <f ca="1"/>
        <v>6.6932454719644818E-3</v>
      </c>
      <c r="AB340" s="162">
        <f ca="1"/>
        <v>0</v>
      </c>
      <c r="AC340" s="162">
        <f ca="1"/>
        <v>1.8624692335628801E-2</v>
      </c>
      <c r="AD340" s="162">
        <f ca="1"/>
        <v>3.3468915119083009E-2</v>
      </c>
      <c r="AE340" s="138">
        <f ca="1"/>
        <v>5.9049392196631412E-2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5.9738334703651752E-4</v>
      </c>
      <c r="P341" s="162">
        <f ca="1"/>
        <v>1.4343251221308195E-3</v>
      </c>
      <c r="Q341" s="162">
        <f ca="1"/>
        <v>4.1315872168807832E-3</v>
      </c>
      <c r="R341" s="162">
        <f ca="1"/>
        <v>8.7904452461410321E-3</v>
      </c>
      <c r="S341" s="162">
        <f ca="1"/>
        <v>0</v>
      </c>
      <c r="T341" s="162">
        <f ca="1"/>
        <v>2.3416940517439588E-2</v>
      </c>
      <c r="U341" s="162">
        <f ca="1"/>
        <v>4.1278064184153584E-2</v>
      </c>
      <c r="V341" s="138">
        <f ca="1"/>
        <v>7.285107510731248E-2</v>
      </c>
      <c r="W341" s="137">
        <f ca="1"/>
        <v>0</v>
      </c>
      <c r="X341" s="162">
        <f ca="1"/>
        <v>7.1681616400920412E-4</v>
      </c>
      <c r="Y341" s="162">
        <f ca="1"/>
        <v>1.6381161039986658E-3</v>
      </c>
      <c r="Z341" s="162">
        <f ca="1"/>
        <v>4.5020404949429604E-3</v>
      </c>
      <c r="AA341" s="162">
        <f ca="1"/>
        <v>9.3259473849640617E-3</v>
      </c>
      <c r="AB341" s="162">
        <f ca="1"/>
        <v>0</v>
      </c>
      <c r="AC341" s="162">
        <f ca="1"/>
        <v>2.4273660279411025E-2</v>
      </c>
      <c r="AD341" s="162">
        <f ca="1"/>
        <v>4.2444241504817515E-2</v>
      </c>
      <c r="AE341" s="138">
        <f ca="1"/>
        <v>7.4445338029586305E-2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9.5564270783932148E-4</v>
      </c>
      <c r="P342" s="162">
        <f ca="1"/>
        <v>2.6047220254957759E-3</v>
      </c>
      <c r="Q342" s="162">
        <f ca="1"/>
        <v>7.011916856906053E-3</v>
      </c>
      <c r="R342" s="162">
        <f ca="1"/>
        <v>1.2544663717538262E-2</v>
      </c>
      <c r="S342" s="162">
        <f ca="1"/>
        <v>0</v>
      </c>
      <c r="T342" s="162">
        <f ca="1"/>
        <v>2.4790466219476115E-2</v>
      </c>
      <c r="U342" s="162">
        <f ca="1"/>
        <v>3.9262243401245067E-2</v>
      </c>
      <c r="V342" s="138">
        <f ca="1"/>
        <v>6.4489948333020797E-2</v>
      </c>
      <c r="W342" s="137">
        <f ca="1"/>
        <v>0</v>
      </c>
      <c r="X342" s="162">
        <f ca="1"/>
        <v>1.0750312308801524E-3</v>
      </c>
      <c r="Y342" s="162">
        <f ca="1"/>
        <v>2.8083041230444472E-3</v>
      </c>
      <c r="Z342" s="162">
        <f ca="1"/>
        <v>7.3813655849831461E-3</v>
      </c>
      <c r="AA342" s="162">
        <f ca="1"/>
        <v>1.3078141545309396E-2</v>
      </c>
      <c r="AB342" s="162">
        <f ca="1"/>
        <v>0</v>
      </c>
      <c r="AC342" s="162">
        <f ca="1"/>
        <v>2.5645199644682148E-2</v>
      </c>
      <c r="AD342" s="162">
        <f ca="1"/>
        <v>4.0428601585302704E-2</v>
      </c>
      <c r="AE342" s="138">
        <f ca="1"/>
        <v>6.6096557083730412E-2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2.5727502359169652E-3</v>
      </c>
      <c r="Q343" s="162">
        <f ca="1"/>
        <v>0</v>
      </c>
      <c r="R343" s="162">
        <f ca="1"/>
        <v>1.3044473308210791E-2</v>
      </c>
      <c r="S343" s="162">
        <f ca="1"/>
        <v>0</v>
      </c>
      <c r="T343" s="162">
        <f ca="1"/>
        <v>3.3897144505629861E-2</v>
      </c>
      <c r="U343" s="162">
        <f ca="1"/>
        <v>6.4791029676675826E-2</v>
      </c>
      <c r="V343" s="138">
        <f ca="1"/>
        <v>8.8635011797497776E-2</v>
      </c>
      <c r="W343" s="137">
        <f ca="1"/>
        <v>0</v>
      </c>
      <c r="X343" s="162">
        <f ca="1"/>
        <v>0</v>
      </c>
      <c r="Y343" s="162">
        <f ca="1"/>
        <v>2.7253766942810786E-3</v>
      </c>
      <c r="Z343" s="162">
        <f ca="1"/>
        <v>0</v>
      </c>
      <c r="AA343" s="162">
        <f ca="1"/>
        <v>1.3443457452582575E-2</v>
      </c>
      <c r="AB343" s="162">
        <f ca="1"/>
        <v>0</v>
      </c>
      <c r="AC343" s="162">
        <f ca="1"/>
        <v>3.4530600218807272E-2</v>
      </c>
      <c r="AD343" s="162">
        <f ca="1"/>
        <v>6.5640528911814711E-2</v>
      </c>
      <c r="AE343" s="138">
        <f ca="1"/>
        <v>8.9808788502374615E-2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4.3863837756762392E-3</v>
      </c>
      <c r="Q344" s="162">
        <f ca="1"/>
        <v>0</v>
      </c>
      <c r="R344" s="162">
        <f ca="1"/>
        <v>1.8729009853181156E-2</v>
      </c>
      <c r="S344" s="162">
        <f ca="1"/>
        <v>0</v>
      </c>
      <c r="T344" s="162">
        <f ca="1"/>
        <v>3.9338901024367767E-2</v>
      </c>
      <c r="U344" s="162">
        <f ca="1"/>
        <v>5.7736539319932723E-2</v>
      </c>
      <c r="V344" s="138">
        <f ca="1"/>
        <v>9.2329029901930482E-2</v>
      </c>
      <c r="W344" s="137">
        <f ca="1"/>
        <v>0</v>
      </c>
      <c r="X344" s="162">
        <f ca="1"/>
        <v>0</v>
      </c>
      <c r="Y344" s="162">
        <f ca="1"/>
        <v>4.5386708606562909E-3</v>
      </c>
      <c r="Z344" s="162">
        <f ca="1"/>
        <v>0</v>
      </c>
      <c r="AA344" s="162">
        <f ca="1"/>
        <v>1.9124928667539676E-2</v>
      </c>
      <c r="AB344" s="162">
        <f ca="1"/>
        <v>0</v>
      </c>
      <c r="AC344" s="162">
        <f ca="1"/>
        <v>3.9968174827105907E-2</v>
      </c>
      <c r="AD344" s="162">
        <f ca="1"/>
        <v>5.859319816148012E-2</v>
      </c>
      <c r="AE344" s="138">
        <f ca="1"/>
        <v>9.3507199523421569E-2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1.0302639736645691E-3</v>
      </c>
      <c r="P345" s="162">
        <f ca="1"/>
        <v>2.5507949482646008E-3</v>
      </c>
      <c r="Q345" s="162">
        <f ca="1"/>
        <v>7.9433874040920616E-3</v>
      </c>
      <c r="R345" s="162">
        <f ca="1"/>
        <v>1.5972513189975834E-2</v>
      </c>
      <c r="S345" s="162">
        <f ca="1"/>
        <v>0</v>
      </c>
      <c r="T345" s="162">
        <f ca="1"/>
        <v>3.6733884750849266E-2</v>
      </c>
      <c r="U345" s="162">
        <f ca="1"/>
        <v>5.704012224391497E-2</v>
      </c>
      <c r="V345" s="138">
        <f ca="1"/>
        <v>8.4909591368290571E-2</v>
      </c>
      <c r="W345" s="137">
        <f ca="1"/>
        <v>0</v>
      </c>
      <c r="X345" s="162">
        <f ca="1"/>
        <v>1.1197990709075345E-3</v>
      </c>
      <c r="Y345" s="162">
        <f ca="1"/>
        <v>2.7034850236934416E-3</v>
      </c>
      <c r="Z345" s="162">
        <f ca="1"/>
        <v>8.2202438323333293E-3</v>
      </c>
      <c r="AA345" s="162">
        <f ca="1"/>
        <v>1.6371471201860111E-2</v>
      </c>
      <c r="AB345" s="162">
        <f ca="1"/>
        <v>0</v>
      </c>
      <c r="AC345" s="162">
        <f ca="1"/>
        <v>3.7366178505701231E-2</v>
      </c>
      <c r="AD345" s="162">
        <f ca="1"/>
        <v>5.7899121465150083E-2</v>
      </c>
      <c r="AE345" s="138">
        <f ca="1"/>
        <v>8.6084769162836805E-2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1.3346612219969911E-3</v>
      </c>
      <c r="P346" s="162">
        <f ca="1"/>
        <v>3.3492786457752777E-3</v>
      </c>
      <c r="Q346" s="162">
        <f ca="1"/>
        <v>8.703747034060072E-3</v>
      </c>
      <c r="R346" s="162">
        <f ca="1"/>
        <v>1.6274197119099831E-2</v>
      </c>
      <c r="S346" s="162">
        <f ca="1"/>
        <v>0</v>
      </c>
      <c r="T346" s="162">
        <f ca="1"/>
        <v>3.5242016545329657E-2</v>
      </c>
      <c r="U346" s="162">
        <f ca="1"/>
        <v>5.4000671184557425E-2</v>
      </c>
      <c r="V346" s="138">
        <f ca="1"/>
        <v>8.0721378377583086E-2</v>
      </c>
      <c r="W346" s="137">
        <f ca="1"/>
        <v>0</v>
      </c>
      <c r="X346" s="162">
        <f ca="1"/>
        <v>1.4241670878342161E-3</v>
      </c>
      <c r="Y346" s="162">
        <f ca="1"/>
        <v>3.5018558053674376E-3</v>
      </c>
      <c r="Z346" s="162">
        <f ca="1"/>
        <v>8.980351002016107E-3</v>
      </c>
      <c r="AA346" s="162">
        <f ca="1"/>
        <v>1.6672904191450288E-2</v>
      </c>
      <c r="AB346" s="162">
        <f ca="1"/>
        <v>0</v>
      </c>
      <c r="AC346" s="162">
        <f ca="1"/>
        <v>3.5875327910509069E-2</v>
      </c>
      <c r="AD346" s="162">
        <f ca="1"/>
        <v>5.4861982796106989E-2</v>
      </c>
      <c r="AE346" s="138">
        <f ca="1"/>
        <v>8.190181670513208E-2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1.2451422086257047E-3</v>
      </c>
      <c r="P347" s="162">
        <f ca="1"/>
        <v>3.2121942977442197E-3</v>
      </c>
      <c r="Q347" s="162">
        <f ca="1"/>
        <v>8.5689214498124722E-3</v>
      </c>
      <c r="R347" s="162">
        <f ca="1"/>
        <v>1.5951880430025045E-2</v>
      </c>
      <c r="S347" s="162">
        <f ca="1"/>
        <v>0</v>
      </c>
      <c r="T347" s="162">
        <f ca="1"/>
        <v>3.5282903137164645E-2</v>
      </c>
      <c r="U347" s="162">
        <f ca="1"/>
        <v>5.5035521345403238E-2</v>
      </c>
      <c r="V347" s="138">
        <f ca="1"/>
        <v>8.4996308264766562E-2</v>
      </c>
      <c r="W347" s="137">
        <f ca="1"/>
        <v>0</v>
      </c>
      <c r="X347" s="162">
        <f ca="1"/>
        <v>1.3346567269949539E-3</v>
      </c>
      <c r="Y347" s="162">
        <f ca="1"/>
        <v>3.3647935208093172E-3</v>
      </c>
      <c r="Z347" s="162">
        <f ca="1"/>
        <v>8.8455727391775207E-3</v>
      </c>
      <c r="AA347" s="162">
        <f ca="1"/>
        <v>1.6350721040513494E-2</v>
      </c>
      <c r="AB347" s="162">
        <f ca="1"/>
        <v>0</v>
      </c>
      <c r="AC347" s="162">
        <f ca="1"/>
        <v>3.5916179590062991E-2</v>
      </c>
      <c r="AD347" s="162">
        <f ca="1"/>
        <v>5.5896008536117203E-2</v>
      </c>
      <c r="AE347" s="138">
        <f ca="1"/>
        <v>8.6170440752953992E-2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5.0891962512588096E-3</v>
      </c>
      <c r="Q348" s="162">
        <f ca="1"/>
        <v>0</v>
      </c>
      <c r="R348" s="162">
        <f ca="1"/>
        <v>1.9972266216943257E-2</v>
      </c>
      <c r="S348" s="162">
        <f ca="1"/>
        <v>0</v>
      </c>
      <c r="T348" s="162">
        <f ca="1"/>
        <v>4.4092152216977487E-2</v>
      </c>
      <c r="U348" s="162">
        <f ca="1"/>
        <v>7.067400105127597E-2</v>
      </c>
      <c r="V348" s="138">
        <f ca="1"/>
        <v>0.12099002379332957</v>
      </c>
      <c r="W348" s="137">
        <f ca="1"/>
        <v>0</v>
      </c>
      <c r="X348" s="162">
        <f ca="1"/>
        <v>0</v>
      </c>
      <c r="Y348" s="162">
        <f ca="1"/>
        <v>5.2920938951573904E-3</v>
      </c>
      <c r="Z348" s="162">
        <f ca="1"/>
        <v>0</v>
      </c>
      <c r="AA348" s="162">
        <f ca="1"/>
        <v>2.0499815424182555E-2</v>
      </c>
      <c r="AB348" s="162">
        <f ca="1"/>
        <v>0</v>
      </c>
      <c r="AC348" s="162">
        <f ca="1"/>
        <v>4.4927356622524339E-2</v>
      </c>
      <c r="AD348" s="162">
        <f ca="1"/>
        <v>7.1801279642493276E-2</v>
      </c>
      <c r="AE348" s="138">
        <f ca="1"/>
        <v>0.12252342593305177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1.0929415473502901E-3</v>
      </c>
      <c r="P349" s="162">
        <f ca="1"/>
        <v>2.7974370397652049E-3</v>
      </c>
      <c r="Q349" s="162">
        <f ca="1"/>
        <v>7.5048812003822851E-3</v>
      </c>
      <c r="R349" s="162">
        <f ca="1"/>
        <v>1.4084711414156792E-2</v>
      </c>
      <c r="S349" s="162">
        <f ca="1"/>
        <v>0</v>
      </c>
      <c r="T349" s="162">
        <f ca="1"/>
        <v>3.2042190554225303E-2</v>
      </c>
      <c r="U349" s="162">
        <f ca="1"/>
        <v>5.0652883905603185E-2</v>
      </c>
      <c r="V349" s="138">
        <f ca="1"/>
        <v>7.8987816432250058E-2</v>
      </c>
      <c r="W349" s="137">
        <f ca="1"/>
        <v>0</v>
      </c>
      <c r="X349" s="162">
        <f ca="1"/>
        <v>1.1824706695160447E-3</v>
      </c>
      <c r="Y349" s="162">
        <f ca="1"/>
        <v>2.9500945700161596E-3</v>
      </c>
      <c r="Z349" s="162">
        <f ca="1"/>
        <v>7.7818236779874095E-3</v>
      </c>
      <c r="AA349" s="162">
        <f ca="1"/>
        <v>1.4484273529490332E-2</v>
      </c>
      <c r="AB349" s="162">
        <f ca="1"/>
        <v>0</v>
      </c>
      <c r="AC349" s="162">
        <f ca="1"/>
        <v>3.2677929469415723E-2</v>
      </c>
      <c r="AD349" s="162">
        <f ca="1"/>
        <v>5.1517612370976518E-2</v>
      </c>
      <c r="AE349" s="138">
        <f ca="1"/>
        <v>8.0171024534283597E-2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1.2719987515991127E-3</v>
      </c>
      <c r="P350" s="162">
        <f ca="1"/>
        <v>2.7145993854856831E-3</v>
      </c>
      <c r="Q350" s="162">
        <f ca="1"/>
        <v>7.4738034749471938E-3</v>
      </c>
      <c r="R350" s="162">
        <f ca="1"/>
        <v>1.3999120497745987E-2</v>
      </c>
      <c r="S350" s="162">
        <f ca="1"/>
        <v>0</v>
      </c>
      <c r="T350" s="162">
        <f ca="1"/>
        <v>3.0660701791606959E-2</v>
      </c>
      <c r="U350" s="162">
        <f ca="1"/>
        <v>4.8213269453225682E-2</v>
      </c>
      <c r="V350" s="138">
        <f ca="1"/>
        <v>7.5109890868663598E-2</v>
      </c>
      <c r="W350" s="137">
        <f ca="1"/>
        <v>0</v>
      </c>
      <c r="X350" s="162">
        <f ca="1"/>
        <v>1.361510679039668E-3</v>
      </c>
      <c r="Y350" s="162">
        <f ca="1"/>
        <v>2.8672535361914386E-3</v>
      </c>
      <c r="Z350" s="162">
        <f ca="1"/>
        <v>7.750744145701205E-3</v>
      </c>
      <c r="AA350" s="162">
        <f ca="1"/>
        <v>1.4398705549633073E-2</v>
      </c>
      <c r="AB350" s="162">
        <f ca="1"/>
        <v>0</v>
      </c>
      <c r="AC350" s="162">
        <f ca="1"/>
        <v>3.1297454627124965E-2</v>
      </c>
      <c r="AD350" s="162">
        <f ca="1"/>
        <v>4.9080049085236777E-2</v>
      </c>
      <c r="AE350" s="138">
        <f ca="1"/>
        <v>7.6298477070886439E-2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2.2085436933186875E-3</v>
      </c>
      <c r="P351" s="162">
        <f ca="1"/>
        <v>4.2233748438164076E-3</v>
      </c>
      <c r="Q351" s="162">
        <f ca="1"/>
        <v>1.0486615941234678E-2</v>
      </c>
      <c r="R351" s="162">
        <f ca="1"/>
        <v>1.7667948205084438E-2</v>
      </c>
      <c r="S351" s="162">
        <f ca="1"/>
        <v>0</v>
      </c>
      <c r="T351" s="162">
        <f ca="1"/>
        <v>3.6122820442799353E-2</v>
      </c>
      <c r="U351" s="162">
        <f ca="1"/>
        <v>5.5922872285217973E-2</v>
      </c>
      <c r="V351" s="138">
        <f ca="1"/>
        <v>8.5346055599209714E-2</v>
      </c>
      <c r="W351" s="137">
        <f ca="1"/>
        <v>0</v>
      </c>
      <c r="X351" s="162">
        <f ca="1"/>
        <v>2.327771412972246E-3</v>
      </c>
      <c r="Y351" s="162">
        <f ca="1"/>
        <v>4.4265925936340933E-3</v>
      </c>
      <c r="Z351" s="162">
        <f ca="1"/>
        <v>1.0854716442309287E-2</v>
      </c>
      <c r="AA351" s="162">
        <f ca="1"/>
        <v>1.8198621030176776E-2</v>
      </c>
      <c r="AB351" s="162">
        <f ca="1"/>
        <v>0</v>
      </c>
      <c r="AC351" s="162">
        <f ca="1"/>
        <v>3.6966887296282169E-2</v>
      </c>
      <c r="AD351" s="162">
        <f ca="1"/>
        <v>5.706900389518732E-2</v>
      </c>
      <c r="AE351" s="138">
        <f ca="1"/>
        <v>8.6913575210244232E-2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1.6837349216012321E-3</v>
      </c>
      <c r="P352" s="162">
        <f ca="1"/>
        <v>4.4872153732020692E-3</v>
      </c>
      <c r="Q352" s="162">
        <f ca="1"/>
        <v>1.2010605465322399E-2</v>
      </c>
      <c r="R352" s="162">
        <f ca="1"/>
        <v>2.0235195774349402E-2</v>
      </c>
      <c r="S352" s="162">
        <f ca="1"/>
        <v>0</v>
      </c>
      <c r="T352" s="162">
        <f ca="1"/>
        <v>3.9560085843244441E-2</v>
      </c>
      <c r="U352" s="162">
        <f ca="1"/>
        <v>5.9177219610628162E-2</v>
      </c>
      <c r="V352" s="138">
        <f ca="1"/>
        <v>8.9625209234815761E-2</v>
      </c>
      <c r="W352" s="137">
        <f ca="1"/>
        <v>0</v>
      </c>
      <c r="X352" s="162">
        <f ca="1"/>
        <v>1.8030329998126593E-3</v>
      </c>
      <c r="Y352" s="162">
        <f ca="1"/>
        <v>4.6904439355791583E-3</v>
      </c>
      <c r="Z352" s="162">
        <f ca="1"/>
        <v>1.2378229716140887E-2</v>
      </c>
      <c r="AA352" s="162">
        <f ca="1"/>
        <v>2.0764550049038322E-2</v>
      </c>
      <c r="AB352" s="162">
        <f ca="1"/>
        <v>0</v>
      </c>
      <c r="AC352" s="162">
        <f ca="1"/>
        <v>4.0400138450983891E-2</v>
      </c>
      <c r="AD352" s="162">
        <f ca="1"/>
        <v>6.0317931346486442E-2</v>
      </c>
      <c r="AE352" s="138">
        <f ca="1"/>
        <v>9.118142121950723E-2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1.2182849465545154E-3</v>
      </c>
      <c r="P353" s="162">
        <f ca="1"/>
        <v>3.156058125388439E-3</v>
      </c>
      <c r="Q353" s="162">
        <f ca="1"/>
        <v>7.6689336610200609E-3</v>
      </c>
      <c r="R353" s="162">
        <f ca="1"/>
        <v>1.5071264402777729E-2</v>
      </c>
      <c r="S353" s="162">
        <f ca="1"/>
        <v>0</v>
      </c>
      <c r="T353" s="162">
        <f ca="1"/>
        <v>3.8398931347667364E-2</v>
      </c>
      <c r="U353" s="162">
        <f ca="1"/>
        <v>6.1448160551833442E-2</v>
      </c>
      <c r="V353" s="138">
        <f ca="1"/>
        <v>9.2572131719086626E-2</v>
      </c>
      <c r="W353" s="137">
        <f ca="1"/>
        <v>0</v>
      </c>
      <c r="X353" s="162">
        <f ca="1"/>
        <v>1.3376405341758435E-3</v>
      </c>
      <c r="Y353" s="162">
        <f ca="1"/>
        <v>3.359531927510595E-3</v>
      </c>
      <c r="Z353" s="162">
        <f ca="1"/>
        <v>8.0381043580969314E-3</v>
      </c>
      <c r="AA353" s="162">
        <f ca="1"/>
        <v>1.5603554235660066E-2</v>
      </c>
      <c r="AB353" s="162">
        <f ca="1"/>
        <v>0</v>
      </c>
      <c r="AC353" s="162">
        <f ca="1"/>
        <v>3.9241307313848561E-2</v>
      </c>
      <c r="AD353" s="162">
        <f ca="1"/>
        <v>6.2589726744098462E-2</v>
      </c>
      <c r="AE353" s="138">
        <f ca="1"/>
        <v>9.412905577750097E-2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1.9700165462306352E-3</v>
      </c>
      <c r="P354" s="162">
        <f ca="1"/>
        <v>5.1816849231276496E-3</v>
      </c>
      <c r="Q354" s="162">
        <f ca="1"/>
        <v>1.2052127383943345E-2</v>
      </c>
      <c r="R354" s="162">
        <f ca="1"/>
        <v>1.9131215299686977E-2</v>
      </c>
      <c r="S354" s="162">
        <f ca="1"/>
        <v>0</v>
      </c>
      <c r="T354" s="162">
        <f ca="1"/>
        <v>3.6814552819922963E-2</v>
      </c>
      <c r="U354" s="162">
        <f ca="1"/>
        <v>5.5594884089970154E-2</v>
      </c>
      <c r="V354" s="138">
        <f ca="1"/>
        <v>8.5021860719791564E-2</v>
      </c>
      <c r="W354" s="137">
        <f ca="1"/>
        <v>0</v>
      </c>
      <c r="X354" s="162">
        <f ca="1"/>
        <v>2.0892756141207558E-3</v>
      </c>
      <c r="Y354" s="162">
        <f ca="1"/>
        <v>5.3847771719889304E-3</v>
      </c>
      <c r="Z354" s="162">
        <f ca="1"/>
        <v>1.2419677947292596E-2</v>
      </c>
      <c r="AA354" s="162">
        <f ca="1"/>
        <v>1.9661018605703351E-2</v>
      </c>
      <c r="AB354" s="162">
        <f ca="1"/>
        <v>0</v>
      </c>
      <c r="AC354" s="162">
        <f ca="1"/>
        <v>3.7657682463592579E-2</v>
      </c>
      <c r="AD354" s="162">
        <f ca="1"/>
        <v>5.6740571499310666E-2</v>
      </c>
      <c r="AE354" s="138">
        <f ca="1"/>
        <v>8.6588714368055264E-2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1.2660306930737386E-3</v>
      </c>
      <c r="P355" s="162">
        <f ca="1"/>
        <v>3.4651241890378826E-3</v>
      </c>
      <c r="Q355" s="162">
        <f ca="1"/>
        <v>7.5044197244956701E-3</v>
      </c>
      <c r="R355" s="162">
        <f ca="1"/>
        <v>1.382896084710028E-2</v>
      </c>
      <c r="S355" s="162">
        <f ca="1"/>
        <v>0</v>
      </c>
      <c r="T355" s="162">
        <f ca="1"/>
        <v>3.2027587395904278E-2</v>
      </c>
      <c r="U355" s="162">
        <f ca="1"/>
        <v>5.0970281393122652E-2</v>
      </c>
      <c r="V355" s="138">
        <f ca="1"/>
        <v>7.941393514228956E-2</v>
      </c>
      <c r="W355" s="137">
        <f ca="1"/>
        <v>0</v>
      </c>
      <c r="X355" s="162">
        <f ca="1"/>
        <v>1.3853802504774082E-3</v>
      </c>
      <c r="Y355" s="162">
        <f ca="1"/>
        <v>3.6685465782693161E-3</v>
      </c>
      <c r="Z355" s="162">
        <f ca="1"/>
        <v>7.8736052998172879E-3</v>
      </c>
      <c r="AA355" s="162">
        <f ca="1"/>
        <v>1.4361724126401354E-2</v>
      </c>
      <c r="AB355" s="162">
        <f ca="1"/>
        <v>0</v>
      </c>
      <c r="AC355" s="162">
        <f ca="1"/>
        <v>3.2875926061703864E-2</v>
      </c>
      <c r="AD355" s="162">
        <f ca="1"/>
        <v>5.2123620492183775E-2</v>
      </c>
      <c r="AE355" s="138">
        <f ca="1"/>
        <v>8.0994113725133654E-2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9.7653722180957026E-4</v>
      </c>
      <c r="P356" s="162">
        <f ca="1"/>
        <v>2.39704313703204E-3</v>
      </c>
      <c r="Q356" s="162">
        <f ca="1"/>
        <v>6.1529231649549709E-3</v>
      </c>
      <c r="R356" s="162">
        <f ca="1"/>
        <v>1.1170831109001855E-2</v>
      </c>
      <c r="S356" s="162">
        <f ca="1"/>
        <v>0</v>
      </c>
      <c r="T356" s="162">
        <f ca="1"/>
        <v>2.331968241325777E-2</v>
      </c>
      <c r="U356" s="162">
        <f ca="1"/>
        <v>3.6909340101334065E-2</v>
      </c>
      <c r="V356" s="138">
        <f ca="1"/>
        <v>6.025272550718308E-2</v>
      </c>
      <c r="W356" s="137">
        <f ca="1"/>
        <v>0</v>
      </c>
      <c r="X356" s="162">
        <f ca="1"/>
        <v>1.0660774229022119E-3</v>
      </c>
      <c r="Y356" s="162">
        <f ca="1"/>
        <v>2.5497544883060774E-3</v>
      </c>
      <c r="Z356" s="162">
        <f ca="1"/>
        <v>6.4302156638805785E-3</v>
      </c>
      <c r="AA356" s="162">
        <f ca="1"/>
        <v>1.1571446350182479E-2</v>
      </c>
      <c r="AB356" s="162">
        <f ca="1"/>
        <v>0</v>
      </c>
      <c r="AC356" s="162">
        <f ca="1"/>
        <v>2.3961581598459958E-2</v>
      </c>
      <c r="AD356" s="162">
        <f ca="1"/>
        <v>3.7786154985682718E-2</v>
      </c>
      <c r="AE356" s="138">
        <f ca="1"/>
        <v>6.146207941648385E-2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2.0773607851340969E-3</v>
      </c>
      <c r="P357" s="162">
        <f ca="1"/>
        <v>4.2686453748711495E-3</v>
      </c>
      <c r="Q357" s="162">
        <f ca="1"/>
        <v>1.0375245486693441E-2</v>
      </c>
      <c r="R357" s="162">
        <f ca="1"/>
        <v>1.80687541292055E-2</v>
      </c>
      <c r="S357" s="162">
        <f ca="1"/>
        <v>0</v>
      </c>
      <c r="T357" s="162">
        <f ca="1"/>
        <v>3.5179899476110887E-2</v>
      </c>
      <c r="U357" s="162">
        <f ca="1"/>
        <v>5.4014843983495764E-2</v>
      </c>
      <c r="V357" s="138">
        <f ca="1"/>
        <v>8.5706568541482842E-2</v>
      </c>
      <c r="W357" s="137">
        <f ca="1"/>
        <v>0</v>
      </c>
      <c r="X357" s="162">
        <f ca="1"/>
        <v>2.1966057894740043E-3</v>
      </c>
      <c r="Y357" s="162">
        <f ca="1"/>
        <v>4.4718686910437677E-3</v>
      </c>
      <c r="Z357" s="162">
        <f ca="1"/>
        <v>1.0743391528578172E-2</v>
      </c>
      <c r="AA357" s="162">
        <f ca="1"/>
        <v>1.859928330320737E-2</v>
      </c>
      <c r="AB357" s="162">
        <f ca="1"/>
        <v>0</v>
      </c>
      <c r="AC357" s="162">
        <f ca="1"/>
        <v>3.6024865571805509E-2</v>
      </c>
      <c r="AD357" s="162">
        <f ca="1"/>
        <v>5.5162952217571726E-2</v>
      </c>
      <c r="AE357" s="138">
        <f ca="1"/>
        <v>8.7272681993648127E-2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1.2719987515991127E-3</v>
      </c>
      <c r="P358" s="162">
        <f ca="1"/>
        <v>2.8232848904462537E-3</v>
      </c>
      <c r="Q358" s="162">
        <f ca="1"/>
        <v>7.1561957173714719E-3</v>
      </c>
      <c r="R358" s="162">
        <f ca="1"/>
        <v>1.3714978560109614E-2</v>
      </c>
      <c r="S358" s="162">
        <f ca="1"/>
        <v>0</v>
      </c>
      <c r="T358" s="162">
        <f ca="1"/>
        <v>3.2081074638531937E-2</v>
      </c>
      <c r="U358" s="162">
        <f ca="1"/>
        <v>5.0691840371243635E-2</v>
      </c>
      <c r="V358" s="138">
        <f ca="1"/>
        <v>7.7562951940863156E-2</v>
      </c>
      <c r="W358" s="137">
        <f ca="1"/>
        <v>0</v>
      </c>
      <c r="X358" s="162">
        <f ca="1"/>
        <v>1.361510679039668E-3</v>
      </c>
      <c r="Y358" s="162">
        <f ca="1"/>
        <v>2.9759267190568872E-3</v>
      </c>
      <c r="Z358" s="162">
        <f ca="1"/>
        <v>7.4332045620439935E-3</v>
      </c>
      <c r="AA358" s="162">
        <f ca="1"/>
        <v>1.4114665751514321E-2</v>
      </c>
      <c r="AB358" s="162">
        <f ca="1"/>
        <v>0</v>
      </c>
      <c r="AC358" s="162">
        <f ca="1"/>
        <v>3.2716772309427822E-2</v>
      </c>
      <c r="AD358" s="162">
        <f ca="1"/>
        <v>5.1556652990588203E-2</v>
      </c>
      <c r="AE358" s="138">
        <f ca="1"/>
        <v>7.8748568935522179E-2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2.2016892482656925E-3</v>
      </c>
      <c r="Q359" s="162">
        <f ca="1"/>
        <v>0</v>
      </c>
      <c r="R359" s="162">
        <f ca="1"/>
        <v>9.3309098730516293E-3</v>
      </c>
      <c r="S359" s="162">
        <f ca="1"/>
        <v>0</v>
      </c>
      <c r="T359" s="162">
        <f ca="1"/>
        <v>2.4213338207711099E-2</v>
      </c>
      <c r="U359" s="162">
        <f ca="1"/>
        <v>4.3006390530892169E-2</v>
      </c>
      <c r="V359" s="138">
        <f ca="1"/>
        <v>7.3699401571581946E-2</v>
      </c>
      <c r="W359" s="137">
        <f ca="1"/>
        <v>0</v>
      </c>
      <c r="X359" s="162">
        <f ca="1"/>
        <v>0</v>
      </c>
      <c r="Y359" s="162">
        <f ca="1"/>
        <v>2.3543808747601425E-3</v>
      </c>
      <c r="Z359" s="162">
        <f ca="1"/>
        <v>0</v>
      </c>
      <c r="AA359" s="162">
        <f ca="1"/>
        <v>9.7316648767818981E-3</v>
      </c>
      <c r="AB359" s="162">
        <f ca="1"/>
        <v>0</v>
      </c>
      <c r="AC359" s="162">
        <f ca="1"/>
        <v>2.4854170361872319E-2</v>
      </c>
      <c r="AD359" s="162">
        <f ca="1"/>
        <v>4.3877796613902786E-2</v>
      </c>
      <c r="AE359" s="138">
        <f ca="1"/>
        <v>7.488883521189027E-2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7.3357843993981264E-2</v>
      </c>
      <c r="Q360" s="162">
        <f ca="1"/>
        <v>0</v>
      </c>
      <c r="R360" s="162">
        <f ca="1"/>
        <v>0.15611854358132171</v>
      </c>
      <c r="S360" s="162">
        <f ca="1"/>
        <v>0</v>
      </c>
      <c r="T360" s="162">
        <f ca="1"/>
        <v>0.21160473955481118</v>
      </c>
      <c r="U360" s="162">
        <f ca="1"/>
        <v>0.23924930982654413</v>
      </c>
      <c r="V360" s="138">
        <f ca="1"/>
        <v>0.27282738601141199</v>
      </c>
      <c r="W360" s="137">
        <f ca="1"/>
        <v>0</v>
      </c>
      <c r="X360" s="162">
        <f ca="1"/>
        <v>0</v>
      </c>
      <c r="Y360" s="162">
        <f ca="1"/>
        <v>7.3546924428686267E-2</v>
      </c>
      <c r="Z360" s="162">
        <f ca="1"/>
        <v>0</v>
      </c>
      <c r="AA360" s="162">
        <f ca="1"/>
        <v>0.15657085772406754</v>
      </c>
      <c r="AB360" s="162">
        <f ca="1"/>
        <v>0</v>
      </c>
      <c r="AC360" s="162">
        <f ca="1"/>
        <v>0.21228298578378679</v>
      </c>
      <c r="AD360" s="162">
        <f ca="1"/>
        <v>0.24013633476656215</v>
      </c>
      <c r="AE360" s="138">
        <f ca="1"/>
        <v>0.27400574681447321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3.5651369451116244E-3</v>
      </c>
      <c r="Q361" s="162">
        <f ca="1"/>
        <v>0</v>
      </c>
      <c r="R361" s="162">
        <f ca="1"/>
        <v>1.4894989168713679E-2</v>
      </c>
      <c r="S361" s="162">
        <f ca="1"/>
        <v>0</v>
      </c>
      <c r="T361" s="162">
        <f ca="1"/>
        <v>2.9999453798670528E-2</v>
      </c>
      <c r="U361" s="162">
        <f ca="1"/>
        <v>4.1676223282509528E-2</v>
      </c>
      <c r="V361" s="138">
        <f ca="1"/>
        <v>6.1215324629372292E-2</v>
      </c>
      <c r="W361" s="137">
        <f ca="1"/>
        <v>0</v>
      </c>
      <c r="X361" s="162">
        <f ca="1"/>
        <v>0</v>
      </c>
      <c r="Y361" s="162">
        <f ca="1"/>
        <v>3.7684117037307674E-3</v>
      </c>
      <c r="Z361" s="162">
        <f ca="1"/>
        <v>0</v>
      </c>
      <c r="AA361" s="162">
        <f ca="1"/>
        <v>1.5425984716158414E-2</v>
      </c>
      <c r="AB361" s="162">
        <f ca="1"/>
        <v>0</v>
      </c>
      <c r="AC361" s="162">
        <f ca="1"/>
        <v>3.0848672122060328E-2</v>
      </c>
      <c r="AD361" s="162">
        <f ca="1"/>
        <v>4.2837746198043591E-2</v>
      </c>
      <c r="AE361" s="138">
        <f ca="1"/>
        <v>6.2823229478485509E-2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0">
        <v>351</v>
      </c>
      <c r="B362" s="463" t="s">
        <v>510</v>
      </c>
      <c r="C362" s="469">
        <v>0.4</v>
      </c>
      <c r="D362" s="471" t="s">
        <v>66</v>
      </c>
      <c r="K362" s="467">
        <v>8.7500000000000008E-3</v>
      </c>
    </row>
    <row r="363" spans="1:50">
      <c r="A363" s="470">
        <v>352</v>
      </c>
      <c r="B363" s="464" t="s">
        <v>511</v>
      </c>
      <c r="C363" s="469">
        <v>0.4</v>
      </c>
      <c r="D363" s="472" t="s">
        <v>66</v>
      </c>
      <c r="K363" s="467">
        <v>1.6250000000000001E-2</v>
      </c>
    </row>
    <row r="364" spans="1:50">
      <c r="A364" s="470">
        <v>353</v>
      </c>
      <c r="B364" s="465" t="s">
        <v>512</v>
      </c>
      <c r="C364" s="469">
        <v>0.4</v>
      </c>
      <c r="D364" s="472" t="s">
        <v>66</v>
      </c>
      <c r="K364" s="467">
        <v>1.6250000000000001E-2</v>
      </c>
    </row>
    <row r="365" spans="1:50">
      <c r="A365" s="470">
        <v>354</v>
      </c>
      <c r="B365" s="465" t="s">
        <v>513</v>
      </c>
      <c r="C365" s="469">
        <v>0.4</v>
      </c>
      <c r="D365" s="472" t="s">
        <v>66</v>
      </c>
      <c r="K365" s="467">
        <v>1.7500000000000002E-2</v>
      </c>
    </row>
    <row r="366" spans="1:50">
      <c r="A366" s="470">
        <v>355</v>
      </c>
      <c r="B366" s="465" t="s">
        <v>514</v>
      </c>
      <c r="C366" s="469">
        <v>0.4</v>
      </c>
      <c r="D366" s="472" t="s">
        <v>66</v>
      </c>
      <c r="K366" s="467">
        <v>1.2500000000000001E-2</v>
      </c>
    </row>
    <row r="367" spans="1:50">
      <c r="A367" s="470">
        <v>356</v>
      </c>
      <c r="B367" s="465" t="s">
        <v>515</v>
      </c>
      <c r="C367" s="469">
        <v>0.4</v>
      </c>
      <c r="D367" s="472" t="s">
        <v>67</v>
      </c>
      <c r="K367" s="467">
        <v>3.4000000000000002E-2</v>
      </c>
    </row>
    <row r="368" spans="1:50">
      <c r="A368" s="470">
        <v>357</v>
      </c>
      <c r="B368" s="465" t="s">
        <v>516</v>
      </c>
      <c r="C368" s="469">
        <v>0.4</v>
      </c>
      <c r="D368" s="472" t="s">
        <v>66</v>
      </c>
      <c r="K368" s="467">
        <v>1.375E-2</v>
      </c>
    </row>
    <row r="369" spans="1:11">
      <c r="A369" s="470">
        <v>358</v>
      </c>
      <c r="B369" s="465" t="s">
        <v>517</v>
      </c>
      <c r="C369" s="469">
        <v>0.4</v>
      </c>
      <c r="D369" s="472" t="s">
        <v>67</v>
      </c>
      <c r="K369" s="467">
        <v>3.85E-2</v>
      </c>
    </row>
    <row r="370" spans="1:11">
      <c r="A370" s="470">
        <v>359</v>
      </c>
      <c r="B370" s="465" t="s">
        <v>518</v>
      </c>
      <c r="C370" s="469">
        <v>0.4</v>
      </c>
      <c r="D370" s="472" t="s">
        <v>66</v>
      </c>
      <c r="K370" s="467">
        <v>1.6250000000000001E-2</v>
      </c>
    </row>
    <row r="371" spans="1:11">
      <c r="A371" s="470">
        <v>360</v>
      </c>
      <c r="B371" s="465" t="s">
        <v>519</v>
      </c>
      <c r="C371" s="469">
        <v>0.4</v>
      </c>
      <c r="D371" s="472" t="s">
        <v>66</v>
      </c>
      <c r="K371" s="467">
        <v>3.7499999999999999E-3</v>
      </c>
    </row>
    <row r="372" spans="1:11">
      <c r="A372" s="470">
        <v>361</v>
      </c>
      <c r="B372" s="465" t="s">
        <v>520</v>
      </c>
      <c r="C372" s="469">
        <v>0.4</v>
      </c>
      <c r="D372" s="472" t="s">
        <v>66</v>
      </c>
      <c r="K372" s="467">
        <v>0.01</v>
      </c>
    </row>
    <row r="373" spans="1:11">
      <c r="A373" s="470">
        <v>362</v>
      </c>
      <c r="B373" s="465" t="s">
        <v>521</v>
      </c>
      <c r="C373" s="469">
        <v>0.4</v>
      </c>
      <c r="D373" s="472" t="s">
        <v>66</v>
      </c>
      <c r="K373" s="467">
        <v>3.3750000000000002E-2</v>
      </c>
    </row>
    <row r="374" spans="1:11">
      <c r="A374" s="470">
        <v>363</v>
      </c>
      <c r="B374" s="465" t="s">
        <v>522</v>
      </c>
      <c r="C374" s="469">
        <v>0.4</v>
      </c>
      <c r="D374" s="472" t="s">
        <v>66</v>
      </c>
      <c r="K374" s="467">
        <v>1.2500000000000001E-2</v>
      </c>
    </row>
    <row r="375" spans="1:11">
      <c r="A375" s="470">
        <v>364</v>
      </c>
      <c r="B375" s="465" t="s">
        <v>523</v>
      </c>
      <c r="C375" s="469">
        <v>0.4</v>
      </c>
      <c r="D375" s="472" t="s">
        <v>66</v>
      </c>
      <c r="K375" s="467">
        <v>0.01</v>
      </c>
    </row>
    <row r="376" spans="1:11">
      <c r="A376" s="470">
        <v>365</v>
      </c>
      <c r="B376" s="465" t="s">
        <v>524</v>
      </c>
      <c r="C376" s="469">
        <v>0.4</v>
      </c>
      <c r="D376" s="472" t="s">
        <v>66</v>
      </c>
      <c r="K376" s="467">
        <v>8.7500000000000008E-3</v>
      </c>
    </row>
    <row r="377" spans="1:11">
      <c r="A377" s="470">
        <v>366</v>
      </c>
      <c r="B377" s="465" t="s">
        <v>525</v>
      </c>
      <c r="C377" s="469">
        <v>0.4</v>
      </c>
      <c r="D377" s="472" t="s">
        <v>66</v>
      </c>
      <c r="K377" s="467">
        <v>5.0000000000000001E-3</v>
      </c>
    </row>
    <row r="378" spans="1:11">
      <c r="A378" s="470">
        <v>367</v>
      </c>
      <c r="B378" s="465" t="s">
        <v>526</v>
      </c>
      <c r="C378" s="469">
        <v>0.4</v>
      </c>
      <c r="D378" s="472" t="s">
        <v>66</v>
      </c>
      <c r="K378" s="467">
        <v>3.4000000000000002E-2</v>
      </c>
    </row>
    <row r="379" spans="1:11">
      <c r="A379" s="470">
        <v>368</v>
      </c>
      <c r="B379" s="465" t="s">
        <v>527</v>
      </c>
      <c r="C379" s="469">
        <v>0.4</v>
      </c>
      <c r="D379" s="472" t="s">
        <v>66</v>
      </c>
      <c r="K379" s="467">
        <v>2.5000000000000001E-2</v>
      </c>
    </row>
    <row r="380" spans="1:11">
      <c r="A380" s="470">
        <v>369</v>
      </c>
      <c r="B380" s="465" t="s">
        <v>528</v>
      </c>
      <c r="C380" s="469">
        <v>0.4</v>
      </c>
      <c r="D380" s="472" t="s">
        <v>66</v>
      </c>
      <c r="K380" s="467">
        <v>1.375E-2</v>
      </c>
    </row>
    <row r="381" spans="1:11">
      <c r="A381" s="470">
        <v>370</v>
      </c>
      <c r="B381" s="465" t="s">
        <v>529</v>
      </c>
      <c r="C381" s="469">
        <v>0.4</v>
      </c>
      <c r="D381" s="472" t="s">
        <v>66</v>
      </c>
      <c r="K381" s="467">
        <v>0.01</v>
      </c>
    </row>
    <row r="382" spans="1:11">
      <c r="A382" s="470">
        <v>371</v>
      </c>
      <c r="B382" s="465" t="s">
        <v>530</v>
      </c>
      <c r="C382" s="469">
        <v>0.4</v>
      </c>
      <c r="D382" s="472" t="s">
        <v>66</v>
      </c>
      <c r="K382" s="467">
        <v>1.375E-2</v>
      </c>
    </row>
    <row r="383" spans="1:11">
      <c r="A383" s="470">
        <v>372</v>
      </c>
      <c r="B383" s="465" t="s">
        <v>531</v>
      </c>
      <c r="C383" s="469">
        <v>0.4</v>
      </c>
      <c r="D383" s="472" t="s">
        <v>66</v>
      </c>
      <c r="K383" s="467">
        <v>1.125E-2</v>
      </c>
    </row>
    <row r="384" spans="1:11">
      <c r="A384" s="470">
        <v>373</v>
      </c>
      <c r="B384" s="465" t="s">
        <v>532</v>
      </c>
      <c r="C384" s="469">
        <v>0.4</v>
      </c>
      <c r="D384" s="472" t="s">
        <v>66</v>
      </c>
      <c r="K384" s="467">
        <v>7.4999999999999997E-3</v>
      </c>
    </row>
    <row r="385" spans="1:11">
      <c r="A385" s="470">
        <v>374</v>
      </c>
      <c r="B385" s="465" t="s">
        <v>533</v>
      </c>
      <c r="C385" s="469">
        <v>0.4</v>
      </c>
      <c r="D385" s="472" t="s">
        <v>66</v>
      </c>
      <c r="K385" s="467">
        <v>0.04</v>
      </c>
    </row>
    <row r="386" spans="1:11">
      <c r="A386" s="470">
        <v>375</v>
      </c>
      <c r="B386" s="465" t="s">
        <v>534</v>
      </c>
      <c r="C386" s="469">
        <v>0.4</v>
      </c>
      <c r="D386" s="472" t="s">
        <v>66</v>
      </c>
      <c r="K386" s="467">
        <v>7.4999999999999997E-3</v>
      </c>
    </row>
    <row r="387" spans="1:11">
      <c r="A387" s="470">
        <v>376</v>
      </c>
      <c r="B387" s="465" t="s">
        <v>535</v>
      </c>
      <c r="C387" s="469">
        <v>0.4</v>
      </c>
      <c r="D387" s="472" t="s">
        <v>66</v>
      </c>
      <c r="K387" s="467">
        <v>3.7499999999999999E-2</v>
      </c>
    </row>
    <row r="388" spans="1:11">
      <c r="A388" s="470">
        <v>377</v>
      </c>
      <c r="B388" s="465" t="s">
        <v>536</v>
      </c>
      <c r="C388" s="469">
        <v>0.4</v>
      </c>
      <c r="D388" s="472" t="s">
        <v>66</v>
      </c>
      <c r="K388" s="467">
        <v>3.7499999999999999E-2</v>
      </c>
    </row>
    <row r="389" spans="1:11">
      <c r="A389" s="470">
        <v>378</v>
      </c>
      <c r="B389" s="465" t="s">
        <v>537</v>
      </c>
      <c r="C389" s="469">
        <v>0.4</v>
      </c>
      <c r="D389" s="472" t="s">
        <v>66</v>
      </c>
      <c r="K389" s="467">
        <v>2.375E-2</v>
      </c>
    </row>
    <row r="390" spans="1:11">
      <c r="A390" s="470">
        <v>379</v>
      </c>
      <c r="B390" s="465" t="s">
        <v>538</v>
      </c>
      <c r="C390" s="469">
        <v>0.4</v>
      </c>
      <c r="D390" s="472" t="s">
        <v>66</v>
      </c>
      <c r="K390" s="467">
        <v>2.375E-2</v>
      </c>
    </row>
    <row r="391" spans="1:11">
      <c r="A391" s="470">
        <v>380</v>
      </c>
      <c r="B391" s="465" t="s">
        <v>539</v>
      </c>
      <c r="C391" s="469">
        <v>0.4</v>
      </c>
      <c r="D391" s="472" t="s">
        <v>66</v>
      </c>
      <c r="K391" s="467">
        <v>6.2500000000000003E-3</v>
      </c>
    </row>
    <row r="392" spans="1:11">
      <c r="A392" s="470">
        <v>381</v>
      </c>
      <c r="B392" s="465" t="s">
        <v>540</v>
      </c>
      <c r="C392" s="469">
        <v>0.4</v>
      </c>
      <c r="D392" s="472" t="s">
        <v>66</v>
      </c>
      <c r="K392" s="467">
        <v>2.75E-2</v>
      </c>
    </row>
    <row r="393" spans="1:11">
      <c r="A393" s="470">
        <v>382</v>
      </c>
      <c r="B393" s="465" t="s">
        <v>541</v>
      </c>
      <c r="C393" s="469">
        <v>0.4</v>
      </c>
      <c r="D393" s="473"/>
      <c r="K393" s="467"/>
    </row>
    <row r="394" spans="1:11">
      <c r="A394" s="470">
        <v>383</v>
      </c>
      <c r="B394" s="465" t="s">
        <v>542</v>
      </c>
      <c r="C394" s="469">
        <v>0.4</v>
      </c>
      <c r="D394" s="472" t="s">
        <v>66</v>
      </c>
      <c r="K394" s="467">
        <v>3.875E-2</v>
      </c>
    </row>
    <row r="395" spans="1:11">
      <c r="A395" s="470">
        <v>384</v>
      </c>
      <c r="B395" s="465" t="s">
        <v>543</v>
      </c>
      <c r="C395" s="469">
        <v>0.4</v>
      </c>
      <c r="D395" s="472" t="s">
        <v>66</v>
      </c>
      <c r="K395" s="467">
        <v>3.875E-2</v>
      </c>
    </row>
    <row r="396" spans="1:11">
      <c r="A396" s="470">
        <v>385</v>
      </c>
      <c r="B396" s="465" t="s">
        <v>544</v>
      </c>
      <c r="C396" s="469">
        <v>0.4</v>
      </c>
      <c r="D396" s="472" t="s">
        <v>66</v>
      </c>
      <c r="K396" s="467">
        <v>0.03</v>
      </c>
    </row>
    <row r="397" spans="1:11">
      <c r="A397" s="470">
        <v>386</v>
      </c>
      <c r="B397" s="465" t="s">
        <v>545</v>
      </c>
      <c r="C397" s="469">
        <v>0.4</v>
      </c>
      <c r="D397" s="472" t="s">
        <v>66</v>
      </c>
      <c r="K397" s="467">
        <v>1.7500000000000002E-2</v>
      </c>
    </row>
    <row r="398" spans="1:11">
      <c r="A398" s="470">
        <v>387</v>
      </c>
      <c r="B398" s="465" t="s">
        <v>546</v>
      </c>
      <c r="C398" s="469">
        <v>0.4</v>
      </c>
      <c r="D398" s="472" t="s">
        <v>66</v>
      </c>
      <c r="K398" s="467">
        <v>2.5000000000000001E-2</v>
      </c>
    </row>
    <row r="399" spans="1:11">
      <c r="A399" s="470">
        <v>388</v>
      </c>
      <c r="B399" s="465" t="s">
        <v>547</v>
      </c>
      <c r="C399" s="469">
        <v>0.4</v>
      </c>
      <c r="D399" s="472" t="s">
        <v>66</v>
      </c>
      <c r="K399" s="467">
        <v>1.15E-2</v>
      </c>
    </row>
    <row r="400" spans="1:11">
      <c r="A400" s="470">
        <v>389</v>
      </c>
      <c r="B400" s="465" t="s">
        <v>548</v>
      </c>
      <c r="C400" s="469">
        <v>0.4</v>
      </c>
      <c r="D400" s="472" t="s">
        <v>66</v>
      </c>
      <c r="K400" s="467">
        <v>2.75E-2</v>
      </c>
    </row>
    <row r="401" spans="1:12">
      <c r="A401" s="470">
        <v>390</v>
      </c>
      <c r="B401" s="465" t="s">
        <v>549</v>
      </c>
      <c r="C401" s="469">
        <v>0.4</v>
      </c>
      <c r="D401" s="472" t="s">
        <v>66</v>
      </c>
      <c r="K401" s="467">
        <v>1.2500000000000001E-2</v>
      </c>
    </row>
    <row r="402" spans="1:12">
      <c r="A402" s="470">
        <v>391</v>
      </c>
      <c r="B402" s="465" t="s">
        <v>550</v>
      </c>
      <c r="C402" s="469">
        <v>0.4</v>
      </c>
      <c r="D402" s="472" t="s">
        <v>66</v>
      </c>
      <c r="K402" s="467">
        <v>0.02</v>
      </c>
    </row>
    <row r="403" spans="1:12">
      <c r="A403" s="470">
        <v>392</v>
      </c>
      <c r="B403" s="465" t="s">
        <v>551</v>
      </c>
      <c r="C403" s="469">
        <v>0.4</v>
      </c>
      <c r="D403" s="472" t="s">
        <v>67</v>
      </c>
      <c r="K403" s="467">
        <v>1.375E-2</v>
      </c>
    </row>
    <row r="404" spans="1:12">
      <c r="A404" s="470">
        <v>393</v>
      </c>
      <c r="B404" s="465" t="s">
        <v>552</v>
      </c>
      <c r="C404" s="469">
        <v>0.4</v>
      </c>
      <c r="D404" s="472" t="s">
        <v>607</v>
      </c>
      <c r="K404" s="467">
        <v>1.2500000000000001E-2</v>
      </c>
      <c r="L404" t="s">
        <v>608</v>
      </c>
    </row>
    <row r="405" spans="1:12">
      <c r="A405" s="470">
        <v>394</v>
      </c>
      <c r="B405" s="465" t="s">
        <v>553</v>
      </c>
      <c r="C405" s="469">
        <v>0.4</v>
      </c>
      <c r="D405" s="472" t="s">
        <v>66</v>
      </c>
      <c r="K405" s="467">
        <v>1.2500000000000001E-2</v>
      </c>
    </row>
    <row r="406" spans="1:12">
      <c r="A406" s="470">
        <v>395</v>
      </c>
      <c r="B406" s="465" t="s">
        <v>554</v>
      </c>
      <c r="C406" s="469">
        <v>0.4</v>
      </c>
      <c r="D406" s="472" t="s">
        <v>67</v>
      </c>
      <c r="K406" s="467">
        <v>6.8750000000000006E-2</v>
      </c>
    </row>
    <row r="407" spans="1:12">
      <c r="A407" s="470">
        <v>396</v>
      </c>
      <c r="B407" s="465" t="s">
        <v>555</v>
      </c>
      <c r="C407" s="469">
        <v>0.4</v>
      </c>
      <c r="D407" s="472" t="s">
        <v>66</v>
      </c>
      <c r="K407" s="467">
        <v>5.0000000000000001E-3</v>
      </c>
    </row>
    <row r="408" spans="1:12">
      <c r="A408" s="470">
        <v>397</v>
      </c>
      <c r="B408" s="465" t="s">
        <v>556</v>
      </c>
      <c r="C408" s="469">
        <v>0.4</v>
      </c>
      <c r="D408" s="472" t="s">
        <v>66</v>
      </c>
      <c r="K408" s="467">
        <v>2.375E-2</v>
      </c>
    </row>
    <row r="409" spans="1:12">
      <c r="A409" s="470">
        <v>398</v>
      </c>
      <c r="B409" s="465" t="s">
        <v>557</v>
      </c>
      <c r="C409" s="469">
        <v>0.4</v>
      </c>
      <c r="D409" s="473"/>
      <c r="K409" s="467"/>
    </row>
    <row r="410" spans="1:12">
      <c r="A410" s="470">
        <v>399</v>
      </c>
      <c r="B410" s="465" t="s">
        <v>558</v>
      </c>
      <c r="C410" s="469">
        <v>0.4</v>
      </c>
      <c r="D410" s="472" t="s">
        <v>66</v>
      </c>
      <c r="K410" s="467">
        <v>8.7500000000000008E-3</v>
      </c>
    </row>
    <row r="411" spans="1:12">
      <c r="A411" s="470">
        <v>400</v>
      </c>
      <c r="B411" s="465" t="s">
        <v>559</v>
      </c>
      <c r="C411" s="469">
        <v>0.4</v>
      </c>
      <c r="D411" s="472" t="s">
        <v>607</v>
      </c>
      <c r="K411" s="467">
        <v>3.6249999999999998E-2</v>
      </c>
      <c r="L411" t="s">
        <v>608</v>
      </c>
    </row>
    <row r="412" spans="1:12">
      <c r="A412" s="470">
        <v>401</v>
      </c>
      <c r="B412" s="465" t="s">
        <v>560</v>
      </c>
      <c r="C412" s="469">
        <v>0.4</v>
      </c>
      <c r="D412" s="472" t="s">
        <v>66</v>
      </c>
      <c r="K412" s="467">
        <v>1.125E-2</v>
      </c>
    </row>
    <row r="413" spans="1:12">
      <c r="A413" s="470">
        <v>402</v>
      </c>
      <c r="B413" s="465" t="s">
        <v>561</v>
      </c>
      <c r="C413" s="469">
        <v>0.4</v>
      </c>
      <c r="D413" s="472" t="s">
        <v>66</v>
      </c>
      <c r="K413" s="467">
        <v>5.1249999999999997E-2</v>
      </c>
    </row>
    <row r="414" spans="1:12">
      <c r="A414" s="470">
        <v>403</v>
      </c>
      <c r="B414" s="465" t="s">
        <v>562</v>
      </c>
      <c r="C414" s="469">
        <v>0.4</v>
      </c>
      <c r="D414" s="472" t="s">
        <v>67</v>
      </c>
      <c r="K414" s="467">
        <v>0.15</v>
      </c>
    </row>
    <row r="415" spans="1:12">
      <c r="A415" s="470">
        <v>404</v>
      </c>
      <c r="B415" s="465" t="s">
        <v>563</v>
      </c>
      <c r="C415" s="469">
        <v>0.4</v>
      </c>
      <c r="D415" s="472" t="s">
        <v>66</v>
      </c>
      <c r="K415" s="467">
        <v>1.4999999999999999E-2</v>
      </c>
    </row>
    <row r="416" spans="1:12">
      <c r="A416" s="470">
        <v>405</v>
      </c>
      <c r="B416" s="465" t="s">
        <v>564</v>
      </c>
      <c r="C416" s="469">
        <v>0.4</v>
      </c>
      <c r="D416" s="472" t="s">
        <v>66</v>
      </c>
      <c r="K416" s="467">
        <v>3.2500000000000001E-2</v>
      </c>
    </row>
    <row r="417" spans="1:11">
      <c r="A417" s="470">
        <v>406</v>
      </c>
      <c r="B417" s="465" t="s">
        <v>565</v>
      </c>
      <c r="C417" s="469">
        <v>0.4</v>
      </c>
      <c r="D417" s="472" t="s">
        <v>66</v>
      </c>
      <c r="K417" s="467">
        <v>5.7099999999999998E-3</v>
      </c>
    </row>
    <row r="418" spans="1:11">
      <c r="A418" s="470">
        <v>407</v>
      </c>
      <c r="B418" s="465" t="s">
        <v>566</v>
      </c>
      <c r="C418" s="469">
        <v>0.4</v>
      </c>
      <c r="D418" s="472" t="s">
        <v>66</v>
      </c>
      <c r="K418" s="467">
        <v>0.01</v>
      </c>
    </row>
    <row r="419" spans="1:11">
      <c r="A419" s="470">
        <v>408</v>
      </c>
      <c r="B419" s="465" t="s">
        <v>567</v>
      </c>
      <c r="C419" s="469">
        <v>0.4</v>
      </c>
      <c r="D419" s="472" t="s">
        <v>66</v>
      </c>
      <c r="K419" s="467">
        <v>3.3750000000000002E-2</v>
      </c>
    </row>
    <row r="420" spans="1:11">
      <c r="A420" s="470">
        <v>409</v>
      </c>
      <c r="B420" s="465" t="s">
        <v>568</v>
      </c>
      <c r="C420" s="469">
        <v>0.4</v>
      </c>
      <c r="D420" s="472" t="s">
        <v>66</v>
      </c>
      <c r="K420" s="467">
        <v>2.5000000000000001E-2</v>
      </c>
    </row>
    <row r="421" spans="1:11">
      <c r="A421" s="470">
        <v>410</v>
      </c>
      <c r="B421" s="465" t="s">
        <v>569</v>
      </c>
      <c r="C421" s="469">
        <v>0.4</v>
      </c>
      <c r="D421" s="472" t="s">
        <v>66</v>
      </c>
      <c r="K421" s="467">
        <v>1.7500000000000002E-2</v>
      </c>
    </row>
    <row r="422" spans="1:11">
      <c r="A422" s="470">
        <v>411</v>
      </c>
      <c r="B422" s="465" t="s">
        <v>570</v>
      </c>
      <c r="C422" s="469">
        <v>0.4</v>
      </c>
      <c r="D422" s="472" t="s">
        <v>66</v>
      </c>
      <c r="K422" s="467">
        <v>2.972E-2</v>
      </c>
    </row>
    <row r="423" spans="1:11">
      <c r="A423" s="470">
        <v>412</v>
      </c>
      <c r="B423" s="465" t="s">
        <v>571</v>
      </c>
      <c r="C423" s="469">
        <v>0.4</v>
      </c>
      <c r="D423" s="472" t="s">
        <v>66</v>
      </c>
      <c r="K423" s="467">
        <v>4.3749999999999997E-2</v>
      </c>
    </row>
    <row r="424" spans="1:11">
      <c r="A424" s="470">
        <v>413</v>
      </c>
      <c r="B424" s="465" t="s">
        <v>572</v>
      </c>
      <c r="C424" s="469">
        <v>0.4</v>
      </c>
      <c r="D424" s="472" t="s">
        <v>66</v>
      </c>
      <c r="K424" s="467">
        <v>5.6250000000000001E-2</v>
      </c>
    </row>
    <row r="425" spans="1:11">
      <c r="A425" s="470">
        <v>414</v>
      </c>
      <c r="B425" s="465" t="s">
        <v>573</v>
      </c>
      <c r="C425" s="469">
        <v>0.4</v>
      </c>
      <c r="D425" s="472" t="s">
        <v>66</v>
      </c>
      <c r="K425" s="467">
        <v>1.4999999999999999E-2</v>
      </c>
    </row>
    <row r="426" spans="1:11">
      <c r="A426" s="470">
        <v>415</v>
      </c>
      <c r="B426" s="465" t="s">
        <v>574</v>
      </c>
      <c r="C426" s="469">
        <v>0.4</v>
      </c>
      <c r="D426" s="472" t="s">
        <v>66</v>
      </c>
      <c r="K426" s="467">
        <v>1.2500000000000001E-2</v>
      </c>
    </row>
    <row r="427" spans="1:11">
      <c r="A427" s="470">
        <v>416</v>
      </c>
      <c r="B427" s="465" t="s">
        <v>575</v>
      </c>
      <c r="C427" s="469">
        <v>0.4</v>
      </c>
      <c r="D427" s="472" t="s">
        <v>66</v>
      </c>
      <c r="K427" s="467">
        <v>1.6250000000000001E-2</v>
      </c>
    </row>
    <row r="428" spans="1:11">
      <c r="A428" s="470">
        <v>417</v>
      </c>
      <c r="B428" s="465" t="s">
        <v>576</v>
      </c>
      <c r="C428" s="469">
        <v>0.4</v>
      </c>
      <c r="D428" s="472" t="s">
        <v>66</v>
      </c>
      <c r="K428" s="467">
        <v>1.125E-2</v>
      </c>
    </row>
    <row r="429" spans="1:11">
      <c r="A429" s="470">
        <v>418</v>
      </c>
      <c r="B429" s="465" t="s">
        <v>577</v>
      </c>
      <c r="C429" s="469">
        <v>0.4</v>
      </c>
      <c r="D429" s="472" t="s">
        <v>66</v>
      </c>
      <c r="K429" s="467">
        <v>5.5300000000000002E-3</v>
      </c>
    </row>
    <row r="430" spans="1:11">
      <c r="A430" s="470">
        <v>419</v>
      </c>
      <c r="B430" s="465" t="s">
        <v>578</v>
      </c>
      <c r="C430" s="469">
        <v>0.4</v>
      </c>
      <c r="D430" s="472" t="s">
        <v>66</v>
      </c>
      <c r="K430" s="467">
        <v>8.7500000000000008E-3</v>
      </c>
    </row>
    <row r="431" spans="1:11">
      <c r="A431" s="470">
        <v>420</v>
      </c>
      <c r="B431" s="465" t="s">
        <v>579</v>
      </c>
      <c r="C431" s="469">
        <v>0.4</v>
      </c>
      <c r="D431" s="472" t="s">
        <v>66</v>
      </c>
      <c r="K431" s="467">
        <v>2.2499999999999999E-2</v>
      </c>
    </row>
    <row r="432" spans="1:11">
      <c r="A432" s="470">
        <v>421</v>
      </c>
      <c r="B432" s="465" t="s">
        <v>580</v>
      </c>
      <c r="C432" s="469">
        <v>0.4</v>
      </c>
      <c r="D432" s="472" t="s">
        <v>66</v>
      </c>
      <c r="K432" s="467">
        <v>1.7500000000000002E-2</v>
      </c>
    </row>
    <row r="433" spans="1:11">
      <c r="A433" s="470">
        <v>422</v>
      </c>
      <c r="B433" s="465" t="s">
        <v>581</v>
      </c>
      <c r="C433" s="469">
        <v>0.4</v>
      </c>
      <c r="D433" s="472" t="s">
        <v>66</v>
      </c>
      <c r="K433" s="467">
        <v>1.25E-3</v>
      </c>
    </row>
    <row r="434" spans="1:11">
      <c r="A434" s="470">
        <v>423</v>
      </c>
      <c r="B434" s="465" t="s">
        <v>582</v>
      </c>
      <c r="C434" s="469">
        <v>0.4</v>
      </c>
      <c r="D434" s="472" t="s">
        <v>66</v>
      </c>
      <c r="K434" s="467">
        <v>5.6250000000000001E-2</v>
      </c>
    </row>
    <row r="435" spans="1:11">
      <c r="A435" s="470">
        <v>424</v>
      </c>
      <c r="B435" s="465" t="s">
        <v>583</v>
      </c>
      <c r="C435" s="469">
        <v>0.4</v>
      </c>
      <c r="D435" s="472" t="s">
        <v>66</v>
      </c>
      <c r="K435" s="467">
        <v>7.4999999999999997E-3</v>
      </c>
    </row>
    <row r="436" spans="1:11">
      <c r="A436" s="470">
        <v>425</v>
      </c>
      <c r="B436" s="465" t="s">
        <v>584</v>
      </c>
      <c r="C436" s="469">
        <v>0.4</v>
      </c>
      <c r="D436" s="472" t="s">
        <v>66</v>
      </c>
      <c r="K436" s="467">
        <v>1.8749999999999999E-2</v>
      </c>
    </row>
    <row r="437" spans="1:11">
      <c r="A437" s="470">
        <v>426</v>
      </c>
      <c r="B437" s="465" t="s">
        <v>585</v>
      </c>
      <c r="C437" s="469">
        <v>0.4</v>
      </c>
      <c r="D437" s="472" t="s">
        <v>67</v>
      </c>
      <c r="K437" s="467">
        <v>3.8830000000000003E-2</v>
      </c>
    </row>
    <row r="438" spans="1:11">
      <c r="A438" s="470">
        <v>427</v>
      </c>
      <c r="B438" s="465" t="s">
        <v>586</v>
      </c>
      <c r="C438" s="469">
        <v>0.4</v>
      </c>
      <c r="D438" s="472" t="s">
        <v>66</v>
      </c>
      <c r="K438" s="467">
        <v>1.6250000000000001E-2</v>
      </c>
    </row>
    <row r="439" spans="1:11">
      <c r="A439" s="470">
        <v>428</v>
      </c>
      <c r="B439" s="465" t="s">
        <v>587</v>
      </c>
      <c r="C439" s="469">
        <v>0.4</v>
      </c>
      <c r="D439" s="473"/>
      <c r="K439" s="467"/>
    </row>
    <row r="440" spans="1:11">
      <c r="A440" s="470">
        <v>429</v>
      </c>
      <c r="B440" s="465" t="s">
        <v>588</v>
      </c>
      <c r="C440" s="469">
        <v>0.4</v>
      </c>
      <c r="D440" s="472" t="s">
        <v>66</v>
      </c>
      <c r="K440" s="467">
        <v>1.125E-2</v>
      </c>
    </row>
    <row r="441" spans="1:11">
      <c r="A441" s="470">
        <v>430</v>
      </c>
      <c r="B441" s="465" t="s">
        <v>589</v>
      </c>
      <c r="C441" s="469">
        <v>0.4</v>
      </c>
      <c r="D441" s="472" t="s">
        <v>66</v>
      </c>
      <c r="K441" s="467">
        <v>5.7500000000000002E-2</v>
      </c>
    </row>
    <row r="442" spans="1:11">
      <c r="A442" s="470">
        <v>431</v>
      </c>
      <c r="B442" s="465" t="s">
        <v>590</v>
      </c>
      <c r="C442" s="469">
        <v>0.4</v>
      </c>
      <c r="D442" s="472" t="s">
        <v>66</v>
      </c>
      <c r="K442" s="467">
        <v>5.0000000000000001E-3</v>
      </c>
    </row>
    <row r="443" spans="1:11">
      <c r="A443" s="470">
        <v>432</v>
      </c>
      <c r="B443" s="465" t="s">
        <v>591</v>
      </c>
      <c r="C443" s="469">
        <v>0.4</v>
      </c>
      <c r="D443" s="472" t="s">
        <v>66</v>
      </c>
      <c r="K443" s="467">
        <v>1.375E-2</v>
      </c>
    </row>
    <row r="444" spans="1:11">
      <c r="A444" s="470">
        <v>433</v>
      </c>
      <c r="B444" s="465" t="s">
        <v>592</v>
      </c>
      <c r="C444" s="469">
        <v>0.4</v>
      </c>
      <c r="D444" s="472" t="s">
        <v>66</v>
      </c>
      <c r="K444" s="467">
        <v>0.01</v>
      </c>
    </row>
    <row r="445" spans="1:11">
      <c r="A445" s="470">
        <v>434</v>
      </c>
      <c r="B445" s="465" t="s">
        <v>593</v>
      </c>
      <c r="C445" s="469">
        <v>0.4</v>
      </c>
      <c r="D445" s="472" t="s">
        <v>66</v>
      </c>
      <c r="K445" s="467">
        <v>1.375E-2</v>
      </c>
    </row>
    <row r="446" spans="1:11">
      <c r="A446" s="470">
        <v>435</v>
      </c>
      <c r="B446" s="465" t="s">
        <v>594</v>
      </c>
      <c r="C446" s="469">
        <v>0.4</v>
      </c>
      <c r="D446" s="472" t="s">
        <v>66</v>
      </c>
      <c r="K446" s="467">
        <v>8.7500000000000008E-3</v>
      </c>
    </row>
    <row r="447" spans="1:11">
      <c r="A447" s="470">
        <v>436</v>
      </c>
      <c r="B447" s="465" t="s">
        <v>595</v>
      </c>
      <c r="C447" s="469">
        <v>0.4</v>
      </c>
      <c r="D447" s="473"/>
      <c r="K447" s="467"/>
    </row>
    <row r="448" spans="1:11">
      <c r="A448" s="470">
        <v>437</v>
      </c>
      <c r="B448" s="465" t="s">
        <v>596</v>
      </c>
      <c r="C448" s="469">
        <v>0.4</v>
      </c>
      <c r="D448" s="472" t="s">
        <v>66</v>
      </c>
      <c r="K448" s="467">
        <v>1.4999999999999999E-2</v>
      </c>
    </row>
    <row r="449" spans="1:11">
      <c r="A449" s="470">
        <v>438</v>
      </c>
      <c r="B449" s="465" t="s">
        <v>597</v>
      </c>
      <c r="C449" s="469">
        <v>0.4</v>
      </c>
      <c r="D449" s="472" t="s">
        <v>66</v>
      </c>
      <c r="K449" s="467">
        <v>0.03</v>
      </c>
    </row>
    <row r="450" spans="1:11">
      <c r="A450" s="470">
        <v>439</v>
      </c>
      <c r="B450" s="465" t="s">
        <v>598</v>
      </c>
      <c r="C450" s="469">
        <v>0.4</v>
      </c>
      <c r="D450" s="472" t="s">
        <v>66</v>
      </c>
      <c r="K450" s="467">
        <v>1.8749999999999999E-2</v>
      </c>
    </row>
    <row r="451" spans="1:11">
      <c r="A451" s="470">
        <v>440</v>
      </c>
      <c r="B451" s="465" t="s">
        <v>599</v>
      </c>
      <c r="C451" s="469">
        <v>0.4</v>
      </c>
      <c r="D451" s="472" t="s">
        <v>66</v>
      </c>
      <c r="K451" s="467">
        <v>1.8749999999999999E-2</v>
      </c>
    </row>
    <row r="452" spans="1:11">
      <c r="A452" s="470">
        <v>441</v>
      </c>
      <c r="B452" s="465" t="s">
        <v>600</v>
      </c>
      <c r="C452" s="469">
        <v>0.4</v>
      </c>
      <c r="D452" s="472" t="s">
        <v>66</v>
      </c>
      <c r="K452" s="467">
        <v>2.2499999999999999E-2</v>
      </c>
    </row>
    <row r="453" spans="1:11">
      <c r="A453" s="470">
        <v>442</v>
      </c>
      <c r="B453" s="465" t="s">
        <v>601</v>
      </c>
      <c r="C453" s="469">
        <v>0.4</v>
      </c>
      <c r="D453" s="472" t="s">
        <v>66</v>
      </c>
      <c r="K453" s="467">
        <v>6.2500000000000003E-3</v>
      </c>
    </row>
    <row r="454" spans="1:11">
      <c r="A454" s="470">
        <v>443</v>
      </c>
      <c r="B454" s="465" t="s">
        <v>602</v>
      </c>
      <c r="C454" s="469">
        <v>0.4</v>
      </c>
      <c r="D454" s="472" t="s">
        <v>66</v>
      </c>
      <c r="K454" s="467">
        <v>1.6250000000000001E-2</v>
      </c>
    </row>
    <row r="455" spans="1:11">
      <c r="A455" s="470">
        <v>444</v>
      </c>
      <c r="B455" s="465" t="s">
        <v>603</v>
      </c>
      <c r="C455" s="469">
        <v>0.4</v>
      </c>
      <c r="D455" s="472" t="s">
        <v>66</v>
      </c>
      <c r="K455" s="467">
        <v>1.495E-2</v>
      </c>
    </row>
    <row r="456" spans="1:11">
      <c r="A456" s="470">
        <v>445</v>
      </c>
      <c r="B456" s="465" t="s">
        <v>604</v>
      </c>
      <c r="C456" s="469">
        <v>0.4</v>
      </c>
      <c r="D456" s="472" t="s">
        <v>66</v>
      </c>
      <c r="K456" s="467">
        <v>7.4999999999999997E-3</v>
      </c>
    </row>
    <row r="457" spans="1:11">
      <c r="B457" s="465"/>
      <c r="C457" s="469"/>
      <c r="K457" s="467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6" zoomScaleNormal="100" workbookViewId="0">
      <selection activeCell="F19" sqref="F19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48" t="s">
        <v>456</v>
      </c>
      <c r="D3" s="549"/>
      <c r="E3" s="550"/>
    </row>
    <row r="4" spans="2:11">
      <c r="C4" s="551"/>
      <c r="D4" s="552"/>
      <c r="E4" s="553"/>
    </row>
    <row r="5" spans="2:11" ht="15.75" thickBot="1">
      <c r="C5" s="554"/>
      <c r="D5" s="555"/>
      <c r="E5" s="556"/>
      <c r="G5" s="477"/>
    </row>
    <row r="6" spans="2:11" ht="15.75" thickBot="1"/>
    <row r="7" spans="2:11" ht="16.5" thickBot="1">
      <c r="B7" s="546" t="s">
        <v>454</v>
      </c>
      <c r="C7" s="547"/>
      <c r="D7" s="79"/>
      <c r="E7" s="546" t="s">
        <v>455</v>
      </c>
      <c r="F7" s="547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8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7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5"/>
      <c r="H12" s="483"/>
      <c r="I12" s="79"/>
      <c r="J12" s="79"/>
      <c r="K12" s="79"/>
    </row>
    <row r="13" spans="2:11" ht="15.75" thickBot="1">
      <c r="B13" s="208" t="s">
        <v>496</v>
      </c>
      <c r="C13" s="446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80" cm="1">
        <f t="array" aca="1" ref="F15:K22" ca="1">IF(NOT($F$9),"",getcds(C9,C10,C11,C12,C13,C19,C20,C21,C15,C16,C17,C23,C24,C26,C28:C30,C32))</f>
        <v>-2.59244793409085E-2</v>
      </c>
      <c r="G15" s="260">
        <f ca="1"/>
        <v>-2.59244793409085E-2</v>
      </c>
      <c r="H15" s="256">
        <f ca="1"/>
        <v>0</v>
      </c>
      <c r="I15" s="458">
        <f ca="1"/>
        <v>0</v>
      </c>
      <c r="J15" s="260">
        <f ca="1"/>
        <v>0</v>
      </c>
      <c r="K15" s="256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7">
        <f ca="1"/>
        <v>1.8612247704042101E-2</v>
      </c>
      <c r="G16" s="261">
        <f ca="1"/>
        <v>1.8612247704042101E-2</v>
      </c>
      <c r="H16" s="257">
        <f ca="1"/>
        <v>0</v>
      </c>
      <c r="I16" s="459">
        <f ca="1"/>
        <v>0</v>
      </c>
      <c r="J16" s="261">
        <f ca="1"/>
        <v>0</v>
      </c>
      <c r="K16" s="257">
        <f ca="1"/>
        <v>0</v>
      </c>
    </row>
    <row r="17" spans="2:11" ht="15.75" thickBot="1">
      <c r="B17" s="208" t="s">
        <v>439</v>
      </c>
      <c r="C17" s="195">
        <v>0</v>
      </c>
      <c r="E17" s="224" t="s">
        <v>438</v>
      </c>
      <c r="F17" s="457">
        <f ca="1"/>
        <v>4.4536727044950597E-2</v>
      </c>
      <c r="G17" s="261">
        <f ca="1"/>
        <v>4.4536727044950597E-2</v>
      </c>
      <c r="H17" s="257">
        <f ca="1"/>
        <v>0</v>
      </c>
      <c r="I17" s="459">
        <f ca="1"/>
        <v>0</v>
      </c>
      <c r="J17" s="261">
        <f ca="1"/>
        <v>0</v>
      </c>
      <c r="K17" s="257">
        <f ca="1"/>
        <v>0</v>
      </c>
    </row>
    <row r="18" spans="2:11" ht="15.75" thickBot="1">
      <c r="B18" s="201"/>
      <c r="C18" s="79"/>
      <c r="E18" s="224" t="s">
        <v>440</v>
      </c>
      <c r="F18" s="476">
        <f ca="1"/>
        <v>4.1790784682621401E-3</v>
      </c>
      <c r="G18" s="261">
        <f ca="1"/>
        <v>4.1790784682621401E-3</v>
      </c>
      <c r="H18" s="257">
        <f ca="1"/>
        <v>0</v>
      </c>
      <c r="I18" s="459">
        <f ca="1"/>
        <v>0</v>
      </c>
      <c r="J18" s="261">
        <f ca="1"/>
        <v>0</v>
      </c>
      <c r="K18" s="257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7">
        <f ca="1"/>
        <v>4.4536727044950597</v>
      </c>
      <c r="G19" s="262">
        <f ca="1"/>
        <v>4.4536727044950597</v>
      </c>
      <c r="H19" s="257">
        <f ca="1"/>
        <v>0</v>
      </c>
      <c r="I19" s="460">
        <f ca="1"/>
        <v>0</v>
      </c>
      <c r="J19" s="262">
        <f ca="1"/>
        <v>0</v>
      </c>
      <c r="K19" s="257">
        <f ca="1"/>
        <v>0</v>
      </c>
    </row>
    <row r="20" spans="2:11" ht="15.75" thickBot="1">
      <c r="B20" s="207" t="s">
        <v>444</v>
      </c>
      <c r="C20" s="69" t="s">
        <v>445</v>
      </c>
      <c r="E20" s="224" t="s">
        <v>443</v>
      </c>
      <c r="F20" s="267" t="str">
        <f ca="1"/>
        <v>00:00:00.0062713</v>
      </c>
      <c r="G20" s="263" t="str">
        <f ca="1"/>
        <v>00:00:00.0062713</v>
      </c>
      <c r="H20" s="257">
        <f ca="1"/>
        <v>0</v>
      </c>
      <c r="I20" s="461">
        <f ca="1"/>
        <v>0</v>
      </c>
      <c r="J20" s="263">
        <f ca="1"/>
        <v>0</v>
      </c>
      <c r="K20" s="257">
        <f ca="1"/>
        <v>0</v>
      </c>
    </row>
    <row r="21" spans="2:11" ht="15.75" thickBot="1">
      <c r="B21" s="208" t="s">
        <v>446</v>
      </c>
      <c r="C21" s="478"/>
      <c r="E21" s="225"/>
      <c r="F21" s="258" t="str">
        <f ca="1"/>
        <v>dPV</v>
      </c>
      <c r="G21" s="258" t="str">
        <f ca="1"/>
        <v>dHedge</v>
      </c>
      <c r="H21" s="259" t="str">
        <f ca="1"/>
        <v>delta not. (Hedge Crncy)</v>
      </c>
      <c r="I21" s="258" t="str">
        <f ca="1"/>
        <v>delta not. (Product CCY)</v>
      </c>
      <c r="J21" s="258" t="str">
        <f ca="1"/>
        <v>dPV(dBeta)</v>
      </c>
      <c r="K21" s="259" t="str">
        <f ca="1"/>
        <v>Name</v>
      </c>
    </row>
    <row r="22" spans="2:11" ht="15.75" thickBot="1">
      <c r="B22" s="201"/>
      <c r="C22" s="79"/>
      <c r="E22" s="226"/>
      <c r="F22" s="474">
        <f ca="1"/>
        <v>4.73715184158637E-4</v>
      </c>
      <c r="G22" s="264">
        <f ca="1"/>
        <v>4.6331394525747199E-4</v>
      </c>
      <c r="H22" s="265">
        <f ca="1"/>
        <v>1.0224496564535399</v>
      </c>
      <c r="I22" s="264">
        <f ca="1"/>
        <v>1.0224496564535399</v>
      </c>
      <c r="J22" s="264">
        <f ca="1"/>
        <v>-1.8612247704042101E-2</v>
      </c>
      <c r="K22" s="26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  <c r="F25" s="520"/>
    </row>
    <row r="26" spans="2:11" ht="15.75" thickBot="1">
      <c r="B26" s="179" t="s">
        <v>449</v>
      </c>
      <c r="C26" s="196" t="b">
        <v>1</v>
      </c>
      <c r="D26" s="85"/>
      <c r="F26" s="520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6"/>
      <c r="K2" s="175"/>
    </row>
    <row r="3" spans="2:11">
      <c r="J3" s="266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57">
        <v>1</v>
      </c>
      <c r="J6" s="558"/>
      <c r="K6" s="559"/>
    </row>
    <row r="7" spans="2:11" ht="15.75" thickBot="1">
      <c r="D7" s="169"/>
      <c r="H7" s="181" t="s">
        <v>425</v>
      </c>
      <c r="I7" s="560" t="str" cm="1">
        <f t="array" aca="1" ref="I7" ca="1">GetGetCDSName(I6)</f>
        <v>CDS Name - Issuer 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J7" s="561"/>
      <c r="K7" s="562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0.29863013698630136</v>
      </c>
      <c r="D10" s="176">
        <f ca="1">IF(NOT($C$6),"",IF(GetConvertDate(CDSRollDate,B10)&lt;Parameter_Date,0,GetGetDefaultprob($I$6,B10)))</f>
        <v>6.6615273203374237E-4</v>
      </c>
      <c r="E10" s="214">
        <f ca="1">IF(NOT($C$6),"",IF(C11=0,0,-LN(1-D11)/$C11))</f>
        <v>2.2314382502594465E-3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0.38356164383561642</v>
      </c>
      <c r="D11" s="168">
        <f ca="1">IF(NOT($C$6),"",IF(GetConvertDate(CDSRollDate,B11)&lt;Parameter_Date,0,GetGetDefaultprob($I$6,B11)))</f>
        <v>8.5552795048782215E-4</v>
      </c>
      <c r="E11" s="177">
        <f ca="1">IF(NOT($C$6),"",IF(C11=0,0,-LN((1-D11)/(1-D10))/($C11-$C10)))</f>
        <v>2.2314382502606387E-3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0.46575342465753422</v>
      </c>
      <c r="D12" s="168">
        <f ca="1">IF(NOT($C$6),"",IF(GetConvertDate(CDSRollDate,B12)&lt;Parameter_Date,0,GetGetDefaultprob($I$6,B12)))</f>
        <v>1.0387601217682896E-3</v>
      </c>
      <c r="E12" s="177">
        <f ca="1">IF(NOT($C$6),"",IF(C12=0,0,-LN((1-D12)/(1-D11))/($C12-$C11)))</f>
        <v>2.231438250258384E-3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0.55068493150684927</v>
      </c>
      <c r="D13" s="168">
        <f ca="1">IF(NOT($C$6),"",IF(GetConvertDate(CDSRollDate,B13)&lt;Parameter_Date,0,GetGetDefaultprob($I$6,B13)))</f>
        <v>1.228064730579681E-3</v>
      </c>
      <c r="E13" s="177">
        <f t="shared" ref="E13:E75" ca="1" si="2">IF(NOT($C$6),"",IF(C13=0,0,-LN((1-D13)/(1-D12))/($C13-$C12)))</f>
        <v>2.2314382502593316E-3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0.63561643835616444</v>
      </c>
      <c r="D14" s="168">
        <f ca="1">IF(NOT($C$6),"",IF(GetConvertDate(CDSRollDate,B14)&lt;Parameter_Date,0,GetGetDefaultprob($I$6,B14)))</f>
        <v>1.4173334658921233E-3</v>
      </c>
      <c r="E14" s="177">
        <f t="shared" ca="1" si="2"/>
        <v>2.2314382502593285E-3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0.71232876712328763</v>
      </c>
      <c r="D15" s="168">
        <f ca="1">IF(NOT($C$6),"",IF(GetConvertDate(CDSRollDate,B15)&lt;Parameter_Date,0,GetGetDefaultprob($I$6,B15)))</f>
        <v>1.5882550435979415E-3</v>
      </c>
      <c r="E15" s="177">
        <f t="shared" ca="1" si="2"/>
        <v>2.2314382502600697E-3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0.79726027397260268</v>
      </c>
      <c r="D16" s="168">
        <f ca="1">IF(NOT($C$6),"",IF(GetConvertDate(CDSRollDate,B16)&lt;Parameter_Date,0,GetGetDefaultprob($I$6,B16)))</f>
        <v>2.0113740887636178E-3</v>
      </c>
      <c r="E16" s="177">
        <f t="shared" ca="1" si="2"/>
        <v>4.9908682437457223E-3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0.8794520547945206</v>
      </c>
      <c r="D17" s="168">
        <f ca="1">IF(NOT($C$6),"",IF(GetConvertDate(CDSRollDate,B17)&lt;Parameter_Date,0,GetGetDefaultprob($I$6,B17)))</f>
        <v>2.420673400383877E-3</v>
      </c>
      <c r="E17" s="177">
        <f t="shared" ca="1" si="2"/>
        <v>4.9908682437436475E-3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0.96438356164383565</v>
      </c>
      <c r="D18" s="168">
        <f ca="1">IF(NOT($C$6),"",IF(GetConvertDate(CDSRollDate,B18)&lt;Parameter_Date,0,GetGetDefaultprob($I$6,B18)))</f>
        <v>2.8434396731967793E-3</v>
      </c>
      <c r="E18" s="177">
        <f t="shared" ca="1" si="2"/>
        <v>4.9908682437457223E-3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1.0465753424657533</v>
      </c>
      <c r="D19" s="168">
        <f ca="1">IF(NOT($C$6),"",IF(GetConvertDate(CDSRollDate,B19)&lt;Parameter_Date,0,GetGetDefaultprob($I$6,B19)))</f>
        <v>3.2523977345643162E-3</v>
      </c>
      <c r="E19" s="177">
        <f t="shared" ca="1" si="2"/>
        <v>4.9908682437450119E-3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1.1315068493150684</v>
      </c>
      <c r="D20" s="168">
        <f ca="1">IF(NOT($C$6),"",IF(GetConvertDate(CDSRollDate,B20)&lt;Parameter_Date,0,GetGetDefaultprob($I$6,B20)))</f>
        <v>3.6748115291456163E-3</v>
      </c>
      <c r="E20" s="177">
        <f t="shared" ca="1" si="2"/>
        <v>4.9908682437444151E-3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1.2164383561643837</v>
      </c>
      <c r="D21" s="168">
        <f ca="1">IF(NOT($C$6),"",IF(GetConvertDate(CDSRollDate,B21)&lt;Parameter_Date,0,GetGetDefaultprob($I$6,B21)))</f>
        <v>4.0970463080831632E-3</v>
      </c>
      <c r="E21" s="177">
        <f t="shared" ca="1" si="2"/>
        <v>4.9908682437457092E-3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1.2986301369863014</v>
      </c>
      <c r="D22" s="168">
        <f ca="1">IF(NOT($C$6),"",IF(GetConvertDate(CDSRollDate,B22)&lt;Parameter_Date,0,GetGetDefaultprob($I$6,B22)))</f>
        <v>4.5598730710892932E-3</v>
      </c>
      <c r="E22" s="177">
        <f t="shared" ca="1" si="2"/>
        <v>5.655538823121641E-3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1.3835616438356164</v>
      </c>
      <c r="D23" s="168">
        <f ca="1">IF(NOT($C$6),"",IF(GetConvertDate(CDSRollDate,B23)&lt;Parameter_Date,0,GetGetDefaultprob($I$6,B23)))</f>
        <v>5.0379014301971115E-3</v>
      </c>
      <c r="E23" s="177">
        <f t="shared" ca="1" si="2"/>
        <v>5.6555388231222786E-3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1.4657534246575343</v>
      </c>
      <c r="D24" s="168">
        <f ca="1">IF(NOT($C$6),"",IF(GetConvertDate(CDSRollDate,B24)&lt;Parameter_Date,0,GetGetDefaultprob($I$6,B24)))</f>
        <v>5.5002909488622853E-3</v>
      </c>
      <c r="E24" s="177">
        <f t="shared" ca="1" si="2"/>
        <v>5.6555388231202741E-3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1.5506849315068494</v>
      </c>
      <c r="D25" s="168">
        <f ca="1">IF(NOT($C$6),"",IF(GetConvertDate(CDSRollDate,B25)&lt;Parameter_Date,0,GetGetDefaultprob($I$6,B25)))</f>
        <v>5.9778677022903626E-3</v>
      </c>
      <c r="E25" s="177">
        <f t="shared" ca="1" si="2"/>
        <v>5.6555388231209706E-3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1.6356164383561644</v>
      </c>
      <c r="D26" s="168">
        <f ca="1">IF(NOT($C$6),"",IF(GetConvertDate(CDSRollDate,B26)&lt;Parameter_Date,0,GetGetDefaultprob($I$6,B26)))</f>
        <v>6.4552151147209136E-3</v>
      </c>
      <c r="E26" s="177">
        <f t="shared" ca="1" si="2"/>
        <v>5.6555388231222786E-3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1.7123287671232876</v>
      </c>
      <c r="D27" s="168">
        <f ca="1">IF(NOT($C$6),"",IF(GetConvertDate(CDSRollDate,B27)&lt;Parameter_Date,0,GetGetDefaultprob($I$6,B27)))</f>
        <v>6.8861705844009968E-3</v>
      </c>
      <c r="E27" s="177">
        <f t="shared" ca="1" si="2"/>
        <v>5.6555388231207208E-3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1.7972602739726027</v>
      </c>
      <c r="D28" s="168">
        <f ca="1">IF(NOT($C$6),"",IF(GetConvertDate(CDSRollDate,B28)&lt;Parameter_Date,0,GetGetDefaultprob($I$6,B28)))</f>
        <v>7.3630818133538778E-3</v>
      </c>
      <c r="E28" s="177">
        <f t="shared" ca="1" si="2"/>
        <v>5.6555388231209706E-3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1.8794520547945206</v>
      </c>
      <c r="D29" s="168">
        <f ca="1">IF(NOT($C$6),"",IF(GetConvertDate(CDSRollDate,B29)&lt;Parameter_Date,0,GetGetDefaultprob($I$6,B29)))</f>
        <v>7.8243907491107878E-3</v>
      </c>
      <c r="E29" s="177">
        <f t="shared" ca="1" si="2"/>
        <v>5.6555388231216254E-3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1.9643835616438357</v>
      </c>
      <c r="D30" s="168">
        <f ca="1">IF(NOT($C$6),"",IF(GetConvertDate(CDSRollDate,B30)&lt;Parameter_Date,0,GetGetDefaultprob($I$6,B30)))</f>
        <v>8.3008514277657097E-3</v>
      </c>
      <c r="E30" s="177">
        <f t="shared" ca="1" si="2"/>
        <v>5.6555388231209706E-3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2.0465753424657533</v>
      </c>
      <c r="D31" s="168">
        <f ca="1">IF(NOT($C$6),"",IF(GetConvertDate(CDSRollDate,B31)&lt;Parameter_Date,0,GetGetDefaultprob($I$6,B31)))</f>
        <v>8.7617245531120824E-3</v>
      </c>
      <c r="E31" s="177">
        <f t="shared" ca="1" si="2"/>
        <v>5.655538823121641E-3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2.1315068493150684</v>
      </c>
      <c r="D32" s="168">
        <f ca="1">IF(NOT($C$6),"",IF(GetConvertDate(CDSRollDate,B32)&lt;Parameter_Date,0,GetGetDefaultprob($I$6,B32)))</f>
        <v>9.2377351071154523E-3</v>
      </c>
      <c r="E32" s="177">
        <f t="shared" ca="1" si="2"/>
        <v>5.6555388231209706E-3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2.2164383561643834</v>
      </c>
      <c r="D33" s="168">
        <f ca="1">IF(NOT($C$6),"",IF(GetConvertDate(CDSRollDate,B33)&lt;Parameter_Date,0,GetGetDefaultprob($I$6,B33)))</f>
        <v>9.7135170722384423E-3</v>
      </c>
      <c r="E33" s="177">
        <f t="shared" ca="1" si="2"/>
        <v>5.6555388231209706E-3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2.2986301369863016</v>
      </c>
      <c r="D34" s="168">
        <f ca="1">IF(NOT($C$6),"",IF(GetConvertDate(CDSRollDate,B34)&lt;Parameter_Date,0,GetGetDefaultprob($I$6,B34)))</f>
        <v>1.0328536290157064E-2</v>
      </c>
      <c r="E34" s="177">
        <f t="shared" ca="1" si="2"/>
        <v>7.5584777660327928E-3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2.3835616438356166</v>
      </c>
      <c r="D35" s="168">
        <f ca="1">IF(NOT($C$6),"",IF(GetConvertDate(CDSRollDate,B35)&lt;Parameter_Date,0,GetGetDefaultprob($I$6,B35)))</f>
        <v>1.0963654882501062E-2</v>
      </c>
      <c r="E35" s="177">
        <f t="shared" ca="1" si="2"/>
        <v>7.5584777660309532E-3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2.4657534246575343</v>
      </c>
      <c r="D36" s="168">
        <f ca="1">IF(NOT($C$6),"",IF(GetConvertDate(CDSRollDate,B36)&lt;Parameter_Date,0,GetGetDefaultprob($I$6,B36)))</f>
        <v>1.1577897700063233E-2</v>
      </c>
      <c r="E36" s="177">
        <f t="shared" ca="1" si="2"/>
        <v>7.5584777660328336E-3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2.5506849315068494</v>
      </c>
      <c r="D37" s="168">
        <f ca="1">IF(NOT($C$6),"",IF(GetConvertDate(CDSRollDate,B37)&lt;Parameter_Date,0,GetGetDefaultprob($I$6,B37)))</f>
        <v>1.2212214518597442E-2</v>
      </c>
      <c r="E37" s="177">
        <f t="shared" ca="1" si="2"/>
        <v>7.5584777660322611E-3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2.6356164383561644</v>
      </c>
      <c r="D38" s="168">
        <f ca="1">IF(NOT($C$6),"",IF(GetConvertDate(CDSRollDate,B38)&lt;Parameter_Date,0,GetGetDefaultprob($I$6,B38)))</f>
        <v>1.2846124266280734E-2</v>
      </c>
      <c r="E38" s="177">
        <f t="shared" ca="1" si="2"/>
        <v>7.5584777660322611E-3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2.7123287671232879</v>
      </c>
      <c r="D39" s="168">
        <f ca="1">IF(NOT($C$6),"",IF(GetConvertDate(CDSRollDate,B39)&lt;Parameter_Date,0,GetGetDefaultprob($I$6,B39)))</f>
        <v>1.3418338240567929E-2</v>
      </c>
      <c r="E39" s="177">
        <f t="shared" ca="1" si="2"/>
        <v>7.5584777660315317E-3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2.7972602739726029</v>
      </c>
      <c r="D40" s="168">
        <f ca="1">IF(NOT($C$6),"",IF(GetConvertDate(CDSRollDate,B40)&lt;Parameter_Date,0,GetGetDefaultprob($I$6,B40)))</f>
        <v>1.4051473962093497E-2</v>
      </c>
      <c r="E40" s="177">
        <f t="shared" ca="1" si="2"/>
        <v>7.5584777660335683E-3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2.8794520547945206</v>
      </c>
      <c r="D41" s="168">
        <f ca="1">IF(NOT($C$6),"",IF(GetConvertDate(CDSRollDate,B41)&lt;Parameter_Date,0,GetGetDefaultprob($I$6,B41)))</f>
        <v>1.4663799084010831E-2</v>
      </c>
      <c r="E41" s="177">
        <f t="shared" ca="1" si="2"/>
        <v>7.5584777660328336E-3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2.9643835616438357</v>
      </c>
      <c r="D42" s="168">
        <f ca="1">IF(NOT($C$6),"",IF(GetConvertDate(CDSRollDate,B42)&lt;Parameter_Date,0,GetGetDefaultprob($I$6,B42)))</f>
        <v>1.5296135534902833E-2</v>
      </c>
      <c r="E42" s="177">
        <f t="shared" ca="1" si="2"/>
        <v>7.5584777660309532E-3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3.0465753424657533</v>
      </c>
      <c r="D43" s="168">
        <f ca="1">IF(NOT($C$6),"",IF(GetConvertDate(CDSRollDate,B43)&lt;Parameter_Date,0,GetGetDefaultprob($I$6,B43)))</f>
        <v>1.5907687657490843E-2</v>
      </c>
      <c r="E43" s="177">
        <f t="shared" ca="1" si="2"/>
        <v>7.5584777660314814E-3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3.1315068493150684</v>
      </c>
      <c r="D44" s="168">
        <f ca="1">IF(NOT($C$6),"",IF(GetConvertDate(CDSRollDate,B44)&lt;Parameter_Date,0,GetGetDefaultprob($I$6,B44)))</f>
        <v>1.6539225846748828E-2</v>
      </c>
      <c r="E44" s="177">
        <f t="shared" ca="1" si="2"/>
        <v>7.5584777660322611E-3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3.2164383561643834</v>
      </c>
      <c r="D45" s="168">
        <f ca="1">IF(NOT($C$6),"",IF(GetConvertDate(CDSRollDate,B45)&lt;Parameter_Date,0,GetGetDefaultprob($I$6,B45)))</f>
        <v>1.7170358748332726E-2</v>
      </c>
      <c r="E45" s="177">
        <f t="shared" ca="1" si="2"/>
        <v>7.5584777660335683E-3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3.2986301369863016</v>
      </c>
      <c r="D46" s="168">
        <f ca="1">IF(NOT($C$6),"",IF(GetConvertDate(CDSRollDate,B46)&lt;Parameter_Date,0,GetGetDefaultprob($I$6,B46)))</f>
        <v>1.7921436380226918E-2</v>
      </c>
      <c r="E46" s="177">
        <f t="shared" ca="1" si="2"/>
        <v>9.3013114917555855E-3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3.3835616438356166</v>
      </c>
      <c r="D47" s="168">
        <f ca="1">IF(NOT($C$6),"",IF(GetConvertDate(CDSRollDate,B47)&lt;Parameter_Date,0,GetGetDefaultprob($I$6,B47)))</f>
        <v>1.8696946947854509E-2</v>
      </c>
      <c r="E47" s="177">
        <f t="shared" ca="1" si="2"/>
        <v>9.3013114917548101E-3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3.4657534246575343</v>
      </c>
      <c r="D48" s="168">
        <f ca="1">IF(NOT($C$6),"",IF(GetConvertDate(CDSRollDate,B48)&lt;Parameter_Date,0,GetGetDefaultprob($I$6,B48)))</f>
        <v>1.9446857962258202E-2</v>
      </c>
      <c r="E48" s="177">
        <f t="shared" ca="1" si="2"/>
        <v>9.3013114917569872E-3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3.5506849315068494</v>
      </c>
      <c r="D49" s="168">
        <f ca="1">IF(NOT($C$6),"",IF(GetConvertDate(CDSRollDate,B49)&lt;Parameter_Date,0,GetGetDefaultprob($I$6,B49)))</f>
        <v>2.0221163961737343E-2</v>
      </c>
      <c r="E49" s="177">
        <f t="shared" ca="1" si="2"/>
        <v>9.3013114917535021E-3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3.6356164383561644</v>
      </c>
      <c r="D50" s="168">
        <f ca="1">IF(NOT($C$6),"",IF(GetConvertDate(CDSRollDate,B50)&lt;Parameter_Date,0,GetGetDefaultprob($I$6,B50)))</f>
        <v>2.0994858520841708E-2</v>
      </c>
      <c r="E50" s="177">
        <f t="shared" ca="1" si="2"/>
        <v>9.3013114917561198E-3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3.7150684931506848</v>
      </c>
      <c r="D51" s="168">
        <f ca="1">IF(NOT($C$6),"",IF(GetConvertDate(CDSRollDate,B51)&lt;Parameter_Date,0,GetGetDefaultprob($I$6,B51)))</f>
        <v>2.1718084188421027E-2</v>
      </c>
      <c r="E51" s="177">
        <f t="shared" ca="1" si="2"/>
        <v>9.3013114917572231E-3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3.8</v>
      </c>
      <c r="D52" s="168">
        <f ca="1">IF(NOT($C$6),"",IF(GetConvertDate(CDSRollDate,B52)&lt;Parameter_Date,0,GetGetDefaultprob($I$6,B52)))</f>
        <v>2.249059668582698E-2</v>
      </c>
      <c r="E52" s="177">
        <f t="shared" ca="1" si="2"/>
        <v>9.3013114917535021E-3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3.882191780821918</v>
      </c>
      <c r="D53" s="168">
        <f ca="1">IF(NOT($C$6),"",IF(GetConvertDate(CDSRollDate,B53)&lt;Parameter_Date,0,GetGetDefaultprob($I$6,B53)))</f>
        <v>2.3237608596111348E-2</v>
      </c>
      <c r="E53" s="177">
        <f t="shared" ca="1" si="2"/>
        <v>9.3013114917555855E-3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3.967123287671233</v>
      </c>
      <c r="D54" s="168">
        <f ca="1">IF(NOT($C$6),"",IF(GetConvertDate(CDSRollDate,B54)&lt;Parameter_Date,0,GetGetDefaultprob($I$6,B54)))</f>
        <v>2.4008921182146259E-2</v>
      </c>
      <c r="E54" s="177">
        <f t="shared" ca="1" si="2"/>
        <v>9.3013114917561198E-3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4.0493150684931507</v>
      </c>
      <c r="D55" s="168">
        <f ca="1">IF(NOT($C$6),"",IF(GetConvertDate(CDSRollDate,B55)&lt;Parameter_Date,0,GetGetDefaultprob($I$6,B55)))</f>
        <v>2.4754772790055446E-2</v>
      </c>
      <c r="E55" s="177">
        <f t="shared" ca="1" si="2"/>
        <v>9.3013114917556358E-3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4.1342465753424653</v>
      </c>
      <c r="D56" s="168">
        <f ca="1">IF(NOT($C$6),"",IF(GetConvertDate(CDSRollDate,B56)&lt;Parameter_Date,0,GetGetDefaultprob($I$6,B56)))</f>
        <v>2.552488732849123E-2</v>
      </c>
      <c r="E56" s="177">
        <f t="shared" ca="1" si="2"/>
        <v>9.3013114917548587E-3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4.2191780821917808</v>
      </c>
      <c r="D57" s="168">
        <f ca="1">IF(NOT($C$6),"",IF(GetConvertDate(CDSRollDate,B57)&lt;Parameter_Date,0,GetGetDefaultprob($I$6,B57)))</f>
        <v>2.629439373639153E-2</v>
      </c>
      <c r="E57" s="177">
        <f t="shared" ca="1" si="2"/>
        <v>9.3013114917547615E-3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4.3013698630136989</v>
      </c>
      <c r="D58" s="168">
        <f ca="1">IF(NOT($C$6),"",IF(GetConvertDate(CDSRollDate,B58)&lt;Parameter_Date,0,GetGetDefaultprob($I$6,B58)))</f>
        <v>2.7038498787988474E-2</v>
      </c>
      <c r="E58" s="177">
        <f t="shared" ca="1" si="2"/>
        <v>9.3013114917555855E-3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4.3863013698630136</v>
      </c>
      <c r="D59" s="168">
        <f ca="1">IF(NOT($C$6),"",IF(GetConvertDate(CDSRollDate,B59)&lt;Parameter_Date,0,GetGetDefaultprob($I$6,B59)))</f>
        <v>2.7806809953750733E-2</v>
      </c>
      <c r="E59" s="177">
        <f t="shared" ca="1" si="2"/>
        <v>9.3013114917561684E-3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4.4684931506849317</v>
      </c>
      <c r="D60" s="168">
        <f ca="1">IF(NOT($C$6),"",IF(GetConvertDate(CDSRollDate,B60)&lt;Parameter_Date,0,GetGetDefaultprob($I$6,B60)))</f>
        <v>2.8549759218074566E-2</v>
      </c>
      <c r="E60" s="177">
        <f t="shared" ca="1" si="2"/>
        <v>9.3013114917555855E-3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4.5534246575342463</v>
      </c>
      <c r="D61" s="168">
        <f ca="1">IF(NOT($C$6),"",IF(GetConvertDate(CDSRollDate,B61)&lt;Parameter_Date,0,GetGetDefaultprob($I$6,B61)))</f>
        <v>2.9316876998218278E-2</v>
      </c>
      <c r="E61" s="177">
        <f t="shared" ca="1" si="2"/>
        <v>9.3013114917535507E-3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4.6383561643835618</v>
      </c>
      <c r="D62" s="168">
        <f ca="1">IF(NOT($C$6),"",IF(GetConvertDate(CDSRollDate,B62)&lt;Parameter_Date,0,GetGetDefaultprob($I$6,B62)))</f>
        <v>3.0083389014254114E-2</v>
      </c>
      <c r="E62" s="177">
        <f t="shared" ca="1" si="2"/>
        <v>9.3013114917560712E-3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4.7150684931506852</v>
      </c>
      <c r="D63" s="168">
        <f ca="1">IF(NOT($C$6),"",IF(GetConvertDate(CDSRollDate,B63)&lt;Parameter_Date,0,GetGetDefaultprob($I$6,B63)))</f>
        <v>3.0775202178815908E-2</v>
      </c>
      <c r="E63" s="177">
        <f t="shared" ca="1" si="2"/>
        <v>9.3013114917551761E-3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4.8</v>
      </c>
      <c r="D64" s="168">
        <f ca="1">IF(NOT($C$6),"",IF(GetConvertDate(CDSRollDate,B64)&lt;Parameter_Date,0,GetGetDefaultprob($I$6,B64)))</f>
        <v>3.1540562610212208E-2</v>
      </c>
      <c r="E64" s="177">
        <f t="shared" ca="1" si="2"/>
        <v>9.3013114917548587E-3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4.882191780821918</v>
      </c>
      <c r="D65" s="168">
        <f ca="1">IF(NOT($C$6),"",IF(GetConvertDate(CDSRollDate,B65)&lt;Parameter_Date,0,GetGetDefaultprob($I$6,B65)))</f>
        <v>3.2280658543718976E-2</v>
      </c>
      <c r="E65" s="177">
        <f t="shared" ca="1" si="2"/>
        <v>9.3013114917555855E-3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4.9671232876712326</v>
      </c>
      <c r="D66" s="168">
        <f ca="1">IF(NOT($C$6),"",IF(GetConvertDate(CDSRollDate,B66)&lt;Parameter_Date,0,GetGetDefaultprob($I$6,B66)))</f>
        <v>3.3044830172749284E-2</v>
      </c>
      <c r="E66" s="177">
        <f t="shared" ca="1" si="2"/>
        <v>9.3013114917561684E-3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5.0493150684931507</v>
      </c>
      <c r="D67" s="168">
        <f ca="1">IF(NOT($C$6),"",IF(GetConvertDate(CDSRollDate,B67)&lt;Parameter_Date,0,GetGetDefaultprob($I$6,B67)))</f>
        <v>3.3783776546178479E-2</v>
      </c>
      <c r="E67" s="177">
        <f t="shared" ca="1" si="2"/>
        <v>9.3013114917542324E-3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5.1342465753424653</v>
      </c>
      <c r="D68" s="168">
        <f ca="1">IF(NOT($C$6),"",IF(GetConvertDate(CDSRollDate,B68)&lt;Parameter_Date,0,GetGetDefaultprob($I$6,B68)))</f>
        <v>3.4546761219359734E-2</v>
      </c>
      <c r="E68" s="177">
        <f t="shared" ca="1" si="2"/>
        <v>9.3013114917548587E-3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5.2191780821917808</v>
      </c>
      <c r="D69" s="168">
        <f ca="1">IF(NOT($C$6),"",IF(GetConvertDate(CDSRollDate,B69)&lt;Parameter_Date,0,GetGetDefaultprob($I$6,B69)))</f>
        <v>3.5309143392192377E-2</v>
      </c>
      <c r="E69" s="177">
        <f t="shared" ca="1" si="2"/>
        <v>9.3013114917560712E-3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5.3013698630136989</v>
      </c>
      <c r="D70" s="168">
        <f ca="1">IF(NOT($C$6),"",IF(GetConvertDate(CDSRollDate,B70)&lt;Parameter_Date,0,GetGetDefaultprob($I$6,B70)))</f>
        <v>3.6062781279960099E-2</v>
      </c>
      <c r="E70" s="177">
        <f t="shared" ca="1" si="2"/>
        <v>9.5085844200276121E-3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5.3863013698630136</v>
      </c>
      <c r="D71" s="168">
        <f ca="1">IF(NOT($C$6),"",IF(GetConvertDate(CDSRollDate,B71)&lt;Parameter_Date,0,GetGetDefaultprob($I$6,B71)))</f>
        <v>3.6840921912375202E-2</v>
      </c>
      <c r="E71" s="177">
        <f t="shared" ca="1" si="2"/>
        <v>9.5085844200288507E-3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5.4684931506849317</v>
      </c>
      <c r="D72" s="168">
        <f ca="1">IF(NOT($C$6),"",IF(GetConvertDate(CDSRollDate,B72)&lt;Parameter_Date,0,GetGetDefaultprob($I$6,B72)))</f>
        <v>3.7593363140798197E-2</v>
      </c>
      <c r="E72" s="177">
        <f t="shared" ca="1" si="2"/>
        <v>9.5085844200289635E-3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5.5534246575342463</v>
      </c>
      <c r="D73" s="168">
        <f ca="1">IF(NOT($C$6),"",IF(GetConvertDate(CDSRollDate,B73)&lt;Parameter_Date,0,GetGetDefaultprob($I$6,B73)))</f>
        <v>3.8370268207334024E-2</v>
      </c>
      <c r="E73" s="177">
        <f t="shared" ca="1" si="2"/>
        <v>9.5085844200275427E-3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5.6383561643835618</v>
      </c>
      <c r="D74" s="168">
        <f ca="1">IF(NOT($C$6),"",IF(GetConvertDate(CDSRollDate,B74)&lt;Parameter_Date,0,GetGetDefaultprob($I$6,B74)))</f>
        <v>3.9146546115391145E-2</v>
      </c>
      <c r="E74" s="177">
        <f t="shared" ca="1" si="2"/>
        <v>9.5085844200300598E-3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5.7150684931506852</v>
      </c>
      <c r="D75" s="168">
        <f ca="1">IF(NOT($C$6),"",IF(GetConvertDate(CDSRollDate,B75)&lt;Parameter_Date,0,GetGetDefaultprob($I$6,B75)))</f>
        <v>3.9847161719960611E-2</v>
      </c>
      <c r="E75" s="177">
        <f t="shared" ca="1" si="2"/>
        <v>9.5085844200259555E-3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5.8</v>
      </c>
      <c r="D76" s="168">
        <f ca="1">IF(NOT($C$6),"",IF(GetConvertDate(CDSRollDate,B76)&lt;Parameter_Date,0,GetGetDefaultprob($I$6,B76)))</f>
        <v>4.0622247402186451E-2</v>
      </c>
      <c r="E76" s="177">
        <f t="shared" ref="E76:E129" ca="1" si="6">IF(NOT($C$6),"",IF(C76=0,0,-LN((1-D76)/(1-D75))/($C76-$C75)))</f>
        <v>9.5085844200301587E-3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5.882191780821918</v>
      </c>
      <c r="D77" s="168">
        <f ca="1">IF(NOT($C$6),"",IF(GetConvertDate(CDSRollDate,B77)&lt;Parameter_Date,0,GetGetDefaultprob($I$6,B77)))</f>
        <v>4.1371734575291419E-2</v>
      </c>
      <c r="E77" s="177">
        <f t="shared" ca="1" si="6"/>
        <v>9.5085844200276121E-3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5.9671232876712326</v>
      </c>
      <c r="D78" s="168">
        <f ca="1">IF(NOT($C$6),"",IF(GetConvertDate(CDSRollDate,B78)&lt;Parameter_Date,0,GetGetDefaultprob($I$6,B78)))</f>
        <v>4.2145589542422091E-2</v>
      </c>
      <c r="E78" s="177">
        <f t="shared" ca="1" si="6"/>
        <v>9.5085844200288507E-3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6.0493150684931507</v>
      </c>
      <c r="D79" s="168">
        <f ca="1">IF(NOT($C$6),"",IF(GetConvertDate(CDSRollDate,B79)&lt;Parameter_Date,0,GetGetDefaultprob($I$6,B79)))</f>
        <v>4.2893886646869328E-2</v>
      </c>
      <c r="E79" s="177">
        <f t="shared" ca="1" si="6"/>
        <v>9.5085844200289635E-3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6.1342465753424653</v>
      </c>
      <c r="D80" s="168">
        <f ca="1">IF(NOT($C$6),"",IF(GetConvertDate(CDSRollDate,B80)&lt;Parameter_Date,0,GetGetDefaultprob($I$6,B80)))</f>
        <v>4.3666512853088313E-2</v>
      </c>
      <c r="E80" s="177">
        <f t="shared" ca="1" si="6"/>
        <v>9.5085844200288507E-3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6.2191780821917808</v>
      </c>
      <c r="D81" s="168">
        <f ca="1">IF(NOT($C$6),"",IF(GetConvertDate(CDSRollDate,B81)&lt;Parameter_Date,0,GetGetDefaultprob($I$6,B81)))</f>
        <v>4.4438515354948804E-2</v>
      </c>
      <c r="E81" s="177">
        <f t="shared" ca="1" si="6"/>
        <v>9.5085844200300598E-3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6.3013698630136989</v>
      </c>
      <c r="D82" s="168">
        <f ca="1">IF(NOT($C$6),"",IF(GetConvertDate(CDSRollDate,B82)&lt;Parameter_Date,0,GetGetDefaultprob($I$6,B82)))</f>
        <v>4.5185021174909079E-2</v>
      </c>
      <c r="E82" s="177">
        <f t="shared" ca="1" si="6"/>
        <v>9.5085844200289635E-3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6.3863013698630136</v>
      </c>
      <c r="D83" s="168">
        <f ca="1">IF(NOT($C$6),"",IF(GetConvertDate(CDSRollDate,B83)&lt;Parameter_Date,0,GetGetDefaultprob($I$6,B83)))</f>
        <v>4.5955797857283542E-2</v>
      </c>
      <c r="E83" s="177">
        <f t="shared" ca="1" si="6"/>
        <v>9.5085844200275427E-3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6.4684931506849317</v>
      </c>
      <c r="D84" s="168">
        <f ca="1">IF(NOT($C$6),"",IF(GetConvertDate(CDSRollDate,B84)&lt;Parameter_Date,0,GetGetDefaultprob($I$6,B84)))</f>
        <v>4.6701118342509562E-2</v>
      </c>
      <c r="E84" s="177">
        <f t="shared" ca="1" si="6"/>
        <v>9.5085844200289635E-3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6.5534246575342463</v>
      </c>
      <c r="D85" s="168">
        <f ca="1">IF(NOT($C$6),"",IF(GetConvertDate(CDSRollDate,B85)&lt;Parameter_Date,0,GetGetDefaultprob($I$6,B85)))</f>
        <v>4.7470671151808252E-2</v>
      </c>
      <c r="E85" s="177">
        <f t="shared" ca="1" si="6"/>
        <v>9.5085844200288507E-3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6.6383561643835618</v>
      </c>
      <c r="D86" s="168">
        <f ca="1">IF(NOT($C$6),"",IF(GetConvertDate(CDSRollDate,B86)&lt;Parameter_Date,0,GetGetDefaultprob($I$6,B86)))</f>
        <v>4.8239602737755405E-2</v>
      </c>
      <c r="E86" s="177">
        <f t="shared" ca="1" si="6"/>
        <v>9.5085844200287501E-3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6.7150684931506852</v>
      </c>
      <c r="D87" s="168">
        <f ca="1">IF(NOT($C$6),"",IF(GetConvertDate(CDSRollDate,B87)&lt;Parameter_Date,0,GetGetDefaultprob($I$6,B87)))</f>
        <v>4.8933588051995991E-2</v>
      </c>
      <c r="E87" s="177">
        <f t="shared" ca="1" si="6"/>
        <v>9.508584420027404E-3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6.8</v>
      </c>
      <c r="D88" s="168">
        <f ca="1">IF(NOT($C$6),"",IF(GetConvertDate(CDSRollDate,B88)&lt;Parameter_Date,0,GetGetDefaultprob($I$6,B88)))</f>
        <v>4.9701338694765784E-2</v>
      </c>
      <c r="E88" s="177">
        <f t="shared" ca="1" si="6"/>
        <v>9.5085844200288507E-3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6.882191780821918</v>
      </c>
      <c r="D89" s="168">
        <f ca="1">IF(NOT($C$6),"",IF(GetConvertDate(CDSRollDate,B89)&lt;Parameter_Date,0,GetGetDefaultprob($I$6,B89)))</f>
        <v>5.0443733080437703E-2</v>
      </c>
      <c r="E89" s="177">
        <f t="shared" ca="1" si="6"/>
        <v>9.5085844200289635E-3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6.9671232876712326</v>
      </c>
      <c r="D90" s="168">
        <f ca="1">IF(NOT($C$6),"",IF(GetConvertDate(CDSRollDate,B90)&lt;Parameter_Date,0,GetGetDefaultprob($I$6,B90)))</f>
        <v>5.1210264655010218E-2</v>
      </c>
      <c r="E90" s="177">
        <f t="shared" ca="1" si="6"/>
        <v>9.5085844200288507E-3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7.0493150684931507</v>
      </c>
      <c r="D91" s="168">
        <f ca="1">IF(NOT($C$6),"",IF(GetConvertDate(CDSRollDate,B91)&lt;Parameter_Date,0,GetGetDefaultprob($I$6,B91)))</f>
        <v>5.1951480234263769E-2</v>
      </c>
      <c r="E91" s="177">
        <f t="shared" ca="1" si="6"/>
        <v>9.5085844200276121E-3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7.1342465753424653</v>
      </c>
      <c r="D92" s="168">
        <f ca="1">IF(NOT($C$6),"",IF(GetConvertDate(CDSRollDate,B92)&lt;Parameter_Date,0,GetGetDefaultprob($I$6,B92)))</f>
        <v>5.271679467632906E-2</v>
      </c>
      <c r="E92" s="177">
        <f t="shared" ca="1" si="6"/>
        <v>9.5085844200288507E-3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7.2191780821917808</v>
      </c>
      <c r="D93" s="168">
        <f ca="1">IF(NOT($C$6),"",IF(GetConvertDate(CDSRollDate,B93)&lt;Parameter_Date,0,GetGetDefaultprob($I$6,B93)))</f>
        <v>5.3481491316474949E-2</v>
      </c>
      <c r="E93" s="177">
        <f t="shared" ca="1" si="6"/>
        <v>9.5085844200287501E-3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7.3013698630136989</v>
      </c>
      <c r="D94" s="168">
        <f ca="1">IF(NOT($C$6),"",IF(GetConvertDate(CDSRollDate,B94)&lt;Parameter_Date,0,GetGetDefaultprob($I$6,B94)))</f>
        <v>5.4274954316563484E-2</v>
      </c>
      <c r="E94" s="177">
        <f t="shared" ca="1" si="6"/>
        <v>1.0203549514489655E-2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7.3863013698630136</v>
      </c>
      <c r="D95" s="168">
        <f ca="1">IF(NOT($C$6),"",IF(GetConvertDate(CDSRollDate,B95)&lt;Parameter_Date,0,GetGetDefaultprob($I$6,B95)))</f>
        <v>5.5094167305316133E-2</v>
      </c>
      <c r="E95" s="177">
        <f t="shared" ca="1" si="6"/>
        <v>1.0203549514491334E-2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7.4684931506849317</v>
      </c>
      <c r="D96" s="168">
        <f ca="1">IF(NOT($C$6),"",IF(GetConvertDate(CDSRollDate,B96)&lt;Parameter_Date,0,GetGetDefaultprob($I$6,B96)))</f>
        <v>5.5886278405028245E-2</v>
      </c>
      <c r="E96" s="177">
        <f t="shared" ca="1" si="6"/>
        <v>1.0203549514489655E-2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7.5534246575342463</v>
      </c>
      <c r="D97" s="168">
        <f ca="1">IF(NOT($C$6),"",IF(GetConvertDate(CDSRollDate,B97)&lt;Parameter_Date,0,GetGetDefaultprob($I$6,B97)))</f>
        <v>5.670409562063472E-2</v>
      </c>
      <c r="E97" s="177">
        <f t="shared" ca="1" si="6"/>
        <v>1.0203549514490026E-2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7.6383561643835618</v>
      </c>
      <c r="D98" s="168">
        <f ca="1">IF(NOT($C$6),"",IF(GetConvertDate(CDSRollDate,B98)&lt;Parameter_Date,0,GetGetDefaultprob($I$6,B98)))</f>
        <v>5.7521204420524996E-2</v>
      </c>
      <c r="E98" s="177">
        <f t="shared" ca="1" si="6"/>
        <v>1.0203549514488611E-2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7.7178082191780826</v>
      </c>
      <c r="D99" s="168">
        <f ca="1">IF(NOT($C$6),"",IF(GetConvertDate(CDSRollDate,B99)&lt;Parameter_Date,0,GetGetDefaultprob($I$6,B99)))</f>
        <v>5.8284955733562849E-2</v>
      </c>
      <c r="E99" s="177">
        <f t="shared" ca="1" si="6"/>
        <v>1.0203549514491391E-2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7.8027397260273972</v>
      </c>
      <c r="D100" s="168">
        <f ca="1">IF(NOT($C$6),"",IF(GetConvertDate(CDSRollDate,B100)&lt;Parameter_Date,0,GetGetDefaultprob($I$6,B100)))</f>
        <v>5.9100695149038818E-2</v>
      </c>
      <c r="E100" s="177">
        <f t="shared" ca="1" si="6"/>
        <v>1.0203549514491334E-2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7.8849315068493153</v>
      </c>
      <c r="D101" s="168">
        <f ca="1">IF(NOT($C$6),"",IF(GetConvertDate(CDSRollDate,B101)&lt;Parameter_Date,0,GetGetDefaultprob($I$6,B101)))</f>
        <v>5.9889447591129796E-2</v>
      </c>
      <c r="E101" s="177">
        <f t="shared" ca="1" si="6"/>
        <v>1.0203549514491008E-2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7.9698630136986299</v>
      </c>
      <c r="D102" s="168">
        <f ca="1">IF(NOT($C$6),"",IF(GetConvertDate(CDSRollDate,B102)&lt;Parameter_Date,0,GetGetDefaultprob($I$6,B102)))</f>
        <v>6.0703797151725469E-2</v>
      </c>
      <c r="E102" s="177">
        <f t="shared" ca="1" si="6"/>
        <v>1.0203549514490026E-2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8.0520547945205472</v>
      </c>
      <c r="D103" s="168">
        <f ca="1">IF(NOT($C$6),"",IF(GetConvertDate(CDSRollDate,B103)&lt;Parameter_Date,0,GetGetDefaultprob($I$6,B103)))</f>
        <v>6.1491205719277353E-2</v>
      </c>
      <c r="E103" s="177">
        <f t="shared" ca="1" si="6"/>
        <v>1.0203549514489766E-2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8.1369863013698627</v>
      </c>
      <c r="D104" s="168">
        <f ca="1">IF(NOT($C$6),"",IF(GetConvertDate(CDSRollDate,B104)&lt;Parameter_Date,0,GetGetDefaultprob($I$6,B104)))</f>
        <v>6.230416779302439E-2</v>
      </c>
      <c r="E104" s="177">
        <f t="shared" ca="1" si="6"/>
        <v>1.0203549514491228E-2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8.2219178082191782</v>
      </c>
      <c r="D105" s="168">
        <f ca="1">IF(NOT($C$6),"",IF(GetConvertDate(CDSRollDate,B105)&lt;Parameter_Date,0,GetGetDefaultprob($I$6,B105)))</f>
        <v>6.3116425656712272E-2</v>
      </c>
      <c r="E105" s="177">
        <f t="shared" ca="1" si="6"/>
        <v>1.0203549514488611E-2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8.3041095890410954</v>
      </c>
      <c r="D106" s="168">
        <f ca="1">IF(NOT($C$6),"",IF(GetConvertDate(CDSRollDate,B106)&lt;Parameter_Date,0,GetGetDefaultprob($I$6,B106)))</f>
        <v>6.3901811726622459E-2</v>
      </c>
      <c r="E106" s="177">
        <f t="shared" ca="1" si="6"/>
        <v>1.0203549514491117E-2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8.3890410958904109</v>
      </c>
      <c r="D107" s="168">
        <f ca="1">IF(NOT($C$6),"",IF(GetConvertDate(CDSRollDate,B107)&lt;Parameter_Date,0,GetGetDefaultprob($I$6,B107)))</f>
        <v>6.4712685667289938E-2</v>
      </c>
      <c r="E107" s="177">
        <f t="shared" ca="1" si="6"/>
        <v>1.020354951448992E-2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8.4712328767123282</v>
      </c>
      <c r="D108" s="168">
        <f ca="1">IF(NOT($C$6),"",IF(GetConvertDate(CDSRollDate,B108)&lt;Parameter_Date,0,GetGetDefaultprob($I$6,B108)))</f>
        <v>6.5496733598278123E-2</v>
      </c>
      <c r="E108" s="177">
        <f t="shared" ca="1" si="6"/>
        <v>1.0203549514491117E-2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8.5561643835616437</v>
      </c>
      <c r="D109" s="168">
        <f ca="1">IF(NOT($C$6),"",IF(GetConvertDate(CDSRollDate,B109)&lt;Parameter_Date,0,GetGetDefaultprob($I$6,B109)))</f>
        <v>6.6306225973849831E-2</v>
      </c>
      <c r="E109" s="177">
        <f t="shared" ca="1" si="6"/>
        <v>1.020354951448992E-2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8.6410958904109592</v>
      </c>
      <c r="D110" s="168">
        <f ca="1">IF(NOT($C$6),"",IF(GetConvertDate(CDSRollDate,B110)&lt;Parameter_Date,0,GetGetDefaultprob($I$6,B110)))</f>
        <v>6.7115017144910527E-2</v>
      </c>
      <c r="E110" s="177">
        <f t="shared" ca="1" si="6"/>
        <v>1.0203549514491228E-2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8.7178082191780817</v>
      </c>
      <c r="D111" s="168">
        <f ca="1">IF(NOT($C$6),"",IF(GetConvertDate(CDSRollDate,B111)&lt;Parameter_Date,0,GetGetDefaultprob($I$6,B111)))</f>
        <v>6.7844936007652068E-2</v>
      </c>
      <c r="E111" s="177">
        <f t="shared" ca="1" si="6"/>
        <v>1.02035495144891E-2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8.8027397260273972</v>
      </c>
      <c r="D112" s="168">
        <f ca="1">IF(NOT($C$6),"",IF(GetConvertDate(CDSRollDate,B112)&lt;Parameter_Date,0,GetGetDefaultprob($I$6,B112)))</f>
        <v>6.865239430585357E-2</v>
      </c>
      <c r="E112" s="177">
        <f t="shared" ca="1" si="6"/>
        <v>1.0203549514491228E-2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8.8849315068493144</v>
      </c>
      <c r="D113" s="168">
        <f ca="1">IF(NOT($C$6),"",IF(GetConvertDate(CDSRollDate,B113)&lt;Parameter_Date,0,GetGetDefaultprob($I$6,B113)))</f>
        <v>6.9433139593515492E-2</v>
      </c>
      <c r="E113" s="177">
        <f t="shared" ca="1" si="6"/>
        <v>1.0203549514491117E-2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8.9698630136986299</v>
      </c>
      <c r="D114" s="168">
        <f ca="1">IF(NOT($C$6),"",IF(GetConvertDate(CDSRollDate,B114)&lt;Parameter_Date,0,GetGetDefaultprob($I$6,B114)))</f>
        <v>7.023922214618461E-2</v>
      </c>
      <c r="E114" s="177">
        <f t="shared" ca="1" si="6"/>
        <v>1.020354951448992E-2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9.0520547945205472</v>
      </c>
      <c r="D115" s="168">
        <f ca="1">IF(NOT($C$6),"",IF(GetConvertDate(CDSRollDate,B115)&lt;Parameter_Date,0,GetGetDefaultprob($I$6,B115)))</f>
        <v>7.1018637201878287E-2</v>
      </c>
      <c r="E115" s="177">
        <f t="shared" ca="1" si="6"/>
        <v>1.0203549514491117E-2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9.1369863013698627</v>
      </c>
      <c r="D116" s="168">
        <f ca="1">IF(NOT($C$6),"",IF(GetConvertDate(CDSRollDate,B116)&lt;Parameter_Date,0,GetGetDefaultprob($I$6,B116)))</f>
        <v>7.1823346353007134E-2</v>
      </c>
      <c r="E116" s="177">
        <f t="shared" ca="1" si="6"/>
        <v>1.020354951448992E-2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9.2219178082191782</v>
      </c>
      <c r="D117" s="168">
        <f ca="1">IF(NOT($C$6),"",IF(GetConvertDate(CDSRollDate,B117)&lt;Parameter_Date,0,GetGetDefaultprob($I$6,B117)))</f>
        <v>7.2627358442985179E-2</v>
      </c>
      <c r="E117" s="177">
        <f t="shared" ca="1" si="6"/>
        <v>1.020354951448992E-2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9.3041095890410954</v>
      </c>
      <c r="D118" s="168">
        <f ca="1">IF(NOT($C$6),"",IF(GetConvertDate(CDSRollDate,B118)&lt;Parameter_Date,0,GetGetDefaultprob($I$6,B118)))</f>
        <v>7.3404771532765589E-2</v>
      </c>
      <c r="E118" s="177">
        <f t="shared" ca="1" si="6"/>
        <v>1.0203549514491117E-2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9.3890410958904109</v>
      </c>
      <c r="D119" s="168">
        <f ca="1">IF(NOT($C$6),"",IF(GetConvertDate(CDSRollDate,B119)&lt;Parameter_Date,0,GetGetDefaultprob($I$6,B119)))</f>
        <v>7.4207413748852757E-2</v>
      </c>
      <c r="E119" s="177">
        <f t="shared" ca="1" si="6"/>
        <v>1.020354951448992E-2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9.4712328767123282</v>
      </c>
      <c r="D120" s="168">
        <f ca="1">IF(NOT($C$6),"",IF(GetConvertDate(CDSRollDate,B120)&lt;Parameter_Date,0,GetGetDefaultprob($I$6,B120)))</f>
        <v>7.4983502284055703E-2</v>
      </c>
      <c r="E120" s="177">
        <f t="shared" ca="1" si="6"/>
        <v>1.0203549514491117E-2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9.5561643835616437</v>
      </c>
      <c r="D121" s="168">
        <f ca="1">IF(NOT($C$6),"",IF(GetConvertDate(CDSRollDate,B121)&lt;Parameter_Date,0,GetGetDefaultprob($I$6,B121)))</f>
        <v>7.5784776960239886E-2</v>
      </c>
      <c r="E121" s="177">
        <f t="shared" ca="1" si="6"/>
        <v>1.020354951448992E-2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9.6410958904109592</v>
      </c>
      <c r="D122" s="168">
        <f ca="1">IF(NOT($C$6),"",IF(GetConvertDate(CDSRollDate,B122)&lt;Parameter_Date,0,GetGetDefaultprob($I$6,B122)))</f>
        <v>7.6585357550309707E-2</v>
      </c>
      <c r="E122" s="177">
        <f t="shared" ca="1" si="6"/>
        <v>1.0203549514491228E-2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9.7178082191780817</v>
      </c>
      <c r="D123" s="168">
        <f ca="1">IF(NOT($C$6),"",IF(GetConvertDate(CDSRollDate,B123)&lt;Parameter_Date,0,GetGetDefaultprob($I$6,B123)))</f>
        <v>7.7307866517699275E-2</v>
      </c>
      <c r="E123" s="177">
        <f t="shared" ca="1" si="6"/>
        <v>1.0203549514490548E-2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9.8027397260273972</v>
      </c>
      <c r="D124" s="168">
        <f ca="1">IF(NOT($C$6),"",IF(GetConvertDate(CDSRollDate,B124)&lt;Parameter_Date,0,GetGetDefaultprob($I$6,B124)))</f>
        <v>7.8107127765795092E-2</v>
      </c>
      <c r="E124" s="177">
        <f t="shared" ca="1" si="6"/>
        <v>1.0203549514488611E-2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9.8849315068493144</v>
      </c>
      <c r="D125" s="168">
        <f ca="1">IF(NOT($C$6),"",IF(GetConvertDate(CDSRollDate,B125)&lt;Parameter_Date,0,GetGetDefaultprob($I$6,B125)))</f>
        <v>7.8879947185016785E-2</v>
      </c>
      <c r="E125" s="177">
        <f t="shared" ca="1" si="6"/>
        <v>1.020354951449247E-2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9.9698630136986299</v>
      </c>
      <c r="D126" s="168">
        <f ca="1">IF(NOT($C$6),"",IF(GetConvertDate(CDSRollDate,B126)&lt;Parameter_Date,0,GetGetDefaultprob($I$6,B126)))</f>
        <v>7.9677846653694928E-2</v>
      </c>
      <c r="E126" s="177">
        <f t="shared" ca="1" si="6"/>
        <v>1.020354951448992E-2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10.052054794520547</v>
      </c>
      <c r="D127" s="168">
        <f ca="1">IF(NOT($C$6),"",IF(GetConvertDate(CDSRollDate,B127)&lt;Parameter_Date,0,GetGetDefaultprob($I$6,B127)))</f>
        <v>8.0449349345024013E-2</v>
      </c>
      <c r="E127" s="177">
        <f t="shared" ca="1" si="6"/>
        <v>1.0203549514489766E-2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10.136986301369863</v>
      </c>
      <c r="D128" s="168">
        <f ca="1">IF(NOT($C$6),"",IF(GetConvertDate(CDSRollDate,B128)&lt;Parameter_Date,0,GetGetDefaultprob($I$6,B128)))</f>
        <v>8.124588935448096E-2</v>
      </c>
      <c r="E128" s="177">
        <f t="shared" ca="1" si="6"/>
        <v>1.020354951448992E-2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10.221917808219178</v>
      </c>
      <c r="D129" s="178">
        <f ca="1">IF(NOT($C$6),"",IF(GetConvertDate(CDSRollDate,B129)&lt;Parameter_Date,0,GetGetDefaultprob($I$6,B129)))</f>
        <v>8.2041739379121958E-2</v>
      </c>
      <c r="E129" s="217">
        <f t="shared" ca="1" si="6"/>
        <v>1.0203549514492536E-2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D6" sqref="D6:E9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2.28515625" style="228" bestFit="1" customWidth="1"/>
    <col min="5" max="5" width="11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hidden="1" customWidth="1"/>
    <col min="17" max="18" width="19.28515625" style="227" hidden="1" customWidth="1"/>
    <col min="19" max="29" width="13.140625" style="227" customWidth="1"/>
    <col min="30" max="30" width="11.42578125" style="227"/>
    <col min="31" max="31" width="13.140625" style="227" customWidth="1"/>
    <col min="32" max="32" width="13.5703125" style="227" customWidth="1"/>
    <col min="33" max="33" width="12.7109375" style="227" customWidth="1"/>
    <col min="34" max="34" width="13.5703125" style="227" customWidth="1"/>
    <col min="35" max="35" width="12.42578125" style="227" customWidth="1"/>
    <col min="36" max="36" width="13" style="227" customWidth="1"/>
    <col min="37" max="37" width="11.42578125" style="227" customWidth="1"/>
    <col min="38" max="39" width="11.42578125" style="227"/>
    <col min="40" max="40" width="25.140625" style="227" customWidth="1"/>
    <col min="41" max="50" width="9.7109375" style="227" customWidth="1"/>
    <col min="51" max="16384" width="11.42578125" style="227"/>
  </cols>
  <sheetData>
    <row r="1" spans="1:30">
      <c r="S1" s="228"/>
    </row>
    <row r="2" spans="1:30">
      <c r="N2" s="489"/>
      <c r="O2" s="489"/>
      <c r="P2" s="489"/>
    </row>
    <row r="3" spans="1:30">
      <c r="N3" s="489"/>
      <c r="O3" s="489"/>
      <c r="P3" s="489"/>
    </row>
    <row r="4" spans="1:30" ht="12" thickBot="1">
      <c r="N4" s="490"/>
      <c r="O4" s="489"/>
      <c r="P4" s="489"/>
    </row>
    <row r="5" spans="1:30" ht="12" thickBot="1">
      <c r="H5" s="269" t="s">
        <v>423</v>
      </c>
      <c r="I5" s="140" t="b">
        <v>1</v>
      </c>
      <c r="K5" s="269" t="s">
        <v>508</v>
      </c>
      <c r="L5" s="140" t="b">
        <v>0</v>
      </c>
      <c r="N5" s="489"/>
      <c r="O5" s="489"/>
      <c r="P5" s="489"/>
    </row>
    <row r="6" spans="1:30" ht="12" thickBot="1">
      <c r="B6" s="270" t="s">
        <v>432</v>
      </c>
      <c r="C6" s="229" t="s">
        <v>57</v>
      </c>
      <c r="F6" s="404"/>
      <c r="K6" s="269" t="s">
        <v>509</v>
      </c>
      <c r="L6" s="140" t="b">
        <v>0</v>
      </c>
      <c r="N6" s="489"/>
      <c r="O6" s="489"/>
      <c r="P6" s="489"/>
    </row>
    <row r="7" spans="1:30" customFormat="1" ht="15.75" thickBot="1">
      <c r="A7" s="227"/>
      <c r="B7" s="270" t="s">
        <v>457</v>
      </c>
      <c r="C7" s="230" cm="1">
        <f t="array" aca="1" ref="C7" ca="1">GetConvertDate([0]!CDSRollDate,C6)</f>
        <v>47381</v>
      </c>
      <c r="D7" s="487"/>
      <c r="E7" s="486"/>
      <c r="F7" s="228"/>
      <c r="G7" s="228"/>
      <c r="I7" s="397"/>
      <c r="J7" s="396"/>
      <c r="K7" s="396"/>
      <c r="L7" s="396"/>
      <c r="M7" s="396"/>
      <c r="N7" s="396"/>
      <c r="O7" s="396"/>
      <c r="P7" s="396"/>
      <c r="Q7" s="396"/>
      <c r="R7" s="396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</row>
    <row r="8" spans="1:30" customFormat="1" ht="15">
      <c r="A8" s="227"/>
      <c r="B8" s="271" t="s">
        <v>82</v>
      </c>
      <c r="C8" s="231" t="s">
        <v>66</v>
      </c>
      <c r="D8" s="228"/>
      <c r="E8" s="228"/>
      <c r="F8" s="228"/>
      <c r="G8" s="228"/>
      <c r="H8" s="312" t="s">
        <v>435</v>
      </c>
      <c r="I8" s="398" cm="1">
        <f t="array" aca="1" ref="I8:J13" ca="1">IF(NOT($I$5),"",GETCDO(C6,C19:C20,C21:C22,G39:G338,C8,C17,C39:C338,D39:D338,C12,C13,C14,C15,C9,C10,E39:E338,F39:F338,C24,C25,C27,L5,L6,C29:C31,C36,C33,,C34,))</f>
        <v>0.17991028082048099</v>
      </c>
      <c r="J8" s="399">
        <f ca="1"/>
        <v>5.9970093606827E-2</v>
      </c>
      <c r="K8" s="408"/>
      <c r="L8" s="408"/>
      <c r="M8" s="409"/>
      <c r="N8" s="449"/>
      <c r="O8" s="409"/>
      <c r="P8" s="409"/>
      <c r="Q8" s="409"/>
      <c r="R8" s="449"/>
      <c r="S8" s="444"/>
      <c r="T8" s="227"/>
      <c r="U8" s="79"/>
      <c r="V8" s="79"/>
      <c r="W8" s="79"/>
      <c r="X8" s="79"/>
      <c r="Y8" s="79"/>
      <c r="Z8" s="79"/>
      <c r="AA8" s="79"/>
      <c r="AB8" s="79"/>
      <c r="AC8" s="79"/>
    </row>
    <row r="9" spans="1:30" customFormat="1" ht="15.75" thickBot="1">
      <c r="A9" s="227"/>
      <c r="B9" s="271" t="s">
        <v>437</v>
      </c>
      <c r="C9" s="232">
        <v>-0.05</v>
      </c>
      <c r="D9" s="487"/>
      <c r="E9" s="228"/>
      <c r="F9" s="228"/>
      <c r="G9" s="228"/>
      <c r="H9" s="386" t="s">
        <v>436</v>
      </c>
      <c r="I9" s="400">
        <f ca="1"/>
        <v>0.77973968746047895</v>
      </c>
      <c r="J9" s="401">
        <f ca="1"/>
        <v>0.25991322915349302</v>
      </c>
      <c r="K9" s="410"/>
      <c r="L9" s="410"/>
      <c r="M9" s="332"/>
      <c r="N9" s="450"/>
      <c r="O9" s="332"/>
      <c r="P9" s="332"/>
      <c r="Q9" s="332"/>
      <c r="R9" s="450"/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0" customFormat="1" ht="15.75" thickBot="1">
      <c r="A10" s="227"/>
      <c r="B10" s="272" t="s">
        <v>439</v>
      </c>
      <c r="C10" s="233">
        <v>0.1</v>
      </c>
      <c r="D10" s="228"/>
      <c r="E10" s="227"/>
      <c r="F10" s="228"/>
      <c r="G10" s="228"/>
      <c r="H10" s="386" t="s">
        <v>438</v>
      </c>
      <c r="I10" s="402">
        <f ca="1"/>
        <v>0.59982940663999795</v>
      </c>
      <c r="J10" s="401">
        <f ca="1"/>
        <v>0.19994313554666601</v>
      </c>
      <c r="K10" s="410"/>
      <c r="L10" s="410"/>
      <c r="M10" s="332"/>
      <c r="N10" s="450"/>
      <c r="O10" s="332"/>
      <c r="P10" s="332"/>
      <c r="Q10" s="332"/>
      <c r="R10" s="450"/>
      <c r="S10" s="444"/>
      <c r="T10" s="79"/>
      <c r="U10" s="79"/>
      <c r="V10" s="79"/>
      <c r="W10" s="79"/>
      <c r="X10" s="79"/>
      <c r="Y10" s="481" t="s">
        <v>434</v>
      </c>
      <c r="Z10" s="432">
        <f ca="1">C29</f>
        <v>0</v>
      </c>
      <c r="AA10" s="79"/>
      <c r="AB10" s="481" t="s">
        <v>504</v>
      </c>
      <c r="AC10" s="432">
        <v>0.95</v>
      </c>
    </row>
    <row r="11" spans="1:30" customFormat="1" ht="15.75" thickBot="1">
      <c r="A11" s="227"/>
      <c r="B11" s="227"/>
      <c r="C11" s="227"/>
      <c r="D11" s="228"/>
      <c r="E11" s="228"/>
      <c r="F11" s="228"/>
      <c r="H11" s="386" t="s">
        <v>440</v>
      </c>
      <c r="I11" s="403">
        <f ca="1"/>
        <v>6.5126780896915495E-2</v>
      </c>
      <c r="J11" s="403">
        <f ca="1"/>
        <v>6.5126780896915495E-2</v>
      </c>
      <c r="K11" s="410"/>
      <c r="L11" s="410"/>
      <c r="M11" s="332"/>
      <c r="N11" s="450"/>
      <c r="O11" s="332"/>
      <c r="P11" s="332"/>
      <c r="Q11" s="332"/>
      <c r="R11" s="450"/>
      <c r="S11" s="444"/>
      <c r="T11" s="79"/>
      <c r="U11" s="79"/>
      <c r="V11" s="79"/>
      <c r="W11" s="79"/>
      <c r="X11" s="79"/>
      <c r="Y11" s="481" t="s">
        <v>505</v>
      </c>
      <c r="Z11" s="433">
        <f ca="1">SUM(Z15:Z314)</f>
        <v>0</v>
      </c>
      <c r="AA11" s="79"/>
      <c r="AB11" s="481" t="s">
        <v>505</v>
      </c>
      <c r="AC11" s="433">
        <f ca="1">SUM(AC15:AC314)</f>
        <v>0</v>
      </c>
    </row>
    <row r="12" spans="1:30" customFormat="1" ht="15.75" thickBot="1">
      <c r="A12" s="227"/>
      <c r="B12" s="270" t="s">
        <v>434</v>
      </c>
      <c r="C12" s="234">
        <v>5.0099999999999999E-2</v>
      </c>
      <c r="D12" s="228"/>
      <c r="E12" s="228"/>
      <c r="F12" s="228"/>
      <c r="G12" s="228"/>
      <c r="H12" s="386" t="s">
        <v>497</v>
      </c>
      <c r="I12" s="404">
        <f ca="1"/>
        <v>3.9908809490352501</v>
      </c>
      <c r="J12" s="404">
        <f ca="1"/>
        <v>3.9908809490352501</v>
      </c>
      <c r="K12" s="410"/>
      <c r="L12" s="410"/>
      <c r="M12" s="332"/>
      <c r="N12" s="450"/>
      <c r="O12" s="332"/>
      <c r="P12" s="332"/>
      <c r="Q12" s="332"/>
      <c r="R12" s="450"/>
      <c r="S12" s="445"/>
      <c r="T12" s="283" t="s">
        <v>423</v>
      </c>
      <c r="U12" s="438" t="b">
        <v>1</v>
      </c>
      <c r="V12" s="79"/>
      <c r="W12" s="79"/>
      <c r="X12" s="79"/>
      <c r="Y12" s="481" t="s">
        <v>498</v>
      </c>
      <c r="Z12" s="417">
        <f ca="1">$J$8+Z11</f>
        <v>5.9970093606827E-2</v>
      </c>
      <c r="AA12" s="79"/>
      <c r="AB12" s="481" t="s">
        <v>498</v>
      </c>
      <c r="AC12" s="417">
        <f ca="1">$J$8+AC11</f>
        <v>5.9970093606827E-2</v>
      </c>
    </row>
    <row r="13" spans="1:30" customFormat="1" ht="15.75" thickBot="1">
      <c r="A13" s="227"/>
      <c r="B13" s="271" t="s">
        <v>458</v>
      </c>
      <c r="C13" s="231" t="s">
        <v>459</v>
      </c>
      <c r="D13" s="228"/>
      <c r="E13" s="228" t="s">
        <v>75</v>
      </c>
      <c r="F13" s="228"/>
      <c r="G13" s="228"/>
      <c r="H13" s="386" t="s">
        <v>443</v>
      </c>
      <c r="I13" s="405" t="str">
        <f ca="1"/>
        <v>00:00:00.1313868</v>
      </c>
      <c r="J13" s="405" t="str">
        <f ca="1"/>
        <v>00:00:00.1313868</v>
      </c>
      <c r="K13" s="411"/>
      <c r="L13" s="412"/>
      <c r="M13" s="332"/>
      <c r="N13" s="450"/>
      <c r="O13" s="332"/>
      <c r="P13" s="456"/>
      <c r="Q13" s="455"/>
      <c r="R13" s="450"/>
      <c r="S13" s="445"/>
      <c r="T13" s="287" t="s">
        <v>499</v>
      </c>
      <c r="U13" s="418">
        <f ca="1">L13</f>
        <v>0</v>
      </c>
      <c r="V13" s="419"/>
      <c r="W13" s="79"/>
      <c r="X13" s="79"/>
      <c r="Y13" s="481" t="s">
        <v>500</v>
      </c>
      <c r="Z13" s="420">
        <f ca="1">Z12*(C20-C21)</f>
        <v>0.15592224337775021</v>
      </c>
      <c r="AA13" s="79"/>
      <c r="AB13" s="481" t="s">
        <v>500</v>
      </c>
      <c r="AC13" s="421">
        <f ca="1">AC12*(C20-C21)</f>
        <v>0.15592224337775021</v>
      </c>
      <c r="AD13" s="227"/>
    </row>
    <row r="14" spans="1:30" customFormat="1" ht="15">
      <c r="A14" s="227"/>
      <c r="B14" s="271" t="s">
        <v>461</v>
      </c>
      <c r="C14" s="231" t="s">
        <v>445</v>
      </c>
      <c r="D14" s="228"/>
      <c r="E14" s="228"/>
      <c r="F14" s="228"/>
      <c r="G14" s="228"/>
      <c r="H14" s="386" t="s">
        <v>460</v>
      </c>
      <c r="I14" s="406"/>
      <c r="J14" s="407"/>
      <c r="K14" s="407"/>
      <c r="L14" s="406"/>
      <c r="M14" s="406"/>
      <c r="N14" s="451"/>
      <c r="O14" s="406"/>
      <c r="P14" s="406"/>
      <c r="Q14" s="406"/>
      <c r="R14" s="451"/>
      <c r="S14" s="151"/>
      <c r="T14" s="479" t="s">
        <v>501</v>
      </c>
      <c r="U14" s="406" t="s">
        <v>436</v>
      </c>
      <c r="V14" s="406" t="s">
        <v>438</v>
      </c>
      <c r="W14" s="406" t="s">
        <v>440</v>
      </c>
      <c r="X14" s="406" t="s">
        <v>441</v>
      </c>
      <c r="Y14" s="406" t="s">
        <v>506</v>
      </c>
      <c r="Z14" s="406" t="s">
        <v>502</v>
      </c>
      <c r="AA14" s="406" t="s">
        <v>503</v>
      </c>
      <c r="AB14" s="406" t="s">
        <v>507</v>
      </c>
      <c r="AC14" s="406" t="s">
        <v>502</v>
      </c>
      <c r="AD14" s="227"/>
    </row>
    <row r="15" spans="1:30" customFormat="1" ht="15.75" thickBot="1">
      <c r="A15" s="227"/>
      <c r="B15" s="272" t="s">
        <v>462</v>
      </c>
      <c r="C15" s="235"/>
      <c r="D15" s="228"/>
      <c r="E15" s="228"/>
      <c r="F15" s="228"/>
      <c r="G15" s="228"/>
      <c r="H15" s="386">
        <v>1</v>
      </c>
      <c r="I15" s="413"/>
      <c r="J15" s="413"/>
      <c r="K15" s="413"/>
      <c r="L15" s="413"/>
      <c r="M15" s="413"/>
      <c r="N15" s="452"/>
      <c r="O15" s="413"/>
      <c r="P15" s="413"/>
      <c r="Q15" s="413"/>
      <c r="R15" s="452"/>
      <c r="S15" s="442"/>
      <c r="T15" s="422" cm="1">
        <f t="array" aca="1" ref="T15:X15" ca="1">IF(AND($U$12,B39&lt;=$C$17,C39&lt;&gt;""),TRANSPOSE(INDEX(getcds(C39,$C$6,G39/10000,F39,D39,$C$13,$C$14,$C$15,$C$8,,,TRUE,TRUE,FALSE,$C$29:$C$31,$C$33),{1;2;3;4;5})),"")</f>
        <v>-2.59244793409085E-2</v>
      </c>
      <c r="U15" s="423">
        <f ca="1"/>
        <v>1.8612247704042101E-2</v>
      </c>
      <c r="V15" s="423">
        <f ca="1"/>
        <v>4.4536727044950597E-2</v>
      </c>
      <c r="W15" s="424">
        <f ca="1"/>
        <v>4.1790784682621401E-3</v>
      </c>
      <c r="X15" s="425">
        <f ca="1"/>
        <v>4.4536727044950597</v>
      </c>
      <c r="Y15" s="426">
        <f ca="1">IF($U$12,IF(T15="","",$U$13*D39/$C$18),"")</f>
        <v>0</v>
      </c>
      <c r="Z15" s="427">
        <f ca="1">IF($U$12,IF(Y15="","",Y15*($Z$10-W15)*X15),"")</f>
        <v>0</v>
      </c>
      <c r="AA15" s="426" t="str">
        <f ca="1">IF($U$12,IF(OR(T15="",L15=""),"",L15/($C$20-$C$19)),"")</f>
        <v/>
      </c>
      <c r="AB15" s="428">
        <f ca="1">IF($U$12,IF(W15="","",W15*$AC$10),"")</f>
        <v>3.9701245448490333E-3</v>
      </c>
      <c r="AC15" s="427" t="str">
        <f ca="1">IF($U$12,IF(AA15="","",AA15*(AB15-W15)*X15),"")</f>
        <v/>
      </c>
      <c r="AD15" s="227"/>
    </row>
    <row r="16" spans="1:30" customFormat="1" ht="15.75" thickBot="1">
      <c r="A16" s="227"/>
      <c r="B16" s="227"/>
      <c r="C16" s="228"/>
      <c r="D16" s="228"/>
      <c r="E16" s="228"/>
      <c r="F16" s="228"/>
      <c r="G16" s="228"/>
      <c r="H16" s="386">
        <v>2</v>
      </c>
      <c r="I16" s="413"/>
      <c r="J16" s="413"/>
      <c r="K16" s="413"/>
      <c r="L16" s="413"/>
      <c r="M16" s="413"/>
      <c r="N16" s="452"/>
      <c r="O16" s="413"/>
      <c r="P16" s="413"/>
      <c r="Q16" s="413"/>
      <c r="R16" s="452"/>
      <c r="S16" s="443"/>
      <c r="T16" s="422" cm="1">
        <f t="array" aca="1" ref="T16:X16" ca="1">IF(AND($U$12,B40&lt;=$C$17,C40&lt;&gt;""),TRANSPOSE(INDEX(getcds(C40,$C$6,G40/10000,F40,D40,$C$13,$C$14,$C$15,$C$8,,,TRUE,TRUE,FALSE,$C$29:$C$31,$C$33),{1;2;3;4;5})),"")</f>
        <v>-2.7865911794547501E-2</v>
      </c>
      <c r="U16" s="423">
        <f ca="1"/>
        <v>1.6800570833405401E-2</v>
      </c>
      <c r="V16" s="423">
        <f ca="1"/>
        <v>4.4666482627952898E-2</v>
      </c>
      <c r="W16" s="424">
        <f ca="1"/>
        <v>3.7613373260986E-3</v>
      </c>
      <c r="X16" s="425">
        <f ca="1"/>
        <v>4.4666482627952897</v>
      </c>
      <c r="Y16" s="426">
        <f ca="1">IF($U$12,IF(T16="","",$U$13*D40/$C$18),"")</f>
        <v>0</v>
      </c>
      <c r="Z16" s="427">
        <f t="shared" ref="Z16:Z79" ca="1" si="0">IF($U$12,IF(Y16="","",Y16*($Z$10-W16)*X16),"")</f>
        <v>0</v>
      </c>
      <c r="AA16" s="426" t="str">
        <f t="shared" ref="AA16:AA79" ca="1" si="1">IF($U$12,IF(OR(T16="",L16=""),"",L16/($C$20-$C$19)),"")</f>
        <v/>
      </c>
      <c r="AB16" s="428">
        <f t="shared" ref="AB16:AB79" ca="1" si="2">IF($U$12,IF(W16="","",W16*$AC$10),"")</f>
        <v>3.5732704597936696E-3</v>
      </c>
      <c r="AC16" s="427" t="str">
        <f t="shared" ref="AC16:AC79" ca="1" si="3">IF($U$12,IF(AA16="","",AA16*(AB16-W16)*X16),"")</f>
        <v/>
      </c>
      <c r="AD16" s="227"/>
    </row>
    <row r="17" spans="1:30" customFormat="1" ht="15">
      <c r="A17" s="227"/>
      <c r="B17" s="270" t="s">
        <v>463</v>
      </c>
      <c r="C17" s="236">
        <f ca="1">COUNTA(C39:C338)</f>
        <v>100</v>
      </c>
      <c r="D17" s="228"/>
      <c r="E17" s="227"/>
      <c r="F17" s="228"/>
      <c r="G17" s="228"/>
      <c r="H17" s="386">
        <v>3</v>
      </c>
      <c r="I17" s="413"/>
      <c r="J17" s="413"/>
      <c r="K17" s="413"/>
      <c r="L17" s="413"/>
      <c r="M17" s="413"/>
      <c r="N17" s="452"/>
      <c r="O17" s="413"/>
      <c r="P17" s="413"/>
      <c r="Q17" s="413"/>
      <c r="R17" s="452"/>
      <c r="S17" s="443"/>
      <c r="T17" s="422" cm="1">
        <f t="array" aca="1" ref="T17:X17" ca="1">IF(AND($U$12,B41&lt;=$C$17,C41&lt;&gt;""),TRANSPOSE(INDEX(getcds(C41,$C$6,G41/10000,F41,D41,$C$13,$C$14,$C$15,$C$8,,,TRUE,TRUE,FALSE,$C$29:$C$31,$C$33),{1;2;3;4;5})),"")</f>
        <v>-2.5968687250609902E-2</v>
      </c>
      <c r="U17" s="423">
        <f ca="1"/>
        <v>1.86423004434281E-2</v>
      </c>
      <c r="V17" s="423">
        <f ca="1"/>
        <v>4.4610987694037998E-2</v>
      </c>
      <c r="W17" s="424">
        <f ca="1"/>
        <v>4.17885848465972E-3</v>
      </c>
      <c r="X17" s="425">
        <f ca="1"/>
        <v>4.4610987694038</v>
      </c>
      <c r="Y17" s="426">
        <f ca="1">IF($U$12,IF(T17="","",$U$13*D41/$C$18),"")</f>
        <v>0</v>
      </c>
      <c r="Z17" s="427">
        <f t="shared" ca="1" si="0"/>
        <v>0</v>
      </c>
      <c r="AA17" s="426" t="str">
        <f t="shared" ca="1" si="1"/>
        <v/>
      </c>
      <c r="AB17" s="428">
        <f t="shared" ca="1" si="2"/>
        <v>3.9699155604267337E-3</v>
      </c>
      <c r="AC17" s="427" t="str">
        <f t="shared" ca="1" si="3"/>
        <v/>
      </c>
      <c r="AD17" s="227"/>
    </row>
    <row r="18" spans="1:30" customFormat="1" ht="15">
      <c r="A18" s="227"/>
      <c r="B18" s="271" t="s">
        <v>464</v>
      </c>
      <c r="C18" s="237">
        <f ca="1">SUM(OFFSET(D38,1,0,C17))</f>
        <v>100</v>
      </c>
      <c r="D18" s="228"/>
      <c r="E18" s="228"/>
      <c r="F18" s="228"/>
      <c r="G18" s="238"/>
      <c r="H18" s="386">
        <v>4</v>
      </c>
      <c r="I18" s="413"/>
      <c r="J18" s="413"/>
      <c r="K18" s="413"/>
      <c r="L18" s="413"/>
      <c r="M18" s="413"/>
      <c r="N18" s="452"/>
      <c r="O18" s="413"/>
      <c r="P18" s="413"/>
      <c r="Q18" s="413"/>
      <c r="R18" s="452"/>
      <c r="S18" s="443"/>
      <c r="T18" s="422" cm="1">
        <f t="array" aca="1" ref="T18:X18" ca="1">IF(AND($U$12,B42&lt;=$C$17,C42&lt;&gt;""),TRANSPOSE(INDEX(getcds(C42,$C$6,G42/10000,F42,D42,$C$13,$C$14,$C$15,$C$8,,,TRUE,TRUE,FALSE,$C$29:$C$31,$C$33),{1;2;3;4;5})),"")</f>
        <v>-2.6877892655481999E-2</v>
      </c>
      <c r="U18" s="423">
        <f ca="1"/>
        <v>1.7697721730734702E-2</v>
      </c>
      <c r="V18" s="423">
        <f ca="1"/>
        <v>4.4575614386216697E-2</v>
      </c>
      <c r="W18" s="424">
        <f ca="1"/>
        <v>3.9702698379872597E-3</v>
      </c>
      <c r="X18" s="425">
        <f ca="1"/>
        <v>4.4575614386216698</v>
      </c>
      <c r="Y18" s="426">
        <f t="shared" ref="Y18:Y79" ca="1" si="4">IF($U$12,IF(T18="","",$U$13*D42/$C$18),"")</f>
        <v>0</v>
      </c>
      <c r="Z18" s="427">
        <f t="shared" ca="1" si="0"/>
        <v>0</v>
      </c>
      <c r="AA18" s="426" t="str">
        <f t="shared" ca="1" si="1"/>
        <v/>
      </c>
      <c r="AB18" s="428">
        <f t="shared" ca="1" si="2"/>
        <v>3.7717563460878964E-3</v>
      </c>
      <c r="AC18" s="427" t="str">
        <f t="shared" ca="1" si="3"/>
        <v/>
      </c>
      <c r="AD18" s="227"/>
    </row>
    <row r="19" spans="1:30" customFormat="1" ht="15">
      <c r="A19" s="227"/>
      <c r="B19" s="271" t="s">
        <v>465</v>
      </c>
      <c r="C19" s="239">
        <v>0</v>
      </c>
      <c r="D19" s="240"/>
      <c r="E19" s="228"/>
      <c r="F19" s="228"/>
      <c r="G19" s="241"/>
      <c r="H19" s="386">
        <v>5</v>
      </c>
      <c r="I19" s="413"/>
      <c r="J19" s="413"/>
      <c r="K19" s="413"/>
      <c r="L19" s="413"/>
      <c r="M19" s="413"/>
      <c r="N19" s="452"/>
      <c r="O19" s="413"/>
      <c r="P19" s="413"/>
      <c r="Q19" s="413"/>
      <c r="R19" s="452"/>
      <c r="S19" s="443"/>
      <c r="T19" s="462" cm="1">
        <f t="array" aca="1" ref="T19:X19" ca="1">IF(AND($U$12,B43&lt;=$C$17,C43&lt;&gt;""),TRANSPOSE(INDEX(getcds(C43,$C$6,G43/10000,F43,D43,$C$13,$C$14,$C$15,$C$8,,,TRUE,TRUE,FALSE,$C$29:$C$31,$C$33),{1;2;3;4;5})),"")</f>
        <v>-3.3104159492926499E-2</v>
      </c>
      <c r="U19" s="423">
        <f ca="1"/>
        <v>1.17079446278371E-2</v>
      </c>
      <c r="V19" s="423">
        <f ca="1"/>
        <v>4.4812104120763599E-2</v>
      </c>
      <c r="W19" s="424">
        <f ca="1"/>
        <v>2.6126746015508401E-3</v>
      </c>
      <c r="X19" s="425">
        <f ca="1"/>
        <v>4.4812104120763596</v>
      </c>
      <c r="Y19" s="426">
        <f t="shared" ca="1" si="4"/>
        <v>0</v>
      </c>
      <c r="Z19" s="427">
        <f t="shared" ca="1" si="0"/>
        <v>0</v>
      </c>
      <c r="AA19" s="426" t="str">
        <f t="shared" ca="1" si="1"/>
        <v/>
      </c>
      <c r="AB19" s="428">
        <f t="shared" ca="1" si="2"/>
        <v>2.4820408714732981E-3</v>
      </c>
      <c r="AC19" s="427" t="str">
        <f t="shared" ca="1" si="3"/>
        <v/>
      </c>
      <c r="AD19" s="227"/>
    </row>
    <row r="20" spans="1:30" customFormat="1" ht="15">
      <c r="A20" s="227"/>
      <c r="B20" s="271" t="s">
        <v>466</v>
      </c>
      <c r="C20" s="239">
        <v>3</v>
      </c>
      <c r="D20" s="240"/>
      <c r="E20" s="228"/>
      <c r="F20" s="228"/>
      <c r="G20" s="241"/>
      <c r="H20" s="386">
        <v>6</v>
      </c>
      <c r="I20" s="413"/>
      <c r="J20" s="413"/>
      <c r="K20" s="413"/>
      <c r="L20" s="413"/>
      <c r="M20" s="413"/>
      <c r="N20" s="452"/>
      <c r="O20" s="413"/>
      <c r="P20" s="413"/>
      <c r="Q20" s="413"/>
      <c r="R20" s="452"/>
      <c r="S20" s="443"/>
      <c r="T20" s="422" cm="1">
        <f t="array" aca="1" ref="T20:X20" ca="1">IF(AND($U$12,B44&lt;=$C$17,C44&lt;&gt;""),TRANSPOSE(INDEX(getcds(C44,$C$6,G44/10000,F44,D44,$C$13,$C$14,$C$15,$C$8,,,TRUE,TRUE,FALSE,$C$29:$C$31,$C$33),{1;2;3;4;5})),"")</f>
        <v>-2.9717694369503202E-2</v>
      </c>
      <c r="U20" s="423">
        <f ca="1"/>
        <v>1.4929224455793699E-2</v>
      </c>
      <c r="V20" s="423">
        <f ca="1"/>
        <v>4.4646918825296901E-2</v>
      </c>
      <c r="W20" s="424">
        <f ca="1"/>
        <v>3.3438420497082099E-3</v>
      </c>
      <c r="X20" s="425">
        <f ca="1"/>
        <v>4.4646918825296904</v>
      </c>
      <c r="Y20" s="426">
        <f t="shared" ca="1" si="4"/>
        <v>0</v>
      </c>
      <c r="Z20" s="427">
        <f t="shared" ca="1" si="0"/>
        <v>0</v>
      </c>
      <c r="AA20" s="426" t="str">
        <f t="shared" ca="1" si="1"/>
        <v/>
      </c>
      <c r="AB20" s="428">
        <f t="shared" ca="1" si="2"/>
        <v>3.176649947222799E-3</v>
      </c>
      <c r="AC20" s="427" t="str">
        <f t="shared" ca="1" si="3"/>
        <v/>
      </c>
      <c r="AD20" s="227"/>
    </row>
    <row r="21" spans="1:30" customFormat="1" ht="15">
      <c r="A21" s="227"/>
      <c r="B21" s="271" t="s">
        <v>467</v>
      </c>
      <c r="C21" s="242">
        <v>0.4</v>
      </c>
      <c r="D21" s="228"/>
      <c r="E21" s="228"/>
      <c r="F21" s="228"/>
      <c r="G21" s="243"/>
      <c r="H21" s="386">
        <v>7</v>
      </c>
      <c r="I21" s="413"/>
      <c r="J21" s="413"/>
      <c r="K21" s="413"/>
      <c r="L21" s="413"/>
      <c r="M21" s="413"/>
      <c r="N21" s="452"/>
      <c r="O21" s="413"/>
      <c r="P21" s="413"/>
      <c r="Q21" s="413"/>
      <c r="R21" s="452"/>
      <c r="S21" s="443"/>
      <c r="T21" s="422" cm="1">
        <f t="array" aca="1" ref="T21:X21" ca="1">IF(AND($U$12,B45&lt;=$C$17,C45&lt;&gt;""),TRANSPOSE(INDEX(getcds(C45,$C$6,G45/10000,F45,D45,$C$13,$C$14,$C$15,$C$8,,,TRUE,TRUE,FALSE,$C$29:$C$31,$C$33),{1;2;3;4;5})),"")</f>
        <v>-1.7983170083585302E-2</v>
      </c>
      <c r="U21" s="423">
        <f ca="1"/>
        <v>2.6447884107198599E-2</v>
      </c>
      <c r="V21" s="423">
        <f ca="1"/>
        <v>4.44310541907839E-2</v>
      </c>
      <c r="W21" s="424">
        <f ca="1"/>
        <v>5.95256731781182E-3</v>
      </c>
      <c r="X21" s="425">
        <f ca="1"/>
        <v>4.4431054190783899</v>
      </c>
      <c r="Y21" s="426">
        <f t="shared" ca="1" si="4"/>
        <v>0</v>
      </c>
      <c r="Z21" s="427">
        <f t="shared" ca="1" si="0"/>
        <v>0</v>
      </c>
      <c r="AA21" s="426" t="str">
        <f ca="1">IF($U$12,IF(OR(T21="",L21=""),"",L21/($C$20-$C$19)),"")</f>
        <v/>
      </c>
      <c r="AB21" s="428">
        <f t="shared" ca="1" si="2"/>
        <v>5.6549389519212285E-3</v>
      </c>
      <c r="AC21" s="427" t="str">
        <f t="shared" ca="1" si="3"/>
        <v/>
      </c>
      <c r="AD21" s="227"/>
    </row>
    <row r="22" spans="1:30" customFormat="1" ht="15.75" thickBot="1">
      <c r="A22" s="227"/>
      <c r="B22" s="272" t="s">
        <v>468</v>
      </c>
      <c r="C22" s="244">
        <v>0.5</v>
      </c>
      <c r="D22" s="228"/>
      <c r="E22" s="228"/>
      <c r="F22" s="228"/>
      <c r="G22" s="243"/>
      <c r="H22" s="386">
        <v>8</v>
      </c>
      <c r="I22" s="413"/>
      <c r="J22" s="413"/>
      <c r="K22" s="413"/>
      <c r="L22" s="413"/>
      <c r="M22" s="413"/>
      <c r="N22" s="452"/>
      <c r="O22" s="413"/>
      <c r="P22" s="413"/>
      <c r="Q22" s="413"/>
      <c r="R22" s="452"/>
      <c r="S22" s="443"/>
      <c r="T22" s="422" cm="1">
        <f t="array" aca="1" ref="T22:X22" ca="1">IF(AND($U$12,B46&lt;=$C$17,C46&lt;&gt;""),TRANSPOSE(INDEX(getcds(C46,$C$6,G46/10000,F46,D46,$C$13,$C$14,$C$15,$C$8,,,TRUE,TRUE,FALSE,$C$29:$C$31,$C$33),{1;2;3;4;5})),"")</f>
        <v>-2.0314786538993799E-2</v>
      </c>
      <c r="U22" s="423">
        <f ca="1"/>
        <v>2.41487472648662E-2</v>
      </c>
      <c r="V22" s="423">
        <f ca="1"/>
        <v>4.4463533803859999E-2</v>
      </c>
      <c r="W22" s="424">
        <f ca="1"/>
        <v>5.4311354044400701E-3</v>
      </c>
      <c r="X22" s="425">
        <f ca="1"/>
        <v>4.4463533803860003</v>
      </c>
      <c r="Y22" s="426">
        <f t="shared" ca="1" si="4"/>
        <v>0</v>
      </c>
      <c r="Z22" s="427">
        <f t="shared" ca="1" si="0"/>
        <v>0</v>
      </c>
      <c r="AA22" s="426" t="str">
        <f t="shared" ca="1" si="1"/>
        <v/>
      </c>
      <c r="AB22" s="428">
        <f t="shared" ca="1" si="2"/>
        <v>5.1595786342180667E-3</v>
      </c>
      <c r="AC22" s="427" t="str">
        <f t="shared" ca="1" si="3"/>
        <v/>
      </c>
      <c r="AD22" s="227"/>
    </row>
    <row r="23" spans="1:30" customFormat="1" ht="15.75" thickBot="1">
      <c r="A23" s="227"/>
      <c r="B23" s="227"/>
      <c r="C23" s="228"/>
      <c r="D23" s="228"/>
      <c r="E23" s="228"/>
      <c r="F23" s="228"/>
      <c r="G23" s="228"/>
      <c r="H23" s="386">
        <v>9</v>
      </c>
      <c r="I23" s="413"/>
      <c r="J23" s="413"/>
      <c r="K23" s="413"/>
      <c r="L23" s="413"/>
      <c r="M23" s="413"/>
      <c r="N23" s="452"/>
      <c r="O23" s="413"/>
      <c r="P23" s="413"/>
      <c r="Q23" s="413"/>
      <c r="R23" s="452"/>
      <c r="S23" s="443"/>
      <c r="T23" s="422" cm="1">
        <f t="array" aca="1" ref="T23:X23" ca="1">IF(AND($U$12,B47&lt;=$C$17,C47&lt;&gt;""),TRANSPOSE(INDEX(getcds(C47,$C$6,G47/10000,F47,D47,$C$13,$C$14,$C$15,$C$8,,,TRUE,TRUE,FALSE,$C$29:$C$31,$C$33),{1;2;3;4;5})),"")</f>
        <v>-3.4044996439379603E-2</v>
      </c>
      <c r="U23" s="423">
        <f ca="1"/>
        <v>1.07732896591372E-2</v>
      </c>
      <c r="V23" s="423">
        <f ca="1"/>
        <v>4.4818286098516798E-2</v>
      </c>
      <c r="W23" s="424">
        <f ca="1"/>
        <v>2.4037710044190501E-3</v>
      </c>
      <c r="X23" s="425">
        <f ca="1"/>
        <v>4.4818286098516804</v>
      </c>
      <c r="Y23" s="426">
        <f t="shared" ca="1" si="4"/>
        <v>0</v>
      </c>
      <c r="Z23" s="427">
        <f t="shared" ca="1" si="0"/>
        <v>0</v>
      </c>
      <c r="AA23" s="426" t="str">
        <f t="shared" ca="1" si="1"/>
        <v/>
      </c>
      <c r="AB23" s="428">
        <f t="shared" ca="1" si="2"/>
        <v>2.2835824541980972E-3</v>
      </c>
      <c r="AC23" s="427" t="str">
        <f t="shared" ca="1" si="3"/>
        <v/>
      </c>
      <c r="AD23" s="227"/>
    </row>
    <row r="24" spans="1:30" customFormat="1" ht="15">
      <c r="A24" s="245"/>
      <c r="B24" s="273" t="s">
        <v>447</v>
      </c>
      <c r="C24" s="63" t="b">
        <v>1</v>
      </c>
      <c r="D24" s="228"/>
      <c r="E24" s="228"/>
      <c r="F24" s="228"/>
      <c r="G24" s="228"/>
      <c r="H24" s="386">
        <v>10</v>
      </c>
      <c r="I24" s="413"/>
      <c r="J24" s="413"/>
      <c r="K24" s="413"/>
      <c r="L24" s="413"/>
      <c r="M24" s="413"/>
      <c r="N24" s="452"/>
      <c r="O24" s="413"/>
      <c r="P24" s="413"/>
      <c r="Q24" s="413"/>
      <c r="R24" s="452"/>
      <c r="S24" s="443"/>
      <c r="T24" s="422" cm="1">
        <f t="array" aca="1" ref="T24:X24" ca="1">IF(AND($U$12,B48&lt;=$C$17,C48&lt;&gt;""),TRANSPOSE(INDEX(getcds(C48,$C$6,G48/10000,F48,D48,$C$13,$C$14,$C$15,$C$8,,,TRUE,TRUE,FALSE,$C$29:$C$31,$C$33),{1;2;3;4;5})),"")</f>
        <v>-3.02054339331486E-2</v>
      </c>
      <c r="U24" s="423">
        <f ca="1"/>
        <v>1.44731195143726E-2</v>
      </c>
      <c r="V24" s="423">
        <f ca="1"/>
        <v>4.4678553447521203E-2</v>
      </c>
      <c r="W24" s="424">
        <f ca="1"/>
        <v>3.2393885651138001E-3</v>
      </c>
      <c r="X24" s="425">
        <f ca="1"/>
        <v>4.4678553447521203</v>
      </c>
      <c r="Y24" s="426">
        <f t="shared" ca="1" si="4"/>
        <v>0</v>
      </c>
      <c r="Z24" s="427">
        <f t="shared" ca="1" si="0"/>
        <v>0</v>
      </c>
      <c r="AA24" s="426" t="str">
        <f t="shared" ca="1" si="1"/>
        <v/>
      </c>
      <c r="AB24" s="428">
        <f t="shared" ca="1" si="2"/>
        <v>3.07741913685811E-3</v>
      </c>
      <c r="AC24" s="427" t="str">
        <f t="shared" ca="1" si="3"/>
        <v/>
      </c>
      <c r="AD24" s="227"/>
    </row>
    <row r="25" spans="1:30" customFormat="1" ht="15.75" thickBot="1">
      <c r="A25" s="245"/>
      <c r="B25" s="436" t="s">
        <v>448</v>
      </c>
      <c r="C25" s="437" t="b">
        <v>1</v>
      </c>
      <c r="D25" s="228"/>
      <c r="E25" s="228"/>
      <c r="F25" s="228"/>
      <c r="G25" s="228"/>
      <c r="H25" s="386">
        <v>11</v>
      </c>
      <c r="I25" s="413"/>
      <c r="J25" s="413"/>
      <c r="K25" s="413"/>
      <c r="L25" s="413"/>
      <c r="M25" s="413"/>
      <c r="N25" s="452"/>
      <c r="O25" s="413"/>
      <c r="P25" s="413"/>
      <c r="Q25" s="413"/>
      <c r="R25" s="452"/>
      <c r="S25" s="443"/>
      <c r="T25" s="422" cm="1">
        <f t="array" aca="1" ref="T25:X25" ca="1">IF(AND($U$12,B49&lt;=$C$17,C49&lt;&gt;""),TRANSPOSE(INDEX(getcds(C49,$C$6,G49/10000,F49,D49,$C$13,$C$14,$C$15,$C$8,,,TRUE,TRUE,FALSE,$C$29:$C$31,$C$33),{1;2;3;4;5})),"")</f>
        <v>-2.8770863844132501E-2</v>
      </c>
      <c r="U25" s="423">
        <f ca="1"/>
        <v>1.5853583115333001E-2</v>
      </c>
      <c r="V25" s="423">
        <f ca="1"/>
        <v>4.4624446959465498E-2</v>
      </c>
      <c r="W25" s="424">
        <f ca="1"/>
        <v>3.5526676957438998E-3</v>
      </c>
      <c r="X25" s="425">
        <f ca="1"/>
        <v>4.4624446959465498</v>
      </c>
      <c r="Y25" s="426">
        <f t="shared" ca="1" si="4"/>
        <v>0</v>
      </c>
      <c r="Z25" s="427">
        <f t="shared" ca="1" si="0"/>
        <v>0</v>
      </c>
      <c r="AA25" s="426" t="str">
        <f t="shared" ca="1" si="1"/>
        <v/>
      </c>
      <c r="AB25" s="428">
        <f t="shared" ca="1" si="2"/>
        <v>3.3750343109567047E-3</v>
      </c>
      <c r="AC25" s="427" t="str">
        <f t="shared" ca="1" si="3"/>
        <v/>
      </c>
      <c r="AD25" s="227"/>
    </row>
    <row r="26" spans="1:30" customFormat="1" ht="15.75" thickBot="1">
      <c r="A26" s="227"/>
      <c r="B26" s="227"/>
      <c r="C26" s="228"/>
      <c r="D26" s="228"/>
      <c r="E26" s="228"/>
      <c r="F26" s="228"/>
      <c r="G26" s="228"/>
      <c r="H26" s="386">
        <v>12</v>
      </c>
      <c r="I26" s="413"/>
      <c r="J26" s="413"/>
      <c r="K26" s="413"/>
      <c r="L26" s="413"/>
      <c r="M26" s="413"/>
      <c r="N26" s="452"/>
      <c r="O26" s="413"/>
      <c r="P26" s="413"/>
      <c r="Q26" s="413"/>
      <c r="R26" s="452"/>
      <c r="S26" s="443"/>
      <c r="T26" s="422" cm="1">
        <f t="array" aca="1" ref="T26:X26" ca="1">IF(AND($U$12,B50&lt;=$C$17,C50&lt;&gt;""),TRANSPOSE(INDEX(getcds(C50,$C$6,G50/10000,F50,D50,$C$13,$C$14,$C$15,$C$8,,,TRUE,TRUE,FALSE,$C$29:$C$31,$C$33),{1;2;3;4;5})),"")</f>
        <v>-2.3557099027012401E-2</v>
      </c>
      <c r="U26" s="423">
        <f ca="1"/>
        <v>2.0898273678405799E-2</v>
      </c>
      <c r="V26" s="423">
        <f ca="1"/>
        <v>4.4455372705418203E-2</v>
      </c>
      <c r="W26" s="424">
        <f ca="1"/>
        <v>4.7009556790553499E-3</v>
      </c>
      <c r="X26" s="425">
        <f ca="1"/>
        <v>4.4455372705418199</v>
      </c>
      <c r="Y26" s="426">
        <f t="shared" ca="1" si="4"/>
        <v>0</v>
      </c>
      <c r="Z26" s="427">
        <f t="shared" ca="1" si="0"/>
        <v>0</v>
      </c>
      <c r="AA26" s="426" t="str">
        <f t="shared" ca="1" si="1"/>
        <v/>
      </c>
      <c r="AB26" s="428">
        <f t="shared" ca="1" si="2"/>
        <v>4.4659078951025822E-3</v>
      </c>
      <c r="AC26" s="427" t="str">
        <f t="shared" ca="1" si="3"/>
        <v/>
      </c>
      <c r="AD26" s="227"/>
    </row>
    <row r="27" spans="1:30" customFormat="1" ht="15.75" thickBot="1">
      <c r="A27" s="227"/>
      <c r="B27" s="441" t="s">
        <v>449</v>
      </c>
      <c r="C27" s="185" t="b">
        <v>0</v>
      </c>
      <c r="D27" s="228"/>
      <c r="E27" s="228"/>
      <c r="F27" s="228"/>
      <c r="G27" s="228"/>
      <c r="H27" s="386">
        <v>13</v>
      </c>
      <c r="I27" s="413"/>
      <c r="J27" s="413"/>
      <c r="K27" s="413"/>
      <c r="L27" s="413"/>
      <c r="M27" s="413"/>
      <c r="N27" s="452"/>
      <c r="O27" s="413"/>
      <c r="P27" s="413"/>
      <c r="Q27" s="413"/>
      <c r="R27" s="452"/>
      <c r="S27" s="443"/>
      <c r="T27" s="422" cm="1">
        <f t="array" aca="1" ref="T27:X27" ca="1">IF(AND($U$12,B51&lt;=$C$17,C51&lt;&gt;""),TRANSPOSE(INDEX(getcds(C51,$C$6,G51/10000,F51,D51,$C$13,$C$14,$C$15,$C$8,,,TRUE,TRUE,FALSE,$C$29:$C$31,$C$33),{1;2;3;4;5})),"")</f>
        <v>-2.5902979576888599E-2</v>
      </c>
      <c r="U27" s="423">
        <f ca="1"/>
        <v>1.8597595112807699E-2</v>
      </c>
      <c r="V27" s="423">
        <f ca="1"/>
        <v>4.4500574689696301E-2</v>
      </c>
      <c r="W27" s="424">
        <f ca="1"/>
        <v>4.1791808853007496E-3</v>
      </c>
      <c r="X27" s="425">
        <f ca="1"/>
        <v>4.4500574689696304</v>
      </c>
      <c r="Y27" s="426">
        <f t="shared" ca="1" si="4"/>
        <v>0</v>
      </c>
      <c r="Z27" s="427">
        <f t="shared" ca="1" si="0"/>
        <v>0</v>
      </c>
      <c r="AA27" s="426" t="str">
        <f t="shared" ca="1" si="1"/>
        <v/>
      </c>
      <c r="AB27" s="428">
        <f t="shared" ca="1" si="2"/>
        <v>3.9702218410357119E-3</v>
      </c>
      <c r="AC27" s="427" t="str">
        <f t="shared" ca="1" si="3"/>
        <v/>
      </c>
      <c r="AD27" s="227"/>
    </row>
    <row r="28" spans="1:30" customFormat="1" ht="15.75" thickBot="1">
      <c r="A28" s="227"/>
      <c r="B28" s="271" t="s">
        <v>450</v>
      </c>
      <c r="C28" s="246"/>
      <c r="D28" s="228"/>
      <c r="E28" s="228"/>
      <c r="F28" s="228"/>
      <c r="G28" s="228"/>
      <c r="H28" s="386">
        <v>14</v>
      </c>
      <c r="I28" s="413"/>
      <c r="J28" s="413"/>
      <c r="K28" s="413"/>
      <c r="L28" s="413"/>
      <c r="M28" s="413"/>
      <c r="N28" s="452"/>
      <c r="O28" s="413"/>
      <c r="P28" s="413"/>
      <c r="Q28" s="413"/>
      <c r="R28" s="452"/>
      <c r="S28" s="443"/>
      <c r="T28" s="422" cm="1">
        <f t="array" aca="1" ref="T28:X28" ca="1">IF(AND($U$12,B52&lt;=$C$17,C52&lt;&gt;""),TRANSPOSE(INDEX(getcds(C52,$C$6,G52/10000,F52,D52,$C$13,$C$14,$C$15,$C$8,,,TRUE,TRUE,FALSE,$C$29:$C$31,$C$33),{1;2;3;4;5})),"")</f>
        <v>-3.5966045010248499E-2</v>
      </c>
      <c r="U28" s="423">
        <f ca="1"/>
        <v>8.9125084281131296E-3</v>
      </c>
      <c r="V28" s="423">
        <f ca="1"/>
        <v>4.4878553438361599E-2</v>
      </c>
      <c r="W28" s="424">
        <f ca="1"/>
        <v>1.9859170461797499E-3</v>
      </c>
      <c r="X28" s="425">
        <f ca="1"/>
        <v>4.4878553438361601</v>
      </c>
      <c r="Y28" s="426">
        <f t="shared" ca="1" si="4"/>
        <v>0</v>
      </c>
      <c r="Z28" s="427">
        <f t="shared" ca="1" si="0"/>
        <v>0</v>
      </c>
      <c r="AA28" s="426" t="str">
        <f t="shared" ca="1" si="1"/>
        <v/>
      </c>
      <c r="AB28" s="428">
        <f t="shared" ca="1" si="2"/>
        <v>1.8866211938707623E-3</v>
      </c>
      <c r="AC28" s="427" t="str">
        <f t="shared" ca="1" si="3"/>
        <v/>
      </c>
      <c r="AD28" s="227"/>
    </row>
    <row r="29" spans="1:30" customFormat="1" ht="15.75" thickBot="1">
      <c r="A29" s="227"/>
      <c r="B29" s="271" t="s">
        <v>469</v>
      </c>
      <c r="C29" s="247"/>
      <c r="D29" s="228"/>
      <c r="E29" s="228"/>
      <c r="F29" s="228"/>
      <c r="G29" s="228"/>
      <c r="H29" s="386">
        <v>15</v>
      </c>
      <c r="I29" s="413"/>
      <c r="J29" s="413"/>
      <c r="K29" s="413"/>
      <c r="L29" s="413"/>
      <c r="M29" s="413"/>
      <c r="N29" s="452"/>
      <c r="O29" s="413"/>
      <c r="P29" s="413"/>
      <c r="Q29" s="413"/>
      <c r="R29" s="452"/>
      <c r="S29" s="443"/>
      <c r="T29" s="422" cm="1">
        <f t="array" aca="1" ref="T29:X29" ca="1">IF(AND($U$12,B53&lt;=$C$17,C53&lt;&gt;""),TRANSPOSE(INDEX(getcds(C53,$C$6,G53/10000,F53,D53,$C$13,$C$14,$C$15,$C$8,,,TRUE,TRUE,FALSE,$C$29:$C$31,$C$33),{1;2;3;4;5})),"")</f>
        <v>-2.9296193975968901E-2</v>
      </c>
      <c r="U29" s="423">
        <f ca="1"/>
        <v>1.54178592257154E-2</v>
      </c>
      <c r="V29" s="423">
        <f ca="1"/>
        <v>4.4714053201684298E-2</v>
      </c>
      <c r="W29" s="424">
        <f ca="1"/>
        <v>3.4481014629053198E-3</v>
      </c>
      <c r="X29" s="425">
        <f ca="1"/>
        <v>4.4714053201684303</v>
      </c>
      <c r="Y29" s="426">
        <f t="shared" ca="1" si="4"/>
        <v>0</v>
      </c>
      <c r="Z29" s="427">
        <f t="shared" ca="1" si="0"/>
        <v>0</v>
      </c>
      <c r="AA29" s="426" t="str">
        <f t="shared" ca="1" si="1"/>
        <v/>
      </c>
      <c r="AB29" s="428">
        <f t="shared" ca="1" si="2"/>
        <v>3.2756963897600535E-3</v>
      </c>
      <c r="AC29" s="427" t="str">
        <f t="shared" ca="1" si="3"/>
        <v/>
      </c>
      <c r="AD29" s="227"/>
    </row>
    <row r="30" spans="1:30" customFormat="1" ht="15">
      <c r="A30" s="227"/>
      <c r="B30" s="271" t="s">
        <v>447</v>
      </c>
      <c r="C30" s="63" t="b">
        <v>1</v>
      </c>
      <c r="D30" s="228"/>
      <c r="E30" s="228"/>
      <c r="F30" s="228"/>
      <c r="G30" s="228"/>
      <c r="H30" s="386">
        <v>16</v>
      </c>
      <c r="I30" s="413"/>
      <c r="J30" s="413"/>
      <c r="K30" s="413"/>
      <c r="L30" s="413"/>
      <c r="M30" s="413"/>
      <c r="N30" s="452"/>
      <c r="O30" s="413"/>
      <c r="P30" s="413"/>
      <c r="Q30" s="413"/>
      <c r="R30" s="452"/>
      <c r="S30" s="443"/>
      <c r="T30" s="422" cm="1">
        <f t="array" aca="1" ref="T30:X30" ca="1">IF(AND($U$12,B54&lt;=$C$17,C54&lt;&gt;""),TRANSPOSE(INDEX(getcds(C54,$C$6,G54/10000,F54,D54,$C$13,$C$14,$C$15,$C$8,,,TRUE,TRUE,FALSE,$C$29:$C$31,$C$33),{1;2;3;4;5})),"")</f>
        <v>-3.3103695306011399E-2</v>
      </c>
      <c r="U30" s="423">
        <f ca="1"/>
        <v>1.1707800263669899E-2</v>
      </c>
      <c r="V30" s="423">
        <f ca="1"/>
        <v>4.4811495569681302E-2</v>
      </c>
      <c r="W30" s="424">
        <f ca="1"/>
        <v>2.6126778664337198E-3</v>
      </c>
      <c r="X30" s="425">
        <f ca="1"/>
        <v>4.4811495569681297</v>
      </c>
      <c r="Y30" s="426">
        <f t="shared" ca="1" si="4"/>
        <v>0</v>
      </c>
      <c r="Z30" s="427">
        <f t="shared" ca="1" si="0"/>
        <v>0</v>
      </c>
      <c r="AA30" s="426" t="str">
        <f t="shared" ca="1" si="1"/>
        <v/>
      </c>
      <c r="AB30" s="428">
        <f t="shared" ca="1" si="2"/>
        <v>2.4820439731120338E-3</v>
      </c>
      <c r="AC30" s="427" t="str">
        <f t="shared" ca="1" si="3"/>
        <v/>
      </c>
      <c r="AD30" s="227"/>
    </row>
    <row r="31" spans="1:30" customFormat="1" ht="15.75" thickBot="1">
      <c r="A31" s="227"/>
      <c r="B31" s="272" t="s">
        <v>448</v>
      </c>
      <c r="C31" s="437" t="b">
        <v>1</v>
      </c>
      <c r="D31" s="228"/>
      <c r="E31" s="228"/>
      <c r="F31" s="228"/>
      <c r="G31" s="228"/>
      <c r="H31" s="386">
        <v>17</v>
      </c>
      <c r="I31" s="413"/>
      <c r="J31" s="413"/>
      <c r="K31" s="413"/>
      <c r="L31" s="413"/>
      <c r="M31" s="413"/>
      <c r="N31" s="452"/>
      <c r="O31" s="413"/>
      <c r="P31" s="413"/>
      <c r="Q31" s="413"/>
      <c r="R31" s="452"/>
      <c r="S31" s="443"/>
      <c r="T31" s="422" cm="1">
        <f t="array" aca="1" ref="T31:X31" ca="1">IF(AND($U$12,B55&lt;=$C$17,C55&lt;&gt;""),TRANSPOSE(INDEX(getcds(C55,$C$6,G55/10000,F55,D55,$C$13,$C$14,$C$15,$C$8,,,TRUE,TRUE,FALSE,$C$29:$C$31,$C$33),{1;2;3;4;5})),"")</f>
        <v>-2.92197599247675E-2</v>
      </c>
      <c r="U31" s="423">
        <f ca="1"/>
        <v>1.53790774216348E-2</v>
      </c>
      <c r="V31" s="423">
        <f ca="1"/>
        <v>4.4598837346402298E-2</v>
      </c>
      <c r="W31" s="424">
        <f ca="1"/>
        <v>3.44831352938294E-3</v>
      </c>
      <c r="X31" s="425">
        <f ca="1"/>
        <v>4.45988373464023</v>
      </c>
      <c r="Y31" s="426">
        <f t="shared" ca="1" si="4"/>
        <v>0</v>
      </c>
      <c r="Z31" s="427">
        <f t="shared" ca="1" si="0"/>
        <v>0</v>
      </c>
      <c r="AA31" s="426" t="str">
        <f t="shared" ca="1" si="1"/>
        <v/>
      </c>
      <c r="AB31" s="428">
        <f t="shared" ca="1" si="2"/>
        <v>3.2758978529137928E-3</v>
      </c>
      <c r="AC31" s="427" t="str">
        <f t="shared" ca="1" si="3"/>
        <v/>
      </c>
      <c r="AD31" s="227"/>
    </row>
    <row r="32" spans="1:30" customFormat="1" ht="15.75" thickBot="1">
      <c r="A32" s="227"/>
      <c r="B32" s="227"/>
      <c r="C32" s="228"/>
      <c r="D32" s="228"/>
      <c r="E32" s="228"/>
      <c r="F32" s="228"/>
      <c r="G32" s="228"/>
      <c r="H32" s="386">
        <v>18</v>
      </c>
      <c r="I32" s="413"/>
      <c r="J32" s="413"/>
      <c r="K32" s="413"/>
      <c r="L32" s="413"/>
      <c r="M32" s="413"/>
      <c r="N32" s="452"/>
      <c r="O32" s="413"/>
      <c r="P32" s="413"/>
      <c r="Q32" s="413"/>
      <c r="R32" s="452"/>
      <c r="S32" s="443"/>
      <c r="T32" s="422" cm="1">
        <f t="array" aca="1" ref="T32:X32" ca="1">IF(AND($U$12,B56&lt;=$C$17,C56&lt;&gt;""),TRANSPOSE(INDEX(getcds(C56,$C$6,G56/10000,F56,D56,$C$13,$C$14,$C$15,$C$8,,,TRUE,TRUE,FALSE,$C$29:$C$31,$C$33),{1;2;3;4;5})),"")</f>
        <v>-3.0244061570171801E-2</v>
      </c>
      <c r="U32" s="423">
        <f ca="1"/>
        <v>1.44909327718545E-2</v>
      </c>
      <c r="V32" s="423">
        <f ca="1"/>
        <v>4.4734994342026303E-2</v>
      </c>
      <c r="W32" s="424">
        <f ca="1"/>
        <v>3.23928347035488E-3</v>
      </c>
      <c r="X32" s="425">
        <f ca="1"/>
        <v>4.4734994342026297</v>
      </c>
      <c r="Y32" s="426">
        <f t="shared" ca="1" si="4"/>
        <v>0</v>
      </c>
      <c r="Z32" s="427">
        <f t="shared" ca="1" si="0"/>
        <v>0</v>
      </c>
      <c r="AA32" s="426" t="str">
        <f t="shared" ca="1" si="1"/>
        <v/>
      </c>
      <c r="AB32" s="428">
        <f t="shared" ca="1" si="2"/>
        <v>3.0773192968371358E-3</v>
      </c>
      <c r="AC32" s="427" t="str">
        <f t="shared" ca="1" si="3"/>
        <v/>
      </c>
      <c r="AD32" s="227"/>
    </row>
    <row r="33" spans="1:30" customFormat="1" ht="15">
      <c r="A33" s="227"/>
      <c r="B33" s="270" t="s">
        <v>451</v>
      </c>
      <c r="C33" s="248" t="s">
        <v>452</v>
      </c>
      <c r="D33" s="249"/>
      <c r="E33" s="249"/>
      <c r="F33" s="249"/>
      <c r="G33" s="228"/>
      <c r="H33" s="386">
        <v>19</v>
      </c>
      <c r="I33" s="413"/>
      <c r="J33" s="413"/>
      <c r="K33" s="413"/>
      <c r="L33" s="413"/>
      <c r="M33" s="413"/>
      <c r="N33" s="452"/>
      <c r="O33" s="413"/>
      <c r="P33" s="413"/>
      <c r="Q33" s="413"/>
      <c r="R33" s="452"/>
      <c r="S33" s="443"/>
      <c r="T33" s="422" cm="1">
        <f t="array" aca="1" ref="T33:X33" ca="1">IF(AND($U$12,B57&lt;=$C$17,C57&lt;&gt;""),TRANSPOSE(INDEX(getcds(C57,$C$6,G57/10000,F57,D57,$C$13,$C$14,$C$15,$C$8,,,TRUE,TRUE,FALSE,$C$29:$C$31,$C$33),{1;2;3;4;5})),"")</f>
        <v>-3.2622421862634698E-2</v>
      </c>
      <c r="U33" s="423">
        <f ca="1"/>
        <v>1.2170962147425199E-2</v>
      </c>
      <c r="V33" s="423">
        <f ca="1"/>
        <v>4.4793384010059903E-2</v>
      </c>
      <c r="W33" s="424">
        <f ca="1"/>
        <v>2.71713388403336E-3</v>
      </c>
      <c r="X33" s="425">
        <f ca="1"/>
        <v>4.4793384010059896</v>
      </c>
      <c r="Y33" s="426">
        <f t="shared" ca="1" si="4"/>
        <v>0</v>
      </c>
      <c r="Z33" s="427">
        <f t="shared" ca="1" si="0"/>
        <v>0</v>
      </c>
      <c r="AA33" s="426" t="str">
        <f t="shared" ca="1" si="1"/>
        <v/>
      </c>
      <c r="AB33" s="428">
        <f t="shared" ca="1" si="2"/>
        <v>2.5812771898316919E-3</v>
      </c>
      <c r="AC33" s="427" t="str">
        <f t="shared" ca="1" si="3"/>
        <v/>
      </c>
      <c r="AD33" s="227"/>
    </row>
    <row r="34" spans="1:30" customFormat="1" ht="15">
      <c r="A34" s="227"/>
      <c r="B34" s="271" t="s">
        <v>470</v>
      </c>
      <c r="C34" s="250">
        <v>0.01</v>
      </c>
      <c r="D34" s="249"/>
      <c r="E34" s="249"/>
      <c r="F34" s="249"/>
      <c r="G34" s="228"/>
      <c r="H34" s="386">
        <v>20</v>
      </c>
      <c r="I34" s="413"/>
      <c r="J34" s="413"/>
      <c r="K34" s="413"/>
      <c r="L34" s="413"/>
      <c r="M34" s="413"/>
      <c r="N34" s="452"/>
      <c r="O34" s="413"/>
      <c r="P34" s="413"/>
      <c r="Q34" s="413"/>
      <c r="R34" s="452"/>
      <c r="S34" s="443"/>
      <c r="T34" s="422" cm="1">
        <f t="array" aca="1" ref="T34:X34" ca="1">IF(AND($U$12,B58&lt;=$C$17,C58&lt;&gt;""),TRANSPOSE(INDEX(getcds(C58,$C$6,G58/10000,F58,D58,$C$13,$C$14,$C$15,$C$8,,,TRUE,TRUE,FALSE,$C$29:$C$31,$C$33),{1;2;3;4;5})),"")</f>
        <v>-3.0696273551443599E-2</v>
      </c>
      <c r="U34" s="423">
        <f ca="1"/>
        <v>1.4017312105891201E-2</v>
      </c>
      <c r="V34" s="423">
        <f ca="1"/>
        <v>4.4713585657334798E-2</v>
      </c>
      <c r="W34" s="424">
        <f ca="1"/>
        <v>3.1349112131855601E-3</v>
      </c>
      <c r="X34" s="425">
        <f ca="1"/>
        <v>4.47135856573348</v>
      </c>
      <c r="Y34" s="426">
        <f t="shared" ca="1" si="4"/>
        <v>0</v>
      </c>
      <c r="Z34" s="427">
        <f t="shared" ca="1" si="0"/>
        <v>0</v>
      </c>
      <c r="AA34" s="426" t="str">
        <f t="shared" ca="1" si="1"/>
        <v/>
      </c>
      <c r="AB34" s="428">
        <f t="shared" ca="1" si="2"/>
        <v>2.9781656525262818E-3</v>
      </c>
      <c r="AC34" s="427" t="str">
        <f t="shared" ca="1" si="3"/>
        <v/>
      </c>
      <c r="AD34" s="227"/>
    </row>
    <row r="35" spans="1:30" customFormat="1" ht="15">
      <c r="A35" s="227"/>
      <c r="B35" s="271" t="s">
        <v>471</v>
      </c>
      <c r="C35" s="250">
        <v>1</v>
      </c>
      <c r="D35" s="228"/>
      <c r="E35" s="228"/>
      <c r="F35" s="228"/>
      <c r="G35" s="228"/>
      <c r="H35" s="386">
        <v>21</v>
      </c>
      <c r="I35" s="413"/>
      <c r="J35" s="413"/>
      <c r="K35" s="413"/>
      <c r="L35" s="413"/>
      <c r="M35" s="413"/>
      <c r="N35" s="452"/>
      <c r="O35" s="413"/>
      <c r="P35" s="413"/>
      <c r="Q35" s="413"/>
      <c r="R35" s="452"/>
      <c r="S35" s="443"/>
      <c r="T35" s="422" cm="1">
        <f t="array" aca="1" ref="T35:X35" ca="1">IF(AND($U$12,B59&lt;=$C$17,C59&lt;&gt;""),TRANSPOSE(INDEX(getcds(C59,$C$6,G59/10000,F59,D59,$C$13,$C$14,$C$15,$C$8,,,TRUE,TRUE,FALSE,$C$29:$C$31,$C$33),{1;2;3;4;5})),"")</f>
        <v>-2.6413032108809398E-2</v>
      </c>
      <c r="U35" s="423">
        <f ca="1"/>
        <v>1.8162930009205599E-2</v>
      </c>
      <c r="V35" s="423">
        <f ca="1"/>
        <v>4.4575962118014997E-2</v>
      </c>
      <c r="W35" s="424">
        <f ca="1"/>
        <v>4.07460190340237E-3</v>
      </c>
      <c r="X35" s="425">
        <f ca="1"/>
        <v>4.4575962118014996</v>
      </c>
      <c r="Y35" s="426">
        <f t="shared" ca="1" si="4"/>
        <v>0</v>
      </c>
      <c r="Z35" s="427">
        <f t="shared" ca="1" si="0"/>
        <v>0</v>
      </c>
      <c r="AA35" s="426" t="str">
        <f t="shared" ca="1" si="1"/>
        <v/>
      </c>
      <c r="AB35" s="428">
        <f t="shared" ca="1" si="2"/>
        <v>3.8708718082322512E-3</v>
      </c>
      <c r="AC35" s="427" t="str">
        <f t="shared" ca="1" si="3"/>
        <v/>
      </c>
      <c r="AD35" s="227"/>
    </row>
    <row r="36" spans="1:30" customFormat="1" ht="15.75" thickBot="1">
      <c r="A36" s="227"/>
      <c r="B36" s="272" t="s">
        <v>472</v>
      </c>
      <c r="C36" s="251"/>
      <c r="D36" s="228"/>
      <c r="E36" s="228"/>
      <c r="F36" s="228"/>
      <c r="G36" s="228"/>
      <c r="H36" s="386">
        <v>22</v>
      </c>
      <c r="I36" s="413"/>
      <c r="J36" s="413"/>
      <c r="K36" s="413"/>
      <c r="L36" s="413"/>
      <c r="M36" s="413"/>
      <c r="N36" s="452"/>
      <c r="O36" s="413"/>
      <c r="P36" s="413"/>
      <c r="Q36" s="413"/>
      <c r="R36" s="452"/>
      <c r="S36" s="443"/>
      <c r="T36" s="422" cm="1">
        <f t="array" aca="1" ref="T36:X36" ca="1">IF(AND($U$12,B60&lt;=$C$17,C60&lt;&gt;""),TRANSPOSE(INDEX(getcds(C60,$C$6,G60/10000,F60,D60,$C$13,$C$14,$C$15,$C$8,,,TRUE,TRUE,FALSE,$C$29:$C$31,$C$33),{1;2;3;4;5})),"")</f>
        <v>-2.92412963528343E-2</v>
      </c>
      <c r="U36" s="423">
        <f ca="1"/>
        <v>1.5389830755264801E-2</v>
      </c>
      <c r="V36" s="423">
        <f ca="1"/>
        <v>4.4631127108099099E-2</v>
      </c>
      <c r="W36" s="424">
        <f ca="1"/>
        <v>3.44822812069921E-3</v>
      </c>
      <c r="X36" s="425">
        <f ca="1"/>
        <v>4.4631127108099102</v>
      </c>
      <c r="Y36" s="426">
        <f t="shared" ca="1" si="4"/>
        <v>0</v>
      </c>
      <c r="Z36" s="427">
        <f t="shared" ca="1" si="0"/>
        <v>0</v>
      </c>
      <c r="AA36" s="426" t="str">
        <f t="shared" ca="1" si="1"/>
        <v/>
      </c>
      <c r="AB36" s="428">
        <f t="shared" ca="1" si="2"/>
        <v>3.2758167146642492E-3</v>
      </c>
      <c r="AC36" s="427" t="str">
        <f t="shared" ca="1" si="3"/>
        <v/>
      </c>
      <c r="AD36" s="227"/>
    </row>
    <row r="37" spans="1:30" customFormat="1" ht="15.75" thickBot="1">
      <c r="A37" s="227"/>
      <c r="B37" s="227"/>
      <c r="C37" s="228"/>
      <c r="D37" s="228"/>
      <c r="E37" s="228"/>
      <c r="F37" s="228"/>
      <c r="G37" s="228"/>
      <c r="H37" s="386">
        <v>23</v>
      </c>
      <c r="I37" s="413"/>
      <c r="J37" s="413"/>
      <c r="K37" s="413"/>
      <c r="L37" s="413"/>
      <c r="M37" s="413"/>
      <c r="N37" s="452"/>
      <c r="O37" s="413"/>
      <c r="P37" s="413"/>
      <c r="Q37" s="413"/>
      <c r="R37" s="452"/>
      <c r="S37" s="443"/>
      <c r="T37" s="422" cm="1">
        <f t="array" aca="1" ref="T37:X37" ca="1">IF(AND($U$12,B61&lt;=$C$17,C61&lt;&gt;""),TRANSPOSE(INDEX(getcds(C61,$C$6,G61/10000,F61,D61,$C$13,$C$14,$C$15,$C$8,,,TRUE,TRUE,FALSE,$C$29:$C$31,$C$33),{1;2;3;4;5})),"")</f>
        <v>-2.7864431397238199E-2</v>
      </c>
      <c r="U37" s="423">
        <f ca="1"/>
        <v>1.6799465849005501E-2</v>
      </c>
      <c r="V37" s="423">
        <f ca="1"/>
        <v>4.46638972462437E-2</v>
      </c>
      <c r="W37" s="424">
        <f ca="1"/>
        <v>3.7613076522153201E-3</v>
      </c>
      <c r="X37" s="425">
        <f ca="1"/>
        <v>4.4663897246243698</v>
      </c>
      <c r="Y37" s="426">
        <f t="shared" ca="1" si="4"/>
        <v>0</v>
      </c>
      <c r="Z37" s="427">
        <f t="shared" ca="1" si="0"/>
        <v>0</v>
      </c>
      <c r="AA37" s="426" t="str">
        <f t="shared" ca="1" si="1"/>
        <v/>
      </c>
      <c r="AB37" s="428">
        <f t="shared" ca="1" si="2"/>
        <v>3.5732422696045539E-3</v>
      </c>
      <c r="AC37" s="427" t="str">
        <f t="shared" ca="1" si="3"/>
        <v/>
      </c>
      <c r="AD37" s="227"/>
    </row>
    <row r="38" spans="1:30" customFormat="1" ht="15.75" thickBot="1">
      <c r="A38" s="227"/>
      <c r="B38" s="274" t="s">
        <v>460</v>
      </c>
      <c r="C38" s="252" t="s">
        <v>80</v>
      </c>
      <c r="D38" s="252" t="s">
        <v>473</v>
      </c>
      <c r="E38" s="252" t="s">
        <v>474</v>
      </c>
      <c r="F38" s="252" t="s">
        <v>85</v>
      </c>
      <c r="G38" s="252" t="s">
        <v>434</v>
      </c>
      <c r="H38" s="386">
        <v>24</v>
      </c>
      <c r="I38" s="413"/>
      <c r="J38" s="413"/>
      <c r="K38" s="413"/>
      <c r="L38" s="413"/>
      <c r="M38" s="413"/>
      <c r="N38" s="452"/>
      <c r="O38" s="413"/>
      <c r="P38" s="413"/>
      <c r="Q38" s="413"/>
      <c r="R38" s="452"/>
      <c r="S38" s="443"/>
      <c r="T38" s="422" cm="1">
        <f t="array" aca="1" ref="T38:X38" ca="1">IF(AND($U$12,B62&lt;=$C$17,C62&lt;&gt;""),TRANSPOSE(INDEX(getcds(C62,$C$6,G62/10000,F62,D62,$C$13,$C$14,$C$15,$C$8,,,TRUE,TRUE,FALSE,$C$29:$C$31,$C$33),{1;2;3;4;5})),"")</f>
        <v>-2.31035943319805E-2</v>
      </c>
      <c r="U38" s="423">
        <f ca="1"/>
        <v>2.1371157664642301E-2</v>
      </c>
      <c r="V38" s="423">
        <f ca="1"/>
        <v>4.4474751996622798E-2</v>
      </c>
      <c r="W38" s="424">
        <f ca="1"/>
        <v>4.8052336899517996E-3</v>
      </c>
      <c r="X38" s="425">
        <f ca="1"/>
        <v>4.4474751996622803</v>
      </c>
      <c r="Y38" s="426">
        <f t="shared" ca="1" si="4"/>
        <v>0</v>
      </c>
      <c r="Z38" s="427">
        <f t="shared" ca="1" si="0"/>
        <v>0</v>
      </c>
      <c r="AA38" s="426" t="str">
        <f t="shared" ca="1" si="1"/>
        <v/>
      </c>
      <c r="AB38" s="428">
        <f t="shared" ca="1" si="2"/>
        <v>4.5649720054542096E-3</v>
      </c>
      <c r="AC38" s="427" t="str">
        <f t="shared" ca="1" si="3"/>
        <v/>
      </c>
      <c r="AD38" s="227"/>
    </row>
    <row r="39" spans="1:30" customFormat="1" ht="15">
      <c r="A39" s="227"/>
      <c r="B39" s="275">
        <v>1</v>
      </c>
      <c r="C39" s="62" t="s">
        <v>86</v>
      </c>
      <c r="D39" s="253">
        <v>1</v>
      </c>
      <c r="E39" s="247"/>
      <c r="F39" s="232">
        <v>0.4</v>
      </c>
      <c r="G39" s="435">
        <v>100</v>
      </c>
      <c r="H39" s="386">
        <v>25</v>
      </c>
      <c r="I39" s="413"/>
      <c r="J39" s="413"/>
      <c r="K39" s="413"/>
      <c r="L39" s="413"/>
      <c r="M39" s="413"/>
      <c r="N39" s="452"/>
      <c r="O39" s="413"/>
      <c r="P39" s="413"/>
      <c r="Q39" s="413"/>
      <c r="R39" s="452"/>
      <c r="S39" s="443"/>
      <c r="T39" s="422" cm="1">
        <f t="array" aca="1" ref="T39:X39" ca="1">IF(AND($U$12,B63&lt;=$C$17,C63&lt;&gt;""),TRANSPOSE(INDEX(getcds(C63,$C$6,G63/10000,F63,D63,$C$13,$C$14,$C$15,$C$8,,,TRUE,TRUE,FALSE,$C$29:$C$31,$C$33),{1;2;3;4;5})),"")</f>
        <v>-3.4043034022193101E-2</v>
      </c>
      <c r="U39" s="423">
        <f ca="1"/>
        <v>1.07727460867187E-2</v>
      </c>
      <c r="V39" s="423">
        <f ca="1"/>
        <v>4.4815780108911803E-2</v>
      </c>
      <c r="W39" s="424">
        <f ca="1"/>
        <v>2.4037841270504799E-3</v>
      </c>
      <c r="X39" s="425">
        <f ca="1"/>
        <v>4.4815780108911802</v>
      </c>
      <c r="Y39" s="426">
        <f t="shared" ca="1" si="4"/>
        <v>0</v>
      </c>
      <c r="Z39" s="427">
        <f t="shared" ca="1" si="0"/>
        <v>0</v>
      </c>
      <c r="AA39" s="426" t="str">
        <f t="shared" ca="1" si="1"/>
        <v/>
      </c>
      <c r="AB39" s="428">
        <f t="shared" ca="1" si="2"/>
        <v>2.2835949206979557E-3</v>
      </c>
      <c r="AC39" s="427" t="str">
        <f t="shared" ca="1" si="3"/>
        <v/>
      </c>
      <c r="AD39" s="227"/>
    </row>
    <row r="40" spans="1:30" customFormat="1" ht="15">
      <c r="A40" s="227"/>
      <c r="B40" s="276">
        <v>2</v>
      </c>
      <c r="C40" s="254" t="s">
        <v>88</v>
      </c>
      <c r="D40" s="255">
        <v>1</v>
      </c>
      <c r="E40" s="247"/>
      <c r="F40" s="232">
        <v>0.4</v>
      </c>
      <c r="G40" s="435">
        <v>100</v>
      </c>
      <c r="H40" s="386">
        <v>26</v>
      </c>
      <c r="I40" s="413"/>
      <c r="J40" s="413"/>
      <c r="K40" s="413"/>
      <c r="L40" s="413"/>
      <c r="M40" s="413"/>
      <c r="N40" s="452"/>
      <c r="O40" s="413"/>
      <c r="P40" s="413"/>
      <c r="Q40" s="413"/>
      <c r="R40" s="452"/>
      <c r="S40" s="443"/>
      <c r="T40" s="422" cm="1">
        <f t="array" aca="1" ref="T40:X40" ca="1">IF(AND($U$12,B64&lt;=$C$17,C64&lt;&gt;""),TRANSPOSE(INDEX(getcds(C64,$C$6,G64/10000,F64,D64,$C$13,$C$14,$C$15,$C$8,,,TRUE,TRUE,FALSE,$C$29:$C$31,$C$33),{1;2;3;4;5})),"")</f>
        <v>-1.2835373329839601E-2</v>
      </c>
      <c r="U40" s="423">
        <f ca="1"/>
        <v>3.14209371584145E-2</v>
      </c>
      <c r="V40" s="423">
        <f ca="1"/>
        <v>4.4256310488254097E-2</v>
      </c>
      <c r="W40" s="424">
        <f ca="1"/>
        <v>7.0997642622635301E-3</v>
      </c>
      <c r="X40" s="425">
        <f ca="1"/>
        <v>4.4256310488254096</v>
      </c>
      <c r="Y40" s="426">
        <f t="shared" ca="1" si="4"/>
        <v>0</v>
      </c>
      <c r="Z40" s="427">
        <f t="shared" ca="1" si="0"/>
        <v>0</v>
      </c>
      <c r="AA40" s="426" t="str">
        <f t="shared" ca="1" si="1"/>
        <v/>
      </c>
      <c r="AB40" s="428">
        <f t="shared" ca="1" si="2"/>
        <v>6.7447760491503531E-3</v>
      </c>
      <c r="AC40" s="427" t="str">
        <f t="shared" ca="1" si="3"/>
        <v/>
      </c>
      <c r="AD40" s="227"/>
    </row>
    <row r="41" spans="1:30" customFormat="1" ht="12.75" customHeight="1">
      <c r="A41" s="227"/>
      <c r="B41" s="276">
        <v>3</v>
      </c>
      <c r="C41" s="254" t="s">
        <v>89</v>
      </c>
      <c r="D41" s="255">
        <v>1</v>
      </c>
      <c r="E41" s="247"/>
      <c r="F41" s="232">
        <v>0.4</v>
      </c>
      <c r="G41" s="435">
        <v>100</v>
      </c>
      <c r="H41" s="386">
        <v>27</v>
      </c>
      <c r="I41" s="413"/>
      <c r="J41" s="413"/>
      <c r="K41" s="413"/>
      <c r="L41" s="413"/>
      <c r="M41" s="413"/>
      <c r="N41" s="452"/>
      <c r="O41" s="413"/>
      <c r="P41" s="413"/>
      <c r="Q41" s="413"/>
      <c r="R41" s="452"/>
      <c r="S41" s="443"/>
      <c r="T41" s="422" cm="1">
        <f t="array" aca="1" ref="T41:X41" ca="1">IF(AND($U$12,B65&lt;=$C$17,C65&lt;&gt;""),TRANSPOSE(INDEX(getcds(C65,$C$6,G65/10000,F65,D65,$C$13,$C$14,$C$15,$C$8,,,TRUE,TRUE,FALSE,$C$29:$C$31,$C$33),{1;2;3;4;5})),"")</f>
        <v>-3.4041626634947302E-2</v>
      </c>
      <c r="U41" s="423">
        <f ca="1"/>
        <v>1.0772276809029299E-2</v>
      </c>
      <c r="V41" s="423">
        <f ca="1"/>
        <v>4.4813903443976601E-2</v>
      </c>
      <c r="W41" s="424">
        <f ca="1"/>
        <v>2.4037800729624199E-3</v>
      </c>
      <c r="X41" s="425">
        <f ca="1"/>
        <v>4.4813903443976599</v>
      </c>
      <c r="Y41" s="426">
        <f t="shared" ca="1" si="4"/>
        <v>0</v>
      </c>
      <c r="Z41" s="427">
        <f t="shared" ca="1" si="0"/>
        <v>0</v>
      </c>
      <c r="AA41" s="426" t="str">
        <f t="shared" ca="1" si="1"/>
        <v/>
      </c>
      <c r="AB41" s="428">
        <f t="shared" ca="1" si="2"/>
        <v>2.2835910693142988E-3</v>
      </c>
      <c r="AC41" s="427" t="str">
        <f t="shared" ca="1" si="3"/>
        <v/>
      </c>
      <c r="AD41" s="227"/>
    </row>
    <row r="42" spans="1:30" customFormat="1" ht="15">
      <c r="A42" s="227"/>
      <c r="B42" s="276">
        <v>4</v>
      </c>
      <c r="C42" s="254" t="s">
        <v>90</v>
      </c>
      <c r="D42" s="255">
        <v>1</v>
      </c>
      <c r="E42" s="247"/>
      <c r="F42" s="232">
        <v>0.4</v>
      </c>
      <c r="G42" s="435">
        <v>100</v>
      </c>
      <c r="H42" s="386">
        <v>28</v>
      </c>
      <c r="I42" s="413"/>
      <c r="J42" s="413"/>
      <c r="K42" s="413"/>
      <c r="L42" s="413"/>
      <c r="M42" s="413"/>
      <c r="N42" s="452"/>
      <c r="O42" s="413"/>
      <c r="P42" s="413"/>
      <c r="Q42" s="413"/>
      <c r="R42" s="452"/>
      <c r="S42" s="443"/>
      <c r="T42" s="422" cm="1">
        <f t="array" aca="1" ref="T42:X42" ca="1">IF(AND($U$12,B66&lt;=$C$17,C66&lt;&gt;""),TRANSPOSE(INDEX(getcds(C66,$C$6,G66/10000,F66,D66,$C$13,$C$14,$C$15,$C$8,,,TRUE,TRUE,FALSE,$C$29:$C$31,$C$33),{1;2;3;4;5})),"")</f>
        <v>-2.0784290430458999E-2</v>
      </c>
      <c r="U42" s="423">
        <f ca="1"/>
        <v>2.36907346587426E-2</v>
      </c>
      <c r="V42" s="423">
        <f ca="1"/>
        <v>4.4475025089201599E-2</v>
      </c>
      <c r="W42" s="424">
        <f ca="1"/>
        <v>5.3267501505006804E-3</v>
      </c>
      <c r="X42" s="425">
        <f ca="1"/>
        <v>4.4475025089201603</v>
      </c>
      <c r="Y42" s="426">
        <f t="shared" ca="1" si="4"/>
        <v>0</v>
      </c>
      <c r="Z42" s="427">
        <f t="shared" ca="1" si="0"/>
        <v>0</v>
      </c>
      <c r="AA42" s="426" t="str">
        <f t="shared" ca="1" si="1"/>
        <v/>
      </c>
      <c r="AB42" s="428">
        <f t="shared" ca="1" si="2"/>
        <v>5.0604126429756461E-3</v>
      </c>
      <c r="AC42" s="427" t="str">
        <f t="shared" ca="1" si="3"/>
        <v/>
      </c>
      <c r="AD42" s="227"/>
    </row>
    <row r="43" spans="1:30" customFormat="1" ht="15">
      <c r="A43" s="227"/>
      <c r="B43" s="276">
        <v>5</v>
      </c>
      <c r="C43" s="254" t="s">
        <v>93</v>
      </c>
      <c r="D43" s="255">
        <v>1</v>
      </c>
      <c r="E43" s="247"/>
      <c r="F43" s="232">
        <v>0.4</v>
      </c>
      <c r="G43" s="435">
        <v>100</v>
      </c>
      <c r="H43" s="386">
        <v>29</v>
      </c>
      <c r="I43" s="413"/>
      <c r="J43" s="413"/>
      <c r="K43" s="413"/>
      <c r="L43" s="413"/>
      <c r="M43" s="413"/>
      <c r="N43" s="452"/>
      <c r="O43" s="413"/>
      <c r="P43" s="413"/>
      <c r="Q43" s="413"/>
      <c r="R43" s="452"/>
      <c r="S43" s="443"/>
      <c r="T43" s="422" cm="1">
        <f t="array" aca="1" ref="T43:X43" ca="1">IF(AND($U$12,B67&lt;=$C$17,C67&lt;&gt;""),TRANSPOSE(INDEX(getcds(C67,$C$6,G67/10000,F67,D67,$C$13,$C$14,$C$15,$C$8,,,TRUE,TRUE,FALSE,$C$29:$C$31,$C$33),{1;2;3;4;5})),"")</f>
        <v>-2.4499070108712401E-2</v>
      </c>
      <c r="U43" s="423">
        <f ca="1"/>
        <v>1.9982158668435501E-2</v>
      </c>
      <c r="V43" s="423">
        <f ca="1"/>
        <v>4.4481228777147899E-2</v>
      </c>
      <c r="W43" s="424">
        <f ca="1"/>
        <v>4.4922676863417199E-3</v>
      </c>
      <c r="X43" s="425">
        <f ca="1"/>
        <v>4.4481228777147903</v>
      </c>
      <c r="Y43" s="426">
        <f t="shared" ca="1" si="4"/>
        <v>0</v>
      </c>
      <c r="Z43" s="427">
        <f t="shared" ca="1" si="0"/>
        <v>0</v>
      </c>
      <c r="AA43" s="426" t="str">
        <f t="shared" ca="1" si="1"/>
        <v/>
      </c>
      <c r="AB43" s="428">
        <f t="shared" ca="1" si="2"/>
        <v>4.2676543020246337E-3</v>
      </c>
      <c r="AC43" s="427" t="str">
        <f t="shared" ca="1" si="3"/>
        <v/>
      </c>
      <c r="AD43" s="227"/>
    </row>
    <row r="44" spans="1:30" customFormat="1" ht="15">
      <c r="A44" s="227"/>
      <c r="B44" s="276">
        <v>6</v>
      </c>
      <c r="C44" s="254" t="s">
        <v>94</v>
      </c>
      <c r="D44" s="255">
        <v>1</v>
      </c>
      <c r="E44" s="247"/>
      <c r="F44" s="232">
        <v>0.4</v>
      </c>
      <c r="G44" s="435">
        <v>100</v>
      </c>
      <c r="H44" s="386">
        <v>30</v>
      </c>
      <c r="I44" s="413"/>
      <c r="J44" s="413"/>
      <c r="K44" s="413"/>
      <c r="L44" s="413"/>
      <c r="M44" s="413"/>
      <c r="N44" s="452"/>
      <c r="O44" s="413"/>
      <c r="P44" s="413"/>
      <c r="Q44" s="413"/>
      <c r="R44" s="452"/>
      <c r="S44" s="443"/>
      <c r="T44" s="422" cm="1">
        <f t="array" aca="1" ref="T44:X44" ca="1">IF(AND($U$12,B68&lt;=$C$17,C68&lt;&gt;""),TRANSPOSE(INDEX(getcds(C68,$C$6,G68/10000,F68,D68,$C$13,$C$14,$C$15,$C$8,,,TRUE,TRUE,FALSE,$C$29:$C$31,$C$33),{1;2;3;4;5})),"")</f>
        <v>-3.16649260413569E-2</v>
      </c>
      <c r="U44" s="423">
        <f ca="1"/>
        <v>1.3097419558609101E-2</v>
      </c>
      <c r="V44" s="423">
        <f ca="1"/>
        <v>4.4762345599966002E-2</v>
      </c>
      <c r="W44" s="424">
        <f ca="1"/>
        <v>2.9259904464477098E-3</v>
      </c>
      <c r="X44" s="425">
        <f ca="1"/>
        <v>4.4762345599966</v>
      </c>
      <c r="Y44" s="426">
        <f t="shared" ca="1" si="4"/>
        <v>0</v>
      </c>
      <c r="Z44" s="427">
        <f t="shared" ca="1" si="0"/>
        <v>0</v>
      </c>
      <c r="AA44" s="426" t="str">
        <f t="shared" ca="1" si="1"/>
        <v/>
      </c>
      <c r="AB44" s="428">
        <f t="shared" ca="1" si="2"/>
        <v>2.779690924125324E-3</v>
      </c>
      <c r="AC44" s="427" t="str">
        <f t="shared" ca="1" si="3"/>
        <v/>
      </c>
      <c r="AD44" s="227"/>
    </row>
    <row r="45" spans="1:30" customFormat="1" ht="15">
      <c r="A45" s="227"/>
      <c r="B45" s="276">
        <v>7</v>
      </c>
      <c r="C45" s="254" t="s">
        <v>95</v>
      </c>
      <c r="D45" s="255">
        <v>1</v>
      </c>
      <c r="E45" s="247"/>
      <c r="F45" s="232">
        <v>0.4</v>
      </c>
      <c r="G45" s="435">
        <v>100</v>
      </c>
      <c r="H45" s="386">
        <v>31</v>
      </c>
      <c r="I45" s="413"/>
      <c r="J45" s="413"/>
      <c r="K45" s="413"/>
      <c r="L45" s="413"/>
      <c r="M45" s="413"/>
      <c r="N45" s="452"/>
      <c r="O45" s="413"/>
      <c r="P45" s="413"/>
      <c r="Q45" s="413"/>
      <c r="R45" s="452"/>
      <c r="S45" s="443"/>
      <c r="T45" s="422" cm="1">
        <f t="array" aca="1" ref="T45:X45" ca="1">IF(AND($U$12,B69&lt;=$C$17,C69&lt;&gt;""),TRANSPOSE(INDEX(getcds(C69,$C$6,G69/10000,F69,D69,$C$13,$C$14,$C$15,$C$8,,,TRUE,TRUE,FALSE,$C$29:$C$31,$C$33),{1;2;3;4;5})),"")</f>
        <v>-1.7018805434387298E-2</v>
      </c>
      <c r="U45" s="423">
        <f ca="1"/>
        <v>2.73171631524733E-2</v>
      </c>
      <c r="V45" s="423">
        <f ca="1"/>
        <v>4.4335968586860598E-2</v>
      </c>
      <c r="W45" s="424">
        <f ca="1"/>
        <v>6.1613998798639097E-3</v>
      </c>
      <c r="X45" s="425">
        <f ca="1"/>
        <v>4.4335968586860597</v>
      </c>
      <c r="Y45" s="426">
        <f t="shared" ca="1" si="4"/>
        <v>0</v>
      </c>
      <c r="Z45" s="427">
        <f t="shared" ca="1" si="0"/>
        <v>0</v>
      </c>
      <c r="AA45" s="426" t="str">
        <f t="shared" ca="1" si="1"/>
        <v/>
      </c>
      <c r="AB45" s="428">
        <f t="shared" ca="1" si="2"/>
        <v>5.8533298858707136E-3</v>
      </c>
      <c r="AC45" s="427" t="str">
        <f t="shared" ca="1" si="3"/>
        <v/>
      </c>
      <c r="AD45" s="227"/>
    </row>
    <row r="46" spans="1:30" customFormat="1" ht="15">
      <c r="A46" s="227"/>
      <c r="B46" s="276">
        <v>8</v>
      </c>
      <c r="C46" s="254" t="s">
        <v>96</v>
      </c>
      <c r="D46" s="255">
        <v>1</v>
      </c>
      <c r="E46" s="247"/>
      <c r="F46" s="232">
        <v>0.4</v>
      </c>
      <c r="G46" s="435">
        <v>100</v>
      </c>
      <c r="H46" s="386">
        <v>32</v>
      </c>
      <c r="I46" s="413"/>
      <c r="J46" s="413"/>
      <c r="K46" s="413"/>
      <c r="L46" s="413"/>
      <c r="M46" s="413"/>
      <c r="N46" s="452"/>
      <c r="O46" s="413"/>
      <c r="P46" s="413"/>
      <c r="Q46" s="413"/>
      <c r="R46" s="452"/>
      <c r="S46" s="443"/>
      <c r="T46" s="422" cm="1">
        <f t="array" aca="1" ref="T46:X46" ca="1">IF(AND($U$12,B70&lt;=$C$17,C70&lt;&gt;""),TRANSPOSE(INDEX(getcds(C70,$C$6,G70/10000,F70,D70,$C$13,$C$14,$C$15,$C$8,,,TRUE,TRUE,FALSE,$C$29:$C$31,$C$33),{1;2;3;4;5})),"")</f>
        <v>-3.0697169886613199E-2</v>
      </c>
      <c r="U46" s="423">
        <f ca="1"/>
        <v>1.40175066658228E-2</v>
      </c>
      <c r="V46" s="423">
        <f ca="1"/>
        <v>4.4714676552436002E-2</v>
      </c>
      <c r="W46" s="424">
        <f ca="1"/>
        <v>3.1348782428035102E-3</v>
      </c>
      <c r="X46" s="425">
        <f ca="1"/>
        <v>4.4714676552436003</v>
      </c>
      <c r="Y46" s="426">
        <f t="shared" ca="1" si="4"/>
        <v>0</v>
      </c>
      <c r="Z46" s="427">
        <f t="shared" ca="1" si="0"/>
        <v>0</v>
      </c>
      <c r="AA46" s="426" t="str">
        <f t="shared" ca="1" si="1"/>
        <v/>
      </c>
      <c r="AB46" s="428">
        <f t="shared" ca="1" si="2"/>
        <v>2.9781343306633347E-3</v>
      </c>
      <c r="AC46" s="427" t="str">
        <f t="shared" ca="1" si="3"/>
        <v/>
      </c>
      <c r="AD46" s="227"/>
    </row>
    <row r="47" spans="1:30" customFormat="1" ht="15">
      <c r="A47" s="227"/>
      <c r="B47" s="276">
        <v>9</v>
      </c>
      <c r="C47" s="254" t="s">
        <v>97</v>
      </c>
      <c r="D47" s="255">
        <v>1</v>
      </c>
      <c r="E47" s="247"/>
      <c r="F47" s="232">
        <v>0.4</v>
      </c>
      <c r="G47" s="435">
        <v>100</v>
      </c>
      <c r="H47" s="386">
        <v>33</v>
      </c>
      <c r="I47" s="413"/>
      <c r="J47" s="413"/>
      <c r="K47" s="413"/>
      <c r="L47" s="413"/>
      <c r="M47" s="413"/>
      <c r="N47" s="452"/>
      <c r="O47" s="413"/>
      <c r="P47" s="413"/>
      <c r="Q47" s="413"/>
      <c r="R47" s="452"/>
      <c r="S47" s="443"/>
      <c r="T47" s="422" cm="1">
        <f t="array" aca="1" ref="T47:X47" ca="1">IF(AND($U$12,B71&lt;=$C$17,C71&lt;&gt;""),TRANSPOSE(INDEX(getcds(C71,$C$6,G71/10000,F71,D71,$C$13,$C$14,$C$15,$C$8,,,TRUE,TRUE,FALSE,$C$29:$C$31,$C$33),{1;2;3;4;5})),"")</f>
        <v>-2.2170132686158799E-2</v>
      </c>
      <c r="U47" s="423">
        <f ca="1"/>
        <v>2.2293674831682899E-2</v>
      </c>
      <c r="V47" s="423">
        <f ca="1"/>
        <v>4.4463807517841701E-2</v>
      </c>
      <c r="W47" s="424">
        <f ca="1"/>
        <v>5.0138924388644099E-3</v>
      </c>
      <c r="X47" s="425">
        <f ca="1"/>
        <v>4.4463807517841696</v>
      </c>
      <c r="Y47" s="426">
        <f t="shared" ca="1" si="4"/>
        <v>0</v>
      </c>
      <c r="Z47" s="427">
        <f t="shared" ca="1" si="0"/>
        <v>0</v>
      </c>
      <c r="AA47" s="426" t="str">
        <f t="shared" ca="1" si="1"/>
        <v/>
      </c>
      <c r="AB47" s="428">
        <f t="shared" ca="1" si="2"/>
        <v>4.7631978169211889E-3</v>
      </c>
      <c r="AC47" s="427" t="str">
        <f t="shared" ca="1" si="3"/>
        <v/>
      </c>
      <c r="AD47" s="227"/>
    </row>
    <row r="48" spans="1:30" customFormat="1" ht="15">
      <c r="A48" s="227"/>
      <c r="B48" s="276">
        <v>10</v>
      </c>
      <c r="C48" s="254" t="s">
        <v>98</v>
      </c>
      <c r="D48" s="255">
        <v>1</v>
      </c>
      <c r="E48" s="247"/>
      <c r="F48" s="232">
        <v>0.4</v>
      </c>
      <c r="G48" s="435">
        <v>100</v>
      </c>
      <c r="H48" s="386">
        <v>34</v>
      </c>
      <c r="I48" s="413"/>
      <c r="J48" s="413"/>
      <c r="K48" s="413"/>
      <c r="L48" s="413"/>
      <c r="M48" s="413"/>
      <c r="N48" s="452"/>
      <c r="O48" s="413"/>
      <c r="P48" s="413"/>
      <c r="Q48" s="413"/>
      <c r="R48" s="452"/>
      <c r="S48" s="443"/>
      <c r="T48" s="422" cm="1">
        <f t="array" aca="1" ref="T48:X48" ca="1">IF(AND($U$12,B72&lt;=$C$17,C72&lt;&gt;""),TRANSPOSE(INDEX(getcds(C72,$C$6,G72/10000,F72,D72,$C$13,$C$14,$C$15,$C$8,,,TRUE,TRUE,FALSE,$C$29:$C$31,$C$33),{1;2;3;4;5})),"")</f>
        <v>-3.2092549523252002E-2</v>
      </c>
      <c r="U48" s="423">
        <f ca="1"/>
        <v>1.26150351807174E-2</v>
      </c>
      <c r="V48" s="423">
        <f ca="1"/>
        <v>4.4707584703969398E-2</v>
      </c>
      <c r="W48" s="424">
        <f ca="1"/>
        <v>2.8216767388011799E-3</v>
      </c>
      <c r="X48" s="425">
        <f ca="1"/>
        <v>4.4707584703969401</v>
      </c>
      <c r="Y48" s="426">
        <f t="shared" ca="1" si="4"/>
        <v>0</v>
      </c>
      <c r="Z48" s="427">
        <f t="shared" ca="1" si="0"/>
        <v>0</v>
      </c>
      <c r="AA48" s="426" t="str">
        <f t="shared" ca="1" si="1"/>
        <v/>
      </c>
      <c r="AB48" s="428">
        <f t="shared" ca="1" si="2"/>
        <v>2.6805929018611208E-3</v>
      </c>
      <c r="AC48" s="427" t="str">
        <f t="shared" ca="1" si="3"/>
        <v/>
      </c>
      <c r="AD48" s="227"/>
    </row>
    <row r="49" spans="1:30" customFormat="1" ht="15">
      <c r="A49" s="227"/>
      <c r="B49" s="276">
        <v>11</v>
      </c>
      <c r="C49" s="254" t="s">
        <v>99</v>
      </c>
      <c r="D49" s="255">
        <v>1</v>
      </c>
      <c r="E49" s="247"/>
      <c r="F49" s="232">
        <v>0.4</v>
      </c>
      <c r="G49" s="435">
        <v>100</v>
      </c>
      <c r="H49" s="386">
        <v>35</v>
      </c>
      <c r="I49" s="413"/>
      <c r="J49" s="413"/>
      <c r="K49" s="413"/>
      <c r="L49" s="413"/>
      <c r="M49" s="413"/>
      <c r="N49" s="452"/>
      <c r="O49" s="413"/>
      <c r="P49" s="413"/>
      <c r="Q49" s="413"/>
      <c r="R49" s="452"/>
      <c r="S49" s="443"/>
      <c r="T49" s="422" cm="1">
        <f t="array" aca="1" ref="T49:X49" ca="1">IF(AND($U$12,B73&lt;=$C$17,C73&lt;&gt;""),TRANSPOSE(INDEX(getcds(C73,$C$6,G73/10000,F73,D73,$C$13,$C$14,$C$15,$C$8,,,TRUE,TRUE,FALSE,$C$29:$C$31,$C$33),{1;2;3;4;5})),"")</f>
        <v>-3.2135200689815402E-2</v>
      </c>
      <c r="U49" s="423">
        <f ca="1"/>
        <v>1.26312173339486E-2</v>
      </c>
      <c r="V49" s="423">
        <f ca="1"/>
        <v>4.4766418023764E-2</v>
      </c>
      <c r="W49" s="424">
        <f ca="1"/>
        <v>2.8215832071360699E-3</v>
      </c>
      <c r="X49" s="425">
        <f ca="1"/>
        <v>4.4766418023763999</v>
      </c>
      <c r="Y49" s="426">
        <f t="shared" ca="1" si="4"/>
        <v>0</v>
      </c>
      <c r="Z49" s="427">
        <f t="shared" ca="1" si="0"/>
        <v>0</v>
      </c>
      <c r="AA49" s="426" t="str">
        <f t="shared" ca="1" si="1"/>
        <v/>
      </c>
      <c r="AB49" s="428">
        <f t="shared" ca="1" si="2"/>
        <v>2.6805040467792664E-3</v>
      </c>
      <c r="AC49" s="427" t="str">
        <f t="shared" ca="1" si="3"/>
        <v/>
      </c>
      <c r="AD49" s="227"/>
    </row>
    <row r="50" spans="1:30" customFormat="1" ht="15">
      <c r="A50" s="227"/>
      <c r="B50" s="276">
        <v>12</v>
      </c>
      <c r="C50" s="254" t="s">
        <v>100</v>
      </c>
      <c r="D50" s="255">
        <v>1</v>
      </c>
      <c r="E50" s="247"/>
      <c r="F50" s="232">
        <v>0.4</v>
      </c>
      <c r="G50" s="435">
        <v>100</v>
      </c>
      <c r="H50" s="386">
        <v>36</v>
      </c>
      <c r="I50" s="413"/>
      <c r="J50" s="413"/>
      <c r="K50" s="413"/>
      <c r="L50" s="413"/>
      <c r="M50" s="413"/>
      <c r="N50" s="452"/>
      <c r="O50" s="413"/>
      <c r="P50" s="413"/>
      <c r="Q50" s="413"/>
      <c r="R50" s="452"/>
      <c r="S50" s="443"/>
      <c r="T50" s="422" cm="1">
        <f t="array" aca="1" ref="T50:X50" ca="1">IF(AND($U$12,B74&lt;=$C$17,C74&lt;&gt;""),TRANSPOSE(INDEX(getcds(C74,$C$6,G74/10000,F74,D74,$C$13,$C$14,$C$15,$C$8,,,TRUE,TRUE,FALSE,$C$29:$C$31,$C$33),{1;2;3;4;5})),"")</f>
        <v>-2.5445978320558001E-2</v>
      </c>
      <c r="U50" s="423">
        <f ca="1"/>
        <v>1.9067269783612499E-2</v>
      </c>
      <c r="V50" s="423">
        <f ca="1"/>
        <v>4.4513248104170497E-2</v>
      </c>
      <c r="W50" s="424">
        <f ca="1"/>
        <v>4.2835044836519297E-3</v>
      </c>
      <c r="X50" s="425">
        <f ca="1"/>
        <v>4.4513248104170504</v>
      </c>
      <c r="Y50" s="426">
        <f t="shared" ca="1" si="4"/>
        <v>0</v>
      </c>
      <c r="Z50" s="427">
        <f t="shared" ca="1" si="0"/>
        <v>0</v>
      </c>
      <c r="AA50" s="426" t="str">
        <f t="shared" ca="1" si="1"/>
        <v/>
      </c>
      <c r="AB50" s="428">
        <f t="shared" ca="1" si="2"/>
        <v>4.0693292594693332E-3</v>
      </c>
      <c r="AC50" s="427" t="str">
        <f t="shared" ca="1" si="3"/>
        <v/>
      </c>
      <c r="AD50" s="227"/>
    </row>
    <row r="51" spans="1:30" customFormat="1" ht="15">
      <c r="A51" s="227"/>
      <c r="B51" s="276">
        <v>13</v>
      </c>
      <c r="C51" s="254" t="s">
        <v>101</v>
      </c>
      <c r="D51" s="255">
        <v>1</v>
      </c>
      <c r="E51" s="247"/>
      <c r="F51" s="232">
        <v>0.4</v>
      </c>
      <c r="G51" s="435">
        <v>100</v>
      </c>
      <c r="H51" s="386">
        <v>37</v>
      </c>
      <c r="I51" s="413"/>
      <c r="J51" s="413"/>
      <c r="K51" s="413"/>
      <c r="L51" s="413"/>
      <c r="M51" s="413"/>
      <c r="N51" s="452"/>
      <c r="O51" s="413"/>
      <c r="P51" s="413"/>
      <c r="Q51" s="413"/>
      <c r="R51" s="452"/>
      <c r="S51" s="443"/>
      <c r="T51" s="422" cm="1">
        <f t="array" aca="1" ref="T51:X51" ca="1">IF(AND($U$12,B75&lt;=$C$17,C75&lt;&gt;""),TRANSPOSE(INDEX(getcds(C75,$C$6,G75/10000,F75,D75,$C$13,$C$14,$C$15,$C$8,,,TRUE,TRUE,FALSE,$C$29:$C$31,$C$33),{1;2;3;4;5})),"")</f>
        <v>-3.3575691221887298E-2</v>
      </c>
      <c r="U51" s="423">
        <f ca="1"/>
        <v>1.12411080497225E-2</v>
      </c>
      <c r="V51" s="423">
        <f ca="1"/>
        <v>4.4816799271609802E-2</v>
      </c>
      <c r="W51" s="424">
        <f ca="1"/>
        <v>2.5082353564779098E-3</v>
      </c>
      <c r="X51" s="425">
        <f ca="1"/>
        <v>4.4816799271609797</v>
      </c>
      <c r="Y51" s="426">
        <f t="shared" ca="1" si="4"/>
        <v>0</v>
      </c>
      <c r="Z51" s="427">
        <f t="shared" ca="1" si="0"/>
        <v>0</v>
      </c>
      <c r="AA51" s="426" t="str">
        <f t="shared" ca="1" si="1"/>
        <v/>
      </c>
      <c r="AB51" s="428">
        <f t="shared" ca="1" si="2"/>
        <v>2.382823588654014E-3</v>
      </c>
      <c r="AC51" s="427" t="str">
        <f t="shared" ca="1" si="3"/>
        <v/>
      </c>
      <c r="AD51" s="227"/>
    </row>
    <row r="52" spans="1:30" customFormat="1" ht="15">
      <c r="A52" s="227"/>
      <c r="B52" s="276">
        <v>14</v>
      </c>
      <c r="C52" s="254" t="s">
        <v>102</v>
      </c>
      <c r="D52" s="255">
        <v>1</v>
      </c>
      <c r="E52" s="247"/>
      <c r="F52" s="232">
        <v>0.4</v>
      </c>
      <c r="G52" s="435">
        <v>100</v>
      </c>
      <c r="H52" s="386">
        <v>38</v>
      </c>
      <c r="I52" s="413"/>
      <c r="J52" s="413"/>
      <c r="K52" s="413"/>
      <c r="L52" s="413"/>
      <c r="M52" s="413"/>
      <c r="N52" s="452"/>
      <c r="O52" s="413"/>
      <c r="P52" s="413"/>
      <c r="Q52" s="413"/>
      <c r="R52" s="452"/>
      <c r="S52" s="443"/>
      <c r="T52" s="422" cm="1">
        <f t="array" aca="1" ref="T52:X52" ca="1">IF(AND($U$12,B76&lt;=$C$17,C76&lt;&gt;""),TRANSPOSE(INDEX(getcds(C76,$C$6,G76/10000,F76,D76,$C$13,$C$14,$C$15,$C$8,,,TRUE,TRUE,FALSE,$C$29:$C$31,$C$33),{1;2;3;4;5})),"")</f>
        <v>-2.6423202541367399E-2</v>
      </c>
      <c r="U52" s="423">
        <f ca="1"/>
        <v>1.81698057264888E-2</v>
      </c>
      <c r="V52" s="423">
        <f ca="1"/>
        <v>4.4593008267856199E-2</v>
      </c>
      <c r="W52" s="424">
        <f ca="1"/>
        <v>4.0745862260174199E-3</v>
      </c>
      <c r="X52" s="425">
        <f ca="1"/>
        <v>4.4593008267856202</v>
      </c>
      <c r="Y52" s="426">
        <f t="shared" ca="1" si="4"/>
        <v>0</v>
      </c>
      <c r="Z52" s="427">
        <f t="shared" ca="1" si="0"/>
        <v>0</v>
      </c>
      <c r="AA52" s="426" t="str">
        <f t="shared" ca="1" si="1"/>
        <v/>
      </c>
      <c r="AB52" s="428">
        <f t="shared" ca="1" si="2"/>
        <v>3.8708569147165488E-3</v>
      </c>
      <c r="AC52" s="427" t="str">
        <f t="shared" ca="1" si="3"/>
        <v/>
      </c>
      <c r="AD52" s="227"/>
    </row>
    <row r="53" spans="1:30" customFormat="1" ht="15">
      <c r="A53" s="227"/>
      <c r="B53" s="276">
        <v>15</v>
      </c>
      <c r="C53" s="254" t="s">
        <v>103</v>
      </c>
      <c r="D53" s="255">
        <v>1</v>
      </c>
      <c r="E53" s="247"/>
      <c r="F53" s="232">
        <v>0.4</v>
      </c>
      <c r="G53" s="435">
        <v>100</v>
      </c>
      <c r="H53" s="386">
        <v>39</v>
      </c>
      <c r="I53" s="413"/>
      <c r="J53" s="413"/>
      <c r="K53" s="413"/>
      <c r="L53" s="413"/>
      <c r="M53" s="413"/>
      <c r="N53" s="452"/>
      <c r="O53" s="413"/>
      <c r="P53" s="413"/>
      <c r="Q53" s="413"/>
      <c r="R53" s="452"/>
      <c r="S53" s="443"/>
      <c r="T53" s="422" cm="1">
        <f t="array" aca="1" ref="T53:X53" ca="1">IF(AND($U$12,B77&lt;=$C$17,C77&lt;&gt;""),TRANSPOSE(INDEX(getcds(C77,$C$6,G77/10000,F77,D77,$C$13,$C$14,$C$15,$C$8,,,TRUE,TRUE,FALSE,$C$29:$C$31,$C$33),{1;2;3;4;5})),"")</f>
        <v>-3.1192791433101701E-2</v>
      </c>
      <c r="U53" s="423">
        <f ca="1"/>
        <v>1.35630111852358E-2</v>
      </c>
      <c r="V53" s="423">
        <f ca="1"/>
        <v>4.4755802618337497E-2</v>
      </c>
      <c r="W53" s="424">
        <f ca="1"/>
        <v>3.0304475379196302E-3</v>
      </c>
      <c r="X53" s="425">
        <f ca="1"/>
        <v>4.4755802618337501</v>
      </c>
      <c r="Y53" s="426">
        <f t="shared" ca="1" si="4"/>
        <v>0</v>
      </c>
      <c r="Z53" s="427">
        <f t="shared" ca="1" si="0"/>
        <v>0</v>
      </c>
      <c r="AA53" s="426" t="str">
        <f t="shared" ca="1" si="1"/>
        <v/>
      </c>
      <c r="AB53" s="428">
        <f t="shared" ca="1" si="2"/>
        <v>2.8789251610236485E-3</v>
      </c>
      <c r="AC53" s="427" t="str">
        <f t="shared" ca="1" si="3"/>
        <v/>
      </c>
      <c r="AD53" s="227"/>
    </row>
    <row r="54" spans="1:30" customFormat="1" ht="15">
      <c r="A54" s="227"/>
      <c r="B54" s="276">
        <v>16</v>
      </c>
      <c r="C54" s="254" t="s">
        <v>104</v>
      </c>
      <c r="D54" s="255">
        <v>1</v>
      </c>
      <c r="E54" s="247"/>
      <c r="F54" s="232">
        <v>0.4</v>
      </c>
      <c r="G54" s="435">
        <v>100</v>
      </c>
      <c r="H54" s="386">
        <v>40</v>
      </c>
      <c r="I54" s="413"/>
      <c r="J54" s="413"/>
      <c r="K54" s="413"/>
      <c r="L54" s="413"/>
      <c r="M54" s="413"/>
      <c r="N54" s="452"/>
      <c r="O54" s="413"/>
      <c r="P54" s="413"/>
      <c r="Q54" s="413"/>
      <c r="R54" s="452"/>
      <c r="S54" s="443"/>
      <c r="T54" s="422" cm="1">
        <f t="array" aca="1" ref="T54:X54" ca="1">IF(AND($U$12,B78&lt;=$C$17,C78&lt;&gt;""),TRANSPOSE(INDEX(getcds(C78,$C$6,G78/10000,F78,D78,$C$13,$C$14,$C$15,$C$8,,,TRUE,TRUE,FALSE,$C$29:$C$31,$C$33),{1;2;3;4;5})),"")</f>
        <v>-7.2750846031509999E-3</v>
      </c>
      <c r="U54" s="423">
        <f ca="1"/>
        <v>3.68288066201869E-2</v>
      </c>
      <c r="V54" s="423">
        <f ca="1"/>
        <v>4.4103891223337903E-2</v>
      </c>
      <c r="W54" s="424">
        <f ca="1"/>
        <v>8.3504665004929708E-3</v>
      </c>
      <c r="X54" s="425">
        <f ca="1"/>
        <v>4.4103891223337897</v>
      </c>
      <c r="Y54" s="426">
        <f t="shared" ca="1" si="4"/>
        <v>0</v>
      </c>
      <c r="Z54" s="427">
        <f t="shared" ca="1" si="0"/>
        <v>0</v>
      </c>
      <c r="AA54" s="426" t="str">
        <f t="shared" ca="1" si="1"/>
        <v/>
      </c>
      <c r="AB54" s="428">
        <f t="shared" ca="1" si="2"/>
        <v>7.9329431754683218E-3</v>
      </c>
      <c r="AC54" s="427" t="str">
        <f t="shared" ca="1" si="3"/>
        <v/>
      </c>
      <c r="AD54" s="227"/>
    </row>
    <row r="55" spans="1:30" customFormat="1" ht="15">
      <c r="A55" s="227"/>
      <c r="B55" s="276">
        <v>17</v>
      </c>
      <c r="C55" s="254" t="s">
        <v>105</v>
      </c>
      <c r="D55" s="255">
        <v>1</v>
      </c>
      <c r="E55" s="247"/>
      <c r="F55" s="232">
        <v>0.4</v>
      </c>
      <c r="G55" s="435">
        <v>100</v>
      </c>
      <c r="H55" s="386">
        <v>41</v>
      </c>
      <c r="I55" s="413"/>
      <c r="J55" s="413"/>
      <c r="K55" s="413"/>
      <c r="L55" s="413"/>
      <c r="M55" s="413"/>
      <c r="N55" s="452"/>
      <c r="O55" s="413"/>
      <c r="P55" s="413"/>
      <c r="Q55" s="413"/>
      <c r="R55" s="452"/>
      <c r="S55" s="443"/>
      <c r="T55" s="422" cm="1">
        <f t="array" aca="1" ref="T55:X55" ca="1">IF(AND($U$12,B79&lt;=$C$17,C79&lt;&gt;""),TRANSPOSE(INDEX(getcds(C79,$C$6,G79/10000,F79,D79,$C$13,$C$14,$C$15,$C$8,,,TRUE,TRUE,FALSE,$C$29:$C$31,$C$33),{1;2;3;4;5})),"")</f>
        <v>-3.1668981907445701E-2</v>
      </c>
      <c r="U55" s="423">
        <f ca="1"/>
        <v>1.3099138650569799E-2</v>
      </c>
      <c r="V55" s="423">
        <f ca="1"/>
        <v>4.4768120558015503E-2</v>
      </c>
      <c r="W55" s="424">
        <f ca="1"/>
        <v>2.9259970012800699E-3</v>
      </c>
      <c r="X55" s="425">
        <f ca="1"/>
        <v>4.4768120558015498</v>
      </c>
      <c r="Y55" s="426">
        <f t="shared" ca="1" si="4"/>
        <v>0</v>
      </c>
      <c r="Z55" s="427">
        <f t="shared" ca="1" si="0"/>
        <v>0</v>
      </c>
      <c r="AA55" s="426" t="str">
        <f t="shared" ca="1" si="1"/>
        <v/>
      </c>
      <c r="AB55" s="428">
        <f t="shared" ca="1" si="2"/>
        <v>2.7796971512160664E-3</v>
      </c>
      <c r="AC55" s="427" t="str">
        <f t="shared" ca="1" si="3"/>
        <v/>
      </c>
      <c r="AD55" s="227"/>
    </row>
    <row r="56" spans="1:30" customFormat="1" ht="15">
      <c r="A56" s="227"/>
      <c r="B56" s="276">
        <v>18</v>
      </c>
      <c r="C56" s="254" t="s">
        <v>106</v>
      </c>
      <c r="D56" s="255">
        <v>1</v>
      </c>
      <c r="E56" s="247"/>
      <c r="F56" s="232">
        <v>0.4</v>
      </c>
      <c r="G56" s="435">
        <v>100</v>
      </c>
      <c r="H56" s="386">
        <v>42</v>
      </c>
      <c r="I56" s="413"/>
      <c r="J56" s="413"/>
      <c r="K56" s="413"/>
      <c r="L56" s="413"/>
      <c r="M56" s="413"/>
      <c r="N56" s="452"/>
      <c r="O56" s="413"/>
      <c r="P56" s="413"/>
      <c r="Q56" s="413"/>
      <c r="R56" s="452"/>
      <c r="S56" s="443"/>
      <c r="T56" s="422" cm="1">
        <f t="array" aca="1" ref="T56:X56" ca="1">IF(AND($U$12,B80&lt;=$C$17,C80&lt;&gt;""),TRANSPOSE(INDEX(getcds(C80,$C$6,G80/10000,F80,D80,$C$13,$C$14,$C$15,$C$8,,,TRUE,TRUE,FALSE,$C$29:$C$31,$C$33),{1;2;3;4;5})),"")</f>
        <v>-3.1674792856718398E-2</v>
      </c>
      <c r="U56" s="423">
        <f ca="1"/>
        <v>1.31015840062675E-2</v>
      </c>
      <c r="V56" s="423">
        <f ca="1"/>
        <v>4.4776376862985898E-2</v>
      </c>
      <c r="W56" s="424">
        <f ca="1"/>
        <v>2.9260036037211902E-3</v>
      </c>
      <c r="X56" s="425">
        <f ca="1"/>
        <v>4.47763768629859</v>
      </c>
      <c r="Y56" s="426">
        <f t="shared" ca="1" si="4"/>
        <v>0</v>
      </c>
      <c r="Z56" s="427">
        <f t="shared" ca="1" si="0"/>
        <v>0</v>
      </c>
      <c r="AA56" s="426" t="str">
        <f t="shared" ca="1" si="1"/>
        <v/>
      </c>
      <c r="AB56" s="428">
        <f t="shared" ca="1" si="2"/>
        <v>2.7797034235351307E-3</v>
      </c>
      <c r="AC56" s="427" t="str">
        <f t="shared" ca="1" si="3"/>
        <v/>
      </c>
      <c r="AD56" s="227"/>
    </row>
    <row r="57" spans="1:30" customFormat="1" ht="15">
      <c r="A57" s="227"/>
      <c r="B57" s="276">
        <v>19</v>
      </c>
      <c r="C57" s="254" t="s">
        <v>107</v>
      </c>
      <c r="D57" s="255">
        <v>1</v>
      </c>
      <c r="E57" s="247"/>
      <c r="F57" s="232">
        <v>0.4</v>
      </c>
      <c r="G57" s="435">
        <v>100</v>
      </c>
      <c r="H57" s="386">
        <v>43</v>
      </c>
      <c r="I57" s="413"/>
      <c r="J57" s="413"/>
      <c r="K57" s="413"/>
      <c r="L57" s="413"/>
      <c r="M57" s="413"/>
      <c r="N57" s="452"/>
      <c r="O57" s="413"/>
      <c r="P57" s="413"/>
      <c r="Q57" s="413"/>
      <c r="R57" s="452"/>
      <c r="S57" s="443"/>
      <c r="T57" s="422" cm="1">
        <f t="array" aca="1" ref="T57:X57" ca="1">IF(AND($U$12,B81&lt;=$C$17,C81&lt;&gt;""),TRANSPOSE(INDEX(getcds(C81,$C$6,G81/10000,F81,D81,$C$13,$C$14,$C$15,$C$8,,,TRUE,TRUE,FALSE,$C$29:$C$31,$C$33),{1;2;3;4;5})),"")</f>
        <v>-3.5003599631311097E-2</v>
      </c>
      <c r="U57" s="423">
        <f ca="1"/>
        <v>9.8432233671852595E-3</v>
      </c>
      <c r="V57" s="423">
        <f ca="1"/>
        <v>4.4846822998496398E-2</v>
      </c>
      <c r="W57" s="424">
        <f ca="1"/>
        <v>2.19485410761767E-3</v>
      </c>
      <c r="X57" s="425">
        <f ca="1"/>
        <v>4.4846822998496396</v>
      </c>
      <c r="Y57" s="426">
        <f t="shared" ca="1" si="4"/>
        <v>0</v>
      </c>
      <c r="Z57" s="427">
        <f t="shared" ca="1" si="0"/>
        <v>0</v>
      </c>
      <c r="AA57" s="426" t="str">
        <f t="shared" ca="1" si="1"/>
        <v/>
      </c>
      <c r="AB57" s="428">
        <f t="shared" ca="1" si="2"/>
        <v>2.0851114022367866E-3</v>
      </c>
      <c r="AC57" s="427" t="str">
        <f t="shared" ca="1" si="3"/>
        <v/>
      </c>
      <c r="AD57" s="227"/>
    </row>
    <row r="58" spans="1:30" customFormat="1" ht="15">
      <c r="A58" s="227"/>
      <c r="B58" s="276">
        <v>20</v>
      </c>
      <c r="C58" s="254" t="s">
        <v>108</v>
      </c>
      <c r="D58" s="255">
        <v>1</v>
      </c>
      <c r="E58" s="247"/>
      <c r="F58" s="232">
        <v>0.4</v>
      </c>
      <c r="G58" s="435">
        <v>100</v>
      </c>
      <c r="H58" s="386">
        <v>44</v>
      </c>
      <c r="I58" s="413"/>
      <c r="J58" s="413"/>
      <c r="K58" s="413"/>
      <c r="L58" s="413"/>
      <c r="M58" s="413"/>
      <c r="N58" s="452"/>
      <c r="O58" s="413"/>
      <c r="P58" s="413"/>
      <c r="Q58" s="413"/>
      <c r="R58" s="452"/>
      <c r="S58" s="443"/>
      <c r="T58" s="422" cm="1">
        <f t="array" aca="1" ref="T58:X58" ca="1">IF(AND($U$12,B82&lt;=$C$17,C82&lt;&gt;""),TRANSPOSE(INDEX(getcds(C82,$C$6,G82/10000,F82,D82,$C$13,$C$14,$C$15,$C$8,,,TRUE,TRUE,FALSE,$C$29:$C$31,$C$33),{1;2;3;4;5})),"")</f>
        <v>-2.8793878266739101E-2</v>
      </c>
      <c r="U58" s="423">
        <f ca="1"/>
        <v>1.5865507641016699E-2</v>
      </c>
      <c r="V58" s="423">
        <f ca="1"/>
        <v>4.4659385907755797E-2</v>
      </c>
      <c r="W58" s="424">
        <f ca="1"/>
        <v>3.5525583969710198E-3</v>
      </c>
      <c r="X58" s="425">
        <f ca="1"/>
        <v>4.46593859077558</v>
      </c>
      <c r="Y58" s="426">
        <f t="shared" ca="1" si="4"/>
        <v>0</v>
      </c>
      <c r="Z58" s="427">
        <f t="shared" ca="1" si="0"/>
        <v>0</v>
      </c>
      <c r="AA58" s="426" t="str">
        <f t="shared" ca="1" si="1"/>
        <v/>
      </c>
      <c r="AB58" s="428">
        <f t="shared" ca="1" si="2"/>
        <v>3.3749304771224686E-3</v>
      </c>
      <c r="AC58" s="427" t="str">
        <f t="shared" ca="1" si="3"/>
        <v/>
      </c>
      <c r="AD58" s="227"/>
    </row>
    <row r="59" spans="1:30" customFormat="1" ht="15">
      <c r="A59" s="227"/>
      <c r="B59" s="276">
        <v>21</v>
      </c>
      <c r="C59" s="254" t="s">
        <v>109</v>
      </c>
      <c r="D59" s="255">
        <v>1</v>
      </c>
      <c r="E59" s="247"/>
      <c r="F59" s="232">
        <v>0.4</v>
      </c>
      <c r="G59" s="435">
        <v>100</v>
      </c>
      <c r="H59" s="386">
        <v>45</v>
      </c>
      <c r="I59" s="413"/>
      <c r="J59" s="413"/>
      <c r="K59" s="413"/>
      <c r="L59" s="413"/>
      <c r="M59" s="413"/>
      <c r="N59" s="452"/>
      <c r="O59" s="413"/>
      <c r="P59" s="413"/>
      <c r="Q59" s="413"/>
      <c r="R59" s="452"/>
      <c r="S59" s="443"/>
      <c r="T59" s="422" cm="1">
        <f t="array" aca="1" ref="T59:X59" ca="1">IF(AND($U$12,B83&lt;=$C$17,C83&lt;&gt;""),TRANSPOSE(INDEX(getcds(C83,$C$6,G83/10000,F83,D83,$C$13,$C$14,$C$15,$C$8,,,TRUE,TRUE,FALSE,$C$29:$C$31,$C$33),{1;2;3;4;5})),"")</f>
        <v>-2.7836781099627301E-2</v>
      </c>
      <c r="U59" s="423">
        <f ca="1"/>
        <v>1.6783479258531801E-2</v>
      </c>
      <c r="V59" s="423">
        <f ca="1"/>
        <v>4.4620260358159101E-2</v>
      </c>
      <c r="W59" s="424">
        <f ca="1"/>
        <v>3.7614032557886801E-3</v>
      </c>
      <c r="X59" s="425">
        <f ca="1"/>
        <v>4.4620260358159101</v>
      </c>
      <c r="Y59" s="426">
        <f t="shared" ca="1" si="4"/>
        <v>0</v>
      </c>
      <c r="Z59" s="427">
        <f t="shared" ca="1" si="0"/>
        <v>0</v>
      </c>
      <c r="AA59" s="426" t="str">
        <f t="shared" ca="1" si="1"/>
        <v/>
      </c>
      <c r="AB59" s="428">
        <f t="shared" ca="1" si="2"/>
        <v>3.573333092999246E-3</v>
      </c>
      <c r="AC59" s="427" t="str">
        <f t="shared" ca="1" si="3"/>
        <v/>
      </c>
      <c r="AD59" s="227"/>
    </row>
    <row r="60" spans="1:30" customFormat="1" ht="15">
      <c r="A60" s="227"/>
      <c r="B60" s="276">
        <v>22</v>
      </c>
      <c r="C60" s="254" t="s">
        <v>110</v>
      </c>
      <c r="D60" s="255">
        <v>1</v>
      </c>
      <c r="E60" s="247"/>
      <c r="F60" s="232">
        <v>0.4</v>
      </c>
      <c r="G60" s="435">
        <v>100</v>
      </c>
      <c r="H60" s="386">
        <v>46</v>
      </c>
      <c r="I60" s="413"/>
      <c r="J60" s="413"/>
      <c r="K60" s="413"/>
      <c r="L60" s="413"/>
      <c r="M60" s="413"/>
      <c r="N60" s="452"/>
      <c r="O60" s="413"/>
      <c r="P60" s="413"/>
      <c r="Q60" s="413"/>
      <c r="R60" s="452"/>
      <c r="S60" s="443"/>
      <c r="T60" s="422" cm="1">
        <f t="array" aca="1" ref="T60:X60" ca="1">IF(AND($U$12,B84&lt;=$C$17,C84&lt;&gt;""),TRANSPOSE(INDEX(getcds(C84,$C$6,G84/10000,F84,D84,$C$13,$C$14,$C$15,$C$8,,,TRUE,TRUE,FALSE,$C$29:$C$31,$C$33),{1;2;3;4;5})),"")</f>
        <v>-2.83482358944009E-2</v>
      </c>
      <c r="U60" s="423">
        <f ca="1"/>
        <v>1.6343153291146901E-2</v>
      </c>
      <c r="V60" s="423">
        <f ca="1"/>
        <v>4.4691389185547797E-2</v>
      </c>
      <c r="W60" s="424">
        <f ca="1"/>
        <v>3.65689086622349E-3</v>
      </c>
      <c r="X60" s="425">
        <f ca="1"/>
        <v>4.4691389185547798</v>
      </c>
      <c r="Y60" s="426">
        <f t="shared" ca="1" si="4"/>
        <v>0</v>
      </c>
      <c r="Z60" s="427">
        <f t="shared" ca="1" si="0"/>
        <v>0</v>
      </c>
      <c r="AA60" s="426" t="str">
        <f t="shared" ca="1" si="1"/>
        <v/>
      </c>
      <c r="AB60" s="428">
        <f t="shared" ca="1" si="2"/>
        <v>3.4740463229123151E-3</v>
      </c>
      <c r="AC60" s="427" t="str">
        <f t="shared" ca="1" si="3"/>
        <v/>
      </c>
      <c r="AD60" s="227"/>
    </row>
    <row r="61" spans="1:30" customFormat="1" ht="15">
      <c r="A61" s="227"/>
      <c r="B61" s="276">
        <v>23</v>
      </c>
      <c r="C61" s="254" t="s">
        <v>111</v>
      </c>
      <c r="D61" s="255">
        <v>1</v>
      </c>
      <c r="E61" s="247"/>
      <c r="F61" s="232">
        <v>0.4</v>
      </c>
      <c r="G61" s="435">
        <v>100</v>
      </c>
      <c r="H61" s="386">
        <v>47</v>
      </c>
      <c r="I61" s="413"/>
      <c r="J61" s="413"/>
      <c r="K61" s="413"/>
      <c r="L61" s="413"/>
      <c r="M61" s="413"/>
      <c r="N61" s="452"/>
      <c r="O61" s="413"/>
      <c r="P61" s="413"/>
      <c r="Q61" s="413"/>
      <c r="R61" s="452"/>
      <c r="S61" s="443"/>
      <c r="T61" s="422" cm="1">
        <f t="array" aca="1" ref="T61:X61" ca="1">IF(AND($U$12,B85&lt;=$C$17,C85&lt;&gt;""),TRANSPOSE(INDEX(getcds(C85,$C$6,G85/10000,F85,D85,$C$13,$C$14,$C$15,$C$8,,,TRUE,TRUE,FALSE,$C$29:$C$31,$C$33),{1;2;3;4;5})),"")</f>
        <v>-2.35714352964175E-2</v>
      </c>
      <c r="U61" s="423">
        <f ca="1"/>
        <v>2.0910351401537301E-2</v>
      </c>
      <c r="V61" s="423">
        <f ca="1"/>
        <v>4.44817866979548E-2</v>
      </c>
      <c r="W61" s="424">
        <f ca="1"/>
        <v>4.7008793831788097E-3</v>
      </c>
      <c r="X61" s="425">
        <f ca="1"/>
        <v>4.4481786697954799</v>
      </c>
      <c r="Y61" s="426">
        <f t="shared" ca="1" si="4"/>
        <v>0</v>
      </c>
      <c r="Z61" s="427">
        <f t="shared" ca="1" si="0"/>
        <v>0</v>
      </c>
      <c r="AA61" s="426" t="str">
        <f t="shared" ca="1" si="1"/>
        <v/>
      </c>
      <c r="AB61" s="428">
        <f t="shared" ca="1" si="2"/>
        <v>4.4658354140198692E-3</v>
      </c>
      <c r="AC61" s="427" t="str">
        <f t="shared" ca="1" si="3"/>
        <v/>
      </c>
      <c r="AD61" s="227"/>
    </row>
    <row r="62" spans="1:30" customFormat="1" ht="15">
      <c r="A62" s="227"/>
      <c r="B62" s="276">
        <v>24</v>
      </c>
      <c r="C62" s="254" t="s">
        <v>112</v>
      </c>
      <c r="D62" s="255">
        <v>1</v>
      </c>
      <c r="E62" s="247"/>
      <c r="F62" s="232">
        <v>0.4</v>
      </c>
      <c r="G62" s="435">
        <v>100</v>
      </c>
      <c r="H62" s="386">
        <v>48</v>
      </c>
      <c r="I62" s="413"/>
      <c r="J62" s="413"/>
      <c r="K62" s="413"/>
      <c r="L62" s="413"/>
      <c r="M62" s="413"/>
      <c r="N62" s="452"/>
      <c r="O62" s="413"/>
      <c r="P62" s="413"/>
      <c r="Q62" s="413"/>
      <c r="R62" s="452"/>
      <c r="S62" s="443"/>
      <c r="T62" s="422" cm="1">
        <f t="array" aca="1" ref="T62:X62" ca="1">IF(AND($U$12,B86&lt;=$C$17,C86&lt;&gt;""),TRANSPOSE(INDEX(getcds(C86,$C$6,G86/10000,F86,D86,$C$13,$C$14,$C$15,$C$8,,,TRUE,TRUE,FALSE,$C$29:$C$31,$C$33),{1;2;3;4;5})),"")</f>
        <v>-2.68858221607952E-2</v>
      </c>
      <c r="U62" s="423">
        <f ca="1"/>
        <v>1.7702404917078699E-2</v>
      </c>
      <c r="V62" s="423">
        <f ca="1"/>
        <v>4.4588227077873903E-2</v>
      </c>
      <c r="W62" s="424">
        <f ca="1"/>
        <v>3.97019708502005E-3</v>
      </c>
      <c r="X62" s="425">
        <f ca="1"/>
        <v>4.4588227077873901</v>
      </c>
      <c r="Y62" s="426">
        <f t="shared" ca="1" si="4"/>
        <v>0</v>
      </c>
      <c r="Z62" s="427">
        <f t="shared" ca="1" si="0"/>
        <v>0</v>
      </c>
      <c r="AA62" s="426" t="str">
        <f t="shared" ca="1" si="1"/>
        <v/>
      </c>
      <c r="AB62" s="428">
        <f t="shared" ca="1" si="2"/>
        <v>3.7716872307690472E-3</v>
      </c>
      <c r="AC62" s="427" t="str">
        <f t="shared" ca="1" si="3"/>
        <v/>
      </c>
      <c r="AD62" s="227"/>
    </row>
    <row r="63" spans="1:30" customFormat="1" ht="15">
      <c r="A63" s="227"/>
      <c r="B63" s="276">
        <v>25</v>
      </c>
      <c r="C63" s="254" t="s">
        <v>113</v>
      </c>
      <c r="D63" s="255">
        <v>1</v>
      </c>
      <c r="E63" s="247"/>
      <c r="F63" s="232">
        <v>0.4</v>
      </c>
      <c r="G63" s="435">
        <v>100</v>
      </c>
      <c r="H63" s="386">
        <v>49</v>
      </c>
      <c r="I63" s="413"/>
      <c r="J63" s="413"/>
      <c r="K63" s="413"/>
      <c r="L63" s="413"/>
      <c r="M63" s="413"/>
      <c r="N63" s="452"/>
      <c r="O63" s="413"/>
      <c r="P63" s="413"/>
      <c r="Q63" s="413"/>
      <c r="R63" s="452"/>
      <c r="S63" s="443"/>
      <c r="T63" s="422" cm="1">
        <f t="array" aca="1" ref="T63:X63" ca="1">IF(AND($U$12,B87&lt;=$C$17,C87&lt;&gt;""),TRANSPOSE(INDEX(getcds(C87,$C$6,G87/10000,F87,D87,$C$13,$C$14,$C$15,$C$8,,,TRUE,TRUE,FALSE,$C$29:$C$31,$C$33),{1;2;3;4;5})),"")</f>
        <v>-3.4502946810539399E-2</v>
      </c>
      <c r="U63" s="423">
        <f ca="1"/>
        <v>1.0302296156496299E-2</v>
      </c>
      <c r="V63" s="423">
        <f ca="1"/>
        <v>4.4805242967035697E-2</v>
      </c>
      <c r="W63" s="424">
        <f ca="1"/>
        <v>2.2993505836082502E-3</v>
      </c>
      <c r="X63" s="425">
        <f ca="1"/>
        <v>4.4805242967035701</v>
      </c>
      <c r="Y63" s="426">
        <f t="shared" ca="1" si="4"/>
        <v>0</v>
      </c>
      <c r="Z63" s="427">
        <f t="shared" ca="1" si="0"/>
        <v>0</v>
      </c>
      <c r="AA63" s="426" t="str">
        <f t="shared" ca="1" si="1"/>
        <v/>
      </c>
      <c r="AB63" s="428">
        <f t="shared" ca="1" si="2"/>
        <v>2.1843830544278375E-3</v>
      </c>
      <c r="AC63" s="427" t="str">
        <f t="shared" ca="1" si="3"/>
        <v/>
      </c>
      <c r="AD63" s="227"/>
    </row>
    <row r="64" spans="1:30" customFormat="1" ht="15">
      <c r="A64" s="227"/>
      <c r="B64" s="276">
        <v>26</v>
      </c>
      <c r="C64" s="254" t="s">
        <v>114</v>
      </c>
      <c r="D64" s="255">
        <v>1</v>
      </c>
      <c r="E64" s="247"/>
      <c r="F64" s="232">
        <v>0.4</v>
      </c>
      <c r="G64" s="435">
        <v>100</v>
      </c>
      <c r="H64" s="386">
        <v>50</v>
      </c>
      <c r="I64" s="413"/>
      <c r="J64" s="413"/>
      <c r="K64" s="413"/>
      <c r="L64" s="413"/>
      <c r="M64" s="413"/>
      <c r="N64" s="452"/>
      <c r="O64" s="413"/>
      <c r="P64" s="413"/>
      <c r="Q64" s="413"/>
      <c r="R64" s="452"/>
      <c r="S64" s="443"/>
      <c r="T64" s="422" cm="1">
        <f t="array" aca="1" ref="T64:X64" ca="1">IF(AND($U$12,B88&lt;=$C$17,C88&lt;&gt;""),TRANSPOSE(INDEX(getcds(C88,$C$6,G88/10000,F88,D88,$C$13,$C$14,$C$15,$C$8,,,TRUE,TRUE,FALSE,$C$29:$C$31,$C$33),{1;2;3;4;5})),"")</f>
        <v>-3.3542644032918602E-2</v>
      </c>
      <c r="U64" s="423">
        <f ca="1"/>
        <v>1.1230376248544E-2</v>
      </c>
      <c r="V64" s="423">
        <f ca="1"/>
        <v>4.47730202814626E-2</v>
      </c>
      <c r="W64" s="424">
        <f ca="1"/>
        <v>2.50829097030868E-3</v>
      </c>
      <c r="X64" s="425">
        <f ca="1"/>
        <v>4.4773020281462603</v>
      </c>
      <c r="Y64" s="426">
        <f t="shared" ca="1" si="4"/>
        <v>0</v>
      </c>
      <c r="Z64" s="427">
        <f t="shared" ca="1" si="0"/>
        <v>0</v>
      </c>
      <c r="AA64" s="426" t="str">
        <f t="shared" ca="1" si="1"/>
        <v/>
      </c>
      <c r="AB64" s="428">
        <f t="shared" ca="1" si="2"/>
        <v>2.3828764217932461E-3</v>
      </c>
      <c r="AC64" s="427" t="str">
        <f t="shared" ca="1" si="3"/>
        <v/>
      </c>
      <c r="AD64" s="227"/>
    </row>
    <row r="65" spans="1:30" customFormat="1" ht="15">
      <c r="A65" s="227"/>
      <c r="B65" s="276">
        <v>27</v>
      </c>
      <c r="C65" s="254" t="s">
        <v>115</v>
      </c>
      <c r="D65" s="255">
        <v>1</v>
      </c>
      <c r="E65" s="247"/>
      <c r="F65" s="232">
        <v>0.4</v>
      </c>
      <c r="G65" s="435">
        <v>100</v>
      </c>
      <c r="H65" s="386">
        <v>51</v>
      </c>
      <c r="I65" s="413"/>
      <c r="J65" s="413"/>
      <c r="K65" s="413"/>
      <c r="L65" s="413"/>
      <c r="M65" s="413"/>
      <c r="N65" s="452"/>
      <c r="O65" s="413"/>
      <c r="P65" s="413"/>
      <c r="Q65" s="413"/>
      <c r="R65" s="452"/>
      <c r="S65" s="443"/>
      <c r="T65" s="422" cm="1">
        <f t="array" aca="1" ref="T65:X65" ca="1">IF(AND($U$12,B89&lt;=$C$17,C89&lt;&gt;""),TRANSPOSE(INDEX(getcds(C89,$C$6,G89/10000,F89,D89,$C$13,$C$14,$C$15,$C$8,,,TRUE,TRUE,FALSE,$C$29:$C$31,$C$33),{1;2;3;4;5})),"")</f>
        <v>-3.2147219876323602E-2</v>
      </c>
      <c r="U65" s="423">
        <f ca="1"/>
        <v>1.26357655393759E-2</v>
      </c>
      <c r="V65" s="423">
        <f ca="1"/>
        <v>4.47829854156995E-2</v>
      </c>
      <c r="W65" s="424">
        <f ca="1"/>
        <v>2.82155497720485E-3</v>
      </c>
      <c r="X65" s="425">
        <f ca="1"/>
        <v>4.4782985415699503</v>
      </c>
      <c r="Y65" s="426">
        <f t="shared" ca="1" si="4"/>
        <v>0</v>
      </c>
      <c r="Z65" s="427">
        <f t="shared" ca="1" si="0"/>
        <v>0</v>
      </c>
      <c r="AA65" s="426" t="str">
        <f t="shared" ca="1" si="1"/>
        <v/>
      </c>
      <c r="AB65" s="428">
        <f t="shared" ca="1" si="2"/>
        <v>2.6804772283446072E-3</v>
      </c>
      <c r="AC65" s="427" t="str">
        <f t="shared" ca="1" si="3"/>
        <v/>
      </c>
      <c r="AD65" s="227"/>
    </row>
    <row r="66" spans="1:30" customFormat="1" ht="15">
      <c r="A66" s="227"/>
      <c r="B66" s="276">
        <v>28</v>
      </c>
      <c r="C66" s="254" t="s">
        <v>116</v>
      </c>
      <c r="D66" s="255">
        <v>1</v>
      </c>
      <c r="E66" s="247"/>
      <c r="F66" s="232">
        <v>0.4</v>
      </c>
      <c r="G66" s="435">
        <v>100</v>
      </c>
      <c r="H66" s="386">
        <v>52</v>
      </c>
      <c r="I66" s="413"/>
      <c r="J66" s="413"/>
      <c r="K66" s="413"/>
      <c r="L66" s="413"/>
      <c r="M66" s="413"/>
      <c r="N66" s="452"/>
      <c r="O66" s="413"/>
      <c r="P66" s="413"/>
      <c r="Q66" s="413"/>
      <c r="R66" s="452"/>
      <c r="S66" s="443"/>
      <c r="T66" s="422" cm="1">
        <f t="array" aca="1" ref="T66:X66" ca="1">IF(AND($U$12,B90&lt;=$C$17,C90&lt;&gt;""),TRANSPOSE(INDEX(getcds(C90,$C$6,G90/10000,F90,D90,$C$13,$C$14,$C$15,$C$8,,,TRUE,TRUE,FALSE,$C$29:$C$31,$C$33),{1;2;3;4;5})),"")</f>
        <v>-3.06937187883022E-2</v>
      </c>
      <c r="U66" s="423">
        <f ca="1"/>
        <v>1.40161926368506E-2</v>
      </c>
      <c r="V66" s="423">
        <f ca="1"/>
        <v>4.47099114251528E-2</v>
      </c>
      <c r="W66" s="424">
        <f ca="1"/>
        <v>3.1349184532191701E-3</v>
      </c>
      <c r="X66" s="425">
        <f ca="1"/>
        <v>4.4709911425152802</v>
      </c>
      <c r="Y66" s="426">
        <f t="shared" ca="1" si="4"/>
        <v>0</v>
      </c>
      <c r="Z66" s="427">
        <f t="shared" ca="1" si="0"/>
        <v>0</v>
      </c>
      <c r="AA66" s="426" t="str">
        <f t="shared" ca="1" si="1"/>
        <v/>
      </c>
      <c r="AB66" s="428">
        <f t="shared" ca="1" si="2"/>
        <v>2.9781725305582114E-3</v>
      </c>
      <c r="AC66" s="427" t="str">
        <f t="shared" ca="1" si="3"/>
        <v/>
      </c>
      <c r="AD66" s="227"/>
    </row>
    <row r="67" spans="1:30" customFormat="1" ht="15">
      <c r="A67" s="227"/>
      <c r="B67" s="276">
        <v>29</v>
      </c>
      <c r="C67" s="254" t="s">
        <v>117</v>
      </c>
      <c r="D67" s="255">
        <v>1</v>
      </c>
      <c r="E67" s="247"/>
      <c r="F67" s="232">
        <v>0.4</v>
      </c>
      <c r="G67" s="435">
        <v>100</v>
      </c>
      <c r="H67" s="386">
        <v>53</v>
      </c>
      <c r="I67" s="413"/>
      <c r="J67" s="413"/>
      <c r="K67" s="413"/>
      <c r="L67" s="413"/>
      <c r="M67" s="413"/>
      <c r="N67" s="452"/>
      <c r="O67" s="413"/>
      <c r="P67" s="413"/>
      <c r="Q67" s="413"/>
      <c r="R67" s="452"/>
      <c r="S67" s="443"/>
      <c r="T67" s="422" cm="1">
        <f t="array" aca="1" ref="T67:X67" ca="1">IF(AND($U$12,B91&lt;=$C$17,C91&lt;&gt;""),TRANSPOSE(INDEX(getcds(C91,$C$6,G91/10000,F91,D91,$C$13,$C$14,$C$15,$C$8,,,TRUE,TRUE,FALSE,$C$29:$C$31,$C$33),{1;2;3;4;5})),"")</f>
        <v>-3.4053746070504098E-2</v>
      </c>
      <c r="U67" s="423">
        <f ca="1"/>
        <v>1.0775999697156599E-2</v>
      </c>
      <c r="V67" s="423">
        <f ca="1"/>
        <v>4.4829745767660703E-2</v>
      </c>
      <c r="W67" s="424">
        <f ca="1"/>
        <v>2.4037610547705101E-3</v>
      </c>
      <c r="X67" s="425">
        <f ca="1"/>
        <v>4.48297457676607</v>
      </c>
      <c r="Y67" s="426">
        <f t="shared" ca="1" si="4"/>
        <v>0</v>
      </c>
      <c r="Z67" s="427">
        <f t="shared" ca="1" si="0"/>
        <v>0</v>
      </c>
      <c r="AA67" s="426" t="str">
        <f t="shared" ca="1" si="1"/>
        <v/>
      </c>
      <c r="AB67" s="428">
        <f t="shared" ca="1" si="2"/>
        <v>2.2835730020319845E-3</v>
      </c>
      <c r="AC67" s="427" t="str">
        <f t="shared" ca="1" si="3"/>
        <v/>
      </c>
      <c r="AD67" s="227"/>
    </row>
    <row r="68" spans="1:30" customFormat="1" ht="15">
      <c r="A68" s="227"/>
      <c r="B68" s="276">
        <v>30</v>
      </c>
      <c r="C68" s="254" t="s">
        <v>118</v>
      </c>
      <c r="D68" s="255">
        <v>1</v>
      </c>
      <c r="E68" s="247"/>
      <c r="F68" s="232">
        <v>0.4</v>
      </c>
      <c r="G68" s="435">
        <v>100</v>
      </c>
      <c r="H68" s="386">
        <v>54</v>
      </c>
      <c r="I68" s="413"/>
      <c r="J68" s="413"/>
      <c r="K68" s="413"/>
      <c r="L68" s="413"/>
      <c r="M68" s="413"/>
      <c r="N68" s="452"/>
      <c r="O68" s="413"/>
      <c r="P68" s="413"/>
      <c r="Q68" s="413"/>
      <c r="R68" s="452"/>
      <c r="S68" s="443"/>
      <c r="T68" s="422" cm="1">
        <f t="array" aca="1" ref="T68:X68" ca="1">IF(AND($U$12,B92&lt;=$C$17,C92&lt;&gt;""),TRANSPOSE(INDEX(getcds(C92,$C$6,G92/10000,F92,D92,$C$13,$C$14,$C$15,$C$8,,,TRUE,TRUE,FALSE,$C$29:$C$31,$C$33),{1;2;3;4;5})),"")</f>
        <v>-3.54839213701892E-2</v>
      </c>
      <c r="U68" s="423">
        <f ca="1"/>
        <v>9.3777980389851794E-3</v>
      </c>
      <c r="V68" s="423">
        <f ca="1"/>
        <v>4.4861719409174397E-2</v>
      </c>
      <c r="W68" s="424">
        <f ca="1"/>
        <v>2.0903786485427E-3</v>
      </c>
      <c r="X68" s="425">
        <f ca="1"/>
        <v>4.4861719409174396</v>
      </c>
      <c r="Y68" s="426">
        <f t="shared" ca="1" si="4"/>
        <v>0</v>
      </c>
      <c r="Z68" s="427">
        <f t="shared" ca="1" si="0"/>
        <v>0</v>
      </c>
      <c r="AA68" s="426" t="str">
        <f t="shared" ca="1" si="1"/>
        <v/>
      </c>
      <c r="AB68" s="428">
        <f t="shared" ca="1" si="2"/>
        <v>1.9858597161155648E-3</v>
      </c>
      <c r="AC68" s="427" t="str">
        <f t="shared" ca="1" si="3"/>
        <v/>
      </c>
      <c r="AD68" s="227"/>
    </row>
    <row r="69" spans="1:30" customFormat="1" ht="15">
      <c r="A69" s="227"/>
      <c r="B69" s="276">
        <v>31</v>
      </c>
      <c r="C69" s="254" t="s">
        <v>119</v>
      </c>
      <c r="D69" s="255">
        <v>1</v>
      </c>
      <c r="E69" s="247"/>
      <c r="F69" s="232">
        <v>0.4</v>
      </c>
      <c r="G69" s="435">
        <v>100</v>
      </c>
      <c r="H69" s="386">
        <v>55</v>
      </c>
      <c r="I69" s="413"/>
      <c r="J69" s="413"/>
      <c r="K69" s="413"/>
      <c r="L69" s="413"/>
      <c r="M69" s="413"/>
      <c r="N69" s="452"/>
      <c r="O69" s="413"/>
      <c r="P69" s="413"/>
      <c r="Q69" s="413"/>
      <c r="R69" s="452"/>
      <c r="S69" s="443"/>
      <c r="T69" s="422" cm="1">
        <f t="array" aca="1" ref="T69:X69" ca="1">IF(AND($U$12,B93&lt;=$C$17,C93&lt;&gt;""),TRANSPOSE(INDEX(getcds(C93,$C$6,G93/10000,F93,D93,$C$13,$C$14,$C$15,$C$8,,,TRUE,TRUE,FALSE,$C$29:$C$31,$C$33),{1;2;3;4;5})),"")</f>
        <v>-3.5003131110070002E-2</v>
      </c>
      <c r="U69" s="423">
        <f ca="1"/>
        <v>9.8430315311244104E-3</v>
      </c>
      <c r="V69" s="423">
        <f ca="1"/>
        <v>4.4846162641194398E-2</v>
      </c>
      <c r="W69" s="424">
        <f ca="1"/>
        <v>2.1948436502531202E-3</v>
      </c>
      <c r="X69" s="425">
        <f ca="1"/>
        <v>4.48461626411944</v>
      </c>
      <c r="Y69" s="426">
        <f t="shared" ca="1" si="4"/>
        <v>0</v>
      </c>
      <c r="Z69" s="427">
        <f t="shared" ca="1" si="0"/>
        <v>0</v>
      </c>
      <c r="AA69" s="426" t="str">
        <f t="shared" ca="1" si="1"/>
        <v/>
      </c>
      <c r="AB69" s="428">
        <f t="shared" ca="1" si="2"/>
        <v>2.0851014677404642E-3</v>
      </c>
      <c r="AC69" s="427" t="str">
        <f t="shared" ca="1" si="3"/>
        <v/>
      </c>
      <c r="AD69" s="227"/>
    </row>
    <row r="70" spans="1:30" customFormat="1" ht="15">
      <c r="A70" s="227"/>
      <c r="B70" s="276">
        <v>32</v>
      </c>
      <c r="C70" s="254" t="s">
        <v>120</v>
      </c>
      <c r="D70" s="255">
        <v>1</v>
      </c>
      <c r="E70" s="247"/>
      <c r="F70" s="232">
        <v>0.4</v>
      </c>
      <c r="G70" s="435">
        <v>100</v>
      </c>
      <c r="H70" s="386">
        <v>56</v>
      </c>
      <c r="I70" s="413"/>
      <c r="J70" s="413"/>
      <c r="K70" s="413"/>
      <c r="L70" s="413"/>
      <c r="M70" s="413"/>
      <c r="N70" s="452"/>
      <c r="O70" s="413"/>
      <c r="P70" s="413"/>
      <c r="Q70" s="413"/>
      <c r="R70" s="452"/>
      <c r="S70" s="443"/>
      <c r="T70" s="422" cm="1">
        <f t="array" aca="1" ref="T70:X70" ca="1">IF(AND($U$12,B94&lt;=$C$17,C94&lt;&gt;""),TRANSPOSE(INDEX(getcds(C94,$C$6,G94/10000,F94,D94,$C$13,$C$14,$C$15,$C$8,,,TRUE,TRUE,FALSE,$C$29:$C$31,$C$33),{1;2;3;4;5})),"")</f>
        <v>-3.0202248795039601E-2</v>
      </c>
      <c r="U70" s="423">
        <f ca="1"/>
        <v>1.44714862778852E-2</v>
      </c>
      <c r="V70" s="423">
        <f ca="1"/>
        <v>4.4673735072924797E-2</v>
      </c>
      <c r="W70" s="424">
        <f ca="1"/>
        <v>3.2393723637081499E-3</v>
      </c>
      <c r="X70" s="425">
        <f ca="1"/>
        <v>4.4673735072924803</v>
      </c>
      <c r="Y70" s="426">
        <f t="shared" ca="1" si="4"/>
        <v>0</v>
      </c>
      <c r="Z70" s="427">
        <f t="shared" ca="1" si="0"/>
        <v>0</v>
      </c>
      <c r="AA70" s="426" t="str">
        <f t="shared" ca="1" si="1"/>
        <v/>
      </c>
      <c r="AB70" s="428">
        <f t="shared" ca="1" si="2"/>
        <v>3.0774037455227423E-3</v>
      </c>
      <c r="AC70" s="427" t="str">
        <f t="shared" ca="1" si="3"/>
        <v/>
      </c>
      <c r="AD70" s="227"/>
    </row>
    <row r="71" spans="1:30" customFormat="1" ht="15">
      <c r="A71" s="227"/>
      <c r="B71" s="276">
        <v>33</v>
      </c>
      <c r="C71" s="254" t="s">
        <v>121</v>
      </c>
      <c r="D71" s="255">
        <v>1</v>
      </c>
      <c r="E71" s="247"/>
      <c r="F71" s="232">
        <v>0.4</v>
      </c>
      <c r="G71" s="435">
        <v>100</v>
      </c>
      <c r="H71" s="386">
        <v>57</v>
      </c>
      <c r="I71" s="413"/>
      <c r="J71" s="413"/>
      <c r="K71" s="413"/>
      <c r="L71" s="413"/>
      <c r="M71" s="413"/>
      <c r="N71" s="452"/>
      <c r="O71" s="413"/>
      <c r="P71" s="413"/>
      <c r="Q71" s="413"/>
      <c r="R71" s="452"/>
      <c r="S71" s="443"/>
      <c r="T71" s="422" cm="1">
        <f t="array" aca="1" ref="T71:X71" ca="1">IF(AND($U$12,B95&lt;=$C$17,C95&lt;&gt;""),TRANSPOSE(INDEX(getcds(C95,$C$6,G95/10000,F95,D95,$C$13,$C$14,$C$15,$C$8,,,TRUE,TRUE,FALSE,$C$29:$C$31,$C$33),{1;2;3;4;5})),"")</f>
        <v>-1.8903932099158399E-2</v>
      </c>
      <c r="U71" s="423">
        <f ca="1"/>
        <v>2.5513965125112999E-2</v>
      </c>
      <c r="V71" s="423">
        <f ca="1"/>
        <v>4.4417897224271398E-2</v>
      </c>
      <c r="W71" s="424">
        <f ca="1"/>
        <v>5.7440731595847202E-3</v>
      </c>
      <c r="X71" s="425">
        <f ca="1"/>
        <v>4.4417897224271403</v>
      </c>
      <c r="Y71" s="426">
        <f t="shared" ca="1" si="4"/>
        <v>0</v>
      </c>
      <c r="Z71" s="427">
        <f t="shared" ca="1" si="0"/>
        <v>0</v>
      </c>
      <c r="AA71" s="426" t="str">
        <f t="shared" ca="1" si="1"/>
        <v/>
      </c>
      <c r="AB71" s="428">
        <f t="shared" ca="1" si="2"/>
        <v>5.4568695016054842E-3</v>
      </c>
      <c r="AC71" s="427" t="str">
        <f t="shared" ca="1" si="3"/>
        <v/>
      </c>
      <c r="AD71" s="227"/>
    </row>
    <row r="72" spans="1:30" customFormat="1" ht="15">
      <c r="A72" s="227"/>
      <c r="B72" s="276">
        <v>34</v>
      </c>
      <c r="C72" s="254" t="s">
        <v>122</v>
      </c>
      <c r="D72" s="255">
        <v>1</v>
      </c>
      <c r="E72" s="247"/>
      <c r="F72" s="232">
        <v>0.4</v>
      </c>
      <c r="G72" s="435">
        <v>100</v>
      </c>
      <c r="H72" s="386">
        <v>58</v>
      </c>
      <c r="I72" s="413"/>
      <c r="J72" s="413"/>
      <c r="K72" s="413"/>
      <c r="L72" s="413"/>
      <c r="M72" s="413"/>
      <c r="N72" s="452"/>
      <c r="O72" s="413"/>
      <c r="P72" s="413"/>
      <c r="Q72" s="413"/>
      <c r="R72" s="452"/>
      <c r="S72" s="443"/>
      <c r="T72" s="422" cm="1">
        <f t="array" aca="1" ref="T72:X72" ca="1">IF(AND($U$12,B96&lt;=$C$17,C96&lt;&gt;""),TRANSPOSE(INDEX(getcds(C96,$C$6,G96/10000,F96,D96,$C$13,$C$14,$C$15,$C$8,,,TRUE,TRUE,FALSE,$C$29:$C$31,$C$33),{1;2;3;4;5})),"")</f>
        <v>-1.65503645049212E-2</v>
      </c>
      <c r="U72" s="423">
        <f ca="1"/>
        <v>2.7769105945258901E-2</v>
      </c>
      <c r="V72" s="423">
        <f ca="1"/>
        <v>4.4319470450180101E-2</v>
      </c>
      <c r="W72" s="424">
        <f ca="1"/>
        <v>6.2656673609118099E-3</v>
      </c>
      <c r="X72" s="425">
        <f ca="1"/>
        <v>4.4319470450180098</v>
      </c>
      <c r="Y72" s="426">
        <f t="shared" ca="1" si="4"/>
        <v>0</v>
      </c>
      <c r="Z72" s="427">
        <f t="shared" ca="1" si="0"/>
        <v>0</v>
      </c>
      <c r="AA72" s="426" t="str">
        <f t="shared" ca="1" si="1"/>
        <v/>
      </c>
      <c r="AB72" s="428">
        <f t="shared" ca="1" si="2"/>
        <v>5.9523839928662193E-3</v>
      </c>
      <c r="AC72" s="427" t="str">
        <f t="shared" ca="1" si="3"/>
        <v/>
      </c>
      <c r="AD72" s="227"/>
    </row>
    <row r="73" spans="1:30" customFormat="1" ht="15">
      <c r="A73" s="227"/>
      <c r="B73" s="276">
        <v>35</v>
      </c>
      <c r="C73" s="254" t="s">
        <v>123</v>
      </c>
      <c r="D73" s="255">
        <v>1</v>
      </c>
      <c r="E73" s="247"/>
      <c r="F73" s="232">
        <v>0.4</v>
      </c>
      <c r="G73" s="435">
        <v>100</v>
      </c>
      <c r="H73" s="386">
        <v>59</v>
      </c>
      <c r="I73" s="413"/>
      <c r="J73" s="413"/>
      <c r="K73" s="413"/>
      <c r="L73" s="413"/>
      <c r="M73" s="413"/>
      <c r="N73" s="452"/>
      <c r="O73" s="413"/>
      <c r="P73" s="413"/>
      <c r="Q73" s="413"/>
      <c r="R73" s="452"/>
      <c r="S73" s="443"/>
      <c r="T73" s="422" cm="1">
        <f t="array" aca="1" ref="T73:X73" ca="1">IF(AND($U$12,B97&lt;=$C$17,C97&lt;&gt;""),TRANSPOSE(INDEX(getcds(C97,$C$6,G97/10000,F97,D97,$C$13,$C$14,$C$15,$C$8,,,TRUE,TRUE,FALSE,$C$29:$C$31,$C$33),{1;2;3;4;5})),"")</f>
        <v>-2.8345750435774801E-2</v>
      </c>
      <c r="U73" s="423">
        <f ca="1"/>
        <v>1.6341808367381201E-2</v>
      </c>
      <c r="V73" s="423">
        <f ca="1"/>
        <v>4.4687558803156002E-2</v>
      </c>
      <c r="W73" s="424">
        <f ca="1"/>
        <v>3.65690335410022E-3</v>
      </c>
      <c r="X73" s="425">
        <f ca="1"/>
        <v>4.4687558803155998</v>
      </c>
      <c r="Y73" s="426">
        <f t="shared" ca="1" si="4"/>
        <v>0</v>
      </c>
      <c r="Z73" s="427">
        <f t="shared" ca="1" si="0"/>
        <v>0</v>
      </c>
      <c r="AA73" s="426" t="str">
        <f t="shared" ca="1" si="1"/>
        <v/>
      </c>
      <c r="AB73" s="428">
        <f t="shared" ca="1" si="2"/>
        <v>3.4740581863952091E-3</v>
      </c>
      <c r="AC73" s="427" t="str">
        <f t="shared" ca="1" si="3"/>
        <v/>
      </c>
      <c r="AD73" s="227"/>
    </row>
    <row r="74" spans="1:30" customFormat="1" ht="15">
      <c r="A74" s="227"/>
      <c r="B74" s="276">
        <v>36</v>
      </c>
      <c r="C74" s="254" t="s">
        <v>124</v>
      </c>
      <c r="D74" s="255">
        <v>1</v>
      </c>
      <c r="E74" s="247"/>
      <c r="F74" s="232">
        <v>0.4</v>
      </c>
      <c r="G74" s="435">
        <v>100</v>
      </c>
      <c r="H74" s="386">
        <v>60</v>
      </c>
      <c r="I74" s="413"/>
      <c r="J74" s="413"/>
      <c r="K74" s="413"/>
      <c r="L74" s="413"/>
      <c r="M74" s="413"/>
      <c r="N74" s="452"/>
      <c r="O74" s="413"/>
      <c r="P74" s="413"/>
      <c r="Q74" s="413"/>
      <c r="R74" s="452"/>
      <c r="S74" s="443"/>
      <c r="T74" s="422" cm="1">
        <f t="array" aca="1" ref="T74:X74" ca="1">IF(AND($U$12,B98&lt;=$C$17,C98&lt;&gt;""),TRANSPOSE(INDEX(getcds(C98,$C$6,G98/10000,F98,D98,$C$13,$C$14,$C$15,$C$8,,,TRUE,TRUE,FALSE,$C$29:$C$31,$C$33),{1;2;3;4;5})),"")</f>
        <v>-3.0672026357474302E-2</v>
      </c>
      <c r="U74" s="423">
        <f ca="1"/>
        <v>1.40066622806603E-2</v>
      </c>
      <c r="V74" s="423">
        <f ca="1"/>
        <v>4.4678688638134602E-2</v>
      </c>
      <c r="W74" s="424">
        <f ca="1"/>
        <v>3.1349761390949099E-3</v>
      </c>
      <c r="X74" s="425">
        <f ca="1"/>
        <v>4.46786886381346</v>
      </c>
      <c r="Y74" s="426">
        <f t="shared" ca="1" si="4"/>
        <v>0</v>
      </c>
      <c r="Z74" s="427">
        <f t="shared" ca="1" si="0"/>
        <v>0</v>
      </c>
      <c r="AA74" s="426" t="str">
        <f t="shared" ca="1" si="1"/>
        <v/>
      </c>
      <c r="AB74" s="428">
        <f t="shared" ca="1" si="2"/>
        <v>2.9782273321401643E-3</v>
      </c>
      <c r="AC74" s="427" t="str">
        <f t="shared" ca="1" si="3"/>
        <v/>
      </c>
      <c r="AD74" s="227"/>
    </row>
    <row r="75" spans="1:30" customFormat="1" ht="15">
      <c r="A75" s="227"/>
      <c r="B75" s="276">
        <v>37</v>
      </c>
      <c r="C75" s="254" t="s">
        <v>125</v>
      </c>
      <c r="D75" s="255">
        <v>1</v>
      </c>
      <c r="E75" s="247"/>
      <c r="F75" s="232">
        <v>0.4</v>
      </c>
      <c r="G75" s="435">
        <v>100</v>
      </c>
      <c r="H75" s="386">
        <v>61</v>
      </c>
      <c r="I75" s="413"/>
      <c r="J75" s="413"/>
      <c r="K75" s="413"/>
      <c r="L75" s="413"/>
      <c r="M75" s="413"/>
      <c r="N75" s="452"/>
      <c r="O75" s="413"/>
      <c r="P75" s="413"/>
      <c r="Q75" s="413"/>
      <c r="R75" s="452"/>
      <c r="S75" s="443"/>
      <c r="T75" s="422" cm="1">
        <f t="array" aca="1" ref="T75:X75" ca="1">IF(AND($U$12,B99&lt;=$C$17,C99&lt;&gt;""),TRANSPOSE(INDEX(getcds(C99,$C$6,G99/10000,F99,D99,$C$13,$C$14,$C$15,$C$8,,,TRUE,TRUE,FALSE,$C$29:$C$31,$C$33),{1;2;3;4;5})),"")</f>
        <v>-2.26594652060567E-2</v>
      </c>
      <c r="U75" s="423">
        <f ca="1"/>
        <v>2.18531424014443E-2</v>
      </c>
      <c r="V75" s="423">
        <f ca="1"/>
        <v>4.4512607607500997E-2</v>
      </c>
      <c r="W75" s="424">
        <f ca="1"/>
        <v>4.9094275927707596E-3</v>
      </c>
      <c r="X75" s="425">
        <f ca="1"/>
        <v>4.4512607607500998</v>
      </c>
      <c r="Y75" s="426">
        <f t="shared" ca="1" si="4"/>
        <v>0</v>
      </c>
      <c r="Z75" s="427">
        <f t="shared" ca="1" si="0"/>
        <v>0</v>
      </c>
      <c r="AA75" s="426" t="str">
        <f t="shared" ca="1" si="1"/>
        <v/>
      </c>
      <c r="AB75" s="428">
        <f t="shared" ca="1" si="2"/>
        <v>4.6639562131322214E-3</v>
      </c>
      <c r="AC75" s="427" t="str">
        <f t="shared" ca="1" si="3"/>
        <v/>
      </c>
      <c r="AD75" s="227"/>
    </row>
    <row r="76" spans="1:30" customFormat="1" ht="15">
      <c r="A76" s="227"/>
      <c r="B76" s="276">
        <v>38</v>
      </c>
      <c r="C76" s="254" t="s">
        <v>126</v>
      </c>
      <c r="D76" s="255">
        <v>1</v>
      </c>
      <c r="E76" s="247"/>
      <c r="F76" s="232">
        <v>0.4</v>
      </c>
      <c r="G76" s="435">
        <v>100</v>
      </c>
      <c r="H76" s="386">
        <v>62</v>
      </c>
      <c r="I76" s="413"/>
      <c r="J76" s="413"/>
      <c r="K76" s="413"/>
      <c r="L76" s="413"/>
      <c r="M76" s="413"/>
      <c r="N76" s="452"/>
      <c r="O76" s="413"/>
      <c r="P76" s="413"/>
      <c r="Q76" s="413"/>
      <c r="R76" s="452"/>
      <c r="S76" s="443"/>
      <c r="T76" s="422" cm="1">
        <f t="array" aca="1" ref="T76:X76" ca="1">IF(AND($U$12,B100&lt;=$C$17,C100&lt;&gt;""),TRANSPOSE(INDEX(getcds(C100,$C$6,G100/10000,F100,D100,$C$13,$C$14,$C$15,$C$8,,,TRUE,TRUE,FALSE,$C$29:$C$31,$C$33),{1;2;3;4;5})),"")</f>
        <v>-3.3582399782854697E-2</v>
      </c>
      <c r="U76" s="423">
        <f ca="1"/>
        <v>1.12432974257909E-2</v>
      </c>
      <c r="V76" s="423">
        <f ca="1"/>
        <v>4.4825697208645598E-2</v>
      </c>
      <c r="W76" s="424">
        <f ca="1"/>
        <v>2.5082258895958399E-3</v>
      </c>
      <c r="X76" s="425">
        <f ca="1"/>
        <v>4.4825697208645598</v>
      </c>
      <c r="Y76" s="426">
        <f t="shared" ca="1" si="4"/>
        <v>0</v>
      </c>
      <c r="Z76" s="427">
        <f t="shared" ca="1" si="0"/>
        <v>0</v>
      </c>
      <c r="AA76" s="426" t="str">
        <f t="shared" ca="1" si="1"/>
        <v/>
      </c>
      <c r="AB76" s="428">
        <f t="shared" ca="1" si="2"/>
        <v>2.3828145951160476E-3</v>
      </c>
      <c r="AC76" s="427" t="str">
        <f t="shared" ca="1" si="3"/>
        <v/>
      </c>
      <c r="AD76" s="227"/>
    </row>
    <row r="77" spans="1:30" customFormat="1" ht="15">
      <c r="A77" s="227"/>
      <c r="B77" s="276">
        <v>39</v>
      </c>
      <c r="C77" s="254" t="s">
        <v>127</v>
      </c>
      <c r="D77" s="255">
        <v>1</v>
      </c>
      <c r="E77" s="247"/>
      <c r="F77" s="232">
        <v>0.4</v>
      </c>
      <c r="G77" s="435">
        <v>100</v>
      </c>
      <c r="H77" s="386">
        <v>63</v>
      </c>
      <c r="I77" s="413"/>
      <c r="J77" s="413"/>
      <c r="K77" s="413"/>
      <c r="L77" s="413"/>
      <c r="M77" s="413"/>
      <c r="N77" s="452"/>
      <c r="O77" s="413"/>
      <c r="P77" s="413"/>
      <c r="Q77" s="413"/>
      <c r="R77" s="452"/>
      <c r="S77" s="443"/>
      <c r="T77" s="422" cm="1">
        <f t="array" aca="1" ref="T77:X77" ca="1">IF(AND($U$12,B101&lt;=$C$17,C101&lt;&gt;""),TRANSPOSE(INDEX(getcds(C101,$C$6,G101/10000,F101,D101,$C$13,$C$14,$C$15,$C$8,,,TRUE,TRUE,FALSE,$C$29:$C$31,$C$33),{1;2;3;4;5})),"")</f>
        <v>-2.8785248740891198E-2</v>
      </c>
      <c r="U77" s="423">
        <f ca="1"/>
        <v>1.5860872895117301E-2</v>
      </c>
      <c r="V77" s="423">
        <f ca="1"/>
        <v>4.46461216360085E-2</v>
      </c>
      <c r="W77" s="424">
        <f ca="1"/>
        <v>3.5525757476602398E-3</v>
      </c>
      <c r="X77" s="425">
        <f ca="1"/>
        <v>4.46461216360085</v>
      </c>
      <c r="Y77" s="426">
        <f t="shared" ca="1" si="4"/>
        <v>0</v>
      </c>
      <c r="Z77" s="427">
        <f t="shared" ca="1" si="0"/>
        <v>0</v>
      </c>
      <c r="AA77" s="426" t="str">
        <f t="shared" ca="1" si="1"/>
        <v/>
      </c>
      <c r="AB77" s="428">
        <f t="shared" ca="1" si="2"/>
        <v>3.3749469602772277E-3</v>
      </c>
      <c r="AC77" s="427" t="str">
        <f t="shared" ca="1" si="3"/>
        <v/>
      </c>
      <c r="AD77" s="227"/>
    </row>
    <row r="78" spans="1:30" customFormat="1" ht="15">
      <c r="A78" s="227"/>
      <c r="B78" s="276">
        <v>40</v>
      </c>
      <c r="C78" s="254" t="s">
        <v>128</v>
      </c>
      <c r="D78" s="255">
        <v>1</v>
      </c>
      <c r="E78" s="247"/>
      <c r="F78" s="232">
        <v>0.4</v>
      </c>
      <c r="G78" s="435">
        <v>100</v>
      </c>
      <c r="H78" s="386">
        <v>64</v>
      </c>
      <c r="I78" s="413"/>
      <c r="J78" s="413"/>
      <c r="K78" s="413"/>
      <c r="L78" s="413"/>
      <c r="M78" s="413"/>
      <c r="N78" s="452"/>
      <c r="O78" s="413"/>
      <c r="P78" s="413"/>
      <c r="Q78" s="413"/>
      <c r="R78" s="452"/>
      <c r="S78" s="443"/>
      <c r="T78" s="422" cm="1">
        <f t="array" aca="1" ref="T78:X78" ca="1">IF(AND($U$12,B102&lt;=$C$17,C102&lt;&gt;""),TRANSPOSE(INDEX(getcds(C102,$C$6,G102/10000,F102,D102,$C$13,$C$14,$C$15,$C$8,,,TRUE,TRUE,FALSE,$C$29:$C$31,$C$33),{1;2;3;4;5})),"")</f>
        <v>-3.88394342066481E-2</v>
      </c>
      <c r="U78" s="423">
        <f ca="1"/>
        <v>6.1082133005979497E-3</v>
      </c>
      <c r="V78" s="423">
        <f ca="1"/>
        <v>4.49476475072461E-2</v>
      </c>
      <c r="W78" s="424">
        <f ca="1"/>
        <v>1.35896173422941E-3</v>
      </c>
      <c r="X78" s="425">
        <f ca="1"/>
        <v>4.4947647507246096</v>
      </c>
      <c r="Y78" s="426">
        <f t="shared" ca="1" si="4"/>
        <v>0</v>
      </c>
      <c r="Z78" s="427">
        <f t="shared" ca="1" si="0"/>
        <v>0</v>
      </c>
      <c r="AA78" s="426" t="str">
        <f t="shared" ca="1" si="1"/>
        <v/>
      </c>
      <c r="AB78" s="428">
        <f t="shared" ca="1" si="2"/>
        <v>1.2910136475179394E-3</v>
      </c>
      <c r="AC78" s="427" t="str">
        <f t="shared" ca="1" si="3"/>
        <v/>
      </c>
      <c r="AD78" s="227"/>
    </row>
    <row r="79" spans="1:30" customFormat="1" ht="15">
      <c r="A79" s="227"/>
      <c r="B79" s="276">
        <v>41</v>
      </c>
      <c r="C79" s="254" t="s">
        <v>129</v>
      </c>
      <c r="D79" s="255">
        <v>1</v>
      </c>
      <c r="E79" s="247"/>
      <c r="F79" s="232">
        <v>0.4</v>
      </c>
      <c r="G79" s="435">
        <v>100</v>
      </c>
      <c r="H79" s="386">
        <v>65</v>
      </c>
      <c r="I79" s="413"/>
      <c r="J79" s="413"/>
      <c r="K79" s="413"/>
      <c r="L79" s="413"/>
      <c r="M79" s="413"/>
      <c r="N79" s="452"/>
      <c r="O79" s="413"/>
      <c r="P79" s="413"/>
      <c r="Q79" s="413"/>
      <c r="R79" s="452"/>
      <c r="S79" s="443"/>
      <c r="T79" s="422" cm="1">
        <f t="array" aca="1" ref="T79:X79" ca="1">IF(AND($U$12,B103&lt;=$C$17,C103&lt;&gt;""),TRANSPOSE(INDEX(getcds(C103,$C$6,G103/10000,F103,D103,$C$13,$C$14,$C$15,$C$8,,,TRUE,TRUE,FALSE,$C$29:$C$31,$C$33),{1;2;3;4;5})),"")</f>
        <v>-3.0665700297760501E-2</v>
      </c>
      <c r="U79" s="423">
        <f ca="1"/>
        <v>1.40037485933914E-2</v>
      </c>
      <c r="V79" s="423">
        <f ca="1"/>
        <v>4.4669448891151903E-2</v>
      </c>
      <c r="W79" s="424">
        <f ca="1"/>
        <v>3.1349723224736799E-3</v>
      </c>
      <c r="X79" s="425">
        <f ca="1"/>
        <v>4.4669448891151902</v>
      </c>
      <c r="Y79" s="426">
        <f t="shared" ca="1" si="4"/>
        <v>0</v>
      </c>
      <c r="Z79" s="427">
        <f t="shared" ca="1" si="0"/>
        <v>0</v>
      </c>
      <c r="AA79" s="426" t="str">
        <f t="shared" ca="1" si="1"/>
        <v/>
      </c>
      <c r="AB79" s="428">
        <f t="shared" ca="1" si="2"/>
        <v>2.9782237063499957E-3</v>
      </c>
      <c r="AC79" s="427" t="str">
        <f t="shared" ca="1" si="3"/>
        <v/>
      </c>
      <c r="AD79" s="227"/>
    </row>
    <row r="80" spans="1:30" customFormat="1" ht="15">
      <c r="A80" s="227"/>
      <c r="B80" s="276">
        <v>42</v>
      </c>
      <c r="C80" s="254" t="s">
        <v>130</v>
      </c>
      <c r="D80" s="255">
        <v>1</v>
      </c>
      <c r="E80" s="247"/>
      <c r="F80" s="232">
        <v>0.4</v>
      </c>
      <c r="G80" s="435">
        <v>100</v>
      </c>
      <c r="H80" s="386">
        <v>66</v>
      </c>
      <c r="I80" s="413"/>
      <c r="J80" s="413"/>
      <c r="K80" s="413"/>
      <c r="L80" s="413"/>
      <c r="M80" s="413"/>
      <c r="N80" s="452"/>
      <c r="O80" s="413"/>
      <c r="P80" s="413"/>
      <c r="Q80" s="413"/>
      <c r="R80" s="452"/>
      <c r="S80" s="443"/>
      <c r="T80" s="422" cm="1">
        <f t="array" aca="1" ref="T80:X80" ca="1">IF(AND($U$12,B104&lt;=$C$17,C104&lt;&gt;""),TRANSPOSE(INDEX(getcds(C104,$C$6,G104/10000,F104,D104,$C$13,$C$14,$C$15,$C$8,,,TRUE,TRUE,FALSE,$C$29:$C$31,$C$33),{1;2;3;4;5})),"")</f>
        <v>3.2544290087541E-3</v>
      </c>
      <c r="U80" s="423">
        <f ca="1"/>
        <v>4.7083707121341703E-2</v>
      </c>
      <c r="V80" s="423">
        <f ca="1"/>
        <v>4.3829278112587598E-2</v>
      </c>
      <c r="W80" s="424">
        <f ca="1"/>
        <v>1.0742523981434099E-2</v>
      </c>
      <c r="X80" s="425">
        <f ca="1"/>
        <v>4.3829278112587602</v>
      </c>
      <c r="Y80" s="426">
        <f t="shared" ref="Y80:Y143" ca="1" si="5">IF($U$12,IF(T80="","",$U$13*D104/$C$18),"")</f>
        <v>0</v>
      </c>
      <c r="Z80" s="427">
        <f t="shared" ref="Z80:Z143" ca="1" si="6">IF($U$12,IF(Y80="","",Y80*($Z$10-W80)*X80),"")</f>
        <v>0</v>
      </c>
      <c r="AA80" s="426" t="str">
        <f t="shared" ref="AA80:AA143" ca="1" si="7">IF($U$12,IF(OR(T80="",L80=""),"",L80/($C$20-$C$19)),"")</f>
        <v/>
      </c>
      <c r="AB80" s="428">
        <f t="shared" ref="AB80:AB143" ca="1" si="8">IF($U$12,IF(W80="","",W80*$AC$10),"")</f>
        <v>1.0205397782362393E-2</v>
      </c>
      <c r="AC80" s="427" t="str">
        <f t="shared" ref="AC80:AC143" ca="1" si="9">IF($U$12,IF(AA80="","",AA80*(AB80-W80)*X80),"")</f>
        <v/>
      </c>
      <c r="AD80" s="227"/>
    </row>
    <row r="81" spans="1:30" customFormat="1" ht="15">
      <c r="A81" s="227"/>
      <c r="B81" s="276">
        <v>43</v>
      </c>
      <c r="C81" s="254" t="s">
        <v>131</v>
      </c>
      <c r="D81" s="255">
        <v>1</v>
      </c>
      <c r="E81" s="247"/>
      <c r="F81" s="232">
        <v>0.4</v>
      </c>
      <c r="G81" s="435">
        <v>100</v>
      </c>
      <c r="H81" s="386">
        <v>67</v>
      </c>
      <c r="I81" s="413"/>
      <c r="J81" s="413"/>
      <c r="K81" s="413"/>
      <c r="L81" s="413"/>
      <c r="M81" s="413"/>
      <c r="N81" s="452"/>
      <c r="O81" s="413"/>
      <c r="P81" s="413"/>
      <c r="Q81" s="413"/>
      <c r="R81" s="452"/>
      <c r="S81" s="443"/>
      <c r="T81" s="422" cm="1">
        <f t="array" aca="1" ref="T81:X81" ca="1">IF(AND($U$12,B105&lt;=$C$17,C105&lt;&gt;""),TRANSPOSE(INDEX(getcds(C105,$C$6,G105/10000,F105,D105,$C$13,$C$14,$C$15,$C$8,,,TRUE,TRUE,FALSE,$C$29:$C$31,$C$33),{1;2;3;4;5})),"")</f>
        <v>-2.5958225069168801E-2</v>
      </c>
      <c r="U81" s="423">
        <f ca="1"/>
        <v>1.86350990496655E-2</v>
      </c>
      <c r="V81" s="423">
        <f ca="1"/>
        <v>4.45933241188343E-2</v>
      </c>
      <c r="W81" s="424">
        <f ca="1"/>
        <v>4.1788988414512103E-3</v>
      </c>
      <c r="X81" s="425">
        <f ca="1"/>
        <v>4.4593324118834303</v>
      </c>
      <c r="Y81" s="426">
        <f t="shared" ca="1" si="5"/>
        <v>0</v>
      </c>
      <c r="Z81" s="427">
        <f t="shared" ca="1" si="6"/>
        <v>0</v>
      </c>
      <c r="AA81" s="426" t="str">
        <f t="shared" ca="1" si="7"/>
        <v/>
      </c>
      <c r="AB81" s="428">
        <f t="shared" ca="1" si="8"/>
        <v>3.9699538993786497E-3</v>
      </c>
      <c r="AC81" s="427" t="str">
        <f t="shared" ca="1" si="9"/>
        <v/>
      </c>
      <c r="AD81" s="227"/>
    </row>
    <row r="82" spans="1:30" customFormat="1" ht="15">
      <c r="A82" s="227"/>
      <c r="B82" s="276">
        <v>44</v>
      </c>
      <c r="C82" s="254" t="s">
        <v>132</v>
      </c>
      <c r="D82" s="255">
        <v>1</v>
      </c>
      <c r="E82" s="247"/>
      <c r="F82" s="232">
        <v>0.4</v>
      </c>
      <c r="G82" s="435">
        <v>100</v>
      </c>
      <c r="H82" s="386">
        <v>68</v>
      </c>
      <c r="I82" s="413"/>
      <c r="J82" s="413"/>
      <c r="K82" s="413"/>
      <c r="L82" s="413"/>
      <c r="M82" s="413"/>
      <c r="N82" s="452"/>
      <c r="O82" s="413"/>
      <c r="P82" s="413"/>
      <c r="Q82" s="413"/>
      <c r="R82" s="452"/>
      <c r="S82" s="443"/>
      <c r="T82" s="422" cm="1">
        <f t="array" aca="1" ref="T82:X82" ca="1">IF(AND($U$12,B106&lt;=$C$17,C106&lt;&gt;""),TRANSPOSE(INDEX(getcds(C106,$C$6,G106/10000,F106,D106,$C$13,$C$14,$C$15,$C$8,,,TRUE,TRUE,FALSE,$C$29:$C$31,$C$33),{1;2;3;4;5})),"")</f>
        <v>-2.07884085799434E-2</v>
      </c>
      <c r="U82" s="423">
        <f ca="1"/>
        <v>2.3695397037519599E-2</v>
      </c>
      <c r="V82" s="423">
        <f ca="1"/>
        <v>4.4483805617462999E-2</v>
      </c>
      <c r="W82" s="424">
        <f ca="1"/>
        <v>5.3267468258645298E-3</v>
      </c>
      <c r="X82" s="425">
        <f ca="1"/>
        <v>4.4483805617463004</v>
      </c>
      <c r="Y82" s="426">
        <f t="shared" ca="1" si="5"/>
        <v>0</v>
      </c>
      <c r="Z82" s="427">
        <f t="shared" ca="1" si="6"/>
        <v>0</v>
      </c>
      <c r="AA82" s="426" t="str">
        <f t="shared" ca="1" si="7"/>
        <v/>
      </c>
      <c r="AB82" s="428">
        <f t="shared" ca="1" si="8"/>
        <v>5.0604094845713033E-3</v>
      </c>
      <c r="AC82" s="427" t="str">
        <f t="shared" ca="1" si="9"/>
        <v/>
      </c>
      <c r="AD82" s="227"/>
    </row>
    <row r="83" spans="1:30" customFormat="1" ht="15">
      <c r="A83" s="227"/>
      <c r="B83" s="276">
        <v>45</v>
      </c>
      <c r="C83" s="254" t="s">
        <v>133</v>
      </c>
      <c r="D83" s="255">
        <v>1</v>
      </c>
      <c r="E83" s="247"/>
      <c r="F83" s="232">
        <v>0.4</v>
      </c>
      <c r="G83" s="435">
        <v>100</v>
      </c>
      <c r="H83" s="386">
        <v>69</v>
      </c>
      <c r="I83" s="413"/>
      <c r="J83" s="413"/>
      <c r="K83" s="413"/>
      <c r="L83" s="413"/>
      <c r="M83" s="413"/>
      <c r="N83" s="452"/>
      <c r="O83" s="413"/>
      <c r="P83" s="413"/>
      <c r="Q83" s="413"/>
      <c r="R83" s="452"/>
      <c r="S83" s="443"/>
      <c r="T83" s="422" cm="1">
        <f t="array" aca="1" ref="T83:X83" ca="1">IF(AND($U$12,B107&lt;=$C$17,C107&lt;&gt;""),TRANSPOSE(INDEX(getcds(C107,$C$6,G107/10000,F107,D107,$C$13,$C$14,$C$15,$C$8,,,TRUE,TRUE,FALSE,$C$29:$C$31,$C$33),{1;2;3;4;5})),"")</f>
        <v>-3.2147736717550598E-2</v>
      </c>
      <c r="U83" s="423">
        <f ca="1"/>
        <v>1.26358670473676E-2</v>
      </c>
      <c r="V83" s="423">
        <f ca="1"/>
        <v>4.4783603764918203E-2</v>
      </c>
      <c r="W83" s="424">
        <f ca="1"/>
        <v>2.8215386849385401E-3</v>
      </c>
      <c r="X83" s="425">
        <f ca="1"/>
        <v>4.4783603764918203</v>
      </c>
      <c r="Y83" s="426">
        <f t="shared" ca="1" si="5"/>
        <v>0</v>
      </c>
      <c r="Z83" s="427">
        <f t="shared" ca="1" si="6"/>
        <v>0</v>
      </c>
      <c r="AA83" s="426" t="str">
        <f t="shared" ca="1" si="7"/>
        <v/>
      </c>
      <c r="AB83" s="428">
        <f t="shared" ca="1" si="8"/>
        <v>2.6804617506916129E-3</v>
      </c>
      <c r="AC83" s="427" t="str">
        <f t="shared" ca="1" si="9"/>
        <v/>
      </c>
      <c r="AD83" s="227"/>
    </row>
    <row r="84" spans="1:30" customFormat="1" ht="15">
      <c r="A84" s="227"/>
      <c r="B84" s="276">
        <v>46</v>
      </c>
      <c r="C84" s="254" t="s">
        <v>134</v>
      </c>
      <c r="D84" s="255">
        <v>1</v>
      </c>
      <c r="E84" s="247"/>
      <c r="F84" s="232">
        <v>0.4</v>
      </c>
      <c r="G84" s="435">
        <v>100</v>
      </c>
      <c r="H84" s="386">
        <v>70</v>
      </c>
      <c r="I84" s="413"/>
      <c r="J84" s="413"/>
      <c r="K84" s="413"/>
      <c r="L84" s="413"/>
      <c r="M84" s="413"/>
      <c r="N84" s="452"/>
      <c r="O84" s="413"/>
      <c r="P84" s="413"/>
      <c r="Q84" s="413"/>
      <c r="R84" s="452"/>
      <c r="S84" s="443"/>
      <c r="T84" s="422" cm="1">
        <f t="array" aca="1" ref="T84:X84" ca="1">IF(AND($U$12,B108&lt;=$C$17,C108&lt;&gt;""),TRANSPOSE(INDEX(getcds(C108,$C$6,G108/10000,F108,D108,$C$13,$C$14,$C$15,$C$8,,,TRUE,TRUE,FALSE,$C$29:$C$31,$C$33),{1;2;3;4;5})),"")</f>
        <v>-2.4553058821005901E-2</v>
      </c>
      <c r="U84" s="423">
        <f ca="1"/>
        <v>2.0023740532652701E-2</v>
      </c>
      <c r="V84" s="423">
        <f ca="1"/>
        <v>4.4576799353658603E-2</v>
      </c>
      <c r="W84" s="424">
        <f ca="1"/>
        <v>4.4919646145499398E-3</v>
      </c>
      <c r="X84" s="425">
        <f ca="1"/>
        <v>4.45767993536586</v>
      </c>
      <c r="Y84" s="426">
        <f t="shared" ca="1" si="5"/>
        <v>0</v>
      </c>
      <c r="Z84" s="427">
        <f t="shared" ca="1" si="6"/>
        <v>0</v>
      </c>
      <c r="AA84" s="426" t="str">
        <f t="shared" ca="1" si="7"/>
        <v/>
      </c>
      <c r="AB84" s="428">
        <f t="shared" ca="1" si="8"/>
        <v>4.2673663838224424E-3</v>
      </c>
      <c r="AC84" s="427" t="str">
        <f t="shared" ca="1" si="9"/>
        <v/>
      </c>
      <c r="AD84" s="227"/>
    </row>
    <row r="85" spans="1:30" customFormat="1" ht="15">
      <c r="A85" s="227"/>
      <c r="B85" s="276">
        <v>47</v>
      </c>
      <c r="C85" s="254" t="s">
        <v>135</v>
      </c>
      <c r="D85" s="255">
        <v>1</v>
      </c>
      <c r="E85" s="247"/>
      <c r="F85" s="232">
        <v>0.4</v>
      </c>
      <c r="G85" s="435">
        <v>100</v>
      </c>
      <c r="H85" s="386">
        <v>71</v>
      </c>
      <c r="I85" s="413"/>
      <c r="J85" s="413"/>
      <c r="K85" s="413"/>
      <c r="L85" s="413"/>
      <c r="M85" s="413"/>
      <c r="N85" s="452"/>
      <c r="O85" s="413"/>
      <c r="P85" s="413"/>
      <c r="Q85" s="413"/>
      <c r="R85" s="452"/>
      <c r="S85" s="443"/>
      <c r="T85" s="422" cm="1">
        <f t="array" aca="1" ref="T85:X85" ca="1">IF(AND($U$12,B109&lt;=$C$17,C109&lt;&gt;""),TRANSPOSE(INDEX(getcds(C109,$C$6,G109/10000,F109,D109,$C$13,$C$14,$C$15,$C$8,,,TRUE,TRUE,FALSE,$C$29:$C$31,$C$33),{1;2;3;4;5})),"")</f>
        <v>-3.1665725833115402E-2</v>
      </c>
      <c r="U85" s="423">
        <f ca="1"/>
        <v>1.30978758830093E-2</v>
      </c>
      <c r="V85" s="423">
        <f ca="1"/>
        <v>4.4763601716124701E-2</v>
      </c>
      <c r="W85" s="424">
        <f ca="1"/>
        <v>2.92601028086871E-3</v>
      </c>
      <c r="X85" s="425">
        <f ca="1"/>
        <v>4.4763601716124697</v>
      </c>
      <c r="Y85" s="426">
        <f t="shared" ca="1" si="5"/>
        <v>0</v>
      </c>
      <c r="Z85" s="427">
        <f t="shared" ca="1" si="6"/>
        <v>0</v>
      </c>
      <c r="AA85" s="426" t="str">
        <f t="shared" ca="1" si="7"/>
        <v/>
      </c>
      <c r="AB85" s="428">
        <f t="shared" ca="1" si="8"/>
        <v>2.7797097668252743E-3</v>
      </c>
      <c r="AC85" s="427" t="str">
        <f t="shared" ca="1" si="9"/>
        <v/>
      </c>
      <c r="AD85" s="227"/>
    </row>
    <row r="86" spans="1:30" customFormat="1" ht="15">
      <c r="A86" s="227"/>
      <c r="B86" s="276">
        <v>48</v>
      </c>
      <c r="C86" s="254" t="s">
        <v>136</v>
      </c>
      <c r="D86" s="255">
        <v>1</v>
      </c>
      <c r="E86" s="247"/>
      <c r="F86" s="232">
        <v>0.4</v>
      </c>
      <c r="G86" s="435">
        <v>100</v>
      </c>
      <c r="H86" s="386">
        <v>72</v>
      </c>
      <c r="I86" s="413"/>
      <c r="J86" s="413"/>
      <c r="K86" s="413"/>
      <c r="L86" s="413"/>
      <c r="M86" s="413"/>
      <c r="N86" s="452"/>
      <c r="O86" s="413"/>
      <c r="P86" s="413"/>
      <c r="Q86" s="413"/>
      <c r="R86" s="452"/>
      <c r="S86" s="443"/>
      <c r="T86" s="422" cm="1">
        <f t="array" aca="1" ref="T86:X86" ca="1">IF(AND($U$12,B110&lt;=$C$17,C110&lt;&gt;""),TRANSPOSE(INDEX(getcds(C110,$C$6,G110/10000,F110,D110,$C$13,$C$14,$C$15,$C$8,,,TRUE,TRUE,FALSE,$C$29:$C$31,$C$33),{1;2;3;4;5})),"")</f>
        <v>-2.5972550544420402E-2</v>
      </c>
      <c r="U86" s="423">
        <f ca="1"/>
        <v>1.86453604907349E-2</v>
      </c>
      <c r="V86" s="423">
        <f ca="1"/>
        <v>4.4617911035155298E-2</v>
      </c>
      <c r="W86" s="424">
        <f ca="1"/>
        <v>4.1788958869105001E-3</v>
      </c>
      <c r="X86" s="425">
        <f ca="1"/>
        <v>4.4617911035155302</v>
      </c>
      <c r="Y86" s="426">
        <f t="shared" ca="1" si="5"/>
        <v>0</v>
      </c>
      <c r="Z86" s="427">
        <f t="shared" ca="1" si="6"/>
        <v>0</v>
      </c>
      <c r="AA86" s="426" t="str">
        <f t="shared" ca="1" si="7"/>
        <v/>
      </c>
      <c r="AB86" s="428">
        <f t="shared" ca="1" si="8"/>
        <v>3.969951092564975E-3</v>
      </c>
      <c r="AC86" s="427" t="str">
        <f t="shared" ca="1" si="9"/>
        <v/>
      </c>
      <c r="AD86" s="227"/>
    </row>
    <row r="87" spans="1:30" customFormat="1" ht="15">
      <c r="A87" s="227"/>
      <c r="B87" s="276">
        <v>49</v>
      </c>
      <c r="C87" s="254" t="s">
        <v>137</v>
      </c>
      <c r="D87" s="255">
        <v>1</v>
      </c>
      <c r="E87" s="247"/>
      <c r="F87" s="232">
        <v>0.4</v>
      </c>
      <c r="G87" s="435">
        <v>100</v>
      </c>
      <c r="H87" s="386">
        <v>73</v>
      </c>
      <c r="I87" s="413"/>
      <c r="J87" s="413"/>
      <c r="K87" s="413"/>
      <c r="L87" s="413"/>
      <c r="M87" s="413"/>
      <c r="N87" s="452"/>
      <c r="O87" s="413"/>
      <c r="P87" s="413"/>
      <c r="Q87" s="413"/>
      <c r="R87" s="452"/>
      <c r="S87" s="443"/>
      <c r="T87" s="422" cm="1">
        <f t="array" aca="1" ref="T87:X87" ca="1">IF(AND($U$12,B111&lt;=$C$17,C111&lt;&gt;""),TRANSPOSE(INDEX(getcds(C111,$C$6,G111/10000,F111,D111,$C$13,$C$14,$C$15,$C$8,,,TRUE,TRUE,FALSE,$C$29:$C$31,$C$33),{1;2;3;4;5})),"")</f>
        <v>-3.0228536885530202E-2</v>
      </c>
      <c r="U87" s="423">
        <f ca="1"/>
        <v>1.4483502791466801E-2</v>
      </c>
      <c r="V87" s="423">
        <f ca="1"/>
        <v>4.4712039676997002E-2</v>
      </c>
      <c r="W87" s="424">
        <f ca="1"/>
        <v>3.2392847421179299E-3</v>
      </c>
      <c r="X87" s="425">
        <f ca="1"/>
        <v>4.4712039676997</v>
      </c>
      <c r="Y87" s="426">
        <f t="shared" ca="1" si="5"/>
        <v>0</v>
      </c>
      <c r="Z87" s="427">
        <f t="shared" ca="1" si="6"/>
        <v>0</v>
      </c>
      <c r="AA87" s="426" t="str">
        <f t="shared" ca="1" si="7"/>
        <v/>
      </c>
      <c r="AB87" s="428">
        <f t="shared" ca="1" si="8"/>
        <v>3.0773205050120332E-3</v>
      </c>
      <c r="AC87" s="427" t="str">
        <f t="shared" ca="1" si="9"/>
        <v/>
      </c>
      <c r="AD87" s="227"/>
    </row>
    <row r="88" spans="1:30" customFormat="1" ht="15">
      <c r="A88" s="227"/>
      <c r="B88" s="276">
        <v>50</v>
      </c>
      <c r="C88" s="254" t="s">
        <v>138</v>
      </c>
      <c r="D88" s="255">
        <v>1</v>
      </c>
      <c r="E88" s="247"/>
      <c r="F88" s="232">
        <v>0.4</v>
      </c>
      <c r="G88" s="435">
        <v>100</v>
      </c>
      <c r="H88" s="386">
        <v>74</v>
      </c>
      <c r="I88" s="413"/>
      <c r="J88" s="413"/>
      <c r="K88" s="413"/>
      <c r="L88" s="413"/>
      <c r="M88" s="413"/>
      <c r="N88" s="452"/>
      <c r="O88" s="413"/>
      <c r="P88" s="413"/>
      <c r="Q88" s="413"/>
      <c r="R88" s="452"/>
      <c r="S88" s="443"/>
      <c r="T88" s="422" cm="1">
        <f t="array" aca="1" ref="T88:X88" ca="1">IF(AND($U$12,B112&lt;=$C$17,C112&lt;&gt;""),TRANSPOSE(INDEX(getcds(C112,$C$6,G112/10000,F112,D112,$C$13,$C$14,$C$15,$C$8,,,TRUE,TRUE,FALSE,$C$29:$C$31,$C$33),{1;2;3;4;5})),"")</f>
        <v>-2.5972641708895301E-2</v>
      </c>
      <c r="U88" s="423">
        <f ca="1"/>
        <v>1.86454120293463E-2</v>
      </c>
      <c r="V88" s="423">
        <f ca="1"/>
        <v>4.4618053738241598E-2</v>
      </c>
      <c r="W88" s="424">
        <f ca="1"/>
        <v>4.1788940725053497E-3</v>
      </c>
      <c r="X88" s="425">
        <f ca="1"/>
        <v>4.4618053738241601</v>
      </c>
      <c r="Y88" s="426">
        <f t="shared" ca="1" si="5"/>
        <v>0</v>
      </c>
      <c r="Z88" s="427">
        <f t="shared" ca="1" si="6"/>
        <v>0</v>
      </c>
      <c r="AA88" s="426" t="str">
        <f t="shared" ca="1" si="7"/>
        <v/>
      </c>
      <c r="AB88" s="428">
        <f t="shared" ca="1" si="8"/>
        <v>3.9699493688800823E-3</v>
      </c>
      <c r="AC88" s="427" t="str">
        <f t="shared" ca="1" si="9"/>
        <v/>
      </c>
      <c r="AD88" s="227"/>
    </row>
    <row r="89" spans="1:30" customFormat="1" ht="15">
      <c r="A89" s="227"/>
      <c r="B89" s="276">
        <v>51</v>
      </c>
      <c r="C89" s="254" t="s">
        <v>139</v>
      </c>
      <c r="D89" s="255">
        <v>1</v>
      </c>
      <c r="E89" s="247"/>
      <c r="F89" s="232">
        <v>0.4</v>
      </c>
      <c r="G89" s="435">
        <v>100</v>
      </c>
      <c r="H89" s="386">
        <v>75</v>
      </c>
      <c r="I89" s="413"/>
      <c r="J89" s="413"/>
      <c r="K89" s="413"/>
      <c r="L89" s="413"/>
      <c r="M89" s="413"/>
      <c r="N89" s="452"/>
      <c r="O89" s="413"/>
      <c r="P89" s="413"/>
      <c r="Q89" s="413"/>
      <c r="R89" s="452"/>
      <c r="S89" s="443"/>
      <c r="T89" s="422" cm="1">
        <f t="array" aca="1" ref="T89:X89" ca="1">IF(AND($U$12,B113&lt;=$C$17,C113&lt;&gt;""),TRANSPOSE(INDEX(getcds(C113,$C$6,G113/10000,F113,D113,$C$13,$C$14,$C$15,$C$8,,,TRUE,TRUE,FALSE,$C$29:$C$31,$C$33),{1;2;3;4;5})),"")</f>
        <v>-2.7327649054500799E-2</v>
      </c>
      <c r="U89" s="423">
        <f ca="1"/>
        <v>1.7223258931339299E-2</v>
      </c>
      <c r="V89" s="423">
        <f ca="1"/>
        <v>4.4550907985840098E-2</v>
      </c>
      <c r="W89" s="424">
        <f ca="1"/>
        <v>3.8659725940520598E-3</v>
      </c>
      <c r="X89" s="425">
        <f ca="1"/>
        <v>4.4550907985840098</v>
      </c>
      <c r="Y89" s="426">
        <f t="shared" ca="1" si="5"/>
        <v>0</v>
      </c>
      <c r="Z89" s="427">
        <f t="shared" ca="1" si="6"/>
        <v>0</v>
      </c>
      <c r="AA89" s="426" t="str">
        <f t="shared" ca="1" si="7"/>
        <v/>
      </c>
      <c r="AB89" s="428">
        <f t="shared" ca="1" si="8"/>
        <v>3.6726739643494566E-3</v>
      </c>
      <c r="AC89" s="427" t="str">
        <f t="shared" ca="1" si="9"/>
        <v/>
      </c>
      <c r="AD89" s="227"/>
    </row>
    <row r="90" spans="1:30" customFormat="1" ht="15">
      <c r="A90" s="227"/>
      <c r="B90" s="276">
        <v>52</v>
      </c>
      <c r="C90" s="254" t="s">
        <v>140</v>
      </c>
      <c r="D90" s="255">
        <v>1</v>
      </c>
      <c r="E90" s="247"/>
      <c r="F90" s="232">
        <v>0.4</v>
      </c>
      <c r="G90" s="435">
        <v>100</v>
      </c>
      <c r="H90" s="386">
        <v>76</v>
      </c>
      <c r="I90" s="413"/>
      <c r="J90" s="413"/>
      <c r="K90" s="413"/>
      <c r="L90" s="413"/>
      <c r="M90" s="413"/>
      <c r="N90" s="452"/>
      <c r="O90" s="413"/>
      <c r="P90" s="413"/>
      <c r="Q90" s="413"/>
      <c r="R90" s="452"/>
      <c r="S90" s="443"/>
      <c r="T90" s="422" cm="1">
        <f t="array" aca="1" ref="T90:X90" ca="1">IF(AND($U$12,B114&lt;=$C$17,C114&lt;&gt;""),TRANSPOSE(INDEX(getcds(C114,$C$6,G114/10000,F114,D114,$C$13,$C$14,$C$15,$C$8,,,TRUE,TRUE,FALSE,$C$29:$C$31,$C$33),{1;2;3;4;5})),"")</f>
        <v>-3.11406187928106E-2</v>
      </c>
      <c r="U90" s="423">
        <f ca="1"/>
        <v>1.3541046682259099E-2</v>
      </c>
      <c r="V90" s="423">
        <f ca="1"/>
        <v>4.4681665475069701E-2</v>
      </c>
      <c r="W90" s="424">
        <f ca="1"/>
        <v>3.0305599709156699E-3</v>
      </c>
      <c r="X90" s="425">
        <f ca="1"/>
        <v>4.4681665475069696</v>
      </c>
      <c r="Y90" s="426">
        <f t="shared" ca="1" si="5"/>
        <v>0</v>
      </c>
      <c r="Z90" s="427">
        <f t="shared" ca="1" si="6"/>
        <v>0</v>
      </c>
      <c r="AA90" s="426" t="str">
        <f t="shared" ca="1" si="7"/>
        <v/>
      </c>
      <c r="AB90" s="428">
        <f t="shared" ca="1" si="8"/>
        <v>2.8790319723698862E-3</v>
      </c>
      <c r="AC90" s="427" t="str">
        <f t="shared" ca="1" si="9"/>
        <v/>
      </c>
      <c r="AD90" s="227"/>
    </row>
    <row r="91" spans="1:30" customFormat="1" ht="15">
      <c r="A91" s="227"/>
      <c r="B91" s="276">
        <v>53</v>
      </c>
      <c r="C91" s="254" t="s">
        <v>141</v>
      </c>
      <c r="D91" s="255">
        <v>1</v>
      </c>
      <c r="E91" s="247"/>
      <c r="F91" s="232">
        <v>0.4</v>
      </c>
      <c r="G91" s="435">
        <v>100</v>
      </c>
      <c r="H91" s="386">
        <v>77</v>
      </c>
      <c r="I91" s="413"/>
      <c r="J91" s="413"/>
      <c r="K91" s="413"/>
      <c r="L91" s="413"/>
      <c r="M91" s="413"/>
      <c r="N91" s="452"/>
      <c r="O91" s="413"/>
      <c r="P91" s="413"/>
      <c r="Q91" s="413"/>
      <c r="R91" s="452"/>
      <c r="S91" s="443"/>
      <c r="T91" s="422" cm="1">
        <f t="array" aca="1" ref="T91:X91" ca="1">IF(AND($U$12,B115&lt;=$C$17,C115&lt;&gt;""),TRANSPOSE(INDEX(getcds(C115,$C$6,G115/10000,F115,D115,$C$13,$C$14,$C$15,$C$8,,,TRUE,TRUE,FALSE,$C$29:$C$31,$C$33),{1;2;3;4;5})),"")</f>
        <v>-2.9286990346542099E-2</v>
      </c>
      <c r="U91" s="423">
        <f ca="1"/>
        <v>1.54132247736675E-2</v>
      </c>
      <c r="V91" s="423">
        <f ca="1"/>
        <v>4.4700215120209601E-2</v>
      </c>
      <c r="W91" s="424">
        <f ca="1"/>
        <v>3.4481321246928299E-3</v>
      </c>
      <c r="X91" s="425">
        <f ca="1"/>
        <v>4.4700215120209599</v>
      </c>
      <c r="Y91" s="426">
        <f t="shared" ca="1" si="5"/>
        <v>0</v>
      </c>
      <c r="Z91" s="427">
        <f t="shared" ca="1" si="6"/>
        <v>0</v>
      </c>
      <c r="AA91" s="426" t="str">
        <f t="shared" ca="1" si="7"/>
        <v/>
      </c>
      <c r="AB91" s="428">
        <f t="shared" ca="1" si="8"/>
        <v>3.275725518458188E-3</v>
      </c>
      <c r="AC91" s="427" t="str">
        <f t="shared" ca="1" si="9"/>
        <v/>
      </c>
      <c r="AD91" s="227"/>
    </row>
    <row r="92" spans="1:30" customFormat="1" ht="15">
      <c r="A92" s="227"/>
      <c r="B92" s="276">
        <v>54</v>
      </c>
      <c r="C92" s="254" t="s">
        <v>142</v>
      </c>
      <c r="D92" s="255">
        <v>1</v>
      </c>
      <c r="E92" s="247"/>
      <c r="F92" s="232">
        <v>0.4</v>
      </c>
      <c r="G92" s="435">
        <v>100</v>
      </c>
      <c r="H92" s="386">
        <v>78</v>
      </c>
      <c r="I92" s="413"/>
      <c r="J92" s="413"/>
      <c r="K92" s="413"/>
      <c r="L92" s="413"/>
      <c r="M92" s="413"/>
      <c r="N92" s="452"/>
      <c r="O92" s="413"/>
      <c r="P92" s="413"/>
      <c r="Q92" s="413"/>
      <c r="R92" s="452"/>
      <c r="S92" s="443"/>
      <c r="T92" s="422" cm="1">
        <f t="array" aca="1" ref="T92:X92" ca="1">IF(AND($U$12,B116&lt;=$C$17,C116&lt;&gt;""),TRANSPOSE(INDEX(getcds(C116,$C$6,G116/10000,F116,D116,$C$13,$C$14,$C$15,$C$8,,,TRUE,TRUE,FALSE,$C$29:$C$31,$C$33),{1;2;3;4;5})),"")</f>
        <v>-1.6567358137341202E-2</v>
      </c>
      <c r="U92" s="423">
        <f ca="1"/>
        <v>2.7796622866633602E-2</v>
      </c>
      <c r="V92" s="423">
        <f ca="1"/>
        <v>4.4363981003974803E-2</v>
      </c>
      <c r="W92" s="424">
        <f ca="1"/>
        <v>6.2655835291569404E-3</v>
      </c>
      <c r="X92" s="425">
        <f ca="1"/>
        <v>4.4363981003974802</v>
      </c>
      <c r="Y92" s="426">
        <f t="shared" ca="1" si="5"/>
        <v>0</v>
      </c>
      <c r="Z92" s="427">
        <f t="shared" ca="1" si="6"/>
        <v>0</v>
      </c>
      <c r="AA92" s="426" t="str">
        <f t="shared" ca="1" si="7"/>
        <v/>
      </c>
      <c r="AB92" s="428">
        <f t="shared" ca="1" si="8"/>
        <v>5.9523043526990933E-3</v>
      </c>
      <c r="AC92" s="427" t="str">
        <f t="shared" ca="1" si="9"/>
        <v/>
      </c>
      <c r="AD92" s="227"/>
    </row>
    <row r="93" spans="1:30" customFormat="1" ht="15">
      <c r="A93" s="227"/>
      <c r="B93" s="276">
        <v>55</v>
      </c>
      <c r="C93" s="254" t="s">
        <v>143</v>
      </c>
      <c r="D93" s="255">
        <v>1</v>
      </c>
      <c r="E93" s="247"/>
      <c r="F93" s="232">
        <v>0.4</v>
      </c>
      <c r="G93" s="435">
        <v>100</v>
      </c>
      <c r="H93" s="386">
        <v>79</v>
      </c>
      <c r="I93" s="413"/>
      <c r="J93" s="413"/>
      <c r="K93" s="413"/>
      <c r="L93" s="413"/>
      <c r="M93" s="413"/>
      <c r="N93" s="452"/>
      <c r="O93" s="413"/>
      <c r="P93" s="413"/>
      <c r="Q93" s="413"/>
      <c r="R93" s="452"/>
      <c r="S93" s="443"/>
      <c r="T93" s="422" cm="1">
        <f t="array" aca="1" ref="T93:X93" ca="1">IF(AND($U$12,B117&lt;=$C$17,C117&lt;&gt;""),TRANSPOSE(INDEX(getcds(C117,$C$6,G117/10000,F117,D117,$C$13,$C$14,$C$15,$C$8,,,TRUE,TRUE,FALSE,$C$29:$C$31,$C$33),{1;2;3;4;5})),"")</f>
        <v>-2.8817854353010999E-2</v>
      </c>
      <c r="U93" s="423">
        <f ca="1"/>
        <v>1.58782412366342E-2</v>
      </c>
      <c r="V93" s="423">
        <f ca="1"/>
        <v>4.4696095589645199E-2</v>
      </c>
      <c r="W93" s="424">
        <f ca="1"/>
        <v>3.5524895468302901E-3</v>
      </c>
      <c r="X93" s="425">
        <f ca="1"/>
        <v>4.4696095589645202</v>
      </c>
      <c r="Y93" s="426">
        <f t="shared" ca="1" si="5"/>
        <v>0</v>
      </c>
      <c r="Z93" s="427">
        <f t="shared" ca="1" si="6"/>
        <v>0</v>
      </c>
      <c r="AA93" s="426" t="str">
        <f t="shared" ca="1" si="7"/>
        <v/>
      </c>
      <c r="AB93" s="428">
        <f t="shared" ca="1" si="8"/>
        <v>3.3748650694887753E-3</v>
      </c>
      <c r="AC93" s="427" t="str">
        <f t="shared" ca="1" si="9"/>
        <v/>
      </c>
      <c r="AD93" s="227"/>
    </row>
    <row r="94" spans="1:30" customFormat="1" ht="15">
      <c r="A94" s="227"/>
      <c r="B94" s="276">
        <v>56</v>
      </c>
      <c r="C94" s="254" t="s">
        <v>144</v>
      </c>
      <c r="D94" s="255">
        <v>1</v>
      </c>
      <c r="E94" s="247"/>
      <c r="F94" s="232">
        <v>0.4</v>
      </c>
      <c r="G94" s="435">
        <v>100</v>
      </c>
      <c r="H94" s="386">
        <v>80</v>
      </c>
      <c r="I94" s="413"/>
      <c r="J94" s="413"/>
      <c r="K94" s="413"/>
      <c r="L94" s="413"/>
      <c r="M94" s="413"/>
      <c r="N94" s="452"/>
      <c r="O94" s="413"/>
      <c r="P94" s="413"/>
      <c r="Q94" s="413"/>
      <c r="R94" s="452"/>
      <c r="S94" s="443"/>
      <c r="T94" s="422" cm="1">
        <f t="array" aca="1" ref="T94:X94" ca="1">IF(AND($U$12,B118&lt;=$C$17,C118&lt;&gt;""),TRANSPOSE(INDEX(getcds(C118,$C$6,G118/10000,F118,D118,$C$13,$C$14,$C$15,$C$8,,,TRUE,TRUE,FALSE,$C$29:$C$31,$C$33),{1;2;3;4;5})),"")</f>
        <v>-2.7394820617765901E-2</v>
      </c>
      <c r="U94" s="423">
        <f ca="1"/>
        <v>1.72638796764066E-2</v>
      </c>
      <c r="V94" s="423">
        <f ca="1"/>
        <v>4.4658700294172501E-2</v>
      </c>
      <c r="W94" s="424">
        <f ca="1"/>
        <v>3.8657371492424198E-3</v>
      </c>
      <c r="X94" s="425">
        <f ca="1"/>
        <v>4.4658700294172498</v>
      </c>
      <c r="Y94" s="426">
        <f t="shared" ca="1" si="5"/>
        <v>0</v>
      </c>
      <c r="Z94" s="427">
        <f t="shared" ca="1" si="6"/>
        <v>0</v>
      </c>
      <c r="AA94" s="426" t="str">
        <f t="shared" ca="1" si="7"/>
        <v/>
      </c>
      <c r="AB94" s="428">
        <f t="shared" ca="1" si="8"/>
        <v>3.6724502917802986E-3</v>
      </c>
      <c r="AC94" s="427" t="str">
        <f t="shared" ca="1" si="9"/>
        <v/>
      </c>
      <c r="AD94" s="227"/>
    </row>
    <row r="95" spans="1:30" customFormat="1" ht="15">
      <c r="A95" s="227"/>
      <c r="B95" s="276">
        <v>57</v>
      </c>
      <c r="C95" s="254" t="s">
        <v>145</v>
      </c>
      <c r="D95" s="255">
        <v>1</v>
      </c>
      <c r="E95" s="247"/>
      <c r="F95" s="232">
        <v>0.4</v>
      </c>
      <c r="G95" s="435">
        <v>100</v>
      </c>
      <c r="H95" s="386">
        <v>81</v>
      </c>
      <c r="I95" s="413"/>
      <c r="J95" s="413"/>
      <c r="K95" s="413"/>
      <c r="L95" s="413"/>
      <c r="M95" s="413"/>
      <c r="N95" s="452"/>
      <c r="O95" s="413"/>
      <c r="P95" s="413"/>
      <c r="Q95" s="413"/>
      <c r="R95" s="452"/>
      <c r="S95" s="443"/>
      <c r="T95" s="422" cm="1">
        <f t="array" aca="1" ref="T95:X95" ca="1">IF(AND($U$12,B119&lt;=$C$17,C119&lt;&gt;""),TRANSPOSE(INDEX(getcds(C119,$C$6,G119/10000,F119,D119,$C$13,$C$14,$C$15,$C$8,,,TRUE,TRUE,FALSE,$C$29:$C$31,$C$33),{1;2;3;4;5})),"")</f>
        <v>-3.2145810249686602E-2</v>
      </c>
      <c r="U95" s="423">
        <f ca="1"/>
        <v>1.26352798447898E-2</v>
      </c>
      <c r="V95" s="423">
        <f ca="1"/>
        <v>4.4781090094476401E-2</v>
      </c>
      <c r="W95" s="424">
        <f ca="1"/>
        <v>2.82156593734826E-3</v>
      </c>
      <c r="X95" s="425">
        <f ca="1"/>
        <v>4.4781090094476399</v>
      </c>
      <c r="Y95" s="426">
        <f t="shared" ca="1" si="5"/>
        <v>0</v>
      </c>
      <c r="Z95" s="427">
        <f t="shared" ca="1" si="6"/>
        <v>0</v>
      </c>
      <c r="AA95" s="426" t="str">
        <f t="shared" ca="1" si="7"/>
        <v/>
      </c>
      <c r="AB95" s="428">
        <f t="shared" ca="1" si="8"/>
        <v>2.6804876404808468E-3</v>
      </c>
      <c r="AC95" s="427" t="str">
        <f t="shared" ca="1" si="9"/>
        <v/>
      </c>
      <c r="AD95" s="227"/>
    </row>
    <row r="96" spans="1:30" customFormat="1" ht="15">
      <c r="A96" s="227"/>
      <c r="B96" s="276">
        <v>58</v>
      </c>
      <c r="C96" s="254" t="s">
        <v>146</v>
      </c>
      <c r="D96" s="255">
        <v>1</v>
      </c>
      <c r="E96" s="247"/>
      <c r="F96" s="232">
        <v>0.4</v>
      </c>
      <c r="G96" s="435">
        <v>100</v>
      </c>
      <c r="H96" s="386">
        <v>82</v>
      </c>
      <c r="I96" s="413"/>
      <c r="J96" s="413"/>
      <c r="K96" s="413"/>
      <c r="L96" s="413"/>
      <c r="M96" s="413"/>
      <c r="N96" s="452"/>
      <c r="O96" s="413"/>
      <c r="P96" s="413"/>
      <c r="Q96" s="413"/>
      <c r="R96" s="452"/>
      <c r="S96" s="443"/>
      <c r="T96" s="422" cm="1">
        <f t="array" aca="1" ref="T96:X96" ca="1">IF(AND($U$12,B120&lt;=$C$17,C120&lt;&gt;""),TRANSPOSE(INDEX(getcds(C120,$C$6,G120/10000,F120,D120,$C$13,$C$14,$C$15,$C$8,,,TRUE,TRUE,FALSE,$C$29:$C$31,$C$33),{1;2;3;4;5})),"")</f>
        <v>-1.28325258131435E-2</v>
      </c>
      <c r="U96" s="423">
        <f ca="1"/>
        <v>3.1415042183059197E-2</v>
      </c>
      <c r="V96" s="423">
        <f ca="1"/>
        <v>4.4247567996202698E-2</v>
      </c>
      <c r="W96" s="424">
        <f ca="1"/>
        <v>7.0998347718806204E-3</v>
      </c>
      <c r="X96" s="425">
        <f ca="1"/>
        <v>4.4247567996202699</v>
      </c>
      <c r="Y96" s="426">
        <f t="shared" ca="1" si="5"/>
        <v>0</v>
      </c>
      <c r="Z96" s="427">
        <f t="shared" ca="1" si="6"/>
        <v>0</v>
      </c>
      <c r="AA96" s="426" t="str">
        <f t="shared" ca="1" si="7"/>
        <v/>
      </c>
      <c r="AB96" s="428">
        <f t="shared" ca="1" si="8"/>
        <v>6.7448430332865891E-3</v>
      </c>
      <c r="AC96" s="427" t="str">
        <f t="shared" ca="1" si="9"/>
        <v/>
      </c>
      <c r="AD96" s="227"/>
    </row>
    <row r="97" spans="1:30" customFormat="1" ht="15">
      <c r="A97" s="227"/>
      <c r="B97" s="276">
        <v>59</v>
      </c>
      <c r="C97" s="254" t="s">
        <v>147</v>
      </c>
      <c r="D97" s="255">
        <v>1</v>
      </c>
      <c r="E97" s="247"/>
      <c r="F97" s="232">
        <v>0.4</v>
      </c>
      <c r="G97" s="435">
        <v>100</v>
      </c>
      <c r="H97" s="386">
        <v>83</v>
      </c>
      <c r="I97" s="413"/>
      <c r="J97" s="413"/>
      <c r="K97" s="413"/>
      <c r="L97" s="413"/>
      <c r="M97" s="413"/>
      <c r="N97" s="452"/>
      <c r="O97" s="413"/>
      <c r="P97" s="413"/>
      <c r="Q97" s="413"/>
      <c r="R97" s="452"/>
      <c r="S97" s="443"/>
      <c r="T97" s="422" cm="1">
        <f t="array" aca="1" ref="T97:X97" ca="1">IF(AND($U$12,B121&lt;=$C$17,C121&lt;&gt;""),TRANSPOSE(INDEX(getcds(C121,$C$6,G121/10000,F121,D121,$C$13,$C$14,$C$15,$C$8,,,TRUE,TRUE,FALSE,$C$29:$C$31,$C$33),{1;2;3;4;5})),"")</f>
        <v>-2.2203394763521799E-2</v>
      </c>
      <c r="U97" s="423">
        <f ca="1"/>
        <v>2.23252918690444E-2</v>
      </c>
      <c r="V97" s="423">
        <f ca="1"/>
        <v>4.4528686632566199E-2</v>
      </c>
      <c r="W97" s="424">
        <f ca="1"/>
        <v>5.0136874804469801E-3</v>
      </c>
      <c r="X97" s="425">
        <f ca="1"/>
        <v>4.4528686632566199</v>
      </c>
      <c r="Y97" s="426">
        <f t="shared" ca="1" si="5"/>
        <v>0</v>
      </c>
      <c r="Z97" s="427">
        <f t="shared" ca="1" si="6"/>
        <v>0</v>
      </c>
      <c r="AA97" s="426" t="str">
        <f t="shared" ca="1" si="7"/>
        <v/>
      </c>
      <c r="AB97" s="428">
        <f t="shared" ca="1" si="8"/>
        <v>4.7630031064246313E-3</v>
      </c>
      <c r="AC97" s="427" t="str">
        <f t="shared" ca="1" si="9"/>
        <v/>
      </c>
      <c r="AD97" s="227"/>
    </row>
    <row r="98" spans="1:30" customFormat="1" ht="15">
      <c r="A98" s="227"/>
      <c r="B98" s="276">
        <v>60</v>
      </c>
      <c r="C98" s="254" t="s">
        <v>148</v>
      </c>
      <c r="D98" s="255">
        <v>1</v>
      </c>
      <c r="E98" s="247"/>
      <c r="F98" s="232">
        <v>0.4</v>
      </c>
      <c r="G98" s="435">
        <v>100</v>
      </c>
      <c r="H98" s="386">
        <v>84</v>
      </c>
      <c r="I98" s="413"/>
      <c r="J98" s="413"/>
      <c r="K98" s="413"/>
      <c r="L98" s="413"/>
      <c r="M98" s="413"/>
      <c r="N98" s="452"/>
      <c r="O98" s="413"/>
      <c r="P98" s="413"/>
      <c r="Q98" s="413"/>
      <c r="R98" s="452"/>
      <c r="S98" s="443"/>
      <c r="T98" s="422" cm="1">
        <f t="array" aca="1" ref="T98:X98" ca="1">IF(AND($U$12,B122&lt;=$C$17,C122&lt;&gt;""),TRANSPOSE(INDEX(getcds(C122,$C$6,G122/10000,F122,D122,$C$13,$C$14,$C$15,$C$8,,,TRUE,TRUE,FALSE,$C$29:$C$31,$C$33),{1;2;3;4;5})),"")</f>
        <v>-3.07179752808013E-2</v>
      </c>
      <c r="U98" s="423">
        <f ca="1"/>
        <v>1.4026779548608301E-2</v>
      </c>
      <c r="V98" s="423">
        <f ca="1"/>
        <v>4.4744754829409601E-2</v>
      </c>
      <c r="W98" s="424">
        <f ca="1"/>
        <v>3.13484331338628E-3</v>
      </c>
      <c r="X98" s="425">
        <f ca="1"/>
        <v>4.4744754829409601</v>
      </c>
      <c r="Y98" s="426">
        <f t="shared" ca="1" si="5"/>
        <v>0</v>
      </c>
      <c r="Z98" s="427">
        <f t="shared" ca="1" si="6"/>
        <v>0</v>
      </c>
      <c r="AA98" s="426" t="str">
        <f t="shared" ca="1" si="7"/>
        <v/>
      </c>
      <c r="AB98" s="428">
        <f t="shared" ca="1" si="8"/>
        <v>2.9781011477169658E-3</v>
      </c>
      <c r="AC98" s="427" t="str">
        <f t="shared" ca="1" si="9"/>
        <v/>
      </c>
      <c r="AD98" s="227"/>
    </row>
    <row r="99" spans="1:30" customFormat="1" ht="15">
      <c r="A99" s="227"/>
      <c r="B99" s="276">
        <v>61</v>
      </c>
      <c r="C99" s="254" t="s">
        <v>149</v>
      </c>
      <c r="D99" s="255">
        <v>1</v>
      </c>
      <c r="E99" s="247"/>
      <c r="F99" s="232">
        <v>0.4</v>
      </c>
      <c r="G99" s="435">
        <v>100</v>
      </c>
      <c r="H99" s="386">
        <v>85</v>
      </c>
      <c r="I99" s="413"/>
      <c r="J99" s="413"/>
      <c r="K99" s="413"/>
      <c r="L99" s="413"/>
      <c r="M99" s="413"/>
      <c r="N99" s="452"/>
      <c r="O99" s="413"/>
      <c r="P99" s="413"/>
      <c r="Q99" s="413"/>
      <c r="R99" s="452"/>
      <c r="S99" s="443"/>
      <c r="T99" s="422" cm="1">
        <f t="array" aca="1" ref="T99:X99" ca="1">IF(AND($U$12,B123&lt;=$C$17,C123&lt;&gt;""),TRANSPOSE(INDEX(getcds(C123,$C$6,G123/10000,F123,D123,$C$13,$C$14,$C$15,$C$8,,,TRUE,TRUE,FALSE,$C$29:$C$31,$C$33),{1;2;3;4;5})),"")</f>
        <v>-2.7393315216495E-2</v>
      </c>
      <c r="U99" s="423">
        <f ca="1"/>
        <v>1.7262859544982599E-2</v>
      </c>
      <c r="V99" s="423">
        <f ca="1"/>
        <v>4.4656174761477603E-2</v>
      </c>
      <c r="W99" s="424">
        <f ca="1"/>
        <v>3.8657273349517402E-3</v>
      </c>
      <c r="X99" s="425">
        <f ca="1"/>
        <v>4.4656174761477603</v>
      </c>
      <c r="Y99" s="426">
        <f t="shared" ca="1" si="5"/>
        <v>0</v>
      </c>
      <c r="Z99" s="427">
        <f t="shared" ca="1" si="6"/>
        <v>0</v>
      </c>
      <c r="AA99" s="426" t="str">
        <f t="shared" ca="1" si="7"/>
        <v/>
      </c>
      <c r="AB99" s="428">
        <f t="shared" ca="1" si="8"/>
        <v>3.672440968204153E-3</v>
      </c>
      <c r="AC99" s="427" t="str">
        <f t="shared" ca="1" si="9"/>
        <v/>
      </c>
      <c r="AD99" s="227"/>
    </row>
    <row r="100" spans="1:30" customFormat="1" ht="15">
      <c r="A100" s="227"/>
      <c r="B100" s="276">
        <v>62</v>
      </c>
      <c r="C100" s="254" t="s">
        <v>150</v>
      </c>
      <c r="D100" s="255">
        <v>1</v>
      </c>
      <c r="E100" s="247"/>
      <c r="F100" s="232">
        <v>0.4</v>
      </c>
      <c r="G100" s="435">
        <v>100</v>
      </c>
      <c r="H100" s="386">
        <v>86</v>
      </c>
      <c r="I100" s="413"/>
      <c r="J100" s="413"/>
      <c r="K100" s="413"/>
      <c r="L100" s="413"/>
      <c r="M100" s="413"/>
      <c r="N100" s="452"/>
      <c r="O100" s="413"/>
      <c r="P100" s="413"/>
      <c r="Q100" s="413"/>
      <c r="R100" s="452"/>
      <c r="S100" s="443"/>
      <c r="T100" s="422" cm="1">
        <f t="array" aca="1" ref="T100:X100" ca="1">IF(AND($U$12,B124&lt;=$C$17,C124&lt;&gt;""),TRANSPOSE(INDEX(getcds(C124,$C$6,G124/10000,F124,D124,$C$13,$C$14,$C$15,$C$8,,,TRUE,TRUE,FALSE,$C$29:$C$31,$C$33),{1;2;3;4;5})),"")</f>
        <v>-2.2173410466605301E-2</v>
      </c>
      <c r="U100" s="423">
        <f ca="1"/>
        <v>2.2296701654379799E-2</v>
      </c>
      <c r="V100" s="423">
        <f ca="1"/>
        <v>4.4470112120985103E-2</v>
      </c>
      <c r="W100" s="424">
        <f ca="1"/>
        <v>5.0138622528586203E-3</v>
      </c>
      <c r="X100" s="425">
        <f ca="1"/>
        <v>4.4470112120985101</v>
      </c>
      <c r="Y100" s="426">
        <f t="shared" ca="1" si="5"/>
        <v>0</v>
      </c>
      <c r="Z100" s="427">
        <f t="shared" ca="1" si="6"/>
        <v>0</v>
      </c>
      <c r="AA100" s="426" t="str">
        <f t="shared" ca="1" si="7"/>
        <v/>
      </c>
      <c r="AB100" s="428">
        <f t="shared" ca="1" si="8"/>
        <v>4.7631691402156891E-3</v>
      </c>
      <c r="AC100" s="427" t="str">
        <f t="shared" ca="1" si="9"/>
        <v/>
      </c>
      <c r="AD100" s="227"/>
    </row>
    <row r="101" spans="1:30" customFormat="1" ht="15">
      <c r="A101" s="227"/>
      <c r="B101" s="276">
        <v>63</v>
      </c>
      <c r="C101" s="254" t="s">
        <v>151</v>
      </c>
      <c r="D101" s="255">
        <v>1</v>
      </c>
      <c r="E101" s="247"/>
      <c r="F101" s="232">
        <v>0.4</v>
      </c>
      <c r="G101" s="435">
        <v>100</v>
      </c>
      <c r="H101" s="386">
        <v>87</v>
      </c>
      <c r="I101" s="413"/>
      <c r="J101" s="413"/>
      <c r="K101" s="413"/>
      <c r="L101" s="413"/>
      <c r="M101" s="413"/>
      <c r="N101" s="452"/>
      <c r="O101" s="413"/>
      <c r="P101" s="413"/>
      <c r="Q101" s="413"/>
      <c r="R101" s="452"/>
      <c r="S101" s="443"/>
      <c r="T101" s="422" cm="1">
        <f t="array" aca="1" ref="T101:X101" ca="1">IF(AND($U$12,B125&lt;=$C$17,C125&lt;&gt;""),TRANSPOSE(INDEX(getcds(C125,$C$6,G125/10000,F125,D125,$C$13,$C$14,$C$15,$C$8,,,TRUE,TRUE,FALSE,$C$29:$C$31,$C$33),{1;2;3;4;5})),"")</f>
        <v>-3.50130773102202E-2</v>
      </c>
      <c r="U101" s="423">
        <f ca="1"/>
        <v>9.8458244331517102E-3</v>
      </c>
      <c r="V101" s="423">
        <f ca="1"/>
        <v>4.4858901743371898E-2</v>
      </c>
      <c r="W101" s="424">
        <f ca="1"/>
        <v>2.1948429521252101E-3</v>
      </c>
      <c r="X101" s="425">
        <f ca="1"/>
        <v>4.4858901743371904</v>
      </c>
      <c r="Y101" s="426">
        <f t="shared" ca="1" si="5"/>
        <v>0</v>
      </c>
      <c r="Z101" s="427">
        <f t="shared" ca="1" si="6"/>
        <v>0</v>
      </c>
      <c r="AA101" s="426" t="str">
        <f t="shared" ca="1" si="7"/>
        <v/>
      </c>
      <c r="AB101" s="428">
        <f t="shared" ca="1" si="8"/>
        <v>2.0851008045189496E-3</v>
      </c>
      <c r="AC101" s="427" t="str">
        <f t="shared" ca="1" si="9"/>
        <v/>
      </c>
      <c r="AD101" s="227"/>
    </row>
    <row r="102" spans="1:30" customFormat="1" ht="15">
      <c r="A102" s="227"/>
      <c r="B102" s="276">
        <v>64</v>
      </c>
      <c r="C102" s="254" t="s">
        <v>152</v>
      </c>
      <c r="D102" s="255">
        <v>1</v>
      </c>
      <c r="E102" s="247"/>
      <c r="F102" s="232">
        <v>0.4</v>
      </c>
      <c r="G102" s="435">
        <v>100</v>
      </c>
      <c r="H102" s="386">
        <v>88</v>
      </c>
      <c r="I102" s="413"/>
      <c r="J102" s="413"/>
      <c r="K102" s="413"/>
      <c r="L102" s="413"/>
      <c r="M102" s="413"/>
      <c r="N102" s="452"/>
      <c r="O102" s="413"/>
      <c r="P102" s="413"/>
      <c r="Q102" s="413"/>
      <c r="R102" s="452"/>
      <c r="S102" s="443"/>
      <c r="T102" s="422" cm="1">
        <f t="array" aca="1" ref="T102:X102" ca="1">IF(AND($U$12,B126&lt;=$C$17,C126&lt;&gt;""),TRANSPOSE(INDEX(getcds(C126,$C$6,G126/10000,F126,D126,$C$13,$C$14,$C$15,$C$8,,,TRUE,TRUE,FALSE,$C$29:$C$31,$C$33),{1;2;3;4;5})),"")</f>
        <v>-2.4956767751828798E-2</v>
      </c>
      <c r="U102" s="423">
        <f ca="1"/>
        <v>1.9513334517012201E-2</v>
      </c>
      <c r="V102" s="423">
        <f ca="1"/>
        <v>4.4470102268841002E-2</v>
      </c>
      <c r="W102" s="424">
        <f ca="1"/>
        <v>4.3879670883250196E-3</v>
      </c>
      <c r="X102" s="425">
        <f ca="1"/>
        <v>4.4470102268840996</v>
      </c>
      <c r="Y102" s="426">
        <f t="shared" ca="1" si="5"/>
        <v>0</v>
      </c>
      <c r="Z102" s="427">
        <f t="shared" ca="1" si="6"/>
        <v>0</v>
      </c>
      <c r="AA102" s="426" t="str">
        <f t="shared" ca="1" si="7"/>
        <v/>
      </c>
      <c r="AB102" s="428">
        <f t="shared" ca="1" si="8"/>
        <v>4.1685687339087681E-3</v>
      </c>
      <c r="AC102" s="427" t="str">
        <f t="shared" ca="1" si="9"/>
        <v/>
      </c>
      <c r="AD102" s="227"/>
    </row>
    <row r="103" spans="1:30" customFormat="1" ht="15">
      <c r="A103" s="227"/>
      <c r="B103" s="276">
        <v>65</v>
      </c>
      <c r="C103" s="254" t="s">
        <v>153</v>
      </c>
      <c r="D103" s="255">
        <v>1</v>
      </c>
      <c r="E103" s="247"/>
      <c r="F103" s="232">
        <v>0.4</v>
      </c>
      <c r="G103" s="435">
        <v>100</v>
      </c>
      <c r="H103" s="386">
        <v>89</v>
      </c>
      <c r="I103" s="413"/>
      <c r="J103" s="413"/>
      <c r="K103" s="413"/>
      <c r="L103" s="413"/>
      <c r="M103" s="413"/>
      <c r="N103" s="452"/>
      <c r="O103" s="413"/>
      <c r="P103" s="413"/>
      <c r="Q103" s="413"/>
      <c r="R103" s="452"/>
      <c r="S103" s="443"/>
      <c r="T103" s="422" cm="1">
        <f t="array" aca="1" ref="T103:X103" ca="1">IF(AND($U$12,B127&lt;=$C$17,C127&lt;&gt;""),TRANSPOSE(INDEX(getcds(C127,$C$6,G127/10000,F127,D127,$C$13,$C$14,$C$15,$C$8,,,TRUE,TRUE,FALSE,$C$29:$C$31,$C$33),{1;2;3;4;5})),"")</f>
        <v>-3.4997599226250703E-2</v>
      </c>
      <c r="U103" s="423">
        <f ca="1"/>
        <v>9.8415971083553409E-3</v>
      </c>
      <c r="V103" s="423">
        <f ca="1"/>
        <v>4.4839196334606E-2</v>
      </c>
      <c r="W103" s="424">
        <f ca="1"/>
        <v>2.19486474175716E-3</v>
      </c>
      <c r="X103" s="425">
        <f ca="1"/>
        <v>4.4839196334605997</v>
      </c>
      <c r="Y103" s="426">
        <f t="shared" ca="1" si="5"/>
        <v>0</v>
      </c>
      <c r="Z103" s="427">
        <f t="shared" ca="1" si="6"/>
        <v>0</v>
      </c>
      <c r="AA103" s="426" t="str">
        <f t="shared" ca="1" si="7"/>
        <v/>
      </c>
      <c r="AB103" s="428">
        <f t="shared" ca="1" si="8"/>
        <v>2.0851215046693017E-3</v>
      </c>
      <c r="AC103" s="427" t="str">
        <f t="shared" ca="1" si="9"/>
        <v/>
      </c>
      <c r="AD103" s="227"/>
    </row>
    <row r="104" spans="1:30" customFormat="1" ht="15">
      <c r="A104" s="227"/>
      <c r="B104" s="276">
        <v>66</v>
      </c>
      <c r="C104" s="254" t="s">
        <v>154</v>
      </c>
      <c r="D104" s="255">
        <v>1</v>
      </c>
      <c r="E104" s="247"/>
      <c r="F104" s="232">
        <v>0.4</v>
      </c>
      <c r="G104" s="435">
        <v>100</v>
      </c>
      <c r="H104" s="386">
        <v>90</v>
      </c>
      <c r="I104" s="413"/>
      <c r="J104" s="413"/>
      <c r="K104" s="413"/>
      <c r="L104" s="413"/>
      <c r="M104" s="413"/>
      <c r="N104" s="452"/>
      <c r="O104" s="413"/>
      <c r="P104" s="413"/>
      <c r="Q104" s="413"/>
      <c r="R104" s="452"/>
      <c r="S104" s="443"/>
      <c r="T104" s="422" cm="1">
        <f t="array" aca="1" ref="T104:X104" ca="1">IF(AND($U$12,B128&lt;=$C$17,C128&lt;&gt;""),TRANSPOSE(INDEX(getcds(C128,$C$6,G128/10000,F128,D128,$C$13,$C$14,$C$15,$C$8,,,TRUE,TRUE,FALSE,$C$29:$C$31,$C$33),{1;2;3;4;5})),"")</f>
        <v>-1.9851052497362898E-2</v>
      </c>
      <c r="U104" s="423">
        <f ca="1"/>
        <v>2.4611943602725901E-2</v>
      </c>
      <c r="V104" s="423">
        <f ca="1"/>
        <v>4.4462996100088803E-2</v>
      </c>
      <c r="W104" s="424">
        <f ca="1"/>
        <v>5.5353767765273804E-3</v>
      </c>
      <c r="X104" s="425">
        <f ca="1"/>
        <v>4.4462996100088796</v>
      </c>
      <c r="Y104" s="426">
        <f t="shared" ca="1" si="5"/>
        <v>0</v>
      </c>
      <c r="Z104" s="427">
        <f t="shared" ca="1" si="6"/>
        <v>0</v>
      </c>
      <c r="AA104" s="426" t="str">
        <f t="shared" ca="1" si="7"/>
        <v/>
      </c>
      <c r="AB104" s="428">
        <f t="shared" ca="1" si="8"/>
        <v>5.2586079377010108E-3</v>
      </c>
      <c r="AC104" s="427" t="str">
        <f t="shared" ca="1" si="9"/>
        <v/>
      </c>
      <c r="AD104" s="227"/>
    </row>
    <row r="105" spans="1:30" customFormat="1" ht="15">
      <c r="A105" s="227"/>
      <c r="B105" s="276">
        <v>67</v>
      </c>
      <c r="C105" s="254" t="s">
        <v>155</v>
      </c>
      <c r="D105" s="255">
        <v>1</v>
      </c>
      <c r="E105" s="247"/>
      <c r="F105" s="232">
        <v>0.4</v>
      </c>
      <c r="G105" s="435">
        <v>100</v>
      </c>
      <c r="H105" s="386">
        <v>91</v>
      </c>
      <c r="I105" s="413"/>
      <c r="J105" s="413"/>
      <c r="K105" s="413"/>
      <c r="L105" s="413"/>
      <c r="M105" s="413"/>
      <c r="N105" s="452"/>
      <c r="O105" s="413"/>
      <c r="P105" s="413"/>
      <c r="Q105" s="413"/>
      <c r="R105" s="452"/>
      <c r="S105" s="443"/>
      <c r="T105" s="422" cm="1">
        <f t="array" aca="1" ref="T105:X105" ca="1">IF(AND($U$12,B129&lt;=$C$17,C129&lt;&gt;""),TRANSPOSE(INDEX(getcds(C129,$C$6,G129/10000,F129,D129,$C$13,$C$14,$C$15,$C$8,,,TRUE,TRUE,FALSE,$C$29:$C$31,$C$33),{1;2;3;4;5})),"")</f>
        <v>-3.5491484495621901E-2</v>
      </c>
      <c r="U105" s="423">
        <f ca="1"/>
        <v>9.3798080711455997E-3</v>
      </c>
      <c r="V105" s="423">
        <f ca="1"/>
        <v>4.4871292566767501E-2</v>
      </c>
      <c r="W105" s="424">
        <f ca="1"/>
        <v>2.0903806274777201E-3</v>
      </c>
      <c r="X105" s="425">
        <f ca="1"/>
        <v>4.4871292566767504</v>
      </c>
      <c r="Y105" s="426">
        <f t="shared" ca="1" si="5"/>
        <v>0</v>
      </c>
      <c r="Z105" s="427">
        <f t="shared" ca="1" si="6"/>
        <v>0</v>
      </c>
      <c r="AA105" s="426" t="str">
        <f t="shared" ca="1" si="7"/>
        <v/>
      </c>
      <c r="AB105" s="428">
        <f t="shared" ca="1" si="8"/>
        <v>1.9858615961038341E-3</v>
      </c>
      <c r="AC105" s="427" t="str">
        <f t="shared" ca="1" si="9"/>
        <v/>
      </c>
      <c r="AD105" s="227"/>
    </row>
    <row r="106" spans="1:30" customFormat="1" ht="15">
      <c r="A106" s="227"/>
      <c r="B106" s="276">
        <v>68</v>
      </c>
      <c r="C106" s="254" t="s">
        <v>156</v>
      </c>
      <c r="D106" s="255">
        <v>1</v>
      </c>
      <c r="E106" s="247"/>
      <c r="F106" s="232">
        <v>0.4</v>
      </c>
      <c r="G106" s="435">
        <v>100</v>
      </c>
      <c r="H106" s="386">
        <v>92</v>
      </c>
      <c r="I106" s="413"/>
      <c r="J106" s="413"/>
      <c r="K106" s="413"/>
      <c r="L106" s="413"/>
      <c r="M106" s="413"/>
      <c r="N106" s="452"/>
      <c r="O106" s="413"/>
      <c r="P106" s="413"/>
      <c r="Q106" s="413"/>
      <c r="R106" s="452"/>
      <c r="S106" s="443"/>
      <c r="T106" s="422" cm="1">
        <f t="array" aca="1" ref="T106:X106" ca="1">IF(AND($U$12,B130&lt;=$C$17,C130&lt;&gt;""),TRANSPOSE(INDEX(getcds(C130,$C$6,G130/10000,F130,D130,$C$13,$C$14,$C$15,$C$8,,,TRUE,TRUE,FALSE,$C$29:$C$31,$C$33),{1;2;3;4;5})),"")</f>
        <v>-3.5485446293841101E-2</v>
      </c>
      <c r="U106" s="423">
        <f ca="1"/>
        <v>9.3782245657623806E-3</v>
      </c>
      <c r="V106" s="423">
        <f ca="1"/>
        <v>4.4863670859603501E-2</v>
      </c>
      <c r="W106" s="424">
        <f ca="1"/>
        <v>2.0903827943795799E-3</v>
      </c>
      <c r="X106" s="425">
        <f ca="1"/>
        <v>4.4863670859603504</v>
      </c>
      <c r="Y106" s="426">
        <f t="shared" ca="1" si="5"/>
        <v>0</v>
      </c>
      <c r="Z106" s="427">
        <f t="shared" ca="1" si="6"/>
        <v>0</v>
      </c>
      <c r="AA106" s="426" t="str">
        <f t="shared" ca="1" si="7"/>
        <v/>
      </c>
      <c r="AB106" s="428">
        <f t="shared" ca="1" si="8"/>
        <v>1.9858636546606009E-3</v>
      </c>
      <c r="AC106" s="427" t="str">
        <f t="shared" ca="1" si="9"/>
        <v/>
      </c>
      <c r="AD106" s="227"/>
    </row>
    <row r="107" spans="1:30" customFormat="1" ht="15">
      <c r="A107" s="227"/>
      <c r="B107" s="276">
        <v>69</v>
      </c>
      <c r="C107" s="254" t="s">
        <v>157</v>
      </c>
      <c r="D107" s="255">
        <v>1</v>
      </c>
      <c r="E107" s="247"/>
      <c r="F107" s="232">
        <v>0.4</v>
      </c>
      <c r="G107" s="435">
        <v>100</v>
      </c>
      <c r="H107" s="386">
        <v>93</v>
      </c>
      <c r="I107" s="413"/>
      <c r="J107" s="413"/>
      <c r="K107" s="413"/>
      <c r="L107" s="413"/>
      <c r="M107" s="413"/>
      <c r="N107" s="452"/>
      <c r="O107" s="413"/>
      <c r="P107" s="413"/>
      <c r="Q107" s="413"/>
      <c r="R107" s="452"/>
      <c r="S107" s="443"/>
      <c r="T107" s="422" cm="1">
        <f t="array" aca="1" ref="T107:X107" ca="1">IF(AND($U$12,B131&lt;=$C$17,C131&lt;&gt;""),TRANSPOSE(INDEX(getcds(C131,$C$6,G131/10000,F131,D131,$C$13,$C$14,$C$15,$C$8,,,TRUE,TRUE,FALSE,$C$29:$C$31,$C$33),{1;2;3;4;5})),"")</f>
        <v>-3.1178496154692599E-2</v>
      </c>
      <c r="U107" s="423">
        <f ca="1"/>
        <v>1.3556877291519101E-2</v>
      </c>
      <c r="V107" s="423">
        <f ca="1"/>
        <v>4.4735373446211701E-2</v>
      </c>
      <c r="W107" s="424">
        <f ca="1"/>
        <v>3.0304602928640902E-3</v>
      </c>
      <c r="X107" s="425">
        <f ca="1"/>
        <v>4.4735373446211701</v>
      </c>
      <c r="Y107" s="426">
        <f t="shared" ca="1" si="5"/>
        <v>0</v>
      </c>
      <c r="Z107" s="427">
        <f t="shared" ca="1" si="6"/>
        <v>0</v>
      </c>
      <c r="AA107" s="426" t="str">
        <f t="shared" ca="1" si="7"/>
        <v/>
      </c>
      <c r="AB107" s="428">
        <f t="shared" ca="1" si="8"/>
        <v>2.8789372782208854E-3</v>
      </c>
      <c r="AC107" s="427" t="str">
        <f t="shared" ca="1" si="9"/>
        <v/>
      </c>
      <c r="AD107" s="227"/>
    </row>
    <row r="108" spans="1:30" customFormat="1" ht="15">
      <c r="A108" s="227"/>
      <c r="B108" s="276">
        <v>70</v>
      </c>
      <c r="C108" s="254" t="s">
        <v>158</v>
      </c>
      <c r="D108" s="255">
        <v>1</v>
      </c>
      <c r="E108" s="247"/>
      <c r="F108" s="232">
        <v>0.4</v>
      </c>
      <c r="G108" s="435">
        <v>100</v>
      </c>
      <c r="H108" s="386">
        <v>94</v>
      </c>
      <c r="I108" s="413"/>
      <c r="J108" s="413"/>
      <c r="K108" s="413"/>
      <c r="L108" s="413"/>
      <c r="M108" s="413"/>
      <c r="N108" s="452"/>
      <c r="O108" s="413"/>
      <c r="P108" s="413"/>
      <c r="Q108" s="413"/>
      <c r="R108" s="452"/>
      <c r="S108" s="443"/>
      <c r="T108" s="422" cm="1">
        <f t="array" aca="1" ref="T108:X108" ca="1">IF(AND($U$12,B132&lt;=$C$17,C132&lt;&gt;""),TRANSPOSE(INDEX(getcds(C132,$C$6,G132/10000,F132,D132,$C$13,$C$14,$C$15,$C$8,,,TRUE,TRUE,FALSE,$C$29:$C$31,$C$33),{1;2;3;4;5})),"")</f>
        <v>-3.50130773102202E-2</v>
      </c>
      <c r="U108" s="423">
        <f ca="1"/>
        <v>9.8458244331517102E-3</v>
      </c>
      <c r="V108" s="423">
        <f ca="1"/>
        <v>4.4858901743371898E-2</v>
      </c>
      <c r="W108" s="424">
        <f ca="1"/>
        <v>2.1948429521252101E-3</v>
      </c>
      <c r="X108" s="425">
        <f ca="1"/>
        <v>4.4858901743371904</v>
      </c>
      <c r="Y108" s="426">
        <f t="shared" ca="1" si="5"/>
        <v>0</v>
      </c>
      <c r="Z108" s="427">
        <f t="shared" ca="1" si="6"/>
        <v>0</v>
      </c>
      <c r="AA108" s="426" t="str">
        <f t="shared" ca="1" si="7"/>
        <v/>
      </c>
      <c r="AB108" s="428">
        <f t="shared" ca="1" si="8"/>
        <v>2.0851008045189496E-3</v>
      </c>
      <c r="AC108" s="427" t="str">
        <f t="shared" ca="1" si="9"/>
        <v/>
      </c>
      <c r="AD108" s="227"/>
    </row>
    <row r="109" spans="1:30" customFormat="1" ht="15">
      <c r="A109" s="227"/>
      <c r="B109" s="276">
        <v>71</v>
      </c>
      <c r="C109" s="254" t="s">
        <v>159</v>
      </c>
      <c r="D109" s="255">
        <v>1</v>
      </c>
      <c r="E109" s="247"/>
      <c r="F109" s="232">
        <v>0.4</v>
      </c>
      <c r="G109" s="435">
        <v>100</v>
      </c>
      <c r="H109" s="386">
        <v>95</v>
      </c>
      <c r="I109" s="413"/>
      <c r="J109" s="413"/>
      <c r="K109" s="413"/>
      <c r="L109" s="413"/>
      <c r="M109" s="413"/>
      <c r="N109" s="452"/>
      <c r="O109" s="413"/>
      <c r="P109" s="413"/>
      <c r="Q109" s="413"/>
      <c r="R109" s="452"/>
      <c r="S109" s="443"/>
      <c r="T109" s="422" cm="1">
        <f t="array" aca="1" ref="T109:X109" ca="1">IF(AND($U$12,B133&lt;=$C$17,C133&lt;&gt;""),TRANSPOSE(INDEX(getcds(C133,$C$6,G133/10000,F133,D133,$C$13,$C$14,$C$15,$C$8,,,TRUE,TRUE,FALSE,$C$29:$C$31,$C$33),{1;2;3;4;5})),"")</f>
        <v>-2.4565647511138801E-2</v>
      </c>
      <c r="U109" s="423">
        <f ca="1"/>
        <v>2.0033878980316298E-2</v>
      </c>
      <c r="V109" s="423">
        <f ca="1"/>
        <v>4.4599526491455099E-2</v>
      </c>
      <c r="W109" s="424">
        <f ca="1"/>
        <v>4.4919488067109003E-3</v>
      </c>
      <c r="X109" s="425">
        <f ca="1"/>
        <v>4.4599526491455102</v>
      </c>
      <c r="Y109" s="426">
        <f t="shared" ca="1" si="5"/>
        <v>0</v>
      </c>
      <c r="Z109" s="427">
        <f t="shared" ca="1" si="6"/>
        <v>0</v>
      </c>
      <c r="AA109" s="426" t="str">
        <f t="shared" ca="1" si="7"/>
        <v/>
      </c>
      <c r="AB109" s="428">
        <f t="shared" ca="1" si="8"/>
        <v>4.2673513663753554E-3</v>
      </c>
      <c r="AC109" s="427" t="str">
        <f t="shared" ca="1" si="9"/>
        <v/>
      </c>
      <c r="AD109" s="227"/>
    </row>
    <row r="110" spans="1:30" customFormat="1" ht="15">
      <c r="A110" s="227"/>
      <c r="B110" s="276">
        <v>72</v>
      </c>
      <c r="C110" s="254" t="s">
        <v>160</v>
      </c>
      <c r="D110" s="255">
        <v>1</v>
      </c>
      <c r="E110" s="247"/>
      <c r="F110" s="232">
        <v>0.4</v>
      </c>
      <c r="G110" s="435">
        <v>100</v>
      </c>
      <c r="H110" s="386">
        <v>96</v>
      </c>
      <c r="I110" s="413"/>
      <c r="J110" s="413"/>
      <c r="K110" s="413"/>
      <c r="L110" s="413"/>
      <c r="M110" s="413"/>
      <c r="N110" s="452"/>
      <c r="O110" s="413"/>
      <c r="P110" s="413"/>
      <c r="Q110" s="413"/>
      <c r="R110" s="452"/>
      <c r="S110" s="443"/>
      <c r="T110" s="422" cm="1">
        <f t="array" aca="1" ref="T110:X110" ca="1">IF(AND($U$12,B134&lt;=$C$17,C134&lt;&gt;""),TRANSPOSE(INDEX(getcds(C134,$C$6,G134/10000,F134,D134,$C$13,$C$14,$C$15,$C$8,,,TRUE,TRUE,FALSE,$C$29:$C$31,$C$33),{1;2;3;4;5})),"")</f>
        <v>-3.2626251053252002E-2</v>
      </c>
      <c r="U110" s="423">
        <f ca="1"/>
        <v>1.2172213475018101E-2</v>
      </c>
      <c r="V110" s="423">
        <f ca="1"/>
        <v>4.4798464528270097E-2</v>
      </c>
      <c r="W110" s="424">
        <f ca="1"/>
        <v>2.7171050622364101E-3</v>
      </c>
      <c r="X110" s="425">
        <f ca="1"/>
        <v>4.4798464528270099</v>
      </c>
      <c r="Y110" s="426">
        <f t="shared" ca="1" si="5"/>
        <v>0</v>
      </c>
      <c r="Z110" s="427">
        <f t="shared" ca="1" si="6"/>
        <v>0</v>
      </c>
      <c r="AA110" s="426" t="str">
        <f t="shared" ca="1" si="7"/>
        <v/>
      </c>
      <c r="AB110" s="428">
        <f t="shared" ca="1" si="8"/>
        <v>2.5812498091245892E-3</v>
      </c>
      <c r="AC110" s="427" t="str">
        <f t="shared" ca="1" si="9"/>
        <v/>
      </c>
      <c r="AD110" s="227"/>
    </row>
    <row r="111" spans="1:30" customFormat="1" ht="15">
      <c r="A111" s="227"/>
      <c r="B111" s="276">
        <v>73</v>
      </c>
      <c r="C111" s="254" t="s">
        <v>161</v>
      </c>
      <c r="D111" s="255">
        <v>1</v>
      </c>
      <c r="E111" s="247"/>
      <c r="F111" s="232">
        <v>0.4</v>
      </c>
      <c r="G111" s="435">
        <v>100</v>
      </c>
      <c r="H111" s="386">
        <v>97</v>
      </c>
      <c r="I111" s="413"/>
      <c r="J111" s="413"/>
      <c r="K111" s="413"/>
      <c r="L111" s="413"/>
      <c r="M111" s="413"/>
      <c r="N111" s="452"/>
      <c r="O111" s="413"/>
      <c r="P111" s="413"/>
      <c r="Q111" s="413"/>
      <c r="R111" s="452"/>
      <c r="S111" s="443"/>
      <c r="T111" s="422" cm="1">
        <f t="array" aca="1" ref="T111:X111" ca="1">IF(AND($U$12,B135&lt;=$C$17,C135&lt;&gt;""),TRANSPOSE(INDEX(getcds(C135,$C$6,G135/10000,F135,D135,$C$13,$C$14,$C$15,$C$8,,,TRUE,TRUE,FALSE,$C$29:$C$31,$C$33),{1;2;3;4;5})),"")</f>
        <v>-2.1742018448515501E-2</v>
      </c>
      <c r="U111" s="423">
        <f ca="1"/>
        <v>2.2793304154334601E-2</v>
      </c>
      <c r="V111" s="423">
        <f ca="1"/>
        <v>4.4535322602850098E-2</v>
      </c>
      <c r="W111" s="424">
        <f ca="1"/>
        <v>5.11802830252226E-3</v>
      </c>
      <c r="X111" s="425">
        <f ca="1"/>
        <v>4.4535322602850096</v>
      </c>
      <c r="Y111" s="426">
        <f t="shared" ca="1" si="5"/>
        <v>0</v>
      </c>
      <c r="Z111" s="427">
        <f t="shared" ca="1" si="6"/>
        <v>0</v>
      </c>
      <c r="AA111" s="426" t="str">
        <f t="shared" ca="1" si="7"/>
        <v/>
      </c>
      <c r="AB111" s="428">
        <f t="shared" ca="1" si="8"/>
        <v>4.8621268873961466E-3</v>
      </c>
      <c r="AC111" s="427" t="str">
        <f t="shared" ca="1" si="9"/>
        <v/>
      </c>
      <c r="AD111" s="227"/>
    </row>
    <row r="112" spans="1:30" customFormat="1" ht="15">
      <c r="A112" s="227"/>
      <c r="B112" s="276">
        <v>74</v>
      </c>
      <c r="C112" s="254" t="s">
        <v>162</v>
      </c>
      <c r="D112" s="255">
        <v>1</v>
      </c>
      <c r="E112" s="247"/>
      <c r="F112" s="232">
        <v>0.4</v>
      </c>
      <c r="G112" s="435">
        <v>100</v>
      </c>
      <c r="H112" s="386">
        <v>98</v>
      </c>
      <c r="I112" s="413"/>
      <c r="J112" s="413"/>
      <c r="K112" s="413"/>
      <c r="L112" s="413"/>
      <c r="M112" s="413"/>
      <c r="N112" s="452"/>
      <c r="O112" s="413"/>
      <c r="P112" s="413"/>
      <c r="Q112" s="413"/>
      <c r="R112" s="452"/>
      <c r="S112" s="443"/>
      <c r="T112" s="422" cm="1">
        <f t="array" aca="1" ref="T112:X112" ca="1">IF(AND($U$12,B136&lt;=$C$17,C136&lt;&gt;""),TRANSPOSE(INDEX(getcds(C136,$C$6,G136/10000,F136,D136,$C$13,$C$14,$C$15,$C$8,,,TRUE,TRUE,FALSE,$C$29:$C$31,$C$33),{1;2;3;4;5})),"")</f>
        <v>-3.3084275733062399E-2</v>
      </c>
      <c r="U112" s="423">
        <f ca="1"/>
        <v>1.1701088264816801E-2</v>
      </c>
      <c r="V112" s="423">
        <f ca="1"/>
        <v>4.4785363997879198E-2</v>
      </c>
      <c r="W112" s="424">
        <f ca="1"/>
        <v>2.6127036201762E-3</v>
      </c>
      <c r="X112" s="425">
        <f ca="1"/>
        <v>4.4785363997879202</v>
      </c>
      <c r="Y112" s="426">
        <f t="shared" ca="1" si="5"/>
        <v>0</v>
      </c>
      <c r="Z112" s="427">
        <f t="shared" ca="1" si="6"/>
        <v>0</v>
      </c>
      <c r="AA112" s="426" t="str">
        <f t="shared" ca="1" si="7"/>
        <v/>
      </c>
      <c r="AB112" s="428">
        <f t="shared" ca="1" si="8"/>
        <v>2.48206843916739E-3</v>
      </c>
      <c r="AC112" s="427" t="str">
        <f t="shared" ca="1" si="9"/>
        <v/>
      </c>
      <c r="AD112" s="227"/>
    </row>
    <row r="113" spans="1:30" customFormat="1" ht="15">
      <c r="A113" s="227"/>
      <c r="B113" s="276">
        <v>75</v>
      </c>
      <c r="C113" s="254" t="s">
        <v>163</v>
      </c>
      <c r="D113" s="255">
        <v>1</v>
      </c>
      <c r="E113" s="247"/>
      <c r="F113" s="232">
        <v>0.4</v>
      </c>
      <c r="G113" s="435">
        <v>100</v>
      </c>
      <c r="H113" s="386">
        <v>99</v>
      </c>
      <c r="I113" s="413"/>
      <c r="J113" s="413"/>
      <c r="K113" s="413"/>
      <c r="L113" s="413"/>
      <c r="M113" s="413"/>
      <c r="N113" s="452"/>
      <c r="O113" s="413"/>
      <c r="P113" s="413"/>
      <c r="Q113" s="413"/>
      <c r="R113" s="452"/>
      <c r="S113" s="443"/>
      <c r="T113" s="422" cm="1">
        <f t="array" aca="1" ref="T113:X113" ca="1">IF(AND($U$12,B137&lt;=$C$17,C137&lt;&gt;""),TRANSPOSE(INDEX(getcds(C137,$C$6,G137/10000,F137,D137,$C$13,$C$14,$C$15,$C$8,,,TRUE,TRUE,FALSE,$C$29:$C$31,$C$33),{1;2;3;4;5})),"")</f>
        <v>-2.5049045217331499E-2</v>
      </c>
      <c r="U113" s="423">
        <f ca="1"/>
        <v>1.95823262449084E-2</v>
      </c>
      <c r="V113" s="423">
        <f ca="1"/>
        <v>4.4631371462239902E-2</v>
      </c>
      <c r="W113" s="424">
        <f ca="1"/>
        <v>4.38756990953682E-3</v>
      </c>
      <c r="X113" s="425">
        <f ca="1"/>
        <v>4.4631371462239899</v>
      </c>
      <c r="Y113" s="426">
        <f t="shared" ca="1" si="5"/>
        <v>0</v>
      </c>
      <c r="Z113" s="427">
        <f t="shared" ca="1" si="6"/>
        <v>0</v>
      </c>
      <c r="AA113" s="426" t="str">
        <f t="shared" ca="1" si="7"/>
        <v/>
      </c>
      <c r="AB113" s="428">
        <f t="shared" ca="1" si="8"/>
        <v>4.1681914140599789E-3</v>
      </c>
      <c r="AC113" s="427" t="str">
        <f t="shared" ca="1" si="9"/>
        <v/>
      </c>
      <c r="AD113" s="227"/>
    </row>
    <row r="114" spans="1:30" customFormat="1" ht="15">
      <c r="A114" s="227"/>
      <c r="B114" s="276">
        <v>76</v>
      </c>
      <c r="C114" s="254" t="s">
        <v>164</v>
      </c>
      <c r="D114" s="255">
        <v>1</v>
      </c>
      <c r="E114" s="247"/>
      <c r="F114" s="232">
        <v>0.4</v>
      </c>
      <c r="G114" s="435">
        <v>100</v>
      </c>
      <c r="H114" s="386">
        <v>100</v>
      </c>
      <c r="I114" s="413"/>
      <c r="J114" s="413"/>
      <c r="K114" s="413"/>
      <c r="L114" s="413"/>
      <c r="M114" s="413"/>
      <c r="N114" s="452"/>
      <c r="O114" s="413"/>
      <c r="P114" s="413"/>
      <c r="Q114" s="413"/>
      <c r="R114" s="452"/>
      <c r="S114" s="443"/>
      <c r="T114" s="422" cm="1">
        <f t="array" aca="1" ref="T114:X114" ca="1">IF(AND($U$12,B138&lt;=$C$17,C138&lt;&gt;""),TRANSPOSE(INDEX(getcds(C138,$C$6,G138/10000,F138,D138,$C$13,$C$14,$C$15,$C$8,,,TRUE,TRUE,FALSE,$C$29:$C$31,$C$33),{1;2;3;4;5})),"")</f>
        <v>-2.92311801008391E-2</v>
      </c>
      <c r="U114" s="423">
        <f ca="1"/>
        <v>1.53850774025566E-2</v>
      </c>
      <c r="V114" s="423">
        <f ca="1"/>
        <v>4.46162575033957E-2</v>
      </c>
      <c r="W114" s="424">
        <f ca="1"/>
        <v>3.4483119525176801E-3</v>
      </c>
      <c r="X114" s="425">
        <f ca="1"/>
        <v>4.4616257503395698</v>
      </c>
      <c r="Y114" s="426">
        <f t="shared" ca="1" si="5"/>
        <v>0</v>
      </c>
      <c r="Z114" s="427">
        <f t="shared" ca="1" si="6"/>
        <v>0</v>
      </c>
      <c r="AA114" s="426" t="str">
        <f t="shared" ca="1" si="7"/>
        <v/>
      </c>
      <c r="AB114" s="428">
        <f t="shared" ca="1" si="8"/>
        <v>3.275896354891796E-3</v>
      </c>
      <c r="AC114" s="427" t="str">
        <f t="shared" ca="1" si="9"/>
        <v/>
      </c>
      <c r="AD114" s="227"/>
    </row>
    <row r="115" spans="1:30" customFormat="1" ht="15">
      <c r="A115" s="227"/>
      <c r="B115" s="276">
        <v>77</v>
      </c>
      <c r="C115" s="254" t="s">
        <v>165</v>
      </c>
      <c r="D115" s="255">
        <v>1</v>
      </c>
      <c r="E115" s="247"/>
      <c r="F115" s="232">
        <v>0.4</v>
      </c>
      <c r="G115" s="435">
        <v>100</v>
      </c>
      <c r="H115" s="386">
        <v>101</v>
      </c>
      <c r="I115" s="404"/>
      <c r="J115" s="404"/>
      <c r="K115" s="413"/>
      <c r="L115" s="413"/>
      <c r="M115" s="413"/>
      <c r="N115" s="452"/>
      <c r="O115" s="413"/>
      <c r="P115" s="413"/>
      <c r="Q115" s="413"/>
      <c r="R115" s="452"/>
      <c r="S115" s="443"/>
      <c r="T115" s="42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3"/>
      <c r="V115" s="423"/>
      <c r="W115" s="424"/>
      <c r="X115" s="425"/>
      <c r="Y115" s="426" t="str">
        <f t="shared" ca="1" si="5"/>
        <v/>
      </c>
      <c r="Z115" s="427" t="str">
        <f t="shared" ca="1" si="6"/>
        <v/>
      </c>
      <c r="AA115" s="426" t="str">
        <f t="shared" ca="1" si="7"/>
        <v/>
      </c>
      <c r="AB115" s="428" t="str">
        <f t="shared" ca="1" si="8"/>
        <v/>
      </c>
      <c r="AC115" s="427" t="str">
        <f t="shared" ca="1" si="9"/>
        <v/>
      </c>
      <c r="AD115" s="227"/>
    </row>
    <row r="116" spans="1:30" customFormat="1" ht="15">
      <c r="A116" s="227"/>
      <c r="B116" s="276">
        <v>78</v>
      </c>
      <c r="C116" s="254" t="s">
        <v>166</v>
      </c>
      <c r="D116" s="255">
        <v>1</v>
      </c>
      <c r="E116" s="247"/>
      <c r="F116" s="232">
        <v>0.4</v>
      </c>
      <c r="G116" s="435">
        <v>100</v>
      </c>
      <c r="H116" s="386">
        <v>102</v>
      </c>
      <c r="I116" s="404"/>
      <c r="J116" s="404"/>
      <c r="K116" s="413"/>
      <c r="L116" s="413"/>
      <c r="M116" s="413"/>
      <c r="N116" s="452"/>
      <c r="O116" s="413"/>
      <c r="P116" s="413"/>
      <c r="Q116" s="413"/>
      <c r="R116" s="452"/>
      <c r="S116" s="443"/>
      <c r="T116" s="42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3"/>
      <c r="V116" s="423"/>
      <c r="W116" s="424"/>
      <c r="X116" s="425"/>
      <c r="Y116" s="426" t="str">
        <f t="shared" ca="1" si="5"/>
        <v/>
      </c>
      <c r="Z116" s="427" t="str">
        <f t="shared" ca="1" si="6"/>
        <v/>
      </c>
      <c r="AA116" s="426" t="str">
        <f t="shared" ca="1" si="7"/>
        <v/>
      </c>
      <c r="AB116" s="428" t="str">
        <f t="shared" ca="1" si="8"/>
        <v/>
      </c>
      <c r="AC116" s="427" t="str">
        <f t="shared" ca="1" si="9"/>
        <v/>
      </c>
      <c r="AD116" s="227"/>
    </row>
    <row r="117" spans="1:30" customFormat="1" ht="15">
      <c r="A117" s="227"/>
      <c r="B117" s="276">
        <v>79</v>
      </c>
      <c r="C117" s="254" t="s">
        <v>167</v>
      </c>
      <c r="D117" s="255">
        <v>1</v>
      </c>
      <c r="E117" s="247"/>
      <c r="F117" s="232">
        <v>0.4</v>
      </c>
      <c r="G117" s="435">
        <v>100</v>
      </c>
      <c r="H117" s="386">
        <v>103</v>
      </c>
      <c r="I117" s="404"/>
      <c r="J117" s="404"/>
      <c r="K117" s="413"/>
      <c r="L117" s="413"/>
      <c r="M117" s="413"/>
      <c r="N117" s="452"/>
      <c r="O117" s="413"/>
      <c r="P117" s="413"/>
      <c r="Q117" s="413"/>
      <c r="R117" s="452"/>
      <c r="S117" s="443"/>
      <c r="T117" s="42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3"/>
      <c r="V117" s="423"/>
      <c r="W117" s="424"/>
      <c r="X117" s="425"/>
      <c r="Y117" s="426" t="str">
        <f t="shared" ca="1" si="5"/>
        <v/>
      </c>
      <c r="Z117" s="427" t="str">
        <f t="shared" ca="1" si="6"/>
        <v/>
      </c>
      <c r="AA117" s="426" t="str">
        <f t="shared" ca="1" si="7"/>
        <v/>
      </c>
      <c r="AB117" s="428" t="str">
        <f t="shared" ca="1" si="8"/>
        <v/>
      </c>
      <c r="AC117" s="427" t="str">
        <f t="shared" ca="1" si="9"/>
        <v/>
      </c>
      <c r="AD117" s="227"/>
    </row>
    <row r="118" spans="1:30" customFormat="1" ht="15">
      <c r="A118" s="227"/>
      <c r="B118" s="276">
        <v>80</v>
      </c>
      <c r="C118" s="254" t="s">
        <v>168</v>
      </c>
      <c r="D118" s="255">
        <v>1</v>
      </c>
      <c r="E118" s="247"/>
      <c r="F118" s="232">
        <v>0.4</v>
      </c>
      <c r="G118" s="435">
        <v>100</v>
      </c>
      <c r="H118" s="386">
        <v>104</v>
      </c>
      <c r="I118" s="404"/>
      <c r="J118" s="404"/>
      <c r="K118" s="413"/>
      <c r="L118" s="413"/>
      <c r="M118" s="413"/>
      <c r="N118" s="452"/>
      <c r="O118" s="413"/>
      <c r="P118" s="413"/>
      <c r="Q118" s="413"/>
      <c r="R118" s="452"/>
      <c r="S118" s="443"/>
      <c r="T118" s="42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3"/>
      <c r="V118" s="423"/>
      <c r="W118" s="424"/>
      <c r="X118" s="425"/>
      <c r="Y118" s="426" t="str">
        <f t="shared" ca="1" si="5"/>
        <v/>
      </c>
      <c r="Z118" s="427" t="str">
        <f t="shared" ca="1" si="6"/>
        <v/>
      </c>
      <c r="AA118" s="426" t="str">
        <f t="shared" ca="1" si="7"/>
        <v/>
      </c>
      <c r="AB118" s="428" t="str">
        <f t="shared" ca="1" si="8"/>
        <v/>
      </c>
      <c r="AC118" s="427" t="str">
        <f t="shared" ca="1" si="9"/>
        <v/>
      </c>
      <c r="AD118" s="227"/>
    </row>
    <row r="119" spans="1:30" customFormat="1" ht="15">
      <c r="A119" s="227"/>
      <c r="B119" s="276">
        <v>81</v>
      </c>
      <c r="C119" s="254" t="s">
        <v>169</v>
      </c>
      <c r="D119" s="255">
        <v>1</v>
      </c>
      <c r="E119" s="247"/>
      <c r="F119" s="232">
        <v>0.4</v>
      </c>
      <c r="G119" s="435">
        <v>100</v>
      </c>
      <c r="H119" s="386">
        <v>105</v>
      </c>
      <c r="I119" s="404"/>
      <c r="J119" s="404"/>
      <c r="K119" s="413"/>
      <c r="L119" s="413"/>
      <c r="M119" s="413"/>
      <c r="N119" s="452"/>
      <c r="O119" s="413"/>
      <c r="P119" s="413"/>
      <c r="Q119" s="413"/>
      <c r="R119" s="452"/>
      <c r="S119" s="443"/>
      <c r="T119" s="42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3"/>
      <c r="V119" s="423"/>
      <c r="W119" s="424"/>
      <c r="X119" s="425"/>
      <c r="Y119" s="426" t="str">
        <f t="shared" ca="1" si="5"/>
        <v/>
      </c>
      <c r="Z119" s="427" t="str">
        <f t="shared" ca="1" si="6"/>
        <v/>
      </c>
      <c r="AA119" s="426" t="str">
        <f t="shared" ca="1" si="7"/>
        <v/>
      </c>
      <c r="AB119" s="428" t="str">
        <f t="shared" ca="1" si="8"/>
        <v/>
      </c>
      <c r="AC119" s="427" t="str">
        <f t="shared" ca="1" si="9"/>
        <v/>
      </c>
      <c r="AD119" s="227"/>
    </row>
    <row r="120" spans="1:30" customFormat="1" ht="15">
      <c r="A120" s="227"/>
      <c r="B120" s="276">
        <v>82</v>
      </c>
      <c r="C120" s="254" t="s">
        <v>170</v>
      </c>
      <c r="D120" s="255">
        <v>1</v>
      </c>
      <c r="E120" s="247"/>
      <c r="F120" s="232">
        <v>0.4</v>
      </c>
      <c r="G120" s="435">
        <v>100</v>
      </c>
      <c r="H120" s="386">
        <v>106</v>
      </c>
      <c r="I120" s="404"/>
      <c r="J120" s="404"/>
      <c r="K120" s="413"/>
      <c r="L120" s="413"/>
      <c r="M120" s="413"/>
      <c r="N120" s="452"/>
      <c r="O120" s="413"/>
      <c r="P120" s="413"/>
      <c r="Q120" s="413"/>
      <c r="R120" s="452"/>
      <c r="S120" s="443"/>
      <c r="T120" s="42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3"/>
      <c r="V120" s="423"/>
      <c r="W120" s="424"/>
      <c r="X120" s="425"/>
      <c r="Y120" s="426" t="str">
        <f t="shared" ca="1" si="5"/>
        <v/>
      </c>
      <c r="Z120" s="427" t="str">
        <f t="shared" ca="1" si="6"/>
        <v/>
      </c>
      <c r="AA120" s="426" t="str">
        <f t="shared" ca="1" si="7"/>
        <v/>
      </c>
      <c r="AB120" s="428" t="str">
        <f t="shared" ca="1" si="8"/>
        <v/>
      </c>
      <c r="AC120" s="427" t="str">
        <f t="shared" ca="1" si="9"/>
        <v/>
      </c>
      <c r="AD120" s="227"/>
    </row>
    <row r="121" spans="1:30" customFormat="1" ht="15">
      <c r="A121" s="227"/>
      <c r="B121" s="276">
        <v>83</v>
      </c>
      <c r="C121" s="254" t="s">
        <v>171</v>
      </c>
      <c r="D121" s="255">
        <v>1</v>
      </c>
      <c r="E121" s="247"/>
      <c r="F121" s="232">
        <v>0.4</v>
      </c>
      <c r="G121" s="435">
        <v>100</v>
      </c>
      <c r="H121" s="386">
        <v>107</v>
      </c>
      <c r="I121" s="404"/>
      <c r="J121" s="404"/>
      <c r="K121" s="413"/>
      <c r="L121" s="413"/>
      <c r="M121" s="413"/>
      <c r="N121" s="452"/>
      <c r="O121" s="413"/>
      <c r="P121" s="413"/>
      <c r="Q121" s="413"/>
      <c r="R121" s="452"/>
      <c r="S121" s="443"/>
      <c r="T121" s="42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3"/>
      <c r="V121" s="423"/>
      <c r="W121" s="424"/>
      <c r="X121" s="425"/>
      <c r="Y121" s="426" t="str">
        <f t="shared" ca="1" si="5"/>
        <v/>
      </c>
      <c r="Z121" s="427" t="str">
        <f t="shared" ca="1" si="6"/>
        <v/>
      </c>
      <c r="AA121" s="426" t="str">
        <f t="shared" ca="1" si="7"/>
        <v/>
      </c>
      <c r="AB121" s="428" t="str">
        <f t="shared" ca="1" si="8"/>
        <v/>
      </c>
      <c r="AC121" s="427" t="str">
        <f t="shared" ca="1" si="9"/>
        <v/>
      </c>
      <c r="AD121" s="227"/>
    </row>
    <row r="122" spans="1:30" customFormat="1" ht="15">
      <c r="A122" s="227"/>
      <c r="B122" s="276">
        <v>84</v>
      </c>
      <c r="C122" s="254" t="s">
        <v>172</v>
      </c>
      <c r="D122" s="255">
        <v>1</v>
      </c>
      <c r="E122" s="247"/>
      <c r="F122" s="232">
        <v>0.4</v>
      </c>
      <c r="G122" s="435">
        <v>100</v>
      </c>
      <c r="H122" s="386">
        <v>108</v>
      </c>
      <c r="I122" s="404"/>
      <c r="J122" s="404"/>
      <c r="K122" s="413"/>
      <c r="L122" s="413"/>
      <c r="M122" s="413"/>
      <c r="N122" s="452"/>
      <c r="O122" s="413"/>
      <c r="P122" s="413"/>
      <c r="Q122" s="413"/>
      <c r="R122" s="452"/>
      <c r="S122" s="443"/>
      <c r="T122" s="42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3"/>
      <c r="V122" s="423"/>
      <c r="W122" s="424"/>
      <c r="X122" s="425"/>
      <c r="Y122" s="426" t="str">
        <f t="shared" ca="1" si="5"/>
        <v/>
      </c>
      <c r="Z122" s="427" t="str">
        <f t="shared" ca="1" si="6"/>
        <v/>
      </c>
      <c r="AA122" s="426" t="str">
        <f t="shared" ca="1" si="7"/>
        <v/>
      </c>
      <c r="AB122" s="428" t="str">
        <f t="shared" ca="1" si="8"/>
        <v/>
      </c>
      <c r="AC122" s="427" t="str">
        <f t="shared" ca="1" si="9"/>
        <v/>
      </c>
      <c r="AD122" s="227"/>
    </row>
    <row r="123" spans="1:30" customFormat="1" ht="15">
      <c r="A123" s="227"/>
      <c r="B123" s="276">
        <v>85</v>
      </c>
      <c r="C123" s="254" t="s">
        <v>173</v>
      </c>
      <c r="D123" s="255">
        <v>1</v>
      </c>
      <c r="E123" s="247"/>
      <c r="F123" s="232">
        <v>0.4</v>
      </c>
      <c r="G123" s="435">
        <v>100</v>
      </c>
      <c r="H123" s="386">
        <v>109</v>
      </c>
      <c r="I123" s="404"/>
      <c r="J123" s="404"/>
      <c r="K123" s="413"/>
      <c r="L123" s="413"/>
      <c r="M123" s="413"/>
      <c r="N123" s="452"/>
      <c r="O123" s="413"/>
      <c r="P123" s="413"/>
      <c r="Q123" s="413"/>
      <c r="R123" s="452"/>
      <c r="S123" s="443"/>
      <c r="T123" s="42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3"/>
      <c r="V123" s="423"/>
      <c r="W123" s="424"/>
      <c r="X123" s="425"/>
      <c r="Y123" s="426" t="str">
        <f t="shared" ca="1" si="5"/>
        <v/>
      </c>
      <c r="Z123" s="427" t="str">
        <f t="shared" ca="1" si="6"/>
        <v/>
      </c>
      <c r="AA123" s="426" t="str">
        <f t="shared" ca="1" si="7"/>
        <v/>
      </c>
      <c r="AB123" s="428" t="str">
        <f t="shared" ca="1" si="8"/>
        <v/>
      </c>
      <c r="AC123" s="427" t="str">
        <f t="shared" ca="1" si="9"/>
        <v/>
      </c>
      <c r="AD123" s="227"/>
    </row>
    <row r="124" spans="1:30" customFormat="1" ht="15">
      <c r="A124" s="227"/>
      <c r="B124" s="276">
        <v>86</v>
      </c>
      <c r="C124" s="254" t="s">
        <v>174</v>
      </c>
      <c r="D124" s="255">
        <v>1</v>
      </c>
      <c r="E124" s="247"/>
      <c r="F124" s="232">
        <v>0.4</v>
      </c>
      <c r="G124" s="435">
        <v>100</v>
      </c>
      <c r="H124" s="386">
        <v>110</v>
      </c>
      <c r="I124" s="404"/>
      <c r="J124" s="404"/>
      <c r="K124" s="413"/>
      <c r="L124" s="413"/>
      <c r="M124" s="413"/>
      <c r="N124" s="452"/>
      <c r="O124" s="413"/>
      <c r="P124" s="413"/>
      <c r="Q124" s="413"/>
      <c r="R124" s="452"/>
      <c r="S124" s="443"/>
      <c r="T124" s="42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3"/>
      <c r="V124" s="423"/>
      <c r="W124" s="424"/>
      <c r="X124" s="425"/>
      <c r="Y124" s="426" t="str">
        <f t="shared" ca="1" si="5"/>
        <v/>
      </c>
      <c r="Z124" s="427" t="str">
        <f t="shared" ca="1" si="6"/>
        <v/>
      </c>
      <c r="AA124" s="426" t="str">
        <f t="shared" ca="1" si="7"/>
        <v/>
      </c>
      <c r="AB124" s="428" t="str">
        <f t="shared" ca="1" si="8"/>
        <v/>
      </c>
      <c r="AC124" s="427" t="str">
        <f t="shared" ca="1" si="9"/>
        <v/>
      </c>
      <c r="AD124" s="227"/>
    </row>
    <row r="125" spans="1:30" customFormat="1" ht="15">
      <c r="A125" s="227"/>
      <c r="B125" s="276">
        <v>87</v>
      </c>
      <c r="C125" s="254" t="s">
        <v>175</v>
      </c>
      <c r="D125" s="255">
        <v>1</v>
      </c>
      <c r="E125" s="247"/>
      <c r="F125" s="232">
        <v>0.4</v>
      </c>
      <c r="G125" s="435">
        <v>100</v>
      </c>
      <c r="H125" s="386">
        <v>111</v>
      </c>
      <c r="I125" s="404"/>
      <c r="J125" s="404"/>
      <c r="K125" s="413"/>
      <c r="L125" s="413"/>
      <c r="M125" s="413"/>
      <c r="N125" s="452"/>
      <c r="O125" s="413"/>
      <c r="P125" s="413"/>
      <c r="Q125" s="413"/>
      <c r="R125" s="452"/>
      <c r="S125" s="443"/>
      <c r="T125" s="42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3"/>
      <c r="V125" s="423"/>
      <c r="W125" s="424"/>
      <c r="X125" s="425"/>
      <c r="Y125" s="426" t="str">
        <f t="shared" ca="1" si="5"/>
        <v/>
      </c>
      <c r="Z125" s="427" t="str">
        <f t="shared" ca="1" si="6"/>
        <v/>
      </c>
      <c r="AA125" s="426" t="str">
        <f t="shared" ca="1" si="7"/>
        <v/>
      </c>
      <c r="AB125" s="428" t="str">
        <f t="shared" ca="1" si="8"/>
        <v/>
      </c>
      <c r="AC125" s="427" t="str">
        <f t="shared" ca="1" si="9"/>
        <v/>
      </c>
      <c r="AD125" s="227"/>
    </row>
    <row r="126" spans="1:30" customFormat="1" ht="15">
      <c r="A126" s="227"/>
      <c r="B126" s="276">
        <v>88</v>
      </c>
      <c r="C126" s="254" t="s">
        <v>176</v>
      </c>
      <c r="D126" s="255">
        <v>1</v>
      </c>
      <c r="E126" s="247"/>
      <c r="F126" s="232">
        <v>0.4</v>
      </c>
      <c r="G126" s="435">
        <v>100</v>
      </c>
      <c r="H126" s="386">
        <v>112</v>
      </c>
      <c r="I126" s="404"/>
      <c r="J126" s="404"/>
      <c r="K126" s="413"/>
      <c r="L126" s="413"/>
      <c r="M126" s="413"/>
      <c r="N126" s="452"/>
      <c r="O126" s="413"/>
      <c r="P126" s="413"/>
      <c r="Q126" s="413"/>
      <c r="R126" s="452"/>
      <c r="S126" s="443"/>
      <c r="T126" s="42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3"/>
      <c r="V126" s="423"/>
      <c r="W126" s="424"/>
      <c r="X126" s="425"/>
      <c r="Y126" s="426" t="str">
        <f t="shared" ca="1" si="5"/>
        <v/>
      </c>
      <c r="Z126" s="427" t="str">
        <f t="shared" ca="1" si="6"/>
        <v/>
      </c>
      <c r="AA126" s="426" t="str">
        <f t="shared" ca="1" si="7"/>
        <v/>
      </c>
      <c r="AB126" s="428" t="str">
        <f t="shared" ca="1" si="8"/>
        <v/>
      </c>
      <c r="AC126" s="427" t="str">
        <f t="shared" ca="1" si="9"/>
        <v/>
      </c>
      <c r="AD126" s="227"/>
    </row>
    <row r="127" spans="1:30" customFormat="1" ht="15">
      <c r="A127" s="227"/>
      <c r="B127" s="276">
        <v>89</v>
      </c>
      <c r="C127" s="254" t="s">
        <v>177</v>
      </c>
      <c r="D127" s="255">
        <v>1</v>
      </c>
      <c r="E127" s="247"/>
      <c r="F127" s="232">
        <v>0.4</v>
      </c>
      <c r="G127" s="435">
        <v>100</v>
      </c>
      <c r="H127" s="386">
        <v>113</v>
      </c>
      <c r="I127" s="404"/>
      <c r="J127" s="404"/>
      <c r="K127" s="413"/>
      <c r="L127" s="413"/>
      <c r="M127" s="413"/>
      <c r="N127" s="452"/>
      <c r="O127" s="413"/>
      <c r="P127" s="413"/>
      <c r="Q127" s="413"/>
      <c r="R127" s="452"/>
      <c r="S127" s="443"/>
      <c r="T127" s="42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3"/>
      <c r="V127" s="423"/>
      <c r="W127" s="424"/>
      <c r="X127" s="425"/>
      <c r="Y127" s="426" t="str">
        <f t="shared" ca="1" si="5"/>
        <v/>
      </c>
      <c r="Z127" s="427" t="str">
        <f t="shared" ca="1" si="6"/>
        <v/>
      </c>
      <c r="AA127" s="426" t="str">
        <f t="shared" ca="1" si="7"/>
        <v/>
      </c>
      <c r="AB127" s="428" t="str">
        <f t="shared" ca="1" si="8"/>
        <v/>
      </c>
      <c r="AC127" s="427" t="str">
        <f t="shared" ca="1" si="9"/>
        <v/>
      </c>
      <c r="AD127" s="227"/>
    </row>
    <row r="128" spans="1:30" customFormat="1" ht="15">
      <c r="A128" s="227"/>
      <c r="B128" s="276">
        <v>90</v>
      </c>
      <c r="C128" s="254" t="s">
        <v>178</v>
      </c>
      <c r="D128" s="255">
        <v>1</v>
      </c>
      <c r="E128" s="247"/>
      <c r="F128" s="232">
        <v>0.4</v>
      </c>
      <c r="G128" s="435">
        <v>100</v>
      </c>
      <c r="H128" s="386">
        <v>114</v>
      </c>
      <c r="I128" s="404"/>
      <c r="J128" s="404"/>
      <c r="K128" s="413"/>
      <c r="L128" s="413"/>
      <c r="M128" s="413"/>
      <c r="N128" s="452"/>
      <c r="O128" s="413"/>
      <c r="P128" s="413"/>
      <c r="Q128" s="413"/>
      <c r="R128" s="452"/>
      <c r="S128" s="443"/>
      <c r="T128" s="42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3"/>
      <c r="V128" s="423"/>
      <c r="W128" s="424"/>
      <c r="X128" s="425"/>
      <c r="Y128" s="426" t="str">
        <f t="shared" ca="1" si="5"/>
        <v/>
      </c>
      <c r="Z128" s="427" t="str">
        <f t="shared" ca="1" si="6"/>
        <v/>
      </c>
      <c r="AA128" s="426" t="str">
        <f t="shared" ca="1" si="7"/>
        <v/>
      </c>
      <c r="AB128" s="428" t="str">
        <f t="shared" ca="1" si="8"/>
        <v/>
      </c>
      <c r="AC128" s="427" t="str">
        <f t="shared" ca="1" si="9"/>
        <v/>
      </c>
      <c r="AD128" s="227"/>
    </row>
    <row r="129" spans="1:30" customFormat="1" ht="15">
      <c r="A129" s="227"/>
      <c r="B129" s="276">
        <v>91</v>
      </c>
      <c r="C129" s="254" t="s">
        <v>179</v>
      </c>
      <c r="D129" s="255">
        <v>1</v>
      </c>
      <c r="E129" s="247"/>
      <c r="F129" s="232">
        <v>0.4</v>
      </c>
      <c r="G129" s="435">
        <v>100</v>
      </c>
      <c r="H129" s="386">
        <v>115</v>
      </c>
      <c r="I129" s="404"/>
      <c r="J129" s="404"/>
      <c r="K129" s="413"/>
      <c r="L129" s="413"/>
      <c r="M129" s="413"/>
      <c r="N129" s="452"/>
      <c r="O129" s="413"/>
      <c r="P129" s="413"/>
      <c r="Q129" s="413"/>
      <c r="R129" s="452"/>
      <c r="S129" s="443"/>
      <c r="T129" s="42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3"/>
      <c r="V129" s="423"/>
      <c r="W129" s="424"/>
      <c r="X129" s="425"/>
      <c r="Y129" s="426" t="str">
        <f t="shared" ca="1" si="5"/>
        <v/>
      </c>
      <c r="Z129" s="427" t="str">
        <f t="shared" ca="1" si="6"/>
        <v/>
      </c>
      <c r="AA129" s="426" t="str">
        <f t="shared" ca="1" si="7"/>
        <v/>
      </c>
      <c r="AB129" s="428" t="str">
        <f t="shared" ca="1" si="8"/>
        <v/>
      </c>
      <c r="AC129" s="427" t="str">
        <f t="shared" ca="1" si="9"/>
        <v/>
      </c>
      <c r="AD129" s="227"/>
    </row>
    <row r="130" spans="1:30" customFormat="1" ht="15">
      <c r="A130" s="227"/>
      <c r="B130" s="276">
        <v>92</v>
      </c>
      <c r="C130" s="254" t="s">
        <v>180</v>
      </c>
      <c r="D130" s="255">
        <v>1</v>
      </c>
      <c r="E130" s="247"/>
      <c r="F130" s="232">
        <v>0.4</v>
      </c>
      <c r="G130" s="435">
        <v>100</v>
      </c>
      <c r="H130" s="386">
        <v>116</v>
      </c>
      <c r="I130" s="404"/>
      <c r="J130" s="404"/>
      <c r="K130" s="413"/>
      <c r="L130" s="413"/>
      <c r="M130" s="413"/>
      <c r="N130" s="452"/>
      <c r="O130" s="413"/>
      <c r="P130" s="413"/>
      <c r="Q130" s="413"/>
      <c r="R130" s="452"/>
      <c r="S130" s="443"/>
      <c r="T130" s="42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3"/>
      <c r="V130" s="423"/>
      <c r="W130" s="424"/>
      <c r="X130" s="425"/>
      <c r="Y130" s="426" t="str">
        <f t="shared" ca="1" si="5"/>
        <v/>
      </c>
      <c r="Z130" s="427" t="str">
        <f t="shared" ca="1" si="6"/>
        <v/>
      </c>
      <c r="AA130" s="426" t="str">
        <f t="shared" ca="1" si="7"/>
        <v/>
      </c>
      <c r="AB130" s="428" t="str">
        <f t="shared" ca="1" si="8"/>
        <v/>
      </c>
      <c r="AC130" s="427" t="str">
        <f t="shared" ca="1" si="9"/>
        <v/>
      </c>
      <c r="AD130" s="227"/>
    </row>
    <row r="131" spans="1:30" customFormat="1" ht="15">
      <c r="A131" s="227"/>
      <c r="B131" s="276">
        <v>93</v>
      </c>
      <c r="C131" s="254" t="s">
        <v>181</v>
      </c>
      <c r="D131" s="255">
        <v>1</v>
      </c>
      <c r="E131" s="247"/>
      <c r="F131" s="232">
        <v>0.4</v>
      </c>
      <c r="G131" s="435">
        <v>100</v>
      </c>
      <c r="H131" s="386">
        <v>117</v>
      </c>
      <c r="I131" s="404"/>
      <c r="J131" s="404"/>
      <c r="K131" s="413"/>
      <c r="L131" s="413"/>
      <c r="M131" s="413"/>
      <c r="N131" s="452"/>
      <c r="O131" s="413"/>
      <c r="P131" s="413"/>
      <c r="Q131" s="413"/>
      <c r="R131" s="452"/>
      <c r="S131" s="443"/>
      <c r="T131" s="42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3"/>
      <c r="V131" s="423"/>
      <c r="W131" s="424"/>
      <c r="X131" s="425"/>
      <c r="Y131" s="426" t="str">
        <f t="shared" ca="1" si="5"/>
        <v/>
      </c>
      <c r="Z131" s="427" t="str">
        <f t="shared" ca="1" si="6"/>
        <v/>
      </c>
      <c r="AA131" s="426" t="str">
        <f t="shared" ca="1" si="7"/>
        <v/>
      </c>
      <c r="AB131" s="428" t="str">
        <f t="shared" ca="1" si="8"/>
        <v/>
      </c>
      <c r="AC131" s="427" t="str">
        <f t="shared" ca="1" si="9"/>
        <v/>
      </c>
      <c r="AD131" s="227"/>
    </row>
    <row r="132" spans="1:30" customFormat="1" ht="15">
      <c r="A132" s="227"/>
      <c r="B132" s="276">
        <v>94</v>
      </c>
      <c r="C132" s="254" t="s">
        <v>182</v>
      </c>
      <c r="D132" s="255">
        <v>1</v>
      </c>
      <c r="E132" s="247"/>
      <c r="F132" s="232">
        <v>0.4</v>
      </c>
      <c r="G132" s="435">
        <v>100</v>
      </c>
      <c r="H132" s="386">
        <v>118</v>
      </c>
      <c r="I132" s="404"/>
      <c r="J132" s="404"/>
      <c r="K132" s="413"/>
      <c r="L132" s="413"/>
      <c r="M132" s="413"/>
      <c r="N132" s="452"/>
      <c r="O132" s="413"/>
      <c r="P132" s="413"/>
      <c r="Q132" s="413"/>
      <c r="R132" s="452"/>
      <c r="S132" s="443"/>
      <c r="T132" s="42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3"/>
      <c r="V132" s="423"/>
      <c r="W132" s="424"/>
      <c r="X132" s="425"/>
      <c r="Y132" s="426" t="str">
        <f t="shared" ca="1" si="5"/>
        <v/>
      </c>
      <c r="Z132" s="427" t="str">
        <f t="shared" ca="1" si="6"/>
        <v/>
      </c>
      <c r="AA132" s="426" t="str">
        <f t="shared" ca="1" si="7"/>
        <v/>
      </c>
      <c r="AB132" s="428" t="str">
        <f t="shared" ca="1" si="8"/>
        <v/>
      </c>
      <c r="AC132" s="427" t="str">
        <f t="shared" ca="1" si="9"/>
        <v/>
      </c>
      <c r="AD132" s="227"/>
    </row>
    <row r="133" spans="1:30" customFormat="1" ht="15">
      <c r="A133" s="227"/>
      <c r="B133" s="276">
        <v>95</v>
      </c>
      <c r="C133" s="254" t="s">
        <v>183</v>
      </c>
      <c r="D133" s="255">
        <v>1</v>
      </c>
      <c r="E133" s="247"/>
      <c r="F133" s="232">
        <v>0.4</v>
      </c>
      <c r="G133" s="435">
        <v>100</v>
      </c>
      <c r="H133" s="386">
        <v>119</v>
      </c>
      <c r="I133" s="404"/>
      <c r="J133" s="404"/>
      <c r="K133" s="413"/>
      <c r="L133" s="413"/>
      <c r="M133" s="413"/>
      <c r="N133" s="452"/>
      <c r="O133" s="413"/>
      <c r="P133" s="413"/>
      <c r="Q133" s="413"/>
      <c r="R133" s="452"/>
      <c r="S133" s="443"/>
      <c r="T133" s="42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3"/>
      <c r="V133" s="423"/>
      <c r="W133" s="424"/>
      <c r="X133" s="425"/>
      <c r="Y133" s="426" t="str">
        <f t="shared" ca="1" si="5"/>
        <v/>
      </c>
      <c r="Z133" s="427" t="str">
        <f t="shared" ca="1" si="6"/>
        <v/>
      </c>
      <c r="AA133" s="426" t="str">
        <f t="shared" ca="1" si="7"/>
        <v/>
      </c>
      <c r="AB133" s="428" t="str">
        <f t="shared" ca="1" si="8"/>
        <v/>
      </c>
      <c r="AC133" s="427" t="str">
        <f t="shared" ca="1" si="9"/>
        <v/>
      </c>
      <c r="AD133" s="227"/>
    </row>
    <row r="134" spans="1:30" customFormat="1" ht="15">
      <c r="A134" s="227"/>
      <c r="B134" s="276">
        <v>96</v>
      </c>
      <c r="C134" s="254" t="s">
        <v>184</v>
      </c>
      <c r="D134" s="255">
        <v>1</v>
      </c>
      <c r="E134" s="247"/>
      <c r="F134" s="232">
        <v>0.4</v>
      </c>
      <c r="G134" s="435">
        <v>100</v>
      </c>
      <c r="H134" s="386">
        <v>120</v>
      </c>
      <c r="I134" s="404"/>
      <c r="J134" s="404"/>
      <c r="K134" s="413"/>
      <c r="L134" s="413"/>
      <c r="M134" s="413"/>
      <c r="N134" s="452"/>
      <c r="O134" s="413"/>
      <c r="P134" s="413"/>
      <c r="Q134" s="413"/>
      <c r="R134" s="452"/>
      <c r="S134" s="443"/>
      <c r="T134" s="42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3"/>
      <c r="V134" s="423"/>
      <c r="W134" s="424"/>
      <c r="X134" s="425"/>
      <c r="Y134" s="426" t="str">
        <f t="shared" ca="1" si="5"/>
        <v/>
      </c>
      <c r="Z134" s="427" t="str">
        <f t="shared" ca="1" si="6"/>
        <v/>
      </c>
      <c r="AA134" s="426" t="str">
        <f t="shared" ca="1" si="7"/>
        <v/>
      </c>
      <c r="AB134" s="428" t="str">
        <f t="shared" ca="1" si="8"/>
        <v/>
      </c>
      <c r="AC134" s="427" t="str">
        <f t="shared" ca="1" si="9"/>
        <v/>
      </c>
      <c r="AD134" s="227"/>
    </row>
    <row r="135" spans="1:30" customFormat="1" ht="15">
      <c r="A135" s="227"/>
      <c r="B135" s="276">
        <v>97</v>
      </c>
      <c r="C135" s="254" t="s">
        <v>185</v>
      </c>
      <c r="D135" s="255">
        <v>1</v>
      </c>
      <c r="E135" s="247"/>
      <c r="F135" s="232">
        <v>0.4</v>
      </c>
      <c r="G135" s="435">
        <v>100</v>
      </c>
      <c r="H135" s="386">
        <v>121</v>
      </c>
      <c r="I135" s="404"/>
      <c r="J135" s="404"/>
      <c r="K135" s="413"/>
      <c r="L135" s="413"/>
      <c r="M135" s="413"/>
      <c r="N135" s="452"/>
      <c r="O135" s="413"/>
      <c r="P135" s="413"/>
      <c r="Q135" s="413"/>
      <c r="R135" s="452"/>
      <c r="S135" s="443"/>
      <c r="T135" s="42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3"/>
      <c r="V135" s="423"/>
      <c r="W135" s="424"/>
      <c r="X135" s="425"/>
      <c r="Y135" s="426" t="str">
        <f t="shared" ca="1" si="5"/>
        <v/>
      </c>
      <c r="Z135" s="427" t="str">
        <f t="shared" ca="1" si="6"/>
        <v/>
      </c>
      <c r="AA135" s="426" t="str">
        <f t="shared" ca="1" si="7"/>
        <v/>
      </c>
      <c r="AB135" s="428" t="str">
        <f t="shared" ca="1" si="8"/>
        <v/>
      </c>
      <c r="AC135" s="427" t="str">
        <f t="shared" ca="1" si="9"/>
        <v/>
      </c>
      <c r="AD135" s="227"/>
    </row>
    <row r="136" spans="1:30" customFormat="1" ht="15">
      <c r="A136" s="227"/>
      <c r="B136" s="276">
        <v>98</v>
      </c>
      <c r="C136" s="254" t="s">
        <v>186</v>
      </c>
      <c r="D136" s="255">
        <v>1</v>
      </c>
      <c r="E136" s="247"/>
      <c r="F136" s="232">
        <v>0.4</v>
      </c>
      <c r="G136" s="435">
        <v>100</v>
      </c>
      <c r="H136" s="386">
        <v>122</v>
      </c>
      <c r="I136" s="404"/>
      <c r="J136" s="404"/>
      <c r="K136" s="413"/>
      <c r="L136" s="413"/>
      <c r="M136" s="413"/>
      <c r="N136" s="452"/>
      <c r="O136" s="413"/>
      <c r="P136" s="413"/>
      <c r="Q136" s="413"/>
      <c r="R136" s="452"/>
      <c r="S136" s="443"/>
      <c r="T136" s="42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3"/>
      <c r="V136" s="423"/>
      <c r="W136" s="424"/>
      <c r="X136" s="425"/>
      <c r="Y136" s="426" t="str">
        <f t="shared" ca="1" si="5"/>
        <v/>
      </c>
      <c r="Z136" s="427" t="str">
        <f t="shared" ca="1" si="6"/>
        <v/>
      </c>
      <c r="AA136" s="426" t="str">
        <f t="shared" ca="1" si="7"/>
        <v/>
      </c>
      <c r="AB136" s="428" t="str">
        <f t="shared" ca="1" si="8"/>
        <v/>
      </c>
      <c r="AC136" s="427" t="str">
        <f t="shared" ca="1" si="9"/>
        <v/>
      </c>
      <c r="AD136" s="227"/>
    </row>
    <row r="137" spans="1:30" customFormat="1" ht="15">
      <c r="A137" s="227"/>
      <c r="B137" s="276">
        <v>99</v>
      </c>
      <c r="C137" s="254" t="s">
        <v>187</v>
      </c>
      <c r="D137" s="255">
        <v>1</v>
      </c>
      <c r="E137" s="247"/>
      <c r="F137" s="232">
        <v>0.4</v>
      </c>
      <c r="G137" s="435">
        <v>100</v>
      </c>
      <c r="H137" s="386">
        <v>123</v>
      </c>
      <c r="I137" s="404"/>
      <c r="J137" s="404"/>
      <c r="K137" s="413"/>
      <c r="L137" s="413"/>
      <c r="M137" s="413"/>
      <c r="N137" s="452"/>
      <c r="O137" s="413"/>
      <c r="P137" s="413"/>
      <c r="Q137" s="413"/>
      <c r="R137" s="452"/>
      <c r="S137" s="443"/>
      <c r="T137" s="42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3"/>
      <c r="V137" s="423"/>
      <c r="W137" s="424"/>
      <c r="X137" s="425"/>
      <c r="Y137" s="426" t="str">
        <f t="shared" ca="1" si="5"/>
        <v/>
      </c>
      <c r="Z137" s="427" t="str">
        <f t="shared" ca="1" si="6"/>
        <v/>
      </c>
      <c r="AA137" s="426" t="str">
        <f t="shared" ca="1" si="7"/>
        <v/>
      </c>
      <c r="AB137" s="428" t="str">
        <f t="shared" ca="1" si="8"/>
        <v/>
      </c>
      <c r="AC137" s="427" t="str">
        <f t="shared" ca="1" si="9"/>
        <v/>
      </c>
      <c r="AD137" s="227"/>
    </row>
    <row r="138" spans="1:30" customFormat="1" ht="15">
      <c r="A138" s="227"/>
      <c r="B138" s="276">
        <v>100</v>
      </c>
      <c r="C138" s="254" t="s">
        <v>188</v>
      </c>
      <c r="D138" s="255">
        <v>1</v>
      </c>
      <c r="E138" s="247"/>
      <c r="F138" s="232">
        <v>0.4</v>
      </c>
      <c r="G138" s="435">
        <v>100</v>
      </c>
      <c r="H138" s="386">
        <v>124</v>
      </c>
      <c r="I138" s="404"/>
      <c r="J138" s="404"/>
      <c r="K138" s="413"/>
      <c r="L138" s="413"/>
      <c r="M138" s="413"/>
      <c r="N138" s="452"/>
      <c r="O138" s="413"/>
      <c r="P138" s="413"/>
      <c r="Q138" s="413"/>
      <c r="R138" s="452"/>
      <c r="S138" s="443"/>
      <c r="T138" s="42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3"/>
      <c r="V138" s="423"/>
      <c r="W138" s="424"/>
      <c r="X138" s="425"/>
      <c r="Y138" s="426" t="str">
        <f t="shared" ca="1" si="5"/>
        <v/>
      </c>
      <c r="Z138" s="427" t="str">
        <f t="shared" ca="1" si="6"/>
        <v/>
      </c>
      <c r="AA138" s="426" t="str">
        <f t="shared" ca="1" si="7"/>
        <v/>
      </c>
      <c r="AB138" s="428" t="str">
        <f t="shared" ca="1" si="8"/>
        <v/>
      </c>
      <c r="AC138" s="427" t="str">
        <f t="shared" ca="1" si="9"/>
        <v/>
      </c>
      <c r="AD138" s="227"/>
    </row>
    <row r="139" spans="1:30" customFormat="1" ht="15">
      <c r="A139" s="227"/>
      <c r="B139" s="276">
        <v>101</v>
      </c>
      <c r="C139" s="254"/>
      <c r="D139" s="255"/>
      <c r="E139" s="247"/>
      <c r="F139" s="232"/>
      <c r="G139" s="239"/>
      <c r="H139" s="386">
        <v>125</v>
      </c>
      <c r="I139" s="404"/>
      <c r="J139" s="404"/>
      <c r="K139" s="413"/>
      <c r="L139" s="413"/>
      <c r="M139" s="413"/>
      <c r="N139" s="452"/>
      <c r="O139" s="413"/>
      <c r="P139" s="413"/>
      <c r="Q139" s="413"/>
      <c r="R139" s="452"/>
      <c r="S139" s="443"/>
      <c r="T139" s="42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3"/>
      <c r="V139" s="423"/>
      <c r="W139" s="424"/>
      <c r="X139" s="425"/>
      <c r="Y139" s="426" t="str">
        <f t="shared" ca="1" si="5"/>
        <v/>
      </c>
      <c r="Z139" s="427" t="str">
        <f t="shared" ca="1" si="6"/>
        <v/>
      </c>
      <c r="AA139" s="426" t="str">
        <f t="shared" ca="1" si="7"/>
        <v/>
      </c>
      <c r="AB139" s="428" t="str">
        <f t="shared" ca="1" si="8"/>
        <v/>
      </c>
      <c r="AC139" s="427" t="str">
        <f t="shared" ca="1" si="9"/>
        <v/>
      </c>
      <c r="AD139" s="227"/>
    </row>
    <row r="140" spans="1:30" customFormat="1" ht="15">
      <c r="A140" s="227"/>
      <c r="B140" s="276">
        <v>102</v>
      </c>
      <c r="C140" s="254"/>
      <c r="D140" s="255"/>
      <c r="E140" s="247"/>
      <c r="F140" s="232"/>
      <c r="G140" s="239"/>
      <c r="H140" s="386">
        <v>126</v>
      </c>
      <c r="I140" s="404"/>
      <c r="J140" s="404"/>
      <c r="K140" s="413"/>
      <c r="L140" s="413"/>
      <c r="M140" s="404"/>
      <c r="N140" s="453"/>
      <c r="O140" s="404"/>
      <c r="P140" s="404"/>
      <c r="Q140" s="404"/>
      <c r="R140" s="453"/>
      <c r="S140" s="443"/>
      <c r="T140" s="42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3"/>
      <c r="V140" s="423"/>
      <c r="W140" s="424"/>
      <c r="X140" s="425"/>
      <c r="Y140" s="426" t="str">
        <f t="shared" ca="1" si="5"/>
        <v/>
      </c>
      <c r="Z140" s="427" t="str">
        <f t="shared" ca="1" si="6"/>
        <v/>
      </c>
      <c r="AA140" s="426" t="str">
        <f t="shared" ca="1" si="7"/>
        <v/>
      </c>
      <c r="AB140" s="428" t="str">
        <f t="shared" ca="1" si="8"/>
        <v/>
      </c>
      <c r="AC140" s="427" t="str">
        <f t="shared" ca="1" si="9"/>
        <v/>
      </c>
      <c r="AD140" s="227"/>
    </row>
    <row r="141" spans="1:30" customFormat="1" ht="15">
      <c r="A141" s="227"/>
      <c r="B141" s="276">
        <v>103</v>
      </c>
      <c r="C141" s="254"/>
      <c r="D141" s="255"/>
      <c r="E141" s="247"/>
      <c r="F141" s="232"/>
      <c r="G141" s="239"/>
      <c r="H141" s="386">
        <v>127</v>
      </c>
      <c r="I141" s="404"/>
      <c r="J141" s="404"/>
      <c r="K141" s="413"/>
      <c r="L141" s="413"/>
      <c r="M141" s="404"/>
      <c r="N141" s="453"/>
      <c r="O141" s="404"/>
      <c r="P141" s="404"/>
      <c r="Q141" s="404"/>
      <c r="R141" s="453"/>
      <c r="S141" s="443"/>
      <c r="T141" s="42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3"/>
      <c r="V141" s="423"/>
      <c r="W141" s="424"/>
      <c r="X141" s="425"/>
      <c r="Y141" s="426" t="str">
        <f t="shared" ca="1" si="5"/>
        <v/>
      </c>
      <c r="Z141" s="427" t="str">
        <f t="shared" ca="1" si="6"/>
        <v/>
      </c>
      <c r="AA141" s="426" t="str">
        <f t="shared" ca="1" si="7"/>
        <v/>
      </c>
      <c r="AB141" s="428" t="str">
        <f t="shared" ca="1" si="8"/>
        <v/>
      </c>
      <c r="AC141" s="427" t="str">
        <f t="shared" ca="1" si="9"/>
        <v/>
      </c>
      <c r="AD141" s="227"/>
    </row>
    <row r="142" spans="1:30" customFormat="1" ht="15">
      <c r="A142" s="227"/>
      <c r="B142" s="276">
        <v>104</v>
      </c>
      <c r="C142" s="254"/>
      <c r="D142" s="255"/>
      <c r="E142" s="247"/>
      <c r="F142" s="232"/>
      <c r="G142" s="239"/>
      <c r="H142" s="386">
        <v>128</v>
      </c>
      <c r="I142" s="404"/>
      <c r="J142" s="404"/>
      <c r="K142" s="413"/>
      <c r="L142" s="413"/>
      <c r="M142" s="404"/>
      <c r="N142" s="453"/>
      <c r="O142" s="404"/>
      <c r="P142" s="404"/>
      <c r="Q142" s="404"/>
      <c r="R142" s="453"/>
      <c r="S142" s="443"/>
      <c r="T142" s="42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3"/>
      <c r="V142" s="423"/>
      <c r="W142" s="424"/>
      <c r="X142" s="425"/>
      <c r="Y142" s="426" t="str">
        <f t="shared" ca="1" si="5"/>
        <v/>
      </c>
      <c r="Z142" s="427" t="str">
        <f t="shared" ca="1" si="6"/>
        <v/>
      </c>
      <c r="AA142" s="426" t="str">
        <f t="shared" ca="1" si="7"/>
        <v/>
      </c>
      <c r="AB142" s="428" t="str">
        <f t="shared" ca="1" si="8"/>
        <v/>
      </c>
      <c r="AC142" s="427" t="str">
        <f t="shared" ca="1" si="9"/>
        <v/>
      </c>
      <c r="AD142" s="227"/>
    </row>
    <row r="143" spans="1:30" customFormat="1" ht="15">
      <c r="A143" s="227"/>
      <c r="B143" s="276">
        <v>105</v>
      </c>
      <c r="C143" s="254"/>
      <c r="D143" s="255"/>
      <c r="E143" s="247"/>
      <c r="F143" s="232"/>
      <c r="G143" s="239"/>
      <c r="H143" s="386">
        <v>129</v>
      </c>
      <c r="I143" s="404"/>
      <c r="J143" s="404"/>
      <c r="K143" s="413"/>
      <c r="L143" s="413"/>
      <c r="M143" s="404"/>
      <c r="N143" s="453"/>
      <c r="O143" s="404"/>
      <c r="P143" s="404"/>
      <c r="Q143" s="404"/>
      <c r="R143" s="453"/>
      <c r="S143" s="443"/>
      <c r="T143" s="42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3"/>
      <c r="V143" s="423"/>
      <c r="W143" s="424"/>
      <c r="X143" s="425"/>
      <c r="Y143" s="426" t="str">
        <f t="shared" ca="1" si="5"/>
        <v/>
      </c>
      <c r="Z143" s="427" t="str">
        <f t="shared" ca="1" si="6"/>
        <v/>
      </c>
      <c r="AA143" s="426" t="str">
        <f t="shared" ca="1" si="7"/>
        <v/>
      </c>
      <c r="AB143" s="428" t="str">
        <f t="shared" ca="1" si="8"/>
        <v/>
      </c>
      <c r="AC143" s="427" t="str">
        <f t="shared" ca="1" si="9"/>
        <v/>
      </c>
      <c r="AD143" s="227"/>
    </row>
    <row r="144" spans="1:30" customFormat="1" ht="15">
      <c r="A144" s="227"/>
      <c r="B144" s="276">
        <v>106</v>
      </c>
      <c r="C144" s="254"/>
      <c r="D144" s="255"/>
      <c r="E144" s="247"/>
      <c r="F144" s="232"/>
      <c r="G144" s="239"/>
      <c r="H144" s="386">
        <v>130</v>
      </c>
      <c r="I144" s="404"/>
      <c r="J144" s="404"/>
      <c r="K144" s="413"/>
      <c r="L144" s="413"/>
      <c r="M144" s="404"/>
      <c r="N144" s="453"/>
      <c r="O144" s="404"/>
      <c r="P144" s="404"/>
      <c r="Q144" s="404"/>
      <c r="R144" s="453"/>
      <c r="S144" s="443"/>
      <c r="T144" s="42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3"/>
      <c r="V144" s="423"/>
      <c r="W144" s="424"/>
      <c r="X144" s="425"/>
      <c r="Y144" s="426" t="str">
        <f t="shared" ref="Y144:Y207" ca="1" si="10">IF($U$12,IF(T144="","",$U$13*D168/$C$18),"")</f>
        <v/>
      </c>
      <c r="Z144" s="427" t="str">
        <f t="shared" ref="Z144:Z207" ca="1" si="11">IF($U$12,IF(Y144="","",Y144*($Z$10-W144)*X144),"")</f>
        <v/>
      </c>
      <c r="AA144" s="426" t="str">
        <f t="shared" ref="AA144:AA207" ca="1" si="12">IF($U$12,IF(OR(T144="",L144=""),"",L144/($C$20-$C$19)),"")</f>
        <v/>
      </c>
      <c r="AB144" s="428" t="str">
        <f t="shared" ref="AB144:AB207" ca="1" si="13">IF($U$12,IF(W144="","",W144*$AC$10),"")</f>
        <v/>
      </c>
      <c r="AC144" s="427" t="str">
        <f t="shared" ref="AC144:AC207" ca="1" si="14">IF($U$12,IF(AA144="","",AA144*(AB144-W144)*X144),"")</f>
        <v/>
      </c>
      <c r="AD144" s="227"/>
    </row>
    <row r="145" spans="1:30" customFormat="1" ht="15">
      <c r="A145" s="227"/>
      <c r="B145" s="276">
        <v>107</v>
      </c>
      <c r="C145" s="254"/>
      <c r="D145" s="255"/>
      <c r="E145" s="247"/>
      <c r="F145" s="232"/>
      <c r="G145" s="239"/>
      <c r="H145" s="386">
        <v>131</v>
      </c>
      <c r="I145" s="404"/>
      <c r="J145" s="404"/>
      <c r="K145" s="413"/>
      <c r="L145" s="413"/>
      <c r="M145" s="404"/>
      <c r="N145" s="453"/>
      <c r="O145" s="404"/>
      <c r="P145" s="404"/>
      <c r="Q145" s="404"/>
      <c r="R145" s="453"/>
      <c r="S145" s="443"/>
      <c r="T145" s="42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3"/>
      <c r="V145" s="423"/>
      <c r="W145" s="424"/>
      <c r="X145" s="425"/>
      <c r="Y145" s="426" t="str">
        <f t="shared" ca="1" si="10"/>
        <v/>
      </c>
      <c r="Z145" s="427" t="str">
        <f t="shared" ca="1" si="11"/>
        <v/>
      </c>
      <c r="AA145" s="426" t="str">
        <f t="shared" ca="1" si="12"/>
        <v/>
      </c>
      <c r="AB145" s="428" t="str">
        <f t="shared" ca="1" si="13"/>
        <v/>
      </c>
      <c r="AC145" s="427" t="str">
        <f t="shared" ca="1" si="14"/>
        <v/>
      </c>
      <c r="AD145" s="227"/>
    </row>
    <row r="146" spans="1:30" customFormat="1" ht="15">
      <c r="A146" s="227"/>
      <c r="B146" s="276">
        <v>108</v>
      </c>
      <c r="C146" s="254"/>
      <c r="D146" s="255"/>
      <c r="E146" s="247"/>
      <c r="F146" s="232"/>
      <c r="G146" s="239"/>
      <c r="H146" s="386">
        <v>132</v>
      </c>
      <c r="I146" s="404"/>
      <c r="J146" s="404"/>
      <c r="K146" s="413"/>
      <c r="L146" s="413"/>
      <c r="M146" s="404"/>
      <c r="N146" s="453"/>
      <c r="O146" s="404"/>
      <c r="P146" s="404"/>
      <c r="Q146" s="404"/>
      <c r="R146" s="453"/>
      <c r="S146" s="443"/>
      <c r="T146" s="42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3"/>
      <c r="V146" s="423"/>
      <c r="W146" s="424"/>
      <c r="X146" s="425"/>
      <c r="Y146" s="426" t="str">
        <f t="shared" ca="1" si="10"/>
        <v/>
      </c>
      <c r="Z146" s="427" t="str">
        <f t="shared" ca="1" si="11"/>
        <v/>
      </c>
      <c r="AA146" s="426" t="str">
        <f t="shared" ca="1" si="12"/>
        <v/>
      </c>
      <c r="AB146" s="428" t="str">
        <f t="shared" ca="1" si="13"/>
        <v/>
      </c>
      <c r="AC146" s="427" t="str">
        <f t="shared" ca="1" si="14"/>
        <v/>
      </c>
      <c r="AD146" s="227"/>
    </row>
    <row r="147" spans="1:30" customFormat="1" ht="15">
      <c r="A147" s="227"/>
      <c r="B147" s="276">
        <v>109</v>
      </c>
      <c r="C147" s="254"/>
      <c r="D147" s="255"/>
      <c r="E147" s="247"/>
      <c r="F147" s="232"/>
      <c r="G147" s="239"/>
      <c r="H147" s="386">
        <v>133</v>
      </c>
      <c r="I147" s="404"/>
      <c r="J147" s="404"/>
      <c r="K147" s="413"/>
      <c r="L147" s="413"/>
      <c r="M147" s="404"/>
      <c r="N147" s="453"/>
      <c r="O147" s="404"/>
      <c r="P147" s="404"/>
      <c r="Q147" s="404"/>
      <c r="R147" s="453"/>
      <c r="S147" s="443"/>
      <c r="T147" s="42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3"/>
      <c r="V147" s="423"/>
      <c r="W147" s="424"/>
      <c r="X147" s="425"/>
      <c r="Y147" s="426" t="str">
        <f t="shared" ca="1" si="10"/>
        <v/>
      </c>
      <c r="Z147" s="427" t="str">
        <f t="shared" ca="1" si="11"/>
        <v/>
      </c>
      <c r="AA147" s="426" t="str">
        <f t="shared" ca="1" si="12"/>
        <v/>
      </c>
      <c r="AB147" s="428" t="str">
        <f t="shared" ca="1" si="13"/>
        <v/>
      </c>
      <c r="AC147" s="427" t="str">
        <f t="shared" ca="1" si="14"/>
        <v/>
      </c>
      <c r="AD147" s="227"/>
    </row>
    <row r="148" spans="1:30" customFormat="1" ht="15">
      <c r="A148" s="227"/>
      <c r="B148" s="276">
        <v>110</v>
      </c>
      <c r="C148" s="254"/>
      <c r="D148" s="255"/>
      <c r="E148" s="247"/>
      <c r="F148" s="232"/>
      <c r="G148" s="239"/>
      <c r="H148" s="386">
        <v>134</v>
      </c>
      <c r="I148" s="404"/>
      <c r="J148" s="404"/>
      <c r="K148" s="413"/>
      <c r="L148" s="413"/>
      <c r="M148" s="404"/>
      <c r="N148" s="453"/>
      <c r="O148" s="404"/>
      <c r="P148" s="404"/>
      <c r="Q148" s="404"/>
      <c r="R148" s="453"/>
      <c r="S148" s="443"/>
      <c r="T148" s="42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3"/>
      <c r="V148" s="423"/>
      <c r="W148" s="424"/>
      <c r="X148" s="425"/>
      <c r="Y148" s="426" t="str">
        <f t="shared" ca="1" si="10"/>
        <v/>
      </c>
      <c r="Z148" s="427" t="str">
        <f t="shared" ca="1" si="11"/>
        <v/>
      </c>
      <c r="AA148" s="426" t="str">
        <f t="shared" ca="1" si="12"/>
        <v/>
      </c>
      <c r="AB148" s="428" t="str">
        <f t="shared" ca="1" si="13"/>
        <v/>
      </c>
      <c r="AC148" s="427" t="str">
        <f t="shared" ca="1" si="14"/>
        <v/>
      </c>
      <c r="AD148" s="227"/>
    </row>
    <row r="149" spans="1:30" customFormat="1" ht="15">
      <c r="A149" s="227"/>
      <c r="B149" s="276">
        <v>111</v>
      </c>
      <c r="C149" s="254"/>
      <c r="D149" s="255"/>
      <c r="E149" s="247"/>
      <c r="F149" s="232"/>
      <c r="G149" s="239"/>
      <c r="H149" s="386">
        <v>135</v>
      </c>
      <c r="I149" s="404"/>
      <c r="J149" s="404"/>
      <c r="K149" s="413"/>
      <c r="L149" s="413"/>
      <c r="M149" s="404"/>
      <c r="N149" s="453"/>
      <c r="O149" s="404"/>
      <c r="P149" s="404"/>
      <c r="Q149" s="404"/>
      <c r="R149" s="453"/>
      <c r="S149" s="443"/>
      <c r="T149" s="42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3"/>
      <c r="V149" s="423"/>
      <c r="W149" s="424"/>
      <c r="X149" s="425"/>
      <c r="Y149" s="426" t="str">
        <f t="shared" ca="1" si="10"/>
        <v/>
      </c>
      <c r="Z149" s="427" t="str">
        <f t="shared" ca="1" si="11"/>
        <v/>
      </c>
      <c r="AA149" s="426" t="str">
        <f t="shared" ca="1" si="12"/>
        <v/>
      </c>
      <c r="AB149" s="428" t="str">
        <f t="shared" ca="1" si="13"/>
        <v/>
      </c>
      <c r="AC149" s="427" t="str">
        <f t="shared" ca="1" si="14"/>
        <v/>
      </c>
      <c r="AD149" s="227"/>
    </row>
    <row r="150" spans="1:30" customFormat="1" ht="15">
      <c r="A150" s="227"/>
      <c r="B150" s="276">
        <v>112</v>
      </c>
      <c r="C150" s="254"/>
      <c r="D150" s="255"/>
      <c r="E150" s="247"/>
      <c r="F150" s="232"/>
      <c r="G150" s="239"/>
      <c r="H150" s="386">
        <v>136</v>
      </c>
      <c r="I150" s="404"/>
      <c r="J150" s="404"/>
      <c r="K150" s="413"/>
      <c r="L150" s="413"/>
      <c r="M150" s="404"/>
      <c r="N150" s="453"/>
      <c r="O150" s="404"/>
      <c r="P150" s="404"/>
      <c r="Q150" s="404"/>
      <c r="R150" s="453"/>
      <c r="S150" s="443"/>
      <c r="T150" s="42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3"/>
      <c r="V150" s="423"/>
      <c r="W150" s="424"/>
      <c r="X150" s="425"/>
      <c r="Y150" s="426" t="str">
        <f t="shared" ca="1" si="10"/>
        <v/>
      </c>
      <c r="Z150" s="427" t="str">
        <f t="shared" ca="1" si="11"/>
        <v/>
      </c>
      <c r="AA150" s="426" t="str">
        <f t="shared" ca="1" si="12"/>
        <v/>
      </c>
      <c r="AB150" s="428" t="str">
        <f t="shared" ca="1" si="13"/>
        <v/>
      </c>
      <c r="AC150" s="427" t="str">
        <f t="shared" ca="1" si="14"/>
        <v/>
      </c>
      <c r="AD150" s="227"/>
    </row>
    <row r="151" spans="1:30" customFormat="1" ht="15">
      <c r="A151" s="227"/>
      <c r="B151" s="276">
        <v>113</v>
      </c>
      <c r="C151" s="254"/>
      <c r="D151" s="255"/>
      <c r="E151" s="247"/>
      <c r="F151" s="232"/>
      <c r="G151" s="239"/>
      <c r="H151" s="386">
        <v>137</v>
      </c>
      <c r="I151" s="404"/>
      <c r="J151" s="404"/>
      <c r="K151" s="413"/>
      <c r="L151" s="413"/>
      <c r="M151" s="404"/>
      <c r="N151" s="453"/>
      <c r="O151" s="404"/>
      <c r="P151" s="404"/>
      <c r="Q151" s="404"/>
      <c r="R151" s="453"/>
      <c r="S151" s="443"/>
      <c r="T151" s="42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3"/>
      <c r="V151" s="423"/>
      <c r="W151" s="424"/>
      <c r="X151" s="425"/>
      <c r="Y151" s="426" t="str">
        <f t="shared" ca="1" si="10"/>
        <v/>
      </c>
      <c r="Z151" s="427" t="str">
        <f t="shared" ca="1" si="11"/>
        <v/>
      </c>
      <c r="AA151" s="426" t="str">
        <f t="shared" ca="1" si="12"/>
        <v/>
      </c>
      <c r="AB151" s="428" t="str">
        <f t="shared" ca="1" si="13"/>
        <v/>
      </c>
      <c r="AC151" s="427" t="str">
        <f t="shared" ca="1" si="14"/>
        <v/>
      </c>
      <c r="AD151" s="227"/>
    </row>
    <row r="152" spans="1:30" customFormat="1" ht="15">
      <c r="A152" s="227"/>
      <c r="B152" s="276">
        <v>114</v>
      </c>
      <c r="C152" s="254"/>
      <c r="D152" s="255"/>
      <c r="E152" s="247"/>
      <c r="F152" s="232"/>
      <c r="G152" s="239"/>
      <c r="H152" s="386">
        <v>138</v>
      </c>
      <c r="I152" s="404"/>
      <c r="J152" s="404"/>
      <c r="K152" s="413"/>
      <c r="L152" s="413"/>
      <c r="M152" s="404"/>
      <c r="N152" s="453"/>
      <c r="O152" s="404"/>
      <c r="P152" s="404"/>
      <c r="Q152" s="404"/>
      <c r="R152" s="453"/>
      <c r="S152" s="443"/>
      <c r="T152" s="42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3"/>
      <c r="V152" s="423"/>
      <c r="W152" s="424"/>
      <c r="X152" s="425"/>
      <c r="Y152" s="426" t="str">
        <f t="shared" ca="1" si="10"/>
        <v/>
      </c>
      <c r="Z152" s="427" t="str">
        <f t="shared" ca="1" si="11"/>
        <v/>
      </c>
      <c r="AA152" s="426" t="str">
        <f t="shared" ca="1" si="12"/>
        <v/>
      </c>
      <c r="AB152" s="428" t="str">
        <f t="shared" ca="1" si="13"/>
        <v/>
      </c>
      <c r="AC152" s="427" t="str">
        <f t="shared" ca="1" si="14"/>
        <v/>
      </c>
      <c r="AD152" s="227"/>
    </row>
    <row r="153" spans="1:30" customFormat="1" ht="15">
      <c r="A153" s="227"/>
      <c r="B153" s="276">
        <v>115</v>
      </c>
      <c r="C153" s="254"/>
      <c r="D153" s="255"/>
      <c r="E153" s="247"/>
      <c r="F153" s="232"/>
      <c r="G153" s="239"/>
      <c r="H153" s="386">
        <v>139</v>
      </c>
      <c r="I153" s="404"/>
      <c r="J153" s="404"/>
      <c r="K153" s="413"/>
      <c r="L153" s="413"/>
      <c r="M153" s="404"/>
      <c r="N153" s="453"/>
      <c r="O153" s="404"/>
      <c r="P153" s="404"/>
      <c r="Q153" s="404"/>
      <c r="R153" s="453"/>
      <c r="S153" s="443"/>
      <c r="T153" s="42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3"/>
      <c r="V153" s="423"/>
      <c r="W153" s="424"/>
      <c r="X153" s="425"/>
      <c r="Y153" s="426" t="str">
        <f t="shared" ca="1" si="10"/>
        <v/>
      </c>
      <c r="Z153" s="427" t="str">
        <f t="shared" ca="1" si="11"/>
        <v/>
      </c>
      <c r="AA153" s="426" t="str">
        <f t="shared" ca="1" si="12"/>
        <v/>
      </c>
      <c r="AB153" s="428" t="str">
        <f t="shared" ca="1" si="13"/>
        <v/>
      </c>
      <c r="AC153" s="427" t="str">
        <f t="shared" ca="1" si="14"/>
        <v/>
      </c>
      <c r="AD153" s="227"/>
    </row>
    <row r="154" spans="1:30" customFormat="1" ht="15">
      <c r="A154" s="227"/>
      <c r="B154" s="276">
        <v>116</v>
      </c>
      <c r="C154" s="254"/>
      <c r="D154" s="255"/>
      <c r="E154" s="247"/>
      <c r="F154" s="232"/>
      <c r="G154" s="239"/>
      <c r="H154" s="386">
        <v>140</v>
      </c>
      <c r="I154" s="404"/>
      <c r="J154" s="404"/>
      <c r="K154" s="413"/>
      <c r="L154" s="413"/>
      <c r="M154" s="404"/>
      <c r="N154" s="453"/>
      <c r="O154" s="404"/>
      <c r="P154" s="404"/>
      <c r="Q154" s="404"/>
      <c r="R154" s="453"/>
      <c r="S154" s="443"/>
      <c r="T154" s="42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3"/>
      <c r="V154" s="423"/>
      <c r="W154" s="424"/>
      <c r="X154" s="425"/>
      <c r="Y154" s="426" t="str">
        <f t="shared" ca="1" si="10"/>
        <v/>
      </c>
      <c r="Z154" s="427" t="str">
        <f t="shared" ca="1" si="11"/>
        <v/>
      </c>
      <c r="AA154" s="426" t="str">
        <f t="shared" ca="1" si="12"/>
        <v/>
      </c>
      <c r="AB154" s="428" t="str">
        <f t="shared" ca="1" si="13"/>
        <v/>
      </c>
      <c r="AC154" s="427" t="str">
        <f t="shared" ca="1" si="14"/>
        <v/>
      </c>
      <c r="AD154" s="227"/>
    </row>
    <row r="155" spans="1:30" customFormat="1" ht="15">
      <c r="A155" s="227"/>
      <c r="B155" s="276">
        <v>117</v>
      </c>
      <c r="C155" s="254"/>
      <c r="D155" s="255"/>
      <c r="E155" s="247"/>
      <c r="F155" s="232"/>
      <c r="G155" s="239"/>
      <c r="H155" s="386">
        <v>141</v>
      </c>
      <c r="I155" s="404"/>
      <c r="J155" s="404"/>
      <c r="K155" s="413"/>
      <c r="L155" s="413"/>
      <c r="M155" s="404"/>
      <c r="N155" s="453"/>
      <c r="O155" s="404"/>
      <c r="P155" s="404"/>
      <c r="Q155" s="404"/>
      <c r="R155" s="453"/>
      <c r="S155" s="443"/>
      <c r="T155" s="42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3"/>
      <c r="V155" s="423"/>
      <c r="W155" s="424"/>
      <c r="X155" s="425"/>
      <c r="Y155" s="426" t="str">
        <f t="shared" ca="1" si="10"/>
        <v/>
      </c>
      <c r="Z155" s="427" t="str">
        <f t="shared" ca="1" si="11"/>
        <v/>
      </c>
      <c r="AA155" s="426" t="str">
        <f t="shared" ca="1" si="12"/>
        <v/>
      </c>
      <c r="AB155" s="428" t="str">
        <f t="shared" ca="1" si="13"/>
        <v/>
      </c>
      <c r="AC155" s="427" t="str">
        <f t="shared" ca="1" si="14"/>
        <v/>
      </c>
      <c r="AD155" s="227"/>
    </row>
    <row r="156" spans="1:30" customFormat="1" ht="15">
      <c r="A156" s="227"/>
      <c r="B156" s="276">
        <v>118</v>
      </c>
      <c r="C156" s="254"/>
      <c r="D156" s="255"/>
      <c r="E156" s="247"/>
      <c r="F156" s="232"/>
      <c r="G156" s="239"/>
      <c r="H156" s="386">
        <v>142</v>
      </c>
      <c r="I156" s="404"/>
      <c r="J156" s="404"/>
      <c r="K156" s="413"/>
      <c r="L156" s="413"/>
      <c r="M156" s="404"/>
      <c r="N156" s="453"/>
      <c r="O156" s="404"/>
      <c r="P156" s="404"/>
      <c r="Q156" s="404"/>
      <c r="R156" s="453"/>
      <c r="S156" s="443"/>
      <c r="T156" s="42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3"/>
      <c r="V156" s="423"/>
      <c r="W156" s="424"/>
      <c r="X156" s="425"/>
      <c r="Y156" s="426" t="str">
        <f t="shared" ca="1" si="10"/>
        <v/>
      </c>
      <c r="Z156" s="427" t="str">
        <f t="shared" ca="1" si="11"/>
        <v/>
      </c>
      <c r="AA156" s="426" t="str">
        <f t="shared" ca="1" si="12"/>
        <v/>
      </c>
      <c r="AB156" s="428" t="str">
        <f t="shared" ca="1" si="13"/>
        <v/>
      </c>
      <c r="AC156" s="427" t="str">
        <f t="shared" ca="1" si="14"/>
        <v/>
      </c>
      <c r="AD156" s="227"/>
    </row>
    <row r="157" spans="1:30" customFormat="1" ht="15">
      <c r="A157" s="227"/>
      <c r="B157" s="276">
        <v>119</v>
      </c>
      <c r="C157" s="254"/>
      <c r="D157" s="255"/>
      <c r="E157" s="247"/>
      <c r="F157" s="232"/>
      <c r="G157" s="239"/>
      <c r="H157" s="386">
        <v>143</v>
      </c>
      <c r="I157" s="404"/>
      <c r="J157" s="404"/>
      <c r="K157" s="413"/>
      <c r="L157" s="413"/>
      <c r="M157" s="404"/>
      <c r="N157" s="453"/>
      <c r="O157" s="404"/>
      <c r="P157" s="404"/>
      <c r="Q157" s="404"/>
      <c r="R157" s="453"/>
      <c r="S157" s="443"/>
      <c r="T157" s="42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3"/>
      <c r="V157" s="423"/>
      <c r="W157" s="424"/>
      <c r="X157" s="425"/>
      <c r="Y157" s="426" t="str">
        <f t="shared" ca="1" si="10"/>
        <v/>
      </c>
      <c r="Z157" s="427" t="str">
        <f t="shared" ca="1" si="11"/>
        <v/>
      </c>
      <c r="AA157" s="426" t="str">
        <f t="shared" ca="1" si="12"/>
        <v/>
      </c>
      <c r="AB157" s="428" t="str">
        <f t="shared" ca="1" si="13"/>
        <v/>
      </c>
      <c r="AC157" s="427" t="str">
        <f t="shared" ca="1" si="14"/>
        <v/>
      </c>
      <c r="AD157" s="227"/>
    </row>
    <row r="158" spans="1:30" customFormat="1" ht="15">
      <c r="A158" s="227"/>
      <c r="B158" s="276">
        <v>120</v>
      </c>
      <c r="C158" s="254"/>
      <c r="D158" s="255"/>
      <c r="E158" s="247"/>
      <c r="F158" s="232"/>
      <c r="G158" s="239"/>
      <c r="H158" s="386">
        <v>144</v>
      </c>
      <c r="I158" s="404"/>
      <c r="J158" s="404"/>
      <c r="K158" s="413"/>
      <c r="L158" s="413"/>
      <c r="M158" s="404"/>
      <c r="N158" s="453"/>
      <c r="O158" s="404"/>
      <c r="P158" s="404"/>
      <c r="Q158" s="404"/>
      <c r="R158" s="453"/>
      <c r="S158" s="443"/>
      <c r="T158" s="42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3"/>
      <c r="V158" s="423"/>
      <c r="W158" s="424"/>
      <c r="X158" s="425"/>
      <c r="Y158" s="426" t="str">
        <f t="shared" ca="1" si="10"/>
        <v/>
      </c>
      <c r="Z158" s="427" t="str">
        <f t="shared" ca="1" si="11"/>
        <v/>
      </c>
      <c r="AA158" s="426" t="str">
        <f t="shared" ca="1" si="12"/>
        <v/>
      </c>
      <c r="AB158" s="428" t="str">
        <f t="shared" ca="1" si="13"/>
        <v/>
      </c>
      <c r="AC158" s="427" t="str">
        <f t="shared" ca="1" si="14"/>
        <v/>
      </c>
      <c r="AD158" s="227"/>
    </row>
    <row r="159" spans="1:30" customFormat="1" ht="15">
      <c r="A159" s="227"/>
      <c r="B159" s="276">
        <v>121</v>
      </c>
      <c r="C159" s="254"/>
      <c r="D159" s="255"/>
      <c r="E159" s="247"/>
      <c r="F159" s="232"/>
      <c r="G159" s="239"/>
      <c r="H159" s="386">
        <v>145</v>
      </c>
      <c r="I159" s="404"/>
      <c r="J159" s="404"/>
      <c r="K159" s="413"/>
      <c r="L159" s="413"/>
      <c r="M159" s="404"/>
      <c r="N159" s="453"/>
      <c r="O159" s="404"/>
      <c r="P159" s="404"/>
      <c r="Q159" s="404"/>
      <c r="R159" s="453"/>
      <c r="S159" s="443"/>
      <c r="T159" s="42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3"/>
      <c r="V159" s="423"/>
      <c r="W159" s="424"/>
      <c r="X159" s="425"/>
      <c r="Y159" s="426" t="str">
        <f t="shared" ca="1" si="10"/>
        <v/>
      </c>
      <c r="Z159" s="427" t="str">
        <f t="shared" ca="1" si="11"/>
        <v/>
      </c>
      <c r="AA159" s="426" t="str">
        <f t="shared" ca="1" si="12"/>
        <v/>
      </c>
      <c r="AB159" s="428" t="str">
        <f t="shared" ca="1" si="13"/>
        <v/>
      </c>
      <c r="AC159" s="427" t="str">
        <f t="shared" ca="1" si="14"/>
        <v/>
      </c>
      <c r="AD159" s="227"/>
    </row>
    <row r="160" spans="1:30" customFormat="1" ht="15">
      <c r="A160" s="227"/>
      <c r="B160" s="276">
        <v>122</v>
      </c>
      <c r="C160" s="254"/>
      <c r="D160" s="255"/>
      <c r="E160" s="247"/>
      <c r="F160" s="232"/>
      <c r="G160" s="239"/>
      <c r="H160" s="386">
        <v>146</v>
      </c>
      <c r="I160" s="404"/>
      <c r="J160" s="404"/>
      <c r="K160" s="413"/>
      <c r="L160" s="413"/>
      <c r="M160" s="404"/>
      <c r="N160" s="453"/>
      <c r="O160" s="404"/>
      <c r="P160" s="404"/>
      <c r="Q160" s="404"/>
      <c r="R160" s="453"/>
      <c r="S160" s="443"/>
      <c r="T160" s="42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3"/>
      <c r="V160" s="423"/>
      <c r="W160" s="424"/>
      <c r="X160" s="425"/>
      <c r="Y160" s="426" t="str">
        <f t="shared" ca="1" si="10"/>
        <v/>
      </c>
      <c r="Z160" s="427" t="str">
        <f t="shared" ca="1" si="11"/>
        <v/>
      </c>
      <c r="AA160" s="426" t="str">
        <f t="shared" ca="1" si="12"/>
        <v/>
      </c>
      <c r="AB160" s="428" t="str">
        <f t="shared" ca="1" si="13"/>
        <v/>
      </c>
      <c r="AC160" s="427" t="str">
        <f t="shared" ca="1" si="14"/>
        <v/>
      </c>
      <c r="AD160" s="227"/>
    </row>
    <row r="161" spans="1:30" customFormat="1" ht="15">
      <c r="A161" s="227"/>
      <c r="B161" s="276">
        <v>123</v>
      </c>
      <c r="C161" s="254"/>
      <c r="D161" s="255"/>
      <c r="E161" s="247"/>
      <c r="F161" s="232"/>
      <c r="G161" s="239"/>
      <c r="H161" s="386">
        <v>147</v>
      </c>
      <c r="I161" s="404"/>
      <c r="J161" s="404"/>
      <c r="K161" s="413"/>
      <c r="L161" s="413"/>
      <c r="M161" s="404"/>
      <c r="N161" s="453"/>
      <c r="O161" s="404"/>
      <c r="P161" s="404"/>
      <c r="Q161" s="404"/>
      <c r="R161" s="453"/>
      <c r="S161" s="443"/>
      <c r="T161" s="42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3"/>
      <c r="V161" s="423"/>
      <c r="W161" s="424"/>
      <c r="X161" s="425"/>
      <c r="Y161" s="426" t="str">
        <f t="shared" ca="1" si="10"/>
        <v/>
      </c>
      <c r="Z161" s="427" t="str">
        <f t="shared" ca="1" si="11"/>
        <v/>
      </c>
      <c r="AA161" s="426" t="str">
        <f t="shared" ca="1" si="12"/>
        <v/>
      </c>
      <c r="AB161" s="428" t="str">
        <f t="shared" ca="1" si="13"/>
        <v/>
      </c>
      <c r="AC161" s="427" t="str">
        <f t="shared" ca="1" si="14"/>
        <v/>
      </c>
      <c r="AD161" s="227"/>
    </row>
    <row r="162" spans="1:30" customFormat="1" ht="15">
      <c r="A162" s="227"/>
      <c r="B162" s="276">
        <v>124</v>
      </c>
      <c r="C162" s="254"/>
      <c r="D162" s="255"/>
      <c r="E162" s="247"/>
      <c r="F162" s="232"/>
      <c r="G162" s="239"/>
      <c r="H162" s="386">
        <v>148</v>
      </c>
      <c r="I162" s="404"/>
      <c r="J162" s="404"/>
      <c r="K162" s="413"/>
      <c r="L162" s="413"/>
      <c r="M162" s="404"/>
      <c r="N162" s="453"/>
      <c r="O162" s="404"/>
      <c r="P162" s="404"/>
      <c r="Q162" s="404"/>
      <c r="R162" s="453"/>
      <c r="S162" s="443"/>
      <c r="T162" s="42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3"/>
      <c r="V162" s="423"/>
      <c r="W162" s="424"/>
      <c r="X162" s="425"/>
      <c r="Y162" s="426" t="str">
        <f t="shared" ca="1" si="10"/>
        <v/>
      </c>
      <c r="Z162" s="427" t="str">
        <f t="shared" ca="1" si="11"/>
        <v/>
      </c>
      <c r="AA162" s="426" t="str">
        <f t="shared" ca="1" si="12"/>
        <v/>
      </c>
      <c r="AB162" s="428" t="str">
        <f t="shared" ca="1" si="13"/>
        <v/>
      </c>
      <c r="AC162" s="427" t="str">
        <f t="shared" ca="1" si="14"/>
        <v/>
      </c>
      <c r="AD162" s="227"/>
    </row>
    <row r="163" spans="1:30" customFormat="1" ht="15">
      <c r="A163" s="227"/>
      <c r="B163" s="276">
        <v>125</v>
      </c>
      <c r="C163" s="254"/>
      <c r="D163" s="255"/>
      <c r="E163" s="247"/>
      <c r="F163" s="232"/>
      <c r="G163" s="239"/>
      <c r="H163" s="386">
        <v>149</v>
      </c>
      <c r="I163" s="404"/>
      <c r="J163" s="404"/>
      <c r="K163" s="413"/>
      <c r="L163" s="413"/>
      <c r="M163" s="413"/>
      <c r="N163" s="452"/>
      <c r="O163" s="413"/>
      <c r="P163" s="413"/>
      <c r="Q163" s="413"/>
      <c r="R163" s="452"/>
      <c r="S163" s="443"/>
      <c r="T163" s="42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3"/>
      <c r="V163" s="423"/>
      <c r="W163" s="424"/>
      <c r="X163" s="425"/>
      <c r="Y163" s="426" t="str">
        <f t="shared" ca="1" si="10"/>
        <v/>
      </c>
      <c r="Z163" s="427" t="str">
        <f t="shared" ca="1" si="11"/>
        <v/>
      </c>
      <c r="AA163" s="426" t="str">
        <f t="shared" ca="1" si="12"/>
        <v/>
      </c>
      <c r="AB163" s="428" t="str">
        <f t="shared" ca="1" si="13"/>
        <v/>
      </c>
      <c r="AC163" s="427" t="str">
        <f t="shared" ca="1" si="14"/>
        <v/>
      </c>
      <c r="AD163" s="227"/>
    </row>
    <row r="164" spans="1:30" customFormat="1" ht="15">
      <c r="A164" s="227"/>
      <c r="B164" s="276">
        <v>126</v>
      </c>
      <c r="C164" s="254"/>
      <c r="D164" s="255"/>
      <c r="E164" s="247"/>
      <c r="F164" s="232"/>
      <c r="G164" s="239"/>
      <c r="H164" s="386">
        <v>150</v>
      </c>
      <c r="I164" s="404"/>
      <c r="J164" s="404"/>
      <c r="K164" s="413"/>
      <c r="L164" s="413"/>
      <c r="M164" s="413"/>
      <c r="N164" s="452"/>
      <c r="O164" s="413"/>
      <c r="P164" s="413"/>
      <c r="Q164" s="413"/>
      <c r="R164" s="452"/>
      <c r="S164" s="443"/>
      <c r="T164" s="42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3"/>
      <c r="V164" s="423"/>
      <c r="W164" s="424"/>
      <c r="X164" s="425"/>
      <c r="Y164" s="426" t="str">
        <f t="shared" ca="1" si="10"/>
        <v/>
      </c>
      <c r="Z164" s="427" t="str">
        <f t="shared" ca="1" si="11"/>
        <v/>
      </c>
      <c r="AA164" s="426" t="str">
        <f t="shared" ca="1" si="12"/>
        <v/>
      </c>
      <c r="AB164" s="428" t="str">
        <f t="shared" ca="1" si="13"/>
        <v/>
      </c>
      <c r="AC164" s="427" t="str">
        <f t="shared" ca="1" si="14"/>
        <v/>
      </c>
      <c r="AD164" s="227"/>
    </row>
    <row r="165" spans="1:30" customFormat="1" ht="15">
      <c r="A165" s="227"/>
      <c r="B165" s="276">
        <v>127</v>
      </c>
      <c r="C165" s="254"/>
      <c r="D165" s="255"/>
      <c r="E165" s="247"/>
      <c r="F165" s="232"/>
      <c r="G165" s="239"/>
      <c r="H165" s="386">
        <v>151</v>
      </c>
      <c r="I165" s="404"/>
      <c r="J165" s="404"/>
      <c r="K165" s="413"/>
      <c r="L165" s="413"/>
      <c r="M165" s="413"/>
      <c r="N165" s="452"/>
      <c r="O165" s="413"/>
      <c r="P165" s="413"/>
      <c r="Q165" s="413"/>
      <c r="R165" s="452"/>
      <c r="S165" s="443"/>
      <c r="T165" s="42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3"/>
      <c r="V165" s="423"/>
      <c r="W165" s="424"/>
      <c r="X165" s="425"/>
      <c r="Y165" s="426" t="str">
        <f t="shared" ca="1" si="10"/>
        <v/>
      </c>
      <c r="Z165" s="427" t="str">
        <f t="shared" ca="1" si="11"/>
        <v/>
      </c>
      <c r="AA165" s="426" t="str">
        <f t="shared" ca="1" si="12"/>
        <v/>
      </c>
      <c r="AB165" s="428" t="str">
        <f t="shared" ca="1" si="13"/>
        <v/>
      </c>
      <c r="AC165" s="427" t="str">
        <f t="shared" ca="1" si="14"/>
        <v/>
      </c>
      <c r="AD165" s="227"/>
    </row>
    <row r="166" spans="1:30" customFormat="1" ht="15">
      <c r="A166" s="227"/>
      <c r="B166" s="276">
        <v>128</v>
      </c>
      <c r="C166" s="254"/>
      <c r="D166" s="255"/>
      <c r="E166" s="247"/>
      <c r="F166" s="232"/>
      <c r="G166" s="239"/>
      <c r="H166" s="386">
        <v>152</v>
      </c>
      <c r="I166" s="404"/>
      <c r="J166" s="404"/>
      <c r="K166" s="413"/>
      <c r="L166" s="413"/>
      <c r="M166" s="413"/>
      <c r="N166" s="452"/>
      <c r="O166" s="413"/>
      <c r="P166" s="413"/>
      <c r="Q166" s="413"/>
      <c r="R166" s="452"/>
      <c r="S166" s="443"/>
      <c r="T166" s="42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3"/>
      <c r="V166" s="423"/>
      <c r="W166" s="424"/>
      <c r="X166" s="425"/>
      <c r="Y166" s="426" t="str">
        <f t="shared" ca="1" si="10"/>
        <v/>
      </c>
      <c r="Z166" s="427" t="str">
        <f t="shared" ca="1" si="11"/>
        <v/>
      </c>
      <c r="AA166" s="426" t="str">
        <f t="shared" ca="1" si="12"/>
        <v/>
      </c>
      <c r="AB166" s="428" t="str">
        <f t="shared" ca="1" si="13"/>
        <v/>
      </c>
      <c r="AC166" s="427" t="str">
        <f t="shared" ca="1" si="14"/>
        <v/>
      </c>
      <c r="AD166" s="227"/>
    </row>
    <row r="167" spans="1:30" customFormat="1" ht="15">
      <c r="A167" s="227"/>
      <c r="B167" s="276">
        <v>129</v>
      </c>
      <c r="C167" s="254"/>
      <c r="D167" s="255"/>
      <c r="E167" s="247"/>
      <c r="F167" s="232"/>
      <c r="G167" s="239"/>
      <c r="H167" s="386">
        <v>153</v>
      </c>
      <c r="I167" s="404"/>
      <c r="J167" s="404"/>
      <c r="K167" s="413"/>
      <c r="L167" s="413"/>
      <c r="M167" s="413"/>
      <c r="N167" s="452"/>
      <c r="O167" s="413"/>
      <c r="P167" s="413"/>
      <c r="Q167" s="413"/>
      <c r="R167" s="452"/>
      <c r="S167" s="443"/>
      <c r="T167" s="42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3"/>
      <c r="V167" s="423"/>
      <c r="W167" s="424"/>
      <c r="X167" s="425"/>
      <c r="Y167" s="426" t="str">
        <f t="shared" ca="1" si="10"/>
        <v/>
      </c>
      <c r="Z167" s="427" t="str">
        <f t="shared" ca="1" si="11"/>
        <v/>
      </c>
      <c r="AA167" s="426" t="str">
        <f t="shared" ca="1" si="12"/>
        <v/>
      </c>
      <c r="AB167" s="428" t="str">
        <f t="shared" ca="1" si="13"/>
        <v/>
      </c>
      <c r="AC167" s="427" t="str">
        <f t="shared" ca="1" si="14"/>
        <v/>
      </c>
      <c r="AD167" s="227"/>
    </row>
    <row r="168" spans="1:30" customFormat="1" ht="15">
      <c r="A168" s="227"/>
      <c r="B168" s="276">
        <v>130</v>
      </c>
      <c r="C168" s="254"/>
      <c r="D168" s="255"/>
      <c r="E168" s="247"/>
      <c r="F168" s="232"/>
      <c r="G168" s="239"/>
      <c r="H168" s="386">
        <v>154</v>
      </c>
      <c r="I168" s="404"/>
      <c r="J168" s="404"/>
      <c r="K168" s="413"/>
      <c r="L168" s="413"/>
      <c r="M168" s="413"/>
      <c r="N168" s="452"/>
      <c r="O168" s="413"/>
      <c r="P168" s="413"/>
      <c r="Q168" s="413"/>
      <c r="R168" s="452"/>
      <c r="S168" s="443"/>
      <c r="T168" s="42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3"/>
      <c r="V168" s="423"/>
      <c r="W168" s="424"/>
      <c r="X168" s="425"/>
      <c r="Y168" s="426" t="str">
        <f t="shared" ca="1" si="10"/>
        <v/>
      </c>
      <c r="Z168" s="427" t="str">
        <f t="shared" ca="1" si="11"/>
        <v/>
      </c>
      <c r="AA168" s="426" t="str">
        <f t="shared" ca="1" si="12"/>
        <v/>
      </c>
      <c r="AB168" s="428" t="str">
        <f t="shared" ca="1" si="13"/>
        <v/>
      </c>
      <c r="AC168" s="427" t="str">
        <f t="shared" ca="1" si="14"/>
        <v/>
      </c>
      <c r="AD168" s="227"/>
    </row>
    <row r="169" spans="1:30" customFormat="1" ht="15">
      <c r="A169" s="227"/>
      <c r="B169" s="276">
        <v>131</v>
      </c>
      <c r="C169" s="254"/>
      <c r="D169" s="255"/>
      <c r="E169" s="247"/>
      <c r="F169" s="232"/>
      <c r="G169" s="239"/>
      <c r="H169" s="386">
        <v>155</v>
      </c>
      <c r="I169" s="404"/>
      <c r="J169" s="404"/>
      <c r="K169" s="413"/>
      <c r="L169" s="413"/>
      <c r="M169" s="413"/>
      <c r="N169" s="452"/>
      <c r="O169" s="413"/>
      <c r="P169" s="413"/>
      <c r="Q169" s="413"/>
      <c r="R169" s="452"/>
      <c r="S169" s="443"/>
      <c r="T169" s="42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3"/>
      <c r="V169" s="423"/>
      <c r="W169" s="424"/>
      <c r="X169" s="425"/>
      <c r="Y169" s="426" t="str">
        <f t="shared" ca="1" si="10"/>
        <v/>
      </c>
      <c r="Z169" s="427" t="str">
        <f t="shared" ca="1" si="11"/>
        <v/>
      </c>
      <c r="AA169" s="426" t="str">
        <f t="shared" ca="1" si="12"/>
        <v/>
      </c>
      <c r="AB169" s="428" t="str">
        <f t="shared" ca="1" si="13"/>
        <v/>
      </c>
      <c r="AC169" s="427" t="str">
        <f t="shared" ca="1" si="14"/>
        <v/>
      </c>
      <c r="AD169" s="227"/>
    </row>
    <row r="170" spans="1:30" customFormat="1" ht="15">
      <c r="A170" s="227"/>
      <c r="B170" s="276">
        <v>132</v>
      </c>
      <c r="C170" s="254"/>
      <c r="D170" s="255"/>
      <c r="E170" s="247"/>
      <c r="F170" s="232"/>
      <c r="G170" s="239"/>
      <c r="H170" s="386">
        <v>156</v>
      </c>
      <c r="I170" s="404"/>
      <c r="J170" s="404"/>
      <c r="K170" s="413"/>
      <c r="L170" s="413"/>
      <c r="M170" s="413"/>
      <c r="N170" s="452"/>
      <c r="O170" s="413"/>
      <c r="P170" s="413"/>
      <c r="Q170" s="413"/>
      <c r="R170" s="452"/>
      <c r="S170" s="443"/>
      <c r="T170" s="42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3"/>
      <c r="V170" s="423"/>
      <c r="W170" s="424"/>
      <c r="X170" s="425"/>
      <c r="Y170" s="426" t="str">
        <f t="shared" ca="1" si="10"/>
        <v/>
      </c>
      <c r="Z170" s="427" t="str">
        <f t="shared" ca="1" si="11"/>
        <v/>
      </c>
      <c r="AA170" s="426" t="str">
        <f t="shared" ca="1" si="12"/>
        <v/>
      </c>
      <c r="AB170" s="428" t="str">
        <f t="shared" ca="1" si="13"/>
        <v/>
      </c>
      <c r="AC170" s="427" t="str">
        <f t="shared" ca="1" si="14"/>
        <v/>
      </c>
      <c r="AD170" s="227"/>
    </row>
    <row r="171" spans="1:30" customFormat="1" ht="15">
      <c r="A171" s="227"/>
      <c r="B171" s="276">
        <v>133</v>
      </c>
      <c r="C171" s="254"/>
      <c r="D171" s="255"/>
      <c r="E171" s="247"/>
      <c r="F171" s="232"/>
      <c r="G171" s="239"/>
      <c r="H171" s="386">
        <v>157</v>
      </c>
      <c r="I171" s="404"/>
      <c r="J171" s="404"/>
      <c r="K171" s="413"/>
      <c r="L171" s="413"/>
      <c r="M171" s="413"/>
      <c r="N171" s="452"/>
      <c r="O171" s="413"/>
      <c r="P171" s="413"/>
      <c r="Q171" s="413"/>
      <c r="R171" s="452"/>
      <c r="S171" s="443"/>
      <c r="T171" s="42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3"/>
      <c r="V171" s="423"/>
      <c r="W171" s="424"/>
      <c r="X171" s="425"/>
      <c r="Y171" s="426" t="str">
        <f t="shared" ca="1" si="10"/>
        <v/>
      </c>
      <c r="Z171" s="427" t="str">
        <f t="shared" ca="1" si="11"/>
        <v/>
      </c>
      <c r="AA171" s="426" t="str">
        <f t="shared" ca="1" si="12"/>
        <v/>
      </c>
      <c r="AB171" s="428" t="str">
        <f t="shared" ca="1" si="13"/>
        <v/>
      </c>
      <c r="AC171" s="427" t="str">
        <f t="shared" ca="1" si="14"/>
        <v/>
      </c>
      <c r="AD171" s="227"/>
    </row>
    <row r="172" spans="1:30" customFormat="1" ht="15">
      <c r="A172" s="227"/>
      <c r="B172" s="276">
        <v>134</v>
      </c>
      <c r="C172" s="254"/>
      <c r="D172" s="255"/>
      <c r="E172" s="247"/>
      <c r="F172" s="232"/>
      <c r="G172" s="239"/>
      <c r="H172" s="386">
        <v>158</v>
      </c>
      <c r="I172" s="404"/>
      <c r="J172" s="404"/>
      <c r="K172" s="413"/>
      <c r="L172" s="413"/>
      <c r="M172" s="413"/>
      <c r="N172" s="452"/>
      <c r="O172" s="413"/>
      <c r="P172" s="413"/>
      <c r="Q172" s="413"/>
      <c r="R172" s="452"/>
      <c r="S172" s="443"/>
      <c r="T172" s="42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3"/>
      <c r="V172" s="423"/>
      <c r="W172" s="424"/>
      <c r="X172" s="425"/>
      <c r="Y172" s="426" t="str">
        <f t="shared" ca="1" si="10"/>
        <v/>
      </c>
      <c r="Z172" s="427" t="str">
        <f t="shared" ca="1" si="11"/>
        <v/>
      </c>
      <c r="AA172" s="426" t="str">
        <f t="shared" ca="1" si="12"/>
        <v/>
      </c>
      <c r="AB172" s="428" t="str">
        <f t="shared" ca="1" si="13"/>
        <v/>
      </c>
      <c r="AC172" s="427" t="str">
        <f t="shared" ca="1" si="14"/>
        <v/>
      </c>
      <c r="AD172" s="227"/>
    </row>
    <row r="173" spans="1:30" customFormat="1" ht="15">
      <c r="A173" s="227"/>
      <c r="B173" s="276">
        <v>135</v>
      </c>
      <c r="C173" s="254"/>
      <c r="D173" s="255"/>
      <c r="E173" s="247"/>
      <c r="F173" s="232"/>
      <c r="G173" s="239"/>
      <c r="H173" s="386">
        <v>159</v>
      </c>
      <c r="I173" s="404"/>
      <c r="J173" s="404"/>
      <c r="K173" s="413"/>
      <c r="L173" s="413"/>
      <c r="M173" s="413"/>
      <c r="N173" s="452"/>
      <c r="O173" s="413"/>
      <c r="P173" s="413"/>
      <c r="Q173" s="413"/>
      <c r="R173" s="452"/>
      <c r="S173" s="443"/>
      <c r="T173" s="42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3"/>
      <c r="V173" s="423"/>
      <c r="W173" s="424"/>
      <c r="X173" s="425"/>
      <c r="Y173" s="426" t="str">
        <f t="shared" ca="1" si="10"/>
        <v/>
      </c>
      <c r="Z173" s="427" t="str">
        <f t="shared" ca="1" si="11"/>
        <v/>
      </c>
      <c r="AA173" s="426" t="str">
        <f t="shared" ca="1" si="12"/>
        <v/>
      </c>
      <c r="AB173" s="428" t="str">
        <f t="shared" ca="1" si="13"/>
        <v/>
      </c>
      <c r="AC173" s="427" t="str">
        <f t="shared" ca="1" si="14"/>
        <v/>
      </c>
      <c r="AD173" s="227"/>
    </row>
    <row r="174" spans="1:30" customFormat="1" ht="15">
      <c r="A174" s="227"/>
      <c r="B174" s="276">
        <v>136</v>
      </c>
      <c r="C174" s="254"/>
      <c r="D174" s="255"/>
      <c r="E174" s="247"/>
      <c r="F174" s="232"/>
      <c r="G174" s="239"/>
      <c r="H174" s="386">
        <v>160</v>
      </c>
      <c r="I174" s="404"/>
      <c r="J174" s="404"/>
      <c r="K174" s="413"/>
      <c r="L174" s="413"/>
      <c r="M174" s="413"/>
      <c r="N174" s="452"/>
      <c r="O174" s="413"/>
      <c r="P174" s="413"/>
      <c r="Q174" s="413"/>
      <c r="R174" s="452"/>
      <c r="S174" s="443"/>
      <c r="T174" s="42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3"/>
      <c r="V174" s="423"/>
      <c r="W174" s="424"/>
      <c r="X174" s="425"/>
      <c r="Y174" s="426" t="str">
        <f t="shared" ca="1" si="10"/>
        <v/>
      </c>
      <c r="Z174" s="427" t="str">
        <f t="shared" ca="1" si="11"/>
        <v/>
      </c>
      <c r="AA174" s="426" t="str">
        <f t="shared" ca="1" si="12"/>
        <v/>
      </c>
      <c r="AB174" s="428" t="str">
        <f t="shared" ca="1" si="13"/>
        <v/>
      </c>
      <c r="AC174" s="427" t="str">
        <f t="shared" ca="1" si="14"/>
        <v/>
      </c>
      <c r="AD174" s="227"/>
    </row>
    <row r="175" spans="1:30" customFormat="1" ht="15">
      <c r="A175" s="227"/>
      <c r="B175" s="276">
        <v>137</v>
      </c>
      <c r="C175" s="254"/>
      <c r="D175" s="255"/>
      <c r="E175" s="247"/>
      <c r="F175" s="232"/>
      <c r="G175" s="239"/>
      <c r="H175" s="386">
        <v>161</v>
      </c>
      <c r="I175" s="404"/>
      <c r="J175" s="404"/>
      <c r="K175" s="413"/>
      <c r="L175" s="413"/>
      <c r="M175" s="413"/>
      <c r="N175" s="452"/>
      <c r="O175" s="413"/>
      <c r="P175" s="413"/>
      <c r="Q175" s="413"/>
      <c r="R175" s="452"/>
      <c r="S175" s="443"/>
      <c r="T175" s="42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3"/>
      <c r="V175" s="423"/>
      <c r="W175" s="424"/>
      <c r="X175" s="425"/>
      <c r="Y175" s="426" t="str">
        <f t="shared" ca="1" si="10"/>
        <v/>
      </c>
      <c r="Z175" s="427" t="str">
        <f t="shared" ca="1" si="11"/>
        <v/>
      </c>
      <c r="AA175" s="426" t="str">
        <f t="shared" ca="1" si="12"/>
        <v/>
      </c>
      <c r="AB175" s="428" t="str">
        <f t="shared" ca="1" si="13"/>
        <v/>
      </c>
      <c r="AC175" s="427" t="str">
        <f t="shared" ca="1" si="14"/>
        <v/>
      </c>
      <c r="AD175" s="227"/>
    </row>
    <row r="176" spans="1:30" customFormat="1" ht="15">
      <c r="A176" s="227"/>
      <c r="B176" s="276">
        <v>138</v>
      </c>
      <c r="C176" s="254"/>
      <c r="D176" s="255"/>
      <c r="E176" s="247"/>
      <c r="F176" s="232"/>
      <c r="G176" s="239"/>
      <c r="H176" s="386">
        <v>162</v>
      </c>
      <c r="I176" s="404"/>
      <c r="J176" s="404"/>
      <c r="K176" s="413"/>
      <c r="L176" s="413"/>
      <c r="M176" s="413"/>
      <c r="N176" s="452"/>
      <c r="O176" s="413"/>
      <c r="P176" s="413"/>
      <c r="Q176" s="413"/>
      <c r="R176" s="452"/>
      <c r="S176" s="443"/>
      <c r="T176" s="42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3"/>
      <c r="V176" s="423"/>
      <c r="W176" s="424"/>
      <c r="X176" s="425"/>
      <c r="Y176" s="426" t="str">
        <f t="shared" ca="1" si="10"/>
        <v/>
      </c>
      <c r="Z176" s="427" t="str">
        <f t="shared" ca="1" si="11"/>
        <v/>
      </c>
      <c r="AA176" s="426" t="str">
        <f t="shared" ca="1" si="12"/>
        <v/>
      </c>
      <c r="AB176" s="428" t="str">
        <f t="shared" ca="1" si="13"/>
        <v/>
      </c>
      <c r="AC176" s="427" t="str">
        <f t="shared" ca="1" si="14"/>
        <v/>
      </c>
      <c r="AD176" s="227"/>
    </row>
    <row r="177" spans="1:30" customFormat="1" ht="15">
      <c r="A177" s="227"/>
      <c r="B177" s="276">
        <v>139</v>
      </c>
      <c r="C177" s="254"/>
      <c r="D177" s="255"/>
      <c r="E177" s="247"/>
      <c r="F177" s="232"/>
      <c r="G177" s="239"/>
      <c r="H177" s="386">
        <v>163</v>
      </c>
      <c r="I177" s="404"/>
      <c r="J177" s="404"/>
      <c r="K177" s="413"/>
      <c r="L177" s="413"/>
      <c r="M177" s="413"/>
      <c r="N177" s="452"/>
      <c r="O177" s="413"/>
      <c r="P177" s="413"/>
      <c r="Q177" s="413"/>
      <c r="R177" s="452"/>
      <c r="S177" s="443"/>
      <c r="T177" s="42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3"/>
      <c r="V177" s="423"/>
      <c r="W177" s="424"/>
      <c r="X177" s="425"/>
      <c r="Y177" s="426" t="str">
        <f t="shared" ca="1" si="10"/>
        <v/>
      </c>
      <c r="Z177" s="427" t="str">
        <f t="shared" ca="1" si="11"/>
        <v/>
      </c>
      <c r="AA177" s="426" t="str">
        <f t="shared" ca="1" si="12"/>
        <v/>
      </c>
      <c r="AB177" s="428" t="str">
        <f t="shared" ca="1" si="13"/>
        <v/>
      </c>
      <c r="AC177" s="427" t="str">
        <f t="shared" ca="1" si="14"/>
        <v/>
      </c>
      <c r="AD177" s="227"/>
    </row>
    <row r="178" spans="1:30" customFormat="1" ht="15">
      <c r="A178" s="227"/>
      <c r="B178" s="276">
        <v>140</v>
      </c>
      <c r="C178" s="254"/>
      <c r="D178" s="255"/>
      <c r="E178" s="247"/>
      <c r="F178" s="232"/>
      <c r="G178" s="239"/>
      <c r="H178" s="386">
        <v>164</v>
      </c>
      <c r="I178" s="404"/>
      <c r="J178" s="404"/>
      <c r="K178" s="413"/>
      <c r="L178" s="413"/>
      <c r="M178" s="413"/>
      <c r="N178" s="452"/>
      <c r="O178" s="413"/>
      <c r="P178" s="413"/>
      <c r="Q178" s="413"/>
      <c r="R178" s="452"/>
      <c r="S178" s="443"/>
      <c r="T178" s="42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3"/>
      <c r="V178" s="423"/>
      <c r="W178" s="424"/>
      <c r="X178" s="425"/>
      <c r="Y178" s="426" t="str">
        <f t="shared" ca="1" si="10"/>
        <v/>
      </c>
      <c r="Z178" s="427" t="str">
        <f t="shared" ca="1" si="11"/>
        <v/>
      </c>
      <c r="AA178" s="426" t="str">
        <f t="shared" ca="1" si="12"/>
        <v/>
      </c>
      <c r="AB178" s="428" t="str">
        <f t="shared" ca="1" si="13"/>
        <v/>
      </c>
      <c r="AC178" s="427" t="str">
        <f t="shared" ca="1" si="14"/>
        <v/>
      </c>
      <c r="AD178" s="227"/>
    </row>
    <row r="179" spans="1:30" customFormat="1" ht="15">
      <c r="A179" s="227"/>
      <c r="B179" s="276">
        <v>141</v>
      </c>
      <c r="C179" s="254"/>
      <c r="D179" s="255"/>
      <c r="E179" s="247"/>
      <c r="F179" s="232"/>
      <c r="G179" s="239"/>
      <c r="H179" s="386">
        <v>165</v>
      </c>
      <c r="I179" s="404"/>
      <c r="J179" s="404"/>
      <c r="K179" s="413"/>
      <c r="L179" s="413"/>
      <c r="M179" s="413"/>
      <c r="N179" s="452"/>
      <c r="O179" s="413"/>
      <c r="P179" s="413"/>
      <c r="Q179" s="413"/>
      <c r="R179" s="452"/>
      <c r="S179" s="443"/>
      <c r="T179" s="42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3"/>
      <c r="V179" s="423"/>
      <c r="W179" s="424"/>
      <c r="X179" s="425"/>
      <c r="Y179" s="426" t="str">
        <f t="shared" ca="1" si="10"/>
        <v/>
      </c>
      <c r="Z179" s="427" t="str">
        <f t="shared" ca="1" si="11"/>
        <v/>
      </c>
      <c r="AA179" s="426" t="str">
        <f t="shared" ca="1" si="12"/>
        <v/>
      </c>
      <c r="AB179" s="428" t="str">
        <f t="shared" ca="1" si="13"/>
        <v/>
      </c>
      <c r="AC179" s="427" t="str">
        <f t="shared" ca="1" si="14"/>
        <v/>
      </c>
      <c r="AD179" s="227"/>
    </row>
    <row r="180" spans="1:30" customFormat="1" ht="15">
      <c r="A180" s="227"/>
      <c r="B180" s="276">
        <v>142</v>
      </c>
      <c r="C180" s="254"/>
      <c r="D180" s="255"/>
      <c r="E180" s="247"/>
      <c r="F180" s="232"/>
      <c r="G180" s="239"/>
      <c r="H180" s="386">
        <v>166</v>
      </c>
      <c r="I180" s="404"/>
      <c r="J180" s="404"/>
      <c r="K180" s="413"/>
      <c r="L180" s="413"/>
      <c r="M180" s="413"/>
      <c r="N180" s="452"/>
      <c r="O180" s="413"/>
      <c r="P180" s="413"/>
      <c r="Q180" s="413"/>
      <c r="R180" s="452"/>
      <c r="S180" s="443"/>
      <c r="T180" s="42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3"/>
      <c r="V180" s="423"/>
      <c r="W180" s="424"/>
      <c r="X180" s="425"/>
      <c r="Y180" s="426" t="str">
        <f t="shared" ca="1" si="10"/>
        <v/>
      </c>
      <c r="Z180" s="427" t="str">
        <f t="shared" ca="1" si="11"/>
        <v/>
      </c>
      <c r="AA180" s="426" t="str">
        <f t="shared" ca="1" si="12"/>
        <v/>
      </c>
      <c r="AB180" s="428" t="str">
        <f t="shared" ca="1" si="13"/>
        <v/>
      </c>
      <c r="AC180" s="427" t="str">
        <f t="shared" ca="1" si="14"/>
        <v/>
      </c>
      <c r="AD180" s="227"/>
    </row>
    <row r="181" spans="1:30" customFormat="1" ht="15">
      <c r="A181" s="227"/>
      <c r="B181" s="276">
        <v>143</v>
      </c>
      <c r="C181" s="254"/>
      <c r="D181" s="255"/>
      <c r="E181" s="247"/>
      <c r="F181" s="232"/>
      <c r="G181" s="239"/>
      <c r="H181" s="386">
        <v>167</v>
      </c>
      <c r="I181" s="404"/>
      <c r="J181" s="404"/>
      <c r="K181" s="413"/>
      <c r="L181" s="413"/>
      <c r="M181" s="413"/>
      <c r="N181" s="452"/>
      <c r="O181" s="413"/>
      <c r="P181" s="413"/>
      <c r="Q181" s="413"/>
      <c r="R181" s="452"/>
      <c r="S181" s="443"/>
      <c r="T181" s="42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3"/>
      <c r="V181" s="423"/>
      <c r="W181" s="424"/>
      <c r="X181" s="425"/>
      <c r="Y181" s="426" t="str">
        <f t="shared" ca="1" si="10"/>
        <v/>
      </c>
      <c r="Z181" s="427" t="str">
        <f t="shared" ca="1" si="11"/>
        <v/>
      </c>
      <c r="AA181" s="426" t="str">
        <f t="shared" ca="1" si="12"/>
        <v/>
      </c>
      <c r="AB181" s="428" t="str">
        <f t="shared" ca="1" si="13"/>
        <v/>
      </c>
      <c r="AC181" s="427" t="str">
        <f t="shared" ca="1" si="14"/>
        <v/>
      </c>
      <c r="AD181" s="227"/>
    </row>
    <row r="182" spans="1:30" customFormat="1" ht="15">
      <c r="A182" s="227"/>
      <c r="B182" s="276">
        <v>144</v>
      </c>
      <c r="C182" s="254"/>
      <c r="D182" s="255"/>
      <c r="E182" s="247"/>
      <c r="F182" s="232"/>
      <c r="G182" s="239"/>
      <c r="H182" s="386">
        <v>168</v>
      </c>
      <c r="I182" s="404"/>
      <c r="J182" s="404"/>
      <c r="K182" s="413"/>
      <c r="L182" s="413"/>
      <c r="M182" s="413"/>
      <c r="N182" s="452"/>
      <c r="O182" s="413"/>
      <c r="P182" s="413"/>
      <c r="Q182" s="413"/>
      <c r="R182" s="452"/>
      <c r="S182" s="443"/>
      <c r="T182" s="42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3"/>
      <c r="V182" s="423"/>
      <c r="W182" s="424"/>
      <c r="X182" s="425"/>
      <c r="Y182" s="426" t="str">
        <f t="shared" ca="1" si="10"/>
        <v/>
      </c>
      <c r="Z182" s="427" t="str">
        <f t="shared" ca="1" si="11"/>
        <v/>
      </c>
      <c r="AA182" s="426" t="str">
        <f t="shared" ca="1" si="12"/>
        <v/>
      </c>
      <c r="AB182" s="428" t="str">
        <f t="shared" ca="1" si="13"/>
        <v/>
      </c>
      <c r="AC182" s="427" t="str">
        <f t="shared" ca="1" si="14"/>
        <v/>
      </c>
      <c r="AD182" s="227"/>
    </row>
    <row r="183" spans="1:30" customFormat="1" ht="15">
      <c r="A183" s="227"/>
      <c r="B183" s="276">
        <v>145</v>
      </c>
      <c r="C183" s="254"/>
      <c r="D183" s="255"/>
      <c r="E183" s="247"/>
      <c r="F183" s="232"/>
      <c r="G183" s="239"/>
      <c r="H183" s="386">
        <v>169</v>
      </c>
      <c r="I183" s="404"/>
      <c r="J183" s="404"/>
      <c r="K183" s="413"/>
      <c r="L183" s="413"/>
      <c r="M183" s="413"/>
      <c r="N183" s="452"/>
      <c r="O183" s="413"/>
      <c r="P183" s="413"/>
      <c r="Q183" s="413"/>
      <c r="R183" s="452"/>
      <c r="S183" s="443"/>
      <c r="T183" s="42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3"/>
      <c r="V183" s="423"/>
      <c r="W183" s="424"/>
      <c r="X183" s="425"/>
      <c r="Y183" s="426" t="str">
        <f t="shared" ca="1" si="10"/>
        <v/>
      </c>
      <c r="Z183" s="427" t="str">
        <f t="shared" ca="1" si="11"/>
        <v/>
      </c>
      <c r="AA183" s="426" t="str">
        <f t="shared" ca="1" si="12"/>
        <v/>
      </c>
      <c r="AB183" s="428" t="str">
        <f t="shared" ca="1" si="13"/>
        <v/>
      </c>
      <c r="AC183" s="427" t="str">
        <f t="shared" ca="1" si="14"/>
        <v/>
      </c>
      <c r="AD183" s="227"/>
    </row>
    <row r="184" spans="1:30" customFormat="1" ht="15">
      <c r="A184" s="227"/>
      <c r="B184" s="276">
        <v>146</v>
      </c>
      <c r="C184" s="254"/>
      <c r="D184" s="255"/>
      <c r="E184" s="247"/>
      <c r="F184" s="232"/>
      <c r="G184" s="239"/>
      <c r="H184" s="386">
        <v>170</v>
      </c>
      <c r="I184" s="404"/>
      <c r="J184" s="404"/>
      <c r="K184" s="413"/>
      <c r="L184" s="413"/>
      <c r="M184" s="413"/>
      <c r="N184" s="452"/>
      <c r="O184" s="413"/>
      <c r="P184" s="413"/>
      <c r="Q184" s="413"/>
      <c r="R184" s="452"/>
      <c r="S184" s="443"/>
      <c r="T184" s="42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3"/>
      <c r="V184" s="423"/>
      <c r="W184" s="424"/>
      <c r="X184" s="425"/>
      <c r="Y184" s="426" t="str">
        <f t="shared" ca="1" si="10"/>
        <v/>
      </c>
      <c r="Z184" s="427" t="str">
        <f t="shared" ca="1" si="11"/>
        <v/>
      </c>
      <c r="AA184" s="426" t="str">
        <f t="shared" ca="1" si="12"/>
        <v/>
      </c>
      <c r="AB184" s="428" t="str">
        <f t="shared" ca="1" si="13"/>
        <v/>
      </c>
      <c r="AC184" s="427" t="str">
        <f t="shared" ca="1" si="14"/>
        <v/>
      </c>
      <c r="AD184" s="227"/>
    </row>
    <row r="185" spans="1:30" customFormat="1" ht="15">
      <c r="A185" s="227"/>
      <c r="B185" s="276">
        <v>147</v>
      </c>
      <c r="C185" s="254"/>
      <c r="D185" s="255"/>
      <c r="E185" s="247"/>
      <c r="F185" s="232"/>
      <c r="G185" s="239"/>
      <c r="H185" s="386">
        <v>171</v>
      </c>
      <c r="I185" s="404"/>
      <c r="J185" s="404"/>
      <c r="K185" s="413"/>
      <c r="L185" s="413"/>
      <c r="M185" s="413"/>
      <c r="N185" s="452"/>
      <c r="O185" s="413"/>
      <c r="P185" s="413"/>
      <c r="Q185" s="413"/>
      <c r="R185" s="452"/>
      <c r="S185" s="443"/>
      <c r="T185" s="42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3"/>
      <c r="V185" s="423"/>
      <c r="W185" s="424"/>
      <c r="X185" s="425"/>
      <c r="Y185" s="426" t="str">
        <f t="shared" ca="1" si="10"/>
        <v/>
      </c>
      <c r="Z185" s="427" t="str">
        <f t="shared" ca="1" si="11"/>
        <v/>
      </c>
      <c r="AA185" s="426" t="str">
        <f t="shared" ca="1" si="12"/>
        <v/>
      </c>
      <c r="AB185" s="428" t="str">
        <f t="shared" ca="1" si="13"/>
        <v/>
      </c>
      <c r="AC185" s="427" t="str">
        <f t="shared" ca="1" si="14"/>
        <v/>
      </c>
      <c r="AD185" s="227"/>
    </row>
    <row r="186" spans="1:30" customFormat="1" ht="15">
      <c r="A186" s="227"/>
      <c r="B186" s="276">
        <v>148</v>
      </c>
      <c r="C186" s="254"/>
      <c r="D186" s="255"/>
      <c r="E186" s="247"/>
      <c r="F186" s="232"/>
      <c r="G186" s="239"/>
      <c r="H186" s="386">
        <v>172</v>
      </c>
      <c r="I186" s="404"/>
      <c r="J186" s="404"/>
      <c r="K186" s="413"/>
      <c r="L186" s="413"/>
      <c r="M186" s="413"/>
      <c r="N186" s="452"/>
      <c r="O186" s="413"/>
      <c r="P186" s="413"/>
      <c r="Q186" s="413"/>
      <c r="R186" s="452"/>
      <c r="S186" s="443"/>
      <c r="T186" s="42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3"/>
      <c r="V186" s="423"/>
      <c r="W186" s="424"/>
      <c r="X186" s="425"/>
      <c r="Y186" s="426" t="str">
        <f t="shared" ca="1" si="10"/>
        <v/>
      </c>
      <c r="Z186" s="427" t="str">
        <f t="shared" ca="1" si="11"/>
        <v/>
      </c>
      <c r="AA186" s="426" t="str">
        <f t="shared" ca="1" si="12"/>
        <v/>
      </c>
      <c r="AB186" s="428" t="str">
        <f t="shared" ca="1" si="13"/>
        <v/>
      </c>
      <c r="AC186" s="427" t="str">
        <f t="shared" ca="1" si="14"/>
        <v/>
      </c>
      <c r="AD186" s="227"/>
    </row>
    <row r="187" spans="1:30" customFormat="1" ht="15">
      <c r="A187" s="227"/>
      <c r="B187" s="276">
        <v>149</v>
      </c>
      <c r="C187" s="254"/>
      <c r="D187" s="255"/>
      <c r="E187" s="247"/>
      <c r="F187" s="232"/>
      <c r="G187" s="239"/>
      <c r="H187" s="386">
        <v>173</v>
      </c>
      <c r="I187" s="404"/>
      <c r="J187" s="404"/>
      <c r="K187" s="413"/>
      <c r="L187" s="413"/>
      <c r="M187" s="413"/>
      <c r="N187" s="452"/>
      <c r="O187" s="413"/>
      <c r="P187" s="413"/>
      <c r="Q187" s="413"/>
      <c r="R187" s="452"/>
      <c r="S187" s="443"/>
      <c r="T187" s="42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3"/>
      <c r="V187" s="423"/>
      <c r="W187" s="424"/>
      <c r="X187" s="425"/>
      <c r="Y187" s="426" t="str">
        <f t="shared" ca="1" si="10"/>
        <v/>
      </c>
      <c r="Z187" s="427" t="str">
        <f t="shared" ca="1" si="11"/>
        <v/>
      </c>
      <c r="AA187" s="426" t="str">
        <f t="shared" ca="1" si="12"/>
        <v/>
      </c>
      <c r="AB187" s="428" t="str">
        <f t="shared" ca="1" si="13"/>
        <v/>
      </c>
      <c r="AC187" s="427" t="str">
        <f t="shared" ca="1" si="14"/>
        <v/>
      </c>
      <c r="AD187" s="227"/>
    </row>
    <row r="188" spans="1:30" customFormat="1" ht="15">
      <c r="A188" s="227"/>
      <c r="B188" s="276">
        <v>150</v>
      </c>
      <c r="C188" s="254"/>
      <c r="D188" s="255"/>
      <c r="E188" s="247"/>
      <c r="F188" s="232"/>
      <c r="G188" s="239"/>
      <c r="H188" s="386">
        <v>174</v>
      </c>
      <c r="I188" s="404"/>
      <c r="J188" s="404"/>
      <c r="K188" s="413"/>
      <c r="L188" s="413"/>
      <c r="M188" s="413"/>
      <c r="N188" s="452"/>
      <c r="O188" s="413"/>
      <c r="P188" s="413"/>
      <c r="Q188" s="413"/>
      <c r="R188" s="452"/>
      <c r="S188" s="443"/>
      <c r="T188" s="42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3"/>
      <c r="V188" s="423"/>
      <c r="W188" s="424"/>
      <c r="X188" s="425"/>
      <c r="Y188" s="426" t="str">
        <f t="shared" ca="1" si="10"/>
        <v/>
      </c>
      <c r="Z188" s="427" t="str">
        <f t="shared" ca="1" si="11"/>
        <v/>
      </c>
      <c r="AA188" s="426" t="str">
        <f t="shared" ca="1" si="12"/>
        <v/>
      </c>
      <c r="AB188" s="428" t="str">
        <f t="shared" ca="1" si="13"/>
        <v/>
      </c>
      <c r="AC188" s="427" t="str">
        <f t="shared" ca="1" si="14"/>
        <v/>
      </c>
      <c r="AD188" s="227"/>
    </row>
    <row r="189" spans="1:30" customFormat="1" ht="15">
      <c r="A189" s="227"/>
      <c r="B189" s="276">
        <v>151</v>
      </c>
      <c r="C189" s="254"/>
      <c r="D189" s="255"/>
      <c r="E189" s="247"/>
      <c r="F189" s="232"/>
      <c r="G189" s="239"/>
      <c r="H189" s="386">
        <v>175</v>
      </c>
      <c r="I189" s="404"/>
      <c r="J189" s="404"/>
      <c r="K189" s="413"/>
      <c r="L189" s="413"/>
      <c r="M189" s="413"/>
      <c r="N189" s="452"/>
      <c r="O189" s="413"/>
      <c r="P189" s="413"/>
      <c r="Q189" s="413"/>
      <c r="R189" s="452"/>
      <c r="S189" s="443"/>
      <c r="T189" s="42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3"/>
      <c r="V189" s="423"/>
      <c r="W189" s="424"/>
      <c r="X189" s="425"/>
      <c r="Y189" s="426" t="str">
        <f t="shared" ca="1" si="10"/>
        <v/>
      </c>
      <c r="Z189" s="427" t="str">
        <f t="shared" ca="1" si="11"/>
        <v/>
      </c>
      <c r="AA189" s="426" t="str">
        <f t="shared" ca="1" si="12"/>
        <v/>
      </c>
      <c r="AB189" s="428" t="str">
        <f t="shared" ca="1" si="13"/>
        <v/>
      </c>
      <c r="AC189" s="427" t="str">
        <f t="shared" ca="1" si="14"/>
        <v/>
      </c>
      <c r="AD189" s="227"/>
    </row>
    <row r="190" spans="1:30" customFormat="1" ht="15">
      <c r="A190" s="227"/>
      <c r="B190" s="276">
        <v>152</v>
      </c>
      <c r="C190" s="254"/>
      <c r="D190" s="255"/>
      <c r="E190" s="247"/>
      <c r="F190" s="232"/>
      <c r="G190" s="239"/>
      <c r="H190" s="386">
        <v>176</v>
      </c>
      <c r="I190" s="404"/>
      <c r="J190" s="404"/>
      <c r="K190" s="413"/>
      <c r="L190" s="413"/>
      <c r="M190" s="413"/>
      <c r="N190" s="452"/>
      <c r="O190" s="413"/>
      <c r="P190" s="413"/>
      <c r="Q190" s="413"/>
      <c r="R190" s="452"/>
      <c r="S190" s="443"/>
      <c r="T190" s="42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3"/>
      <c r="V190" s="423"/>
      <c r="W190" s="424"/>
      <c r="X190" s="425"/>
      <c r="Y190" s="426" t="str">
        <f t="shared" ca="1" si="10"/>
        <v/>
      </c>
      <c r="Z190" s="427" t="str">
        <f t="shared" ca="1" si="11"/>
        <v/>
      </c>
      <c r="AA190" s="426" t="str">
        <f t="shared" ca="1" si="12"/>
        <v/>
      </c>
      <c r="AB190" s="428" t="str">
        <f t="shared" ca="1" si="13"/>
        <v/>
      </c>
      <c r="AC190" s="427" t="str">
        <f t="shared" ca="1" si="14"/>
        <v/>
      </c>
      <c r="AD190" s="227"/>
    </row>
    <row r="191" spans="1:30" customFormat="1" ht="15">
      <c r="A191" s="227"/>
      <c r="B191" s="276">
        <v>153</v>
      </c>
      <c r="C191" s="254"/>
      <c r="D191" s="255"/>
      <c r="E191" s="247"/>
      <c r="F191" s="232"/>
      <c r="G191" s="239"/>
      <c r="H191" s="386">
        <v>177</v>
      </c>
      <c r="I191" s="404"/>
      <c r="J191" s="404"/>
      <c r="K191" s="413"/>
      <c r="L191" s="413"/>
      <c r="M191" s="413"/>
      <c r="N191" s="452"/>
      <c r="O191" s="413"/>
      <c r="P191" s="413"/>
      <c r="Q191" s="413"/>
      <c r="R191" s="452"/>
      <c r="S191" s="443"/>
      <c r="T191" s="42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3"/>
      <c r="V191" s="423"/>
      <c r="W191" s="424"/>
      <c r="X191" s="425"/>
      <c r="Y191" s="426" t="str">
        <f t="shared" ca="1" si="10"/>
        <v/>
      </c>
      <c r="Z191" s="427" t="str">
        <f t="shared" ca="1" si="11"/>
        <v/>
      </c>
      <c r="AA191" s="426" t="str">
        <f t="shared" ca="1" si="12"/>
        <v/>
      </c>
      <c r="AB191" s="428" t="str">
        <f t="shared" ca="1" si="13"/>
        <v/>
      </c>
      <c r="AC191" s="427" t="str">
        <f t="shared" ca="1" si="14"/>
        <v/>
      </c>
      <c r="AD191" s="227"/>
    </row>
    <row r="192" spans="1:30" customFormat="1" ht="15">
      <c r="A192" s="227"/>
      <c r="B192" s="276">
        <v>154</v>
      </c>
      <c r="C192" s="254"/>
      <c r="D192" s="255"/>
      <c r="E192" s="247"/>
      <c r="F192" s="232"/>
      <c r="G192" s="239"/>
      <c r="H192" s="386">
        <v>178</v>
      </c>
      <c r="I192" s="404"/>
      <c r="J192" s="404"/>
      <c r="K192" s="413"/>
      <c r="L192" s="413"/>
      <c r="M192" s="413"/>
      <c r="N192" s="452"/>
      <c r="O192" s="413"/>
      <c r="P192" s="413"/>
      <c r="Q192" s="413"/>
      <c r="R192" s="452"/>
      <c r="S192" s="443"/>
      <c r="T192" s="42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3"/>
      <c r="V192" s="423"/>
      <c r="W192" s="424"/>
      <c r="X192" s="425"/>
      <c r="Y192" s="426" t="str">
        <f t="shared" ca="1" si="10"/>
        <v/>
      </c>
      <c r="Z192" s="427" t="str">
        <f t="shared" ca="1" si="11"/>
        <v/>
      </c>
      <c r="AA192" s="426" t="str">
        <f t="shared" ca="1" si="12"/>
        <v/>
      </c>
      <c r="AB192" s="428" t="str">
        <f t="shared" ca="1" si="13"/>
        <v/>
      </c>
      <c r="AC192" s="427" t="str">
        <f t="shared" ca="1" si="14"/>
        <v/>
      </c>
      <c r="AD192" s="227"/>
    </row>
    <row r="193" spans="1:30" customFormat="1" ht="15">
      <c r="A193" s="227"/>
      <c r="B193" s="276">
        <v>155</v>
      </c>
      <c r="C193" s="254"/>
      <c r="D193" s="255"/>
      <c r="E193" s="247"/>
      <c r="F193" s="232"/>
      <c r="G193" s="239"/>
      <c r="H193" s="386">
        <v>179</v>
      </c>
      <c r="I193" s="404"/>
      <c r="J193" s="404"/>
      <c r="K193" s="413"/>
      <c r="L193" s="413"/>
      <c r="M193" s="413"/>
      <c r="N193" s="452"/>
      <c r="O193" s="413"/>
      <c r="P193" s="413"/>
      <c r="Q193" s="413"/>
      <c r="R193" s="452"/>
      <c r="S193" s="443"/>
      <c r="T193" s="42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3"/>
      <c r="V193" s="423"/>
      <c r="W193" s="424"/>
      <c r="X193" s="425"/>
      <c r="Y193" s="426" t="str">
        <f t="shared" ca="1" si="10"/>
        <v/>
      </c>
      <c r="Z193" s="427" t="str">
        <f t="shared" ca="1" si="11"/>
        <v/>
      </c>
      <c r="AA193" s="426" t="str">
        <f t="shared" ca="1" si="12"/>
        <v/>
      </c>
      <c r="AB193" s="428" t="str">
        <f t="shared" ca="1" si="13"/>
        <v/>
      </c>
      <c r="AC193" s="427" t="str">
        <f t="shared" ca="1" si="14"/>
        <v/>
      </c>
      <c r="AD193" s="227"/>
    </row>
    <row r="194" spans="1:30" customFormat="1" ht="15">
      <c r="A194" s="227"/>
      <c r="B194" s="276">
        <v>156</v>
      </c>
      <c r="C194" s="254"/>
      <c r="D194" s="255"/>
      <c r="E194" s="247"/>
      <c r="F194" s="232"/>
      <c r="G194" s="239"/>
      <c r="H194" s="386">
        <v>180</v>
      </c>
      <c r="I194" s="404"/>
      <c r="J194" s="404"/>
      <c r="K194" s="413"/>
      <c r="L194" s="413"/>
      <c r="M194" s="413"/>
      <c r="N194" s="452"/>
      <c r="O194" s="413"/>
      <c r="P194" s="413"/>
      <c r="Q194" s="413"/>
      <c r="R194" s="452"/>
      <c r="S194" s="443"/>
      <c r="T194" s="42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3"/>
      <c r="V194" s="423"/>
      <c r="W194" s="424"/>
      <c r="X194" s="425"/>
      <c r="Y194" s="426" t="str">
        <f t="shared" ca="1" si="10"/>
        <v/>
      </c>
      <c r="Z194" s="427" t="str">
        <f t="shared" ca="1" si="11"/>
        <v/>
      </c>
      <c r="AA194" s="426" t="str">
        <f t="shared" ca="1" si="12"/>
        <v/>
      </c>
      <c r="AB194" s="428" t="str">
        <f t="shared" ca="1" si="13"/>
        <v/>
      </c>
      <c r="AC194" s="427" t="str">
        <f t="shared" ca="1" si="14"/>
        <v/>
      </c>
      <c r="AD194" s="227"/>
    </row>
    <row r="195" spans="1:30" customFormat="1" ht="15">
      <c r="A195" s="227"/>
      <c r="B195" s="276">
        <v>157</v>
      </c>
      <c r="C195" s="254"/>
      <c r="D195" s="255"/>
      <c r="E195" s="247"/>
      <c r="F195" s="232"/>
      <c r="G195" s="239"/>
      <c r="H195" s="386">
        <v>181</v>
      </c>
      <c r="I195" s="404"/>
      <c r="J195" s="404"/>
      <c r="K195" s="413"/>
      <c r="L195" s="413"/>
      <c r="M195" s="413"/>
      <c r="N195" s="452"/>
      <c r="O195" s="413"/>
      <c r="P195" s="413"/>
      <c r="Q195" s="413"/>
      <c r="R195" s="452"/>
      <c r="S195" s="443"/>
      <c r="T195" s="42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3"/>
      <c r="V195" s="423"/>
      <c r="W195" s="424"/>
      <c r="X195" s="425"/>
      <c r="Y195" s="426" t="str">
        <f t="shared" ca="1" si="10"/>
        <v/>
      </c>
      <c r="Z195" s="427" t="str">
        <f t="shared" ca="1" si="11"/>
        <v/>
      </c>
      <c r="AA195" s="426" t="str">
        <f t="shared" ca="1" si="12"/>
        <v/>
      </c>
      <c r="AB195" s="428" t="str">
        <f t="shared" ca="1" si="13"/>
        <v/>
      </c>
      <c r="AC195" s="427" t="str">
        <f t="shared" ca="1" si="14"/>
        <v/>
      </c>
      <c r="AD195" s="227"/>
    </row>
    <row r="196" spans="1:30" customFormat="1" ht="15">
      <c r="A196" s="227"/>
      <c r="B196" s="276">
        <v>158</v>
      </c>
      <c r="C196" s="254"/>
      <c r="D196" s="255"/>
      <c r="E196" s="247"/>
      <c r="F196" s="232"/>
      <c r="G196" s="239"/>
      <c r="H196" s="386">
        <v>182</v>
      </c>
      <c r="I196" s="404"/>
      <c r="J196" s="404"/>
      <c r="K196" s="413"/>
      <c r="L196" s="413"/>
      <c r="M196" s="413"/>
      <c r="N196" s="452"/>
      <c r="O196" s="413"/>
      <c r="P196" s="413"/>
      <c r="Q196" s="413"/>
      <c r="R196" s="452"/>
      <c r="S196" s="443"/>
      <c r="T196" s="42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3"/>
      <c r="V196" s="423"/>
      <c r="W196" s="424"/>
      <c r="X196" s="425"/>
      <c r="Y196" s="426" t="str">
        <f t="shared" ca="1" si="10"/>
        <v/>
      </c>
      <c r="Z196" s="427" t="str">
        <f t="shared" ca="1" si="11"/>
        <v/>
      </c>
      <c r="AA196" s="426" t="str">
        <f t="shared" ca="1" si="12"/>
        <v/>
      </c>
      <c r="AB196" s="428" t="str">
        <f t="shared" ca="1" si="13"/>
        <v/>
      </c>
      <c r="AC196" s="427" t="str">
        <f t="shared" ca="1" si="14"/>
        <v/>
      </c>
      <c r="AD196" s="227"/>
    </row>
    <row r="197" spans="1:30" customFormat="1" ht="15">
      <c r="A197" s="227"/>
      <c r="B197" s="276">
        <v>159</v>
      </c>
      <c r="C197" s="254"/>
      <c r="D197" s="255"/>
      <c r="E197" s="247"/>
      <c r="F197" s="232"/>
      <c r="G197" s="239"/>
      <c r="H197" s="386">
        <v>183</v>
      </c>
      <c r="I197" s="404"/>
      <c r="J197" s="404"/>
      <c r="K197" s="413"/>
      <c r="L197" s="413"/>
      <c r="M197" s="413"/>
      <c r="N197" s="452"/>
      <c r="O197" s="413"/>
      <c r="P197" s="413"/>
      <c r="Q197" s="413"/>
      <c r="R197" s="452"/>
      <c r="S197" s="443"/>
      <c r="T197" s="42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3"/>
      <c r="V197" s="423"/>
      <c r="W197" s="424"/>
      <c r="X197" s="425"/>
      <c r="Y197" s="426" t="str">
        <f t="shared" ca="1" si="10"/>
        <v/>
      </c>
      <c r="Z197" s="427" t="str">
        <f t="shared" ca="1" si="11"/>
        <v/>
      </c>
      <c r="AA197" s="426" t="str">
        <f t="shared" ca="1" si="12"/>
        <v/>
      </c>
      <c r="AB197" s="428" t="str">
        <f t="shared" ca="1" si="13"/>
        <v/>
      </c>
      <c r="AC197" s="427" t="str">
        <f t="shared" ca="1" si="14"/>
        <v/>
      </c>
      <c r="AD197" s="227"/>
    </row>
    <row r="198" spans="1:30" customFormat="1" ht="15">
      <c r="A198" s="227"/>
      <c r="B198" s="276">
        <v>160</v>
      </c>
      <c r="C198" s="254"/>
      <c r="D198" s="255"/>
      <c r="E198" s="247"/>
      <c r="F198" s="232"/>
      <c r="G198" s="239"/>
      <c r="H198" s="386">
        <v>184</v>
      </c>
      <c r="I198" s="404"/>
      <c r="J198" s="404"/>
      <c r="K198" s="413"/>
      <c r="L198" s="413"/>
      <c r="M198" s="413"/>
      <c r="N198" s="452"/>
      <c r="O198" s="413"/>
      <c r="P198" s="413"/>
      <c r="Q198" s="413"/>
      <c r="R198" s="452"/>
      <c r="S198" s="443"/>
      <c r="T198" s="42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3"/>
      <c r="V198" s="423"/>
      <c r="W198" s="424"/>
      <c r="X198" s="425"/>
      <c r="Y198" s="426" t="str">
        <f t="shared" ca="1" si="10"/>
        <v/>
      </c>
      <c r="Z198" s="427" t="str">
        <f t="shared" ca="1" si="11"/>
        <v/>
      </c>
      <c r="AA198" s="426" t="str">
        <f t="shared" ca="1" si="12"/>
        <v/>
      </c>
      <c r="AB198" s="428" t="str">
        <f t="shared" ca="1" si="13"/>
        <v/>
      </c>
      <c r="AC198" s="427" t="str">
        <f t="shared" ca="1" si="14"/>
        <v/>
      </c>
      <c r="AD198" s="227"/>
    </row>
    <row r="199" spans="1:30" customFormat="1" ht="15">
      <c r="A199" s="227"/>
      <c r="B199" s="276">
        <v>161</v>
      </c>
      <c r="C199" s="254"/>
      <c r="D199" s="255"/>
      <c r="E199" s="247"/>
      <c r="F199" s="232"/>
      <c r="G199" s="239"/>
      <c r="H199" s="386">
        <v>185</v>
      </c>
      <c r="I199" s="404"/>
      <c r="J199" s="404"/>
      <c r="K199" s="413"/>
      <c r="L199" s="413"/>
      <c r="M199" s="413"/>
      <c r="N199" s="452"/>
      <c r="O199" s="413"/>
      <c r="P199" s="413"/>
      <c r="Q199" s="413"/>
      <c r="R199" s="452"/>
      <c r="S199" s="443"/>
      <c r="T199" s="42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3"/>
      <c r="V199" s="423"/>
      <c r="W199" s="424"/>
      <c r="X199" s="425"/>
      <c r="Y199" s="426" t="str">
        <f t="shared" ca="1" si="10"/>
        <v/>
      </c>
      <c r="Z199" s="427" t="str">
        <f t="shared" ca="1" si="11"/>
        <v/>
      </c>
      <c r="AA199" s="426" t="str">
        <f t="shared" ca="1" si="12"/>
        <v/>
      </c>
      <c r="AB199" s="428" t="str">
        <f t="shared" ca="1" si="13"/>
        <v/>
      </c>
      <c r="AC199" s="427" t="str">
        <f t="shared" ca="1" si="14"/>
        <v/>
      </c>
      <c r="AD199" s="227"/>
    </row>
    <row r="200" spans="1:30" customFormat="1" ht="15">
      <c r="A200" s="227"/>
      <c r="B200" s="276">
        <v>162</v>
      </c>
      <c r="C200" s="254"/>
      <c r="D200" s="255"/>
      <c r="E200" s="247"/>
      <c r="F200" s="232"/>
      <c r="G200" s="239"/>
      <c r="H200" s="386">
        <v>186</v>
      </c>
      <c r="I200" s="404"/>
      <c r="J200" s="404"/>
      <c r="K200" s="413"/>
      <c r="L200" s="413"/>
      <c r="M200" s="413"/>
      <c r="N200" s="452"/>
      <c r="O200" s="413"/>
      <c r="P200" s="413"/>
      <c r="Q200" s="413"/>
      <c r="R200" s="452"/>
      <c r="S200" s="443"/>
      <c r="T200" s="42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3"/>
      <c r="V200" s="423"/>
      <c r="W200" s="424"/>
      <c r="X200" s="425"/>
      <c r="Y200" s="426" t="str">
        <f t="shared" ca="1" si="10"/>
        <v/>
      </c>
      <c r="Z200" s="427" t="str">
        <f t="shared" ca="1" si="11"/>
        <v/>
      </c>
      <c r="AA200" s="426" t="str">
        <f t="shared" ca="1" si="12"/>
        <v/>
      </c>
      <c r="AB200" s="428" t="str">
        <f t="shared" ca="1" si="13"/>
        <v/>
      </c>
      <c r="AC200" s="427" t="str">
        <f t="shared" ca="1" si="14"/>
        <v/>
      </c>
      <c r="AD200" s="227"/>
    </row>
    <row r="201" spans="1:30" customFormat="1" ht="15">
      <c r="A201" s="227"/>
      <c r="B201" s="276">
        <v>163</v>
      </c>
      <c r="C201" s="254"/>
      <c r="D201" s="255"/>
      <c r="E201" s="247"/>
      <c r="F201" s="232"/>
      <c r="G201" s="239"/>
      <c r="H201" s="386">
        <v>187</v>
      </c>
      <c r="I201" s="404"/>
      <c r="J201" s="404"/>
      <c r="K201" s="413"/>
      <c r="L201" s="413"/>
      <c r="M201" s="413"/>
      <c r="N201" s="452"/>
      <c r="O201" s="413"/>
      <c r="P201" s="413"/>
      <c r="Q201" s="413"/>
      <c r="R201" s="452"/>
      <c r="S201" s="443"/>
      <c r="T201" s="42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3"/>
      <c r="V201" s="423"/>
      <c r="W201" s="424"/>
      <c r="X201" s="425"/>
      <c r="Y201" s="426" t="str">
        <f t="shared" ca="1" si="10"/>
        <v/>
      </c>
      <c r="Z201" s="427" t="str">
        <f t="shared" ca="1" si="11"/>
        <v/>
      </c>
      <c r="AA201" s="426" t="str">
        <f t="shared" ca="1" si="12"/>
        <v/>
      </c>
      <c r="AB201" s="428" t="str">
        <f t="shared" ca="1" si="13"/>
        <v/>
      </c>
      <c r="AC201" s="427" t="str">
        <f t="shared" ca="1" si="14"/>
        <v/>
      </c>
      <c r="AD201" s="227"/>
    </row>
    <row r="202" spans="1:30" customFormat="1" ht="15">
      <c r="A202" s="227"/>
      <c r="B202" s="276">
        <v>164</v>
      </c>
      <c r="C202" s="254"/>
      <c r="D202" s="255"/>
      <c r="E202" s="247"/>
      <c r="F202" s="232"/>
      <c r="G202" s="239"/>
      <c r="H202" s="386">
        <v>188</v>
      </c>
      <c r="I202" s="404"/>
      <c r="J202" s="404"/>
      <c r="K202" s="413"/>
      <c r="L202" s="413"/>
      <c r="M202" s="413"/>
      <c r="N202" s="452"/>
      <c r="O202" s="413"/>
      <c r="P202" s="413"/>
      <c r="Q202" s="413"/>
      <c r="R202" s="452"/>
      <c r="S202" s="443"/>
      <c r="T202" s="42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3"/>
      <c r="V202" s="423"/>
      <c r="W202" s="424"/>
      <c r="X202" s="425"/>
      <c r="Y202" s="426" t="str">
        <f t="shared" ca="1" si="10"/>
        <v/>
      </c>
      <c r="Z202" s="427" t="str">
        <f t="shared" ca="1" si="11"/>
        <v/>
      </c>
      <c r="AA202" s="426" t="str">
        <f t="shared" ca="1" si="12"/>
        <v/>
      </c>
      <c r="AB202" s="428" t="str">
        <f t="shared" ca="1" si="13"/>
        <v/>
      </c>
      <c r="AC202" s="427" t="str">
        <f t="shared" ca="1" si="14"/>
        <v/>
      </c>
      <c r="AD202" s="227"/>
    </row>
    <row r="203" spans="1:30" customFormat="1" ht="15">
      <c r="A203" s="227"/>
      <c r="B203" s="276">
        <v>165</v>
      </c>
      <c r="C203" s="254"/>
      <c r="D203" s="255"/>
      <c r="E203" s="247"/>
      <c r="F203" s="232"/>
      <c r="G203" s="239"/>
      <c r="H203" s="386">
        <v>189</v>
      </c>
      <c r="I203" s="404"/>
      <c r="J203" s="404"/>
      <c r="K203" s="413"/>
      <c r="L203" s="413"/>
      <c r="M203" s="413"/>
      <c r="N203" s="452"/>
      <c r="O203" s="413"/>
      <c r="P203" s="413"/>
      <c r="Q203" s="413"/>
      <c r="R203" s="452"/>
      <c r="S203" s="443"/>
      <c r="T203" s="42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3"/>
      <c r="V203" s="423"/>
      <c r="W203" s="424"/>
      <c r="X203" s="425"/>
      <c r="Y203" s="426" t="str">
        <f t="shared" ca="1" si="10"/>
        <v/>
      </c>
      <c r="Z203" s="427" t="str">
        <f t="shared" ca="1" si="11"/>
        <v/>
      </c>
      <c r="AA203" s="426" t="str">
        <f t="shared" ca="1" si="12"/>
        <v/>
      </c>
      <c r="AB203" s="428" t="str">
        <f t="shared" ca="1" si="13"/>
        <v/>
      </c>
      <c r="AC203" s="427" t="str">
        <f t="shared" ca="1" si="14"/>
        <v/>
      </c>
      <c r="AD203" s="227"/>
    </row>
    <row r="204" spans="1:30" customFormat="1" ht="15">
      <c r="A204" s="227"/>
      <c r="B204" s="276">
        <v>166</v>
      </c>
      <c r="C204" s="254"/>
      <c r="D204" s="255"/>
      <c r="E204" s="247"/>
      <c r="F204" s="232"/>
      <c r="G204" s="239"/>
      <c r="H204" s="386">
        <v>190</v>
      </c>
      <c r="I204" s="404"/>
      <c r="J204" s="404"/>
      <c r="K204" s="413"/>
      <c r="L204" s="413"/>
      <c r="M204" s="413"/>
      <c r="N204" s="452"/>
      <c r="O204" s="413"/>
      <c r="P204" s="413"/>
      <c r="Q204" s="413"/>
      <c r="R204" s="452"/>
      <c r="S204" s="443"/>
      <c r="T204" s="42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3"/>
      <c r="V204" s="423"/>
      <c r="W204" s="424"/>
      <c r="X204" s="425"/>
      <c r="Y204" s="426" t="str">
        <f t="shared" ca="1" si="10"/>
        <v/>
      </c>
      <c r="Z204" s="427" t="str">
        <f t="shared" ca="1" si="11"/>
        <v/>
      </c>
      <c r="AA204" s="426" t="str">
        <f t="shared" ca="1" si="12"/>
        <v/>
      </c>
      <c r="AB204" s="428" t="str">
        <f t="shared" ca="1" si="13"/>
        <v/>
      </c>
      <c r="AC204" s="427" t="str">
        <f t="shared" ca="1" si="14"/>
        <v/>
      </c>
      <c r="AD204" s="227"/>
    </row>
    <row r="205" spans="1:30" customFormat="1" ht="15">
      <c r="A205" s="227"/>
      <c r="B205" s="276">
        <v>167</v>
      </c>
      <c r="C205" s="254"/>
      <c r="D205" s="255"/>
      <c r="E205" s="247"/>
      <c r="F205" s="232"/>
      <c r="G205" s="239"/>
      <c r="H205" s="386">
        <v>191</v>
      </c>
      <c r="I205" s="404"/>
      <c r="J205" s="404"/>
      <c r="K205" s="413"/>
      <c r="L205" s="413"/>
      <c r="M205" s="413"/>
      <c r="N205" s="452"/>
      <c r="O205" s="413"/>
      <c r="P205" s="413"/>
      <c r="Q205" s="413"/>
      <c r="R205" s="452"/>
      <c r="S205" s="443"/>
      <c r="T205" s="42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3"/>
      <c r="V205" s="423"/>
      <c r="W205" s="424"/>
      <c r="X205" s="425"/>
      <c r="Y205" s="426" t="str">
        <f t="shared" ca="1" si="10"/>
        <v/>
      </c>
      <c r="Z205" s="427" t="str">
        <f t="shared" ca="1" si="11"/>
        <v/>
      </c>
      <c r="AA205" s="426" t="str">
        <f t="shared" ca="1" si="12"/>
        <v/>
      </c>
      <c r="AB205" s="428" t="str">
        <f t="shared" ca="1" si="13"/>
        <v/>
      </c>
      <c r="AC205" s="427" t="str">
        <f t="shared" ca="1" si="14"/>
        <v/>
      </c>
      <c r="AD205" s="227"/>
    </row>
    <row r="206" spans="1:30" customFormat="1" ht="15">
      <c r="A206" s="227"/>
      <c r="B206" s="276">
        <v>168</v>
      </c>
      <c r="C206" s="254"/>
      <c r="D206" s="255"/>
      <c r="E206" s="247"/>
      <c r="F206" s="232"/>
      <c r="G206" s="239"/>
      <c r="H206" s="386">
        <v>192</v>
      </c>
      <c r="I206" s="404"/>
      <c r="J206" s="404"/>
      <c r="K206" s="413"/>
      <c r="L206" s="413"/>
      <c r="M206" s="413"/>
      <c r="N206" s="452"/>
      <c r="O206" s="413"/>
      <c r="P206" s="413"/>
      <c r="Q206" s="413"/>
      <c r="R206" s="452"/>
      <c r="S206" s="443"/>
      <c r="T206" s="42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3"/>
      <c r="V206" s="423"/>
      <c r="W206" s="424"/>
      <c r="X206" s="425"/>
      <c r="Y206" s="426" t="str">
        <f t="shared" ca="1" si="10"/>
        <v/>
      </c>
      <c r="Z206" s="427" t="str">
        <f t="shared" ca="1" si="11"/>
        <v/>
      </c>
      <c r="AA206" s="426" t="str">
        <f t="shared" ca="1" si="12"/>
        <v/>
      </c>
      <c r="AB206" s="428" t="str">
        <f t="shared" ca="1" si="13"/>
        <v/>
      </c>
      <c r="AC206" s="427" t="str">
        <f t="shared" ca="1" si="14"/>
        <v/>
      </c>
      <c r="AD206" s="227"/>
    </row>
    <row r="207" spans="1:30" customFormat="1" ht="15">
      <c r="A207" s="227"/>
      <c r="B207" s="276">
        <v>169</v>
      </c>
      <c r="C207" s="254"/>
      <c r="D207" s="255"/>
      <c r="E207" s="247"/>
      <c r="F207" s="232"/>
      <c r="G207" s="239"/>
      <c r="H207" s="386">
        <v>193</v>
      </c>
      <c r="I207" s="404"/>
      <c r="J207" s="404"/>
      <c r="K207" s="413"/>
      <c r="L207" s="413"/>
      <c r="M207" s="413"/>
      <c r="N207" s="452"/>
      <c r="O207" s="413"/>
      <c r="P207" s="413"/>
      <c r="Q207" s="413"/>
      <c r="R207" s="452"/>
      <c r="S207" s="443"/>
      <c r="T207" s="42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3"/>
      <c r="V207" s="423"/>
      <c r="W207" s="424"/>
      <c r="X207" s="425"/>
      <c r="Y207" s="426" t="str">
        <f t="shared" ca="1" si="10"/>
        <v/>
      </c>
      <c r="Z207" s="427" t="str">
        <f t="shared" ca="1" si="11"/>
        <v/>
      </c>
      <c r="AA207" s="426" t="str">
        <f t="shared" ca="1" si="12"/>
        <v/>
      </c>
      <c r="AB207" s="428" t="str">
        <f t="shared" ca="1" si="13"/>
        <v/>
      </c>
      <c r="AC207" s="427" t="str">
        <f t="shared" ca="1" si="14"/>
        <v/>
      </c>
      <c r="AD207" s="227"/>
    </row>
    <row r="208" spans="1:30" customFormat="1" ht="15">
      <c r="A208" s="227"/>
      <c r="B208" s="276">
        <v>170</v>
      </c>
      <c r="C208" s="254"/>
      <c r="D208" s="255"/>
      <c r="E208" s="247"/>
      <c r="F208" s="232"/>
      <c r="G208" s="239"/>
      <c r="H208" s="386">
        <v>194</v>
      </c>
      <c r="I208" s="404"/>
      <c r="J208" s="404"/>
      <c r="K208" s="413"/>
      <c r="L208" s="413"/>
      <c r="M208" s="413"/>
      <c r="N208" s="452"/>
      <c r="O208" s="413"/>
      <c r="P208" s="413"/>
      <c r="Q208" s="413"/>
      <c r="R208" s="452"/>
      <c r="S208" s="443"/>
      <c r="T208" s="42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3"/>
      <c r="V208" s="423"/>
      <c r="W208" s="424"/>
      <c r="X208" s="425"/>
      <c r="Y208" s="426" t="str">
        <f t="shared" ref="Y208:Y271" ca="1" si="15">IF($U$12,IF(T208="","",$U$13*D232/$C$18),"")</f>
        <v/>
      </c>
      <c r="Z208" s="427" t="str">
        <f t="shared" ref="Z208:Z271" ca="1" si="16">IF($U$12,IF(Y208="","",Y208*($Z$10-W208)*X208),"")</f>
        <v/>
      </c>
      <c r="AA208" s="426" t="str">
        <f t="shared" ref="AA208:AA271" ca="1" si="17">IF($U$12,IF(OR(T208="",L208=""),"",L208/($C$20-$C$19)),"")</f>
        <v/>
      </c>
      <c r="AB208" s="428" t="str">
        <f t="shared" ref="AB208:AB271" ca="1" si="18">IF($U$12,IF(W208="","",W208*$AC$10),"")</f>
        <v/>
      </c>
      <c r="AC208" s="427" t="str">
        <f t="shared" ref="AC208:AC271" ca="1" si="19">IF($U$12,IF(AA208="","",AA208*(AB208-W208)*X208),"")</f>
        <v/>
      </c>
      <c r="AD208" s="227"/>
    </row>
    <row r="209" spans="1:30" customFormat="1" ht="15">
      <c r="A209" s="227"/>
      <c r="B209" s="276">
        <v>171</v>
      </c>
      <c r="C209" s="254"/>
      <c r="D209" s="255"/>
      <c r="E209" s="247"/>
      <c r="F209" s="232"/>
      <c r="G209" s="239"/>
      <c r="H209" s="386">
        <v>195</v>
      </c>
      <c r="I209" s="404"/>
      <c r="J209" s="404"/>
      <c r="K209" s="413"/>
      <c r="L209" s="413"/>
      <c r="M209" s="413"/>
      <c r="N209" s="452"/>
      <c r="O209" s="413"/>
      <c r="P209" s="413"/>
      <c r="Q209" s="413"/>
      <c r="R209" s="452"/>
      <c r="S209" s="443"/>
      <c r="T209" s="42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3"/>
      <c r="V209" s="423"/>
      <c r="W209" s="424"/>
      <c r="X209" s="425"/>
      <c r="Y209" s="426" t="str">
        <f t="shared" ca="1" si="15"/>
        <v/>
      </c>
      <c r="Z209" s="427" t="str">
        <f t="shared" ca="1" si="16"/>
        <v/>
      </c>
      <c r="AA209" s="426" t="str">
        <f t="shared" ca="1" si="17"/>
        <v/>
      </c>
      <c r="AB209" s="428" t="str">
        <f t="shared" ca="1" si="18"/>
        <v/>
      </c>
      <c r="AC209" s="427" t="str">
        <f t="shared" ca="1" si="19"/>
        <v/>
      </c>
      <c r="AD209" s="227"/>
    </row>
    <row r="210" spans="1:30" customFormat="1" ht="15">
      <c r="A210" s="227"/>
      <c r="B210" s="276">
        <v>172</v>
      </c>
      <c r="C210" s="254"/>
      <c r="D210" s="255"/>
      <c r="E210" s="247"/>
      <c r="F210" s="232"/>
      <c r="G210" s="239"/>
      <c r="H210" s="386">
        <v>196</v>
      </c>
      <c r="I210" s="404"/>
      <c r="J210" s="404"/>
      <c r="K210" s="413"/>
      <c r="L210" s="413"/>
      <c r="M210" s="413"/>
      <c r="N210" s="452"/>
      <c r="O210" s="413"/>
      <c r="P210" s="413"/>
      <c r="Q210" s="413"/>
      <c r="R210" s="452"/>
      <c r="S210" s="443"/>
      <c r="T210" s="42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3"/>
      <c r="V210" s="423"/>
      <c r="W210" s="424"/>
      <c r="X210" s="425"/>
      <c r="Y210" s="426" t="str">
        <f t="shared" ca="1" si="15"/>
        <v/>
      </c>
      <c r="Z210" s="427" t="str">
        <f t="shared" ca="1" si="16"/>
        <v/>
      </c>
      <c r="AA210" s="426" t="str">
        <f t="shared" ca="1" si="17"/>
        <v/>
      </c>
      <c r="AB210" s="428" t="str">
        <f t="shared" ca="1" si="18"/>
        <v/>
      </c>
      <c r="AC210" s="427" t="str">
        <f t="shared" ca="1" si="19"/>
        <v/>
      </c>
      <c r="AD210" s="227"/>
    </row>
    <row r="211" spans="1:30" customFormat="1" ht="15">
      <c r="A211" s="227"/>
      <c r="B211" s="276">
        <v>173</v>
      </c>
      <c r="C211" s="254"/>
      <c r="D211" s="255"/>
      <c r="E211" s="247"/>
      <c r="F211" s="232"/>
      <c r="G211" s="239"/>
      <c r="H211" s="386">
        <v>197</v>
      </c>
      <c r="I211" s="404"/>
      <c r="J211" s="404"/>
      <c r="K211" s="413"/>
      <c r="L211" s="413"/>
      <c r="M211" s="413"/>
      <c r="N211" s="452"/>
      <c r="O211" s="413"/>
      <c r="P211" s="413"/>
      <c r="Q211" s="413"/>
      <c r="R211" s="452"/>
      <c r="S211" s="443"/>
      <c r="T211" s="42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3"/>
      <c r="V211" s="423"/>
      <c r="W211" s="424"/>
      <c r="X211" s="425"/>
      <c r="Y211" s="426" t="str">
        <f t="shared" ca="1" si="15"/>
        <v/>
      </c>
      <c r="Z211" s="427" t="str">
        <f t="shared" ca="1" si="16"/>
        <v/>
      </c>
      <c r="AA211" s="426" t="str">
        <f t="shared" ca="1" si="17"/>
        <v/>
      </c>
      <c r="AB211" s="428" t="str">
        <f t="shared" ca="1" si="18"/>
        <v/>
      </c>
      <c r="AC211" s="427" t="str">
        <f t="shared" ca="1" si="19"/>
        <v/>
      </c>
      <c r="AD211" s="227"/>
    </row>
    <row r="212" spans="1:30" customFormat="1" ht="15">
      <c r="A212" s="227"/>
      <c r="B212" s="276">
        <v>174</v>
      </c>
      <c r="C212" s="254"/>
      <c r="D212" s="255"/>
      <c r="E212" s="247"/>
      <c r="F212" s="232"/>
      <c r="G212" s="239"/>
      <c r="H212" s="386">
        <v>198</v>
      </c>
      <c r="I212" s="404"/>
      <c r="J212" s="404"/>
      <c r="K212" s="413"/>
      <c r="L212" s="413"/>
      <c r="M212" s="413"/>
      <c r="N212" s="452"/>
      <c r="O212" s="413"/>
      <c r="P212" s="413"/>
      <c r="Q212" s="413"/>
      <c r="R212" s="452"/>
      <c r="S212" s="443"/>
      <c r="T212" s="42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3"/>
      <c r="V212" s="423"/>
      <c r="W212" s="424"/>
      <c r="X212" s="425"/>
      <c r="Y212" s="426" t="str">
        <f t="shared" ca="1" si="15"/>
        <v/>
      </c>
      <c r="Z212" s="427" t="str">
        <f t="shared" ca="1" si="16"/>
        <v/>
      </c>
      <c r="AA212" s="426" t="str">
        <f t="shared" ca="1" si="17"/>
        <v/>
      </c>
      <c r="AB212" s="428" t="str">
        <f t="shared" ca="1" si="18"/>
        <v/>
      </c>
      <c r="AC212" s="427" t="str">
        <f t="shared" ca="1" si="19"/>
        <v/>
      </c>
      <c r="AD212" s="227"/>
    </row>
    <row r="213" spans="1:30" customFormat="1" ht="15">
      <c r="A213" s="227"/>
      <c r="B213" s="276">
        <v>175</v>
      </c>
      <c r="C213" s="254"/>
      <c r="D213" s="255"/>
      <c r="E213" s="247"/>
      <c r="F213" s="232"/>
      <c r="G213" s="239"/>
      <c r="H213" s="386">
        <v>199</v>
      </c>
      <c r="I213" s="404"/>
      <c r="J213" s="404"/>
      <c r="K213" s="413"/>
      <c r="L213" s="413"/>
      <c r="M213" s="413"/>
      <c r="N213" s="452"/>
      <c r="O213" s="413"/>
      <c r="P213" s="413"/>
      <c r="Q213" s="413"/>
      <c r="R213" s="452"/>
      <c r="S213" s="443"/>
      <c r="T213" s="42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3"/>
      <c r="V213" s="423"/>
      <c r="W213" s="424"/>
      <c r="X213" s="425"/>
      <c r="Y213" s="426" t="str">
        <f t="shared" ca="1" si="15"/>
        <v/>
      </c>
      <c r="Z213" s="427" t="str">
        <f t="shared" ca="1" si="16"/>
        <v/>
      </c>
      <c r="AA213" s="426" t="str">
        <f t="shared" ca="1" si="17"/>
        <v/>
      </c>
      <c r="AB213" s="428" t="str">
        <f t="shared" ca="1" si="18"/>
        <v/>
      </c>
      <c r="AC213" s="427" t="str">
        <f t="shared" ca="1" si="19"/>
        <v/>
      </c>
      <c r="AD213" s="227"/>
    </row>
    <row r="214" spans="1:30" customFormat="1" ht="15">
      <c r="A214" s="227"/>
      <c r="B214" s="276">
        <v>176</v>
      </c>
      <c r="C214" s="254"/>
      <c r="D214" s="255"/>
      <c r="E214" s="247"/>
      <c r="F214" s="232"/>
      <c r="G214" s="239"/>
      <c r="H214" s="386">
        <v>200</v>
      </c>
      <c r="I214" s="404"/>
      <c r="J214" s="404"/>
      <c r="K214" s="413"/>
      <c r="L214" s="413"/>
      <c r="M214" s="413"/>
      <c r="N214" s="452"/>
      <c r="O214" s="413"/>
      <c r="P214" s="413"/>
      <c r="Q214" s="413"/>
      <c r="R214" s="452"/>
      <c r="S214" s="443"/>
      <c r="T214" s="42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3"/>
      <c r="V214" s="423"/>
      <c r="W214" s="424"/>
      <c r="X214" s="425"/>
      <c r="Y214" s="426" t="str">
        <f t="shared" ca="1" si="15"/>
        <v/>
      </c>
      <c r="Z214" s="427" t="str">
        <f t="shared" ca="1" si="16"/>
        <v/>
      </c>
      <c r="AA214" s="426" t="str">
        <f t="shared" ca="1" si="17"/>
        <v/>
      </c>
      <c r="AB214" s="428" t="str">
        <f t="shared" ca="1" si="18"/>
        <v/>
      </c>
      <c r="AC214" s="427" t="str">
        <f t="shared" ca="1" si="19"/>
        <v/>
      </c>
      <c r="AD214" s="227"/>
    </row>
    <row r="215" spans="1:30" customFormat="1" ht="15">
      <c r="A215" s="227"/>
      <c r="B215" s="276">
        <v>177</v>
      </c>
      <c r="C215" s="254"/>
      <c r="D215" s="255"/>
      <c r="E215" s="247"/>
      <c r="F215" s="232"/>
      <c r="G215" s="239"/>
      <c r="H215" s="386">
        <v>201</v>
      </c>
      <c r="I215" s="404"/>
      <c r="J215" s="404"/>
      <c r="K215" s="413"/>
      <c r="L215" s="413"/>
      <c r="M215" s="413"/>
      <c r="N215" s="452"/>
      <c r="O215" s="413"/>
      <c r="P215" s="413"/>
      <c r="Q215" s="413"/>
      <c r="R215" s="452"/>
      <c r="S215" s="443"/>
      <c r="T215" s="42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3"/>
      <c r="V215" s="423"/>
      <c r="W215" s="424"/>
      <c r="X215" s="425"/>
      <c r="Y215" s="426" t="str">
        <f t="shared" ca="1" si="15"/>
        <v/>
      </c>
      <c r="Z215" s="427" t="str">
        <f t="shared" ca="1" si="16"/>
        <v/>
      </c>
      <c r="AA215" s="426" t="str">
        <f t="shared" ca="1" si="17"/>
        <v/>
      </c>
      <c r="AB215" s="428" t="str">
        <f t="shared" ca="1" si="18"/>
        <v/>
      </c>
      <c r="AC215" s="427" t="str">
        <f t="shared" ca="1" si="19"/>
        <v/>
      </c>
      <c r="AD215" s="227"/>
    </row>
    <row r="216" spans="1:30" customFormat="1" ht="15">
      <c r="A216" s="227"/>
      <c r="B216" s="276">
        <v>178</v>
      </c>
      <c r="C216" s="254"/>
      <c r="D216" s="255"/>
      <c r="E216" s="247"/>
      <c r="F216" s="232"/>
      <c r="G216" s="239"/>
      <c r="H216" s="386">
        <v>202</v>
      </c>
      <c r="I216" s="404"/>
      <c r="J216" s="404"/>
      <c r="K216" s="413"/>
      <c r="L216" s="413"/>
      <c r="M216" s="413"/>
      <c r="N216" s="452"/>
      <c r="O216" s="413"/>
      <c r="P216" s="413"/>
      <c r="Q216" s="413"/>
      <c r="R216" s="452"/>
      <c r="S216" s="443"/>
      <c r="T216" s="42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3"/>
      <c r="V216" s="423"/>
      <c r="W216" s="424"/>
      <c r="X216" s="425"/>
      <c r="Y216" s="426" t="str">
        <f t="shared" ca="1" si="15"/>
        <v/>
      </c>
      <c r="Z216" s="427" t="str">
        <f t="shared" ca="1" si="16"/>
        <v/>
      </c>
      <c r="AA216" s="426" t="str">
        <f t="shared" ca="1" si="17"/>
        <v/>
      </c>
      <c r="AB216" s="428" t="str">
        <f t="shared" ca="1" si="18"/>
        <v/>
      </c>
      <c r="AC216" s="427" t="str">
        <f t="shared" ca="1" si="19"/>
        <v/>
      </c>
      <c r="AD216" s="227"/>
    </row>
    <row r="217" spans="1:30" customFormat="1" ht="15">
      <c r="A217" s="227"/>
      <c r="B217" s="276">
        <v>179</v>
      </c>
      <c r="C217" s="254"/>
      <c r="D217" s="255"/>
      <c r="E217" s="247"/>
      <c r="F217" s="232"/>
      <c r="G217" s="239"/>
      <c r="H217" s="386">
        <v>203</v>
      </c>
      <c r="I217" s="404"/>
      <c r="J217" s="404"/>
      <c r="K217" s="413"/>
      <c r="L217" s="413"/>
      <c r="M217" s="413"/>
      <c r="N217" s="452"/>
      <c r="O217" s="413"/>
      <c r="P217" s="413"/>
      <c r="Q217" s="413"/>
      <c r="R217" s="452"/>
      <c r="S217" s="443"/>
      <c r="T217" s="42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3"/>
      <c r="V217" s="423"/>
      <c r="W217" s="424"/>
      <c r="X217" s="425"/>
      <c r="Y217" s="426" t="str">
        <f t="shared" ca="1" si="15"/>
        <v/>
      </c>
      <c r="Z217" s="427" t="str">
        <f t="shared" ca="1" si="16"/>
        <v/>
      </c>
      <c r="AA217" s="426" t="str">
        <f t="shared" ca="1" si="17"/>
        <v/>
      </c>
      <c r="AB217" s="428" t="str">
        <f t="shared" ca="1" si="18"/>
        <v/>
      </c>
      <c r="AC217" s="427" t="str">
        <f t="shared" ca="1" si="19"/>
        <v/>
      </c>
      <c r="AD217" s="227"/>
    </row>
    <row r="218" spans="1:30" customFormat="1" ht="15">
      <c r="A218" s="227"/>
      <c r="B218" s="276">
        <v>180</v>
      </c>
      <c r="C218" s="254"/>
      <c r="D218" s="255"/>
      <c r="E218" s="247"/>
      <c r="F218" s="232"/>
      <c r="G218" s="239"/>
      <c r="H218" s="386">
        <v>204</v>
      </c>
      <c r="I218" s="404"/>
      <c r="J218" s="404"/>
      <c r="K218" s="413"/>
      <c r="L218" s="413"/>
      <c r="M218" s="413"/>
      <c r="N218" s="452"/>
      <c r="O218" s="413"/>
      <c r="P218" s="413"/>
      <c r="Q218" s="413"/>
      <c r="R218" s="452"/>
      <c r="S218" s="443"/>
      <c r="T218" s="42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3"/>
      <c r="V218" s="423"/>
      <c r="W218" s="424"/>
      <c r="X218" s="425"/>
      <c r="Y218" s="426" t="str">
        <f t="shared" ca="1" si="15"/>
        <v/>
      </c>
      <c r="Z218" s="427" t="str">
        <f t="shared" ca="1" si="16"/>
        <v/>
      </c>
      <c r="AA218" s="426" t="str">
        <f t="shared" ca="1" si="17"/>
        <v/>
      </c>
      <c r="AB218" s="428" t="str">
        <f t="shared" ca="1" si="18"/>
        <v/>
      </c>
      <c r="AC218" s="427" t="str">
        <f t="shared" ca="1" si="19"/>
        <v/>
      </c>
      <c r="AD218" s="227"/>
    </row>
    <row r="219" spans="1:30" customFormat="1" ht="15">
      <c r="A219" s="227"/>
      <c r="B219" s="276">
        <v>181</v>
      </c>
      <c r="C219" s="254"/>
      <c r="D219" s="255"/>
      <c r="E219" s="247"/>
      <c r="F219" s="232"/>
      <c r="G219" s="239"/>
      <c r="H219" s="386">
        <v>205</v>
      </c>
      <c r="I219" s="404"/>
      <c r="J219" s="404"/>
      <c r="K219" s="413"/>
      <c r="L219" s="413"/>
      <c r="M219" s="413"/>
      <c r="N219" s="452"/>
      <c r="O219" s="413"/>
      <c r="P219" s="413"/>
      <c r="Q219" s="413"/>
      <c r="R219" s="452"/>
      <c r="S219" s="443"/>
      <c r="T219" s="42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3"/>
      <c r="V219" s="423"/>
      <c r="W219" s="424"/>
      <c r="X219" s="425"/>
      <c r="Y219" s="426" t="str">
        <f t="shared" ca="1" si="15"/>
        <v/>
      </c>
      <c r="Z219" s="427" t="str">
        <f t="shared" ca="1" si="16"/>
        <v/>
      </c>
      <c r="AA219" s="426" t="str">
        <f t="shared" ca="1" si="17"/>
        <v/>
      </c>
      <c r="AB219" s="428" t="str">
        <f t="shared" ca="1" si="18"/>
        <v/>
      </c>
      <c r="AC219" s="427" t="str">
        <f t="shared" ca="1" si="19"/>
        <v/>
      </c>
      <c r="AD219" s="227"/>
    </row>
    <row r="220" spans="1:30" customFormat="1" ht="15">
      <c r="A220" s="227"/>
      <c r="B220" s="276">
        <v>182</v>
      </c>
      <c r="C220" s="254"/>
      <c r="D220" s="255"/>
      <c r="E220" s="247"/>
      <c r="F220" s="232"/>
      <c r="G220" s="239"/>
      <c r="H220" s="386">
        <v>206</v>
      </c>
      <c r="I220" s="404"/>
      <c r="J220" s="404"/>
      <c r="K220" s="413"/>
      <c r="L220" s="413"/>
      <c r="M220" s="413"/>
      <c r="N220" s="452"/>
      <c r="O220" s="413"/>
      <c r="P220" s="413"/>
      <c r="Q220" s="413"/>
      <c r="R220" s="452"/>
      <c r="S220" s="443"/>
      <c r="T220" s="42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3"/>
      <c r="V220" s="423"/>
      <c r="W220" s="424"/>
      <c r="X220" s="425"/>
      <c r="Y220" s="426" t="str">
        <f t="shared" ca="1" si="15"/>
        <v/>
      </c>
      <c r="Z220" s="427" t="str">
        <f t="shared" ca="1" si="16"/>
        <v/>
      </c>
      <c r="AA220" s="426" t="str">
        <f t="shared" ca="1" si="17"/>
        <v/>
      </c>
      <c r="AB220" s="428" t="str">
        <f t="shared" ca="1" si="18"/>
        <v/>
      </c>
      <c r="AC220" s="427" t="str">
        <f t="shared" ca="1" si="19"/>
        <v/>
      </c>
      <c r="AD220" s="227"/>
    </row>
    <row r="221" spans="1:30" customFormat="1" ht="15">
      <c r="A221" s="227"/>
      <c r="B221" s="276">
        <v>183</v>
      </c>
      <c r="C221" s="254"/>
      <c r="D221" s="255"/>
      <c r="E221" s="247"/>
      <c r="F221" s="232"/>
      <c r="G221" s="239"/>
      <c r="H221" s="386">
        <v>207</v>
      </c>
      <c r="I221" s="404"/>
      <c r="J221" s="404"/>
      <c r="K221" s="413"/>
      <c r="L221" s="413"/>
      <c r="M221" s="413"/>
      <c r="N221" s="452"/>
      <c r="O221" s="413"/>
      <c r="P221" s="413"/>
      <c r="Q221" s="413"/>
      <c r="R221" s="452"/>
      <c r="S221" s="443"/>
      <c r="T221" s="42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3"/>
      <c r="V221" s="423"/>
      <c r="W221" s="424"/>
      <c r="X221" s="425"/>
      <c r="Y221" s="426" t="str">
        <f t="shared" ca="1" si="15"/>
        <v/>
      </c>
      <c r="Z221" s="427" t="str">
        <f t="shared" ca="1" si="16"/>
        <v/>
      </c>
      <c r="AA221" s="426" t="str">
        <f t="shared" ca="1" si="17"/>
        <v/>
      </c>
      <c r="AB221" s="428" t="str">
        <f t="shared" ca="1" si="18"/>
        <v/>
      </c>
      <c r="AC221" s="427" t="str">
        <f t="shared" ca="1" si="19"/>
        <v/>
      </c>
      <c r="AD221" s="227"/>
    </row>
    <row r="222" spans="1:30" customFormat="1" ht="15">
      <c r="A222" s="227"/>
      <c r="B222" s="276">
        <v>184</v>
      </c>
      <c r="C222" s="254"/>
      <c r="D222" s="255"/>
      <c r="E222" s="247"/>
      <c r="F222" s="232"/>
      <c r="G222" s="239"/>
      <c r="H222" s="386">
        <v>208</v>
      </c>
      <c r="I222" s="404"/>
      <c r="J222" s="404"/>
      <c r="K222" s="413"/>
      <c r="L222" s="413"/>
      <c r="M222" s="413"/>
      <c r="N222" s="452"/>
      <c r="O222" s="413"/>
      <c r="P222" s="413"/>
      <c r="Q222" s="413"/>
      <c r="R222" s="452"/>
      <c r="S222" s="443"/>
      <c r="T222" s="42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3"/>
      <c r="V222" s="423"/>
      <c r="W222" s="424"/>
      <c r="X222" s="425"/>
      <c r="Y222" s="426" t="str">
        <f t="shared" ca="1" si="15"/>
        <v/>
      </c>
      <c r="Z222" s="427" t="str">
        <f t="shared" ca="1" si="16"/>
        <v/>
      </c>
      <c r="AA222" s="426" t="str">
        <f t="shared" ca="1" si="17"/>
        <v/>
      </c>
      <c r="AB222" s="428" t="str">
        <f t="shared" ca="1" si="18"/>
        <v/>
      </c>
      <c r="AC222" s="427" t="str">
        <f t="shared" ca="1" si="19"/>
        <v/>
      </c>
      <c r="AD222" s="227"/>
    </row>
    <row r="223" spans="1:30" customFormat="1" ht="15">
      <c r="A223" s="227"/>
      <c r="B223" s="276">
        <v>185</v>
      </c>
      <c r="C223" s="254"/>
      <c r="D223" s="255"/>
      <c r="E223" s="247"/>
      <c r="F223" s="232"/>
      <c r="G223" s="239"/>
      <c r="H223" s="386">
        <v>209</v>
      </c>
      <c r="I223" s="404"/>
      <c r="J223" s="404"/>
      <c r="K223" s="413"/>
      <c r="L223" s="413"/>
      <c r="M223" s="413"/>
      <c r="N223" s="452"/>
      <c r="O223" s="413"/>
      <c r="P223" s="413"/>
      <c r="Q223" s="413"/>
      <c r="R223" s="452"/>
      <c r="S223" s="443"/>
      <c r="T223" s="42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3"/>
      <c r="V223" s="423"/>
      <c r="W223" s="424"/>
      <c r="X223" s="425"/>
      <c r="Y223" s="426" t="str">
        <f t="shared" ca="1" si="15"/>
        <v/>
      </c>
      <c r="Z223" s="427" t="str">
        <f t="shared" ca="1" si="16"/>
        <v/>
      </c>
      <c r="AA223" s="426" t="str">
        <f t="shared" ca="1" si="17"/>
        <v/>
      </c>
      <c r="AB223" s="428" t="str">
        <f t="shared" ca="1" si="18"/>
        <v/>
      </c>
      <c r="AC223" s="427" t="str">
        <f t="shared" ca="1" si="19"/>
        <v/>
      </c>
      <c r="AD223" s="227"/>
    </row>
    <row r="224" spans="1:30" customFormat="1" ht="15">
      <c r="A224" s="227"/>
      <c r="B224" s="276">
        <v>186</v>
      </c>
      <c r="C224" s="254"/>
      <c r="D224" s="255"/>
      <c r="E224" s="247"/>
      <c r="F224" s="232"/>
      <c r="G224" s="239"/>
      <c r="H224" s="386">
        <v>210</v>
      </c>
      <c r="I224" s="404"/>
      <c r="J224" s="404"/>
      <c r="K224" s="413"/>
      <c r="L224" s="413"/>
      <c r="M224" s="413"/>
      <c r="N224" s="452"/>
      <c r="O224" s="413"/>
      <c r="P224" s="413"/>
      <c r="Q224" s="413"/>
      <c r="R224" s="452"/>
      <c r="S224" s="443"/>
      <c r="T224" s="42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3"/>
      <c r="V224" s="423"/>
      <c r="W224" s="424"/>
      <c r="X224" s="425"/>
      <c r="Y224" s="426" t="str">
        <f t="shared" ca="1" si="15"/>
        <v/>
      </c>
      <c r="Z224" s="427" t="str">
        <f t="shared" ca="1" si="16"/>
        <v/>
      </c>
      <c r="AA224" s="426" t="str">
        <f t="shared" ca="1" si="17"/>
        <v/>
      </c>
      <c r="AB224" s="428" t="str">
        <f t="shared" ca="1" si="18"/>
        <v/>
      </c>
      <c r="AC224" s="427" t="str">
        <f t="shared" ca="1" si="19"/>
        <v/>
      </c>
      <c r="AD224" s="227"/>
    </row>
    <row r="225" spans="1:30" customFormat="1" ht="15">
      <c r="A225" s="227"/>
      <c r="B225" s="276">
        <v>187</v>
      </c>
      <c r="C225" s="254"/>
      <c r="D225" s="255"/>
      <c r="E225" s="247"/>
      <c r="F225" s="232"/>
      <c r="G225" s="239"/>
      <c r="H225" s="386">
        <v>211</v>
      </c>
      <c r="I225" s="404"/>
      <c r="J225" s="404"/>
      <c r="K225" s="413"/>
      <c r="L225" s="413"/>
      <c r="M225" s="413"/>
      <c r="N225" s="452"/>
      <c r="O225" s="413"/>
      <c r="P225" s="413"/>
      <c r="Q225" s="413"/>
      <c r="R225" s="452"/>
      <c r="S225" s="443"/>
      <c r="T225" s="42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3"/>
      <c r="V225" s="423"/>
      <c r="W225" s="424"/>
      <c r="X225" s="425"/>
      <c r="Y225" s="426" t="str">
        <f t="shared" ca="1" si="15"/>
        <v/>
      </c>
      <c r="Z225" s="427" t="str">
        <f t="shared" ca="1" si="16"/>
        <v/>
      </c>
      <c r="AA225" s="426" t="str">
        <f t="shared" ca="1" si="17"/>
        <v/>
      </c>
      <c r="AB225" s="428" t="str">
        <f t="shared" ca="1" si="18"/>
        <v/>
      </c>
      <c r="AC225" s="427" t="str">
        <f t="shared" ca="1" si="19"/>
        <v/>
      </c>
      <c r="AD225" s="227"/>
    </row>
    <row r="226" spans="1:30" customFormat="1" ht="15">
      <c r="A226" s="227"/>
      <c r="B226" s="276">
        <v>188</v>
      </c>
      <c r="C226" s="254"/>
      <c r="D226" s="255"/>
      <c r="E226" s="247"/>
      <c r="F226" s="232"/>
      <c r="G226" s="239"/>
      <c r="H226" s="386">
        <v>212</v>
      </c>
      <c r="I226" s="404"/>
      <c r="J226" s="404"/>
      <c r="K226" s="413"/>
      <c r="L226" s="413"/>
      <c r="M226" s="413"/>
      <c r="N226" s="452"/>
      <c r="O226" s="413"/>
      <c r="P226" s="413"/>
      <c r="Q226" s="413"/>
      <c r="R226" s="452"/>
      <c r="S226" s="443"/>
      <c r="T226" s="42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3"/>
      <c r="V226" s="423"/>
      <c r="W226" s="424"/>
      <c r="X226" s="425"/>
      <c r="Y226" s="426" t="str">
        <f t="shared" ca="1" si="15"/>
        <v/>
      </c>
      <c r="Z226" s="427" t="str">
        <f t="shared" ca="1" si="16"/>
        <v/>
      </c>
      <c r="AA226" s="426" t="str">
        <f t="shared" ca="1" si="17"/>
        <v/>
      </c>
      <c r="AB226" s="428" t="str">
        <f t="shared" ca="1" si="18"/>
        <v/>
      </c>
      <c r="AC226" s="427" t="str">
        <f t="shared" ca="1" si="19"/>
        <v/>
      </c>
      <c r="AD226" s="227"/>
    </row>
    <row r="227" spans="1:30" customFormat="1" ht="15">
      <c r="A227" s="227"/>
      <c r="B227" s="276">
        <v>189</v>
      </c>
      <c r="C227" s="254"/>
      <c r="D227" s="255"/>
      <c r="E227" s="247"/>
      <c r="F227" s="232"/>
      <c r="G227" s="239"/>
      <c r="H227" s="386">
        <v>213</v>
      </c>
      <c r="I227" s="404"/>
      <c r="J227" s="404"/>
      <c r="K227" s="413"/>
      <c r="L227" s="413"/>
      <c r="M227" s="413"/>
      <c r="N227" s="452"/>
      <c r="O227" s="413"/>
      <c r="P227" s="413"/>
      <c r="Q227" s="413"/>
      <c r="R227" s="452"/>
      <c r="S227" s="443"/>
      <c r="T227" s="42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3"/>
      <c r="V227" s="423"/>
      <c r="W227" s="424"/>
      <c r="X227" s="425"/>
      <c r="Y227" s="426" t="str">
        <f t="shared" ca="1" si="15"/>
        <v/>
      </c>
      <c r="Z227" s="427" t="str">
        <f t="shared" ca="1" si="16"/>
        <v/>
      </c>
      <c r="AA227" s="426" t="str">
        <f t="shared" ca="1" si="17"/>
        <v/>
      </c>
      <c r="AB227" s="428" t="str">
        <f t="shared" ca="1" si="18"/>
        <v/>
      </c>
      <c r="AC227" s="427" t="str">
        <f t="shared" ca="1" si="19"/>
        <v/>
      </c>
      <c r="AD227" s="227"/>
    </row>
    <row r="228" spans="1:30" customFormat="1" ht="15">
      <c r="A228" s="227"/>
      <c r="B228" s="276">
        <v>190</v>
      </c>
      <c r="C228" s="254"/>
      <c r="D228" s="255"/>
      <c r="E228" s="247"/>
      <c r="F228" s="232"/>
      <c r="G228" s="239"/>
      <c r="H228" s="386">
        <v>214</v>
      </c>
      <c r="I228" s="404"/>
      <c r="J228" s="404"/>
      <c r="K228" s="413"/>
      <c r="L228" s="413"/>
      <c r="M228" s="413"/>
      <c r="N228" s="452"/>
      <c r="O228" s="413"/>
      <c r="P228" s="413"/>
      <c r="Q228" s="413"/>
      <c r="R228" s="452"/>
      <c r="S228" s="443"/>
      <c r="T228" s="42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3"/>
      <c r="V228" s="423"/>
      <c r="W228" s="424"/>
      <c r="X228" s="425"/>
      <c r="Y228" s="426" t="str">
        <f t="shared" ca="1" si="15"/>
        <v/>
      </c>
      <c r="Z228" s="427" t="str">
        <f t="shared" ca="1" si="16"/>
        <v/>
      </c>
      <c r="AA228" s="426" t="str">
        <f t="shared" ca="1" si="17"/>
        <v/>
      </c>
      <c r="AB228" s="428" t="str">
        <f t="shared" ca="1" si="18"/>
        <v/>
      </c>
      <c r="AC228" s="427" t="str">
        <f t="shared" ca="1" si="19"/>
        <v/>
      </c>
      <c r="AD228" s="227"/>
    </row>
    <row r="229" spans="1:30" customFormat="1" ht="15">
      <c r="A229" s="227"/>
      <c r="B229" s="276">
        <v>191</v>
      </c>
      <c r="C229" s="254"/>
      <c r="D229" s="255"/>
      <c r="E229" s="247"/>
      <c r="F229" s="232"/>
      <c r="G229" s="239"/>
      <c r="H229" s="386">
        <v>215</v>
      </c>
      <c r="I229" s="404"/>
      <c r="J229" s="404"/>
      <c r="K229" s="413"/>
      <c r="L229" s="413"/>
      <c r="M229" s="413"/>
      <c r="N229" s="452"/>
      <c r="O229" s="413"/>
      <c r="P229" s="413"/>
      <c r="Q229" s="413"/>
      <c r="R229" s="452"/>
      <c r="S229" s="443"/>
      <c r="T229" s="42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3"/>
      <c r="V229" s="423"/>
      <c r="W229" s="424"/>
      <c r="X229" s="425"/>
      <c r="Y229" s="426" t="str">
        <f t="shared" ca="1" si="15"/>
        <v/>
      </c>
      <c r="Z229" s="427" t="str">
        <f t="shared" ca="1" si="16"/>
        <v/>
      </c>
      <c r="AA229" s="426" t="str">
        <f t="shared" ca="1" si="17"/>
        <v/>
      </c>
      <c r="AB229" s="428" t="str">
        <f t="shared" ca="1" si="18"/>
        <v/>
      </c>
      <c r="AC229" s="427" t="str">
        <f t="shared" ca="1" si="19"/>
        <v/>
      </c>
      <c r="AD229" s="227"/>
    </row>
    <row r="230" spans="1:30" customFormat="1" ht="15">
      <c r="A230" s="227"/>
      <c r="B230" s="276">
        <v>192</v>
      </c>
      <c r="C230" s="254"/>
      <c r="D230" s="255"/>
      <c r="E230" s="247"/>
      <c r="F230" s="232"/>
      <c r="G230" s="239"/>
      <c r="H230" s="386">
        <v>216</v>
      </c>
      <c r="I230" s="404"/>
      <c r="J230" s="404"/>
      <c r="K230" s="413"/>
      <c r="L230" s="413"/>
      <c r="M230" s="413"/>
      <c r="N230" s="452"/>
      <c r="O230" s="413"/>
      <c r="P230" s="413"/>
      <c r="Q230" s="413"/>
      <c r="R230" s="452"/>
      <c r="S230" s="443"/>
      <c r="T230" s="42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3"/>
      <c r="V230" s="423"/>
      <c r="W230" s="424"/>
      <c r="X230" s="425"/>
      <c r="Y230" s="426" t="str">
        <f t="shared" ca="1" si="15"/>
        <v/>
      </c>
      <c r="Z230" s="427" t="str">
        <f t="shared" ca="1" si="16"/>
        <v/>
      </c>
      <c r="AA230" s="426" t="str">
        <f t="shared" ca="1" si="17"/>
        <v/>
      </c>
      <c r="AB230" s="428" t="str">
        <f t="shared" ca="1" si="18"/>
        <v/>
      </c>
      <c r="AC230" s="427" t="str">
        <f t="shared" ca="1" si="19"/>
        <v/>
      </c>
      <c r="AD230" s="227"/>
    </row>
    <row r="231" spans="1:30" customFormat="1" ht="15">
      <c r="A231" s="227"/>
      <c r="B231" s="276">
        <v>193</v>
      </c>
      <c r="C231" s="254"/>
      <c r="D231" s="255"/>
      <c r="E231" s="247"/>
      <c r="F231" s="232"/>
      <c r="G231" s="239"/>
      <c r="H231" s="386">
        <v>217</v>
      </c>
      <c r="I231" s="404"/>
      <c r="J231" s="404"/>
      <c r="K231" s="413"/>
      <c r="L231" s="413"/>
      <c r="M231" s="413"/>
      <c r="N231" s="452"/>
      <c r="O231" s="413"/>
      <c r="P231" s="413"/>
      <c r="Q231" s="413"/>
      <c r="R231" s="452"/>
      <c r="S231" s="443"/>
      <c r="T231" s="42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3"/>
      <c r="V231" s="423"/>
      <c r="W231" s="424"/>
      <c r="X231" s="425"/>
      <c r="Y231" s="426" t="str">
        <f t="shared" ca="1" si="15"/>
        <v/>
      </c>
      <c r="Z231" s="427" t="str">
        <f t="shared" ca="1" si="16"/>
        <v/>
      </c>
      <c r="AA231" s="426" t="str">
        <f t="shared" ca="1" si="17"/>
        <v/>
      </c>
      <c r="AB231" s="428" t="str">
        <f t="shared" ca="1" si="18"/>
        <v/>
      </c>
      <c r="AC231" s="427" t="str">
        <f t="shared" ca="1" si="19"/>
        <v/>
      </c>
      <c r="AD231" s="227"/>
    </row>
    <row r="232" spans="1:30" customFormat="1" ht="15">
      <c r="A232" s="227"/>
      <c r="B232" s="276">
        <v>194</v>
      </c>
      <c r="C232" s="254"/>
      <c r="D232" s="255"/>
      <c r="E232" s="247"/>
      <c r="F232" s="232"/>
      <c r="G232" s="239"/>
      <c r="H232" s="386">
        <v>218</v>
      </c>
      <c r="I232" s="404"/>
      <c r="J232" s="404"/>
      <c r="K232" s="413"/>
      <c r="L232" s="413"/>
      <c r="M232" s="413"/>
      <c r="N232" s="452"/>
      <c r="O232" s="413"/>
      <c r="P232" s="413"/>
      <c r="Q232" s="413"/>
      <c r="R232" s="452"/>
      <c r="S232" s="443"/>
      <c r="T232" s="42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3"/>
      <c r="V232" s="423"/>
      <c r="W232" s="424"/>
      <c r="X232" s="425"/>
      <c r="Y232" s="426" t="str">
        <f t="shared" ca="1" si="15"/>
        <v/>
      </c>
      <c r="Z232" s="427" t="str">
        <f t="shared" ca="1" si="16"/>
        <v/>
      </c>
      <c r="AA232" s="426" t="str">
        <f t="shared" ca="1" si="17"/>
        <v/>
      </c>
      <c r="AB232" s="428" t="str">
        <f t="shared" ca="1" si="18"/>
        <v/>
      </c>
      <c r="AC232" s="427" t="str">
        <f t="shared" ca="1" si="19"/>
        <v/>
      </c>
      <c r="AD232" s="227"/>
    </row>
    <row r="233" spans="1:30" customFormat="1" ht="15">
      <c r="A233" s="227"/>
      <c r="B233" s="276">
        <v>195</v>
      </c>
      <c r="C233" s="254"/>
      <c r="D233" s="255"/>
      <c r="E233" s="247"/>
      <c r="F233" s="232"/>
      <c r="G233" s="239"/>
      <c r="H233" s="386">
        <v>219</v>
      </c>
      <c r="I233" s="404"/>
      <c r="J233" s="404"/>
      <c r="K233" s="413"/>
      <c r="L233" s="413"/>
      <c r="M233" s="413"/>
      <c r="N233" s="452"/>
      <c r="O233" s="413"/>
      <c r="P233" s="413"/>
      <c r="Q233" s="413"/>
      <c r="R233" s="452"/>
      <c r="S233" s="443"/>
      <c r="T233" s="42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3"/>
      <c r="V233" s="423"/>
      <c r="W233" s="424"/>
      <c r="X233" s="425"/>
      <c r="Y233" s="426" t="str">
        <f t="shared" ca="1" si="15"/>
        <v/>
      </c>
      <c r="Z233" s="427" t="str">
        <f t="shared" ca="1" si="16"/>
        <v/>
      </c>
      <c r="AA233" s="426" t="str">
        <f t="shared" ca="1" si="17"/>
        <v/>
      </c>
      <c r="AB233" s="428" t="str">
        <f t="shared" ca="1" si="18"/>
        <v/>
      </c>
      <c r="AC233" s="427" t="str">
        <f t="shared" ca="1" si="19"/>
        <v/>
      </c>
      <c r="AD233" s="227"/>
    </row>
    <row r="234" spans="1:30" customFormat="1" ht="15">
      <c r="A234" s="227"/>
      <c r="B234" s="276">
        <v>196</v>
      </c>
      <c r="C234" s="254"/>
      <c r="D234" s="255"/>
      <c r="E234" s="247"/>
      <c r="F234" s="232"/>
      <c r="G234" s="239"/>
      <c r="H234" s="386">
        <v>220</v>
      </c>
      <c r="I234" s="404"/>
      <c r="J234" s="404"/>
      <c r="K234" s="413"/>
      <c r="L234" s="413"/>
      <c r="M234" s="413"/>
      <c r="N234" s="452"/>
      <c r="O234" s="413"/>
      <c r="P234" s="413"/>
      <c r="Q234" s="413"/>
      <c r="R234" s="452"/>
      <c r="S234" s="443"/>
      <c r="T234" s="42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3"/>
      <c r="V234" s="423"/>
      <c r="W234" s="424"/>
      <c r="X234" s="425"/>
      <c r="Y234" s="426" t="str">
        <f t="shared" ca="1" si="15"/>
        <v/>
      </c>
      <c r="Z234" s="427" t="str">
        <f t="shared" ca="1" si="16"/>
        <v/>
      </c>
      <c r="AA234" s="426" t="str">
        <f t="shared" ca="1" si="17"/>
        <v/>
      </c>
      <c r="AB234" s="428" t="str">
        <f t="shared" ca="1" si="18"/>
        <v/>
      </c>
      <c r="AC234" s="427" t="str">
        <f t="shared" ca="1" si="19"/>
        <v/>
      </c>
      <c r="AD234" s="227"/>
    </row>
    <row r="235" spans="1:30" customFormat="1" ht="15">
      <c r="A235" s="227"/>
      <c r="B235" s="276">
        <v>197</v>
      </c>
      <c r="C235" s="254"/>
      <c r="D235" s="255"/>
      <c r="E235" s="247"/>
      <c r="F235" s="232"/>
      <c r="G235" s="239"/>
      <c r="H235" s="386">
        <v>221</v>
      </c>
      <c r="I235" s="404"/>
      <c r="J235" s="404"/>
      <c r="K235" s="413"/>
      <c r="L235" s="413"/>
      <c r="M235" s="413"/>
      <c r="N235" s="452"/>
      <c r="O235" s="413"/>
      <c r="P235" s="413"/>
      <c r="Q235" s="413"/>
      <c r="R235" s="452"/>
      <c r="S235" s="443"/>
      <c r="T235" s="42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3"/>
      <c r="V235" s="423"/>
      <c r="W235" s="424"/>
      <c r="X235" s="425"/>
      <c r="Y235" s="426" t="str">
        <f t="shared" ca="1" si="15"/>
        <v/>
      </c>
      <c r="Z235" s="427" t="str">
        <f t="shared" ca="1" si="16"/>
        <v/>
      </c>
      <c r="AA235" s="426" t="str">
        <f t="shared" ca="1" si="17"/>
        <v/>
      </c>
      <c r="AB235" s="428" t="str">
        <f t="shared" ca="1" si="18"/>
        <v/>
      </c>
      <c r="AC235" s="427" t="str">
        <f t="shared" ca="1" si="19"/>
        <v/>
      </c>
      <c r="AD235" s="227"/>
    </row>
    <row r="236" spans="1:30" customFormat="1" ht="15">
      <c r="A236" s="227"/>
      <c r="B236" s="276">
        <v>198</v>
      </c>
      <c r="C236" s="254"/>
      <c r="D236" s="255"/>
      <c r="E236" s="247"/>
      <c r="F236" s="232"/>
      <c r="G236" s="239"/>
      <c r="H236" s="386">
        <v>222</v>
      </c>
      <c r="I236" s="404"/>
      <c r="J236" s="404"/>
      <c r="K236" s="413"/>
      <c r="L236" s="413"/>
      <c r="M236" s="413"/>
      <c r="N236" s="452"/>
      <c r="O236" s="413"/>
      <c r="P236" s="413"/>
      <c r="Q236" s="413"/>
      <c r="R236" s="452"/>
      <c r="S236" s="443"/>
      <c r="T236" s="42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3"/>
      <c r="V236" s="423"/>
      <c r="W236" s="424"/>
      <c r="X236" s="425"/>
      <c r="Y236" s="426" t="str">
        <f t="shared" ca="1" si="15"/>
        <v/>
      </c>
      <c r="Z236" s="427" t="str">
        <f t="shared" ca="1" si="16"/>
        <v/>
      </c>
      <c r="AA236" s="426" t="str">
        <f t="shared" ca="1" si="17"/>
        <v/>
      </c>
      <c r="AB236" s="428" t="str">
        <f t="shared" ca="1" si="18"/>
        <v/>
      </c>
      <c r="AC236" s="427" t="str">
        <f t="shared" ca="1" si="19"/>
        <v/>
      </c>
      <c r="AD236" s="227"/>
    </row>
    <row r="237" spans="1:30" customFormat="1" ht="15">
      <c r="A237" s="227"/>
      <c r="B237" s="276">
        <v>199</v>
      </c>
      <c r="C237" s="254"/>
      <c r="D237" s="255"/>
      <c r="E237" s="247"/>
      <c r="F237" s="232"/>
      <c r="G237" s="239"/>
      <c r="H237" s="386">
        <v>223</v>
      </c>
      <c r="I237" s="404"/>
      <c r="J237" s="404"/>
      <c r="K237" s="413"/>
      <c r="L237" s="413"/>
      <c r="M237" s="413"/>
      <c r="N237" s="452"/>
      <c r="O237" s="413"/>
      <c r="P237" s="413"/>
      <c r="Q237" s="413"/>
      <c r="R237" s="452"/>
      <c r="S237" s="443"/>
      <c r="T237" s="42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3"/>
      <c r="V237" s="423"/>
      <c r="W237" s="424"/>
      <c r="X237" s="425"/>
      <c r="Y237" s="426" t="str">
        <f t="shared" ca="1" si="15"/>
        <v/>
      </c>
      <c r="Z237" s="427" t="str">
        <f t="shared" ca="1" si="16"/>
        <v/>
      </c>
      <c r="AA237" s="426" t="str">
        <f t="shared" ca="1" si="17"/>
        <v/>
      </c>
      <c r="AB237" s="428" t="str">
        <f t="shared" ca="1" si="18"/>
        <v/>
      </c>
      <c r="AC237" s="427" t="str">
        <f t="shared" ca="1" si="19"/>
        <v/>
      </c>
      <c r="AD237" s="227"/>
    </row>
    <row r="238" spans="1:30" customFormat="1" ht="15">
      <c r="A238" s="227"/>
      <c r="B238" s="276">
        <v>200</v>
      </c>
      <c r="C238" s="254"/>
      <c r="D238" s="255"/>
      <c r="E238" s="247"/>
      <c r="F238" s="232"/>
      <c r="G238" s="239"/>
      <c r="H238" s="386">
        <v>224</v>
      </c>
      <c r="I238" s="404"/>
      <c r="J238" s="404"/>
      <c r="K238" s="413"/>
      <c r="L238" s="413"/>
      <c r="M238" s="413"/>
      <c r="N238" s="452"/>
      <c r="O238" s="413"/>
      <c r="P238" s="413"/>
      <c r="Q238" s="413"/>
      <c r="R238" s="452"/>
      <c r="S238" s="443"/>
      <c r="T238" s="42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3"/>
      <c r="V238" s="423"/>
      <c r="W238" s="424"/>
      <c r="X238" s="425"/>
      <c r="Y238" s="426" t="str">
        <f t="shared" ca="1" si="15"/>
        <v/>
      </c>
      <c r="Z238" s="427" t="str">
        <f t="shared" ca="1" si="16"/>
        <v/>
      </c>
      <c r="AA238" s="426" t="str">
        <f t="shared" ca="1" si="17"/>
        <v/>
      </c>
      <c r="AB238" s="428" t="str">
        <f t="shared" ca="1" si="18"/>
        <v/>
      </c>
      <c r="AC238" s="427" t="str">
        <f t="shared" ca="1" si="19"/>
        <v/>
      </c>
      <c r="AD238" s="227"/>
    </row>
    <row r="239" spans="1:30" customFormat="1" ht="15">
      <c r="A239" s="227"/>
      <c r="B239" s="276">
        <v>201</v>
      </c>
      <c r="C239" s="254"/>
      <c r="D239" s="255"/>
      <c r="E239" s="247"/>
      <c r="F239" s="232"/>
      <c r="G239" s="239"/>
      <c r="H239" s="386">
        <v>225</v>
      </c>
      <c r="I239" s="404"/>
      <c r="J239" s="404"/>
      <c r="K239" s="413"/>
      <c r="L239" s="413"/>
      <c r="M239" s="413"/>
      <c r="N239" s="452"/>
      <c r="O239" s="413"/>
      <c r="P239" s="413"/>
      <c r="Q239" s="413"/>
      <c r="R239" s="452"/>
      <c r="S239" s="443"/>
      <c r="T239" s="42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3"/>
      <c r="V239" s="423"/>
      <c r="W239" s="424"/>
      <c r="X239" s="425"/>
      <c r="Y239" s="426" t="str">
        <f t="shared" ca="1" si="15"/>
        <v/>
      </c>
      <c r="Z239" s="427" t="str">
        <f t="shared" ca="1" si="16"/>
        <v/>
      </c>
      <c r="AA239" s="426" t="str">
        <f t="shared" ca="1" si="17"/>
        <v/>
      </c>
      <c r="AB239" s="428" t="str">
        <f t="shared" ca="1" si="18"/>
        <v/>
      </c>
      <c r="AC239" s="427" t="str">
        <f t="shared" ca="1" si="19"/>
        <v/>
      </c>
      <c r="AD239" s="227"/>
    </row>
    <row r="240" spans="1:30" customFormat="1" ht="15">
      <c r="A240" s="227"/>
      <c r="B240" s="276">
        <v>202</v>
      </c>
      <c r="C240" s="254"/>
      <c r="D240" s="255"/>
      <c r="E240" s="247"/>
      <c r="F240" s="232"/>
      <c r="G240" s="239"/>
      <c r="H240" s="386">
        <v>226</v>
      </c>
      <c r="I240" s="404"/>
      <c r="J240" s="404"/>
      <c r="K240" s="413"/>
      <c r="L240" s="413"/>
      <c r="M240" s="413"/>
      <c r="N240" s="452"/>
      <c r="O240" s="413"/>
      <c r="P240" s="413"/>
      <c r="Q240" s="413"/>
      <c r="R240" s="452"/>
      <c r="S240" s="443"/>
      <c r="T240" s="42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3"/>
      <c r="V240" s="423"/>
      <c r="W240" s="424"/>
      <c r="X240" s="425"/>
      <c r="Y240" s="426" t="str">
        <f t="shared" ca="1" si="15"/>
        <v/>
      </c>
      <c r="Z240" s="427" t="str">
        <f t="shared" ca="1" si="16"/>
        <v/>
      </c>
      <c r="AA240" s="426" t="str">
        <f t="shared" ca="1" si="17"/>
        <v/>
      </c>
      <c r="AB240" s="428" t="str">
        <f t="shared" ca="1" si="18"/>
        <v/>
      </c>
      <c r="AC240" s="427" t="str">
        <f t="shared" ca="1" si="19"/>
        <v/>
      </c>
      <c r="AD240" s="227"/>
    </row>
    <row r="241" spans="1:30" customFormat="1" ht="15">
      <c r="A241" s="227"/>
      <c r="B241" s="276">
        <v>203</v>
      </c>
      <c r="C241" s="254"/>
      <c r="D241" s="255"/>
      <c r="E241" s="247"/>
      <c r="F241" s="232"/>
      <c r="G241" s="239"/>
      <c r="H241" s="386">
        <v>227</v>
      </c>
      <c r="I241" s="404"/>
      <c r="J241" s="404"/>
      <c r="K241" s="413"/>
      <c r="L241" s="413"/>
      <c r="M241" s="413"/>
      <c r="N241" s="452"/>
      <c r="O241" s="413"/>
      <c r="P241" s="413"/>
      <c r="Q241" s="413"/>
      <c r="R241" s="452"/>
      <c r="S241" s="443"/>
      <c r="T241" s="42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3"/>
      <c r="V241" s="423"/>
      <c r="W241" s="424"/>
      <c r="X241" s="425"/>
      <c r="Y241" s="426" t="str">
        <f t="shared" ca="1" si="15"/>
        <v/>
      </c>
      <c r="Z241" s="427" t="str">
        <f t="shared" ca="1" si="16"/>
        <v/>
      </c>
      <c r="AA241" s="426" t="str">
        <f t="shared" ca="1" si="17"/>
        <v/>
      </c>
      <c r="AB241" s="428" t="str">
        <f t="shared" ca="1" si="18"/>
        <v/>
      </c>
      <c r="AC241" s="427" t="str">
        <f t="shared" ca="1" si="19"/>
        <v/>
      </c>
      <c r="AD241" s="227"/>
    </row>
    <row r="242" spans="1:30" customFormat="1" ht="15">
      <c r="A242" s="227"/>
      <c r="B242" s="276">
        <v>204</v>
      </c>
      <c r="C242" s="254"/>
      <c r="D242" s="255"/>
      <c r="E242" s="247"/>
      <c r="F242" s="232"/>
      <c r="G242" s="239"/>
      <c r="H242" s="386">
        <v>228</v>
      </c>
      <c r="I242" s="404"/>
      <c r="J242" s="404"/>
      <c r="K242" s="413"/>
      <c r="L242" s="413"/>
      <c r="M242" s="413"/>
      <c r="N242" s="452"/>
      <c r="O242" s="413"/>
      <c r="P242" s="413"/>
      <c r="Q242" s="413"/>
      <c r="R242" s="452"/>
      <c r="S242" s="443"/>
      <c r="T242" s="42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3"/>
      <c r="V242" s="423"/>
      <c r="W242" s="424"/>
      <c r="X242" s="425"/>
      <c r="Y242" s="426" t="str">
        <f t="shared" ca="1" si="15"/>
        <v/>
      </c>
      <c r="Z242" s="427" t="str">
        <f t="shared" ca="1" si="16"/>
        <v/>
      </c>
      <c r="AA242" s="426" t="str">
        <f t="shared" ca="1" si="17"/>
        <v/>
      </c>
      <c r="AB242" s="428" t="str">
        <f t="shared" ca="1" si="18"/>
        <v/>
      </c>
      <c r="AC242" s="427" t="str">
        <f t="shared" ca="1" si="19"/>
        <v/>
      </c>
      <c r="AD242" s="227"/>
    </row>
    <row r="243" spans="1:30" customFormat="1" ht="15">
      <c r="A243" s="227"/>
      <c r="B243" s="276">
        <v>205</v>
      </c>
      <c r="C243" s="254"/>
      <c r="D243" s="255"/>
      <c r="E243" s="247"/>
      <c r="F243" s="232"/>
      <c r="G243" s="239"/>
      <c r="H243" s="386">
        <v>229</v>
      </c>
      <c r="I243" s="404"/>
      <c r="J243" s="404"/>
      <c r="K243" s="413"/>
      <c r="L243" s="413"/>
      <c r="M243" s="413"/>
      <c r="N243" s="452"/>
      <c r="O243" s="413"/>
      <c r="P243" s="413"/>
      <c r="Q243" s="413"/>
      <c r="R243" s="452"/>
      <c r="S243" s="443"/>
      <c r="T243" s="42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3"/>
      <c r="V243" s="423"/>
      <c r="W243" s="424"/>
      <c r="X243" s="425"/>
      <c r="Y243" s="426" t="str">
        <f t="shared" ca="1" si="15"/>
        <v/>
      </c>
      <c r="Z243" s="427" t="str">
        <f t="shared" ca="1" si="16"/>
        <v/>
      </c>
      <c r="AA243" s="426" t="str">
        <f t="shared" ca="1" si="17"/>
        <v/>
      </c>
      <c r="AB243" s="428" t="str">
        <f t="shared" ca="1" si="18"/>
        <v/>
      </c>
      <c r="AC243" s="427" t="str">
        <f t="shared" ca="1" si="19"/>
        <v/>
      </c>
      <c r="AD243" s="227"/>
    </row>
    <row r="244" spans="1:30" customFormat="1" ht="15">
      <c r="A244" s="227"/>
      <c r="B244" s="276">
        <v>206</v>
      </c>
      <c r="C244" s="254"/>
      <c r="D244" s="255"/>
      <c r="E244" s="247"/>
      <c r="F244" s="232"/>
      <c r="G244" s="239"/>
      <c r="H244" s="386">
        <v>230</v>
      </c>
      <c r="I244" s="404"/>
      <c r="J244" s="404"/>
      <c r="K244" s="413"/>
      <c r="L244" s="413"/>
      <c r="M244" s="413"/>
      <c r="N244" s="452"/>
      <c r="O244" s="413"/>
      <c r="P244" s="413"/>
      <c r="Q244" s="413"/>
      <c r="R244" s="452"/>
      <c r="S244" s="443"/>
      <c r="T244" s="42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3"/>
      <c r="V244" s="423"/>
      <c r="W244" s="424"/>
      <c r="X244" s="425"/>
      <c r="Y244" s="426" t="str">
        <f t="shared" ca="1" si="15"/>
        <v/>
      </c>
      <c r="Z244" s="427" t="str">
        <f t="shared" ca="1" si="16"/>
        <v/>
      </c>
      <c r="AA244" s="426" t="str">
        <f t="shared" ca="1" si="17"/>
        <v/>
      </c>
      <c r="AB244" s="428" t="str">
        <f t="shared" ca="1" si="18"/>
        <v/>
      </c>
      <c r="AC244" s="427" t="str">
        <f t="shared" ca="1" si="19"/>
        <v/>
      </c>
      <c r="AD244" s="227"/>
    </row>
    <row r="245" spans="1:30" customFormat="1" ht="15">
      <c r="A245" s="227"/>
      <c r="B245" s="276">
        <v>207</v>
      </c>
      <c r="C245" s="254"/>
      <c r="D245" s="255"/>
      <c r="E245" s="247"/>
      <c r="F245" s="232"/>
      <c r="G245" s="239"/>
      <c r="H245" s="386">
        <v>231</v>
      </c>
      <c r="I245" s="404"/>
      <c r="J245" s="404"/>
      <c r="K245" s="413"/>
      <c r="L245" s="413"/>
      <c r="M245" s="413"/>
      <c r="N245" s="452"/>
      <c r="O245" s="413"/>
      <c r="P245" s="413"/>
      <c r="Q245" s="413"/>
      <c r="R245" s="452"/>
      <c r="S245" s="443"/>
      <c r="T245" s="42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3"/>
      <c r="V245" s="423"/>
      <c r="W245" s="424"/>
      <c r="X245" s="425"/>
      <c r="Y245" s="426" t="str">
        <f t="shared" ca="1" si="15"/>
        <v/>
      </c>
      <c r="Z245" s="427" t="str">
        <f t="shared" ca="1" si="16"/>
        <v/>
      </c>
      <c r="AA245" s="426" t="str">
        <f t="shared" ca="1" si="17"/>
        <v/>
      </c>
      <c r="AB245" s="428" t="str">
        <f t="shared" ca="1" si="18"/>
        <v/>
      </c>
      <c r="AC245" s="427" t="str">
        <f t="shared" ca="1" si="19"/>
        <v/>
      </c>
      <c r="AD245" s="227"/>
    </row>
    <row r="246" spans="1:30" customFormat="1" ht="15">
      <c r="A246" s="227"/>
      <c r="B246" s="276">
        <v>208</v>
      </c>
      <c r="C246" s="254"/>
      <c r="D246" s="255"/>
      <c r="E246" s="247"/>
      <c r="F246" s="232"/>
      <c r="G246" s="239"/>
      <c r="H246" s="386">
        <v>232</v>
      </c>
      <c r="I246" s="404"/>
      <c r="J246" s="404"/>
      <c r="K246" s="413"/>
      <c r="L246" s="413"/>
      <c r="M246" s="413"/>
      <c r="N246" s="452"/>
      <c r="O246" s="413"/>
      <c r="P246" s="413"/>
      <c r="Q246" s="413"/>
      <c r="R246" s="452"/>
      <c r="S246" s="443"/>
      <c r="T246" s="42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3"/>
      <c r="V246" s="423"/>
      <c r="W246" s="424"/>
      <c r="X246" s="425"/>
      <c r="Y246" s="426" t="str">
        <f t="shared" ca="1" si="15"/>
        <v/>
      </c>
      <c r="Z246" s="427" t="str">
        <f t="shared" ca="1" si="16"/>
        <v/>
      </c>
      <c r="AA246" s="426" t="str">
        <f t="shared" ca="1" si="17"/>
        <v/>
      </c>
      <c r="AB246" s="428" t="str">
        <f t="shared" ca="1" si="18"/>
        <v/>
      </c>
      <c r="AC246" s="427" t="str">
        <f t="shared" ca="1" si="19"/>
        <v/>
      </c>
      <c r="AD246" s="227"/>
    </row>
    <row r="247" spans="1:30" customFormat="1" ht="15">
      <c r="A247" s="227"/>
      <c r="B247" s="276">
        <v>209</v>
      </c>
      <c r="C247" s="254"/>
      <c r="D247" s="255"/>
      <c r="E247" s="247"/>
      <c r="F247" s="232"/>
      <c r="G247" s="239"/>
      <c r="H247" s="386">
        <v>233</v>
      </c>
      <c r="I247" s="404"/>
      <c r="J247" s="404"/>
      <c r="K247" s="413"/>
      <c r="L247" s="413"/>
      <c r="M247" s="413"/>
      <c r="N247" s="452"/>
      <c r="O247" s="413"/>
      <c r="P247" s="413"/>
      <c r="Q247" s="413"/>
      <c r="R247" s="452"/>
      <c r="S247" s="443"/>
      <c r="T247" s="42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3"/>
      <c r="V247" s="423"/>
      <c r="W247" s="424"/>
      <c r="X247" s="425"/>
      <c r="Y247" s="426" t="str">
        <f t="shared" ca="1" si="15"/>
        <v/>
      </c>
      <c r="Z247" s="427" t="str">
        <f t="shared" ca="1" si="16"/>
        <v/>
      </c>
      <c r="AA247" s="426" t="str">
        <f t="shared" ca="1" si="17"/>
        <v/>
      </c>
      <c r="AB247" s="428" t="str">
        <f t="shared" ca="1" si="18"/>
        <v/>
      </c>
      <c r="AC247" s="427" t="str">
        <f t="shared" ca="1" si="19"/>
        <v/>
      </c>
      <c r="AD247" s="227"/>
    </row>
    <row r="248" spans="1:30" customFormat="1" ht="15">
      <c r="A248" s="227"/>
      <c r="B248" s="276">
        <v>210</v>
      </c>
      <c r="C248" s="254"/>
      <c r="D248" s="255"/>
      <c r="E248" s="247"/>
      <c r="F248" s="232"/>
      <c r="G248" s="239"/>
      <c r="H248" s="386">
        <v>234</v>
      </c>
      <c r="I248" s="404"/>
      <c r="J248" s="404"/>
      <c r="K248" s="413"/>
      <c r="L248" s="413"/>
      <c r="M248" s="413"/>
      <c r="N248" s="452"/>
      <c r="O248" s="413"/>
      <c r="P248" s="413"/>
      <c r="Q248" s="413"/>
      <c r="R248" s="452"/>
      <c r="S248" s="443"/>
      <c r="T248" s="42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3"/>
      <c r="V248" s="423"/>
      <c r="W248" s="424"/>
      <c r="X248" s="425"/>
      <c r="Y248" s="426" t="str">
        <f t="shared" ca="1" si="15"/>
        <v/>
      </c>
      <c r="Z248" s="427" t="str">
        <f t="shared" ca="1" si="16"/>
        <v/>
      </c>
      <c r="AA248" s="426" t="str">
        <f t="shared" ca="1" si="17"/>
        <v/>
      </c>
      <c r="AB248" s="428" t="str">
        <f t="shared" ca="1" si="18"/>
        <v/>
      </c>
      <c r="AC248" s="427" t="str">
        <f t="shared" ca="1" si="19"/>
        <v/>
      </c>
      <c r="AD248" s="227"/>
    </row>
    <row r="249" spans="1:30" customFormat="1" ht="15">
      <c r="A249" s="227"/>
      <c r="B249" s="276">
        <v>211</v>
      </c>
      <c r="C249" s="254"/>
      <c r="D249" s="255"/>
      <c r="E249" s="247"/>
      <c r="F249" s="232"/>
      <c r="G249" s="239"/>
      <c r="H249" s="386">
        <v>235</v>
      </c>
      <c r="I249" s="404"/>
      <c r="J249" s="404"/>
      <c r="K249" s="413"/>
      <c r="L249" s="413"/>
      <c r="M249" s="413"/>
      <c r="N249" s="452"/>
      <c r="O249" s="413"/>
      <c r="P249" s="413"/>
      <c r="Q249" s="413"/>
      <c r="R249" s="452"/>
      <c r="S249" s="443"/>
      <c r="T249" s="42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3"/>
      <c r="V249" s="423"/>
      <c r="W249" s="424"/>
      <c r="X249" s="425"/>
      <c r="Y249" s="426" t="str">
        <f t="shared" ca="1" si="15"/>
        <v/>
      </c>
      <c r="Z249" s="427" t="str">
        <f t="shared" ca="1" si="16"/>
        <v/>
      </c>
      <c r="AA249" s="426" t="str">
        <f t="shared" ca="1" si="17"/>
        <v/>
      </c>
      <c r="AB249" s="428" t="str">
        <f t="shared" ca="1" si="18"/>
        <v/>
      </c>
      <c r="AC249" s="427" t="str">
        <f t="shared" ca="1" si="19"/>
        <v/>
      </c>
      <c r="AD249" s="227"/>
    </row>
    <row r="250" spans="1:30" customFormat="1" ht="15">
      <c r="A250" s="227"/>
      <c r="B250" s="276">
        <v>212</v>
      </c>
      <c r="C250" s="254"/>
      <c r="D250" s="255"/>
      <c r="E250" s="247"/>
      <c r="F250" s="232"/>
      <c r="G250" s="239"/>
      <c r="H250" s="386">
        <v>236</v>
      </c>
      <c r="I250" s="404"/>
      <c r="J250" s="404"/>
      <c r="K250" s="413"/>
      <c r="L250" s="413"/>
      <c r="M250" s="413"/>
      <c r="N250" s="452"/>
      <c r="O250" s="413"/>
      <c r="P250" s="413"/>
      <c r="Q250" s="413"/>
      <c r="R250" s="452"/>
      <c r="S250" s="443"/>
      <c r="T250" s="42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3"/>
      <c r="V250" s="423"/>
      <c r="W250" s="424"/>
      <c r="X250" s="425"/>
      <c r="Y250" s="426" t="str">
        <f t="shared" ca="1" si="15"/>
        <v/>
      </c>
      <c r="Z250" s="427" t="str">
        <f t="shared" ca="1" si="16"/>
        <v/>
      </c>
      <c r="AA250" s="426" t="str">
        <f t="shared" ca="1" si="17"/>
        <v/>
      </c>
      <c r="AB250" s="428" t="str">
        <f t="shared" ca="1" si="18"/>
        <v/>
      </c>
      <c r="AC250" s="427" t="str">
        <f t="shared" ca="1" si="19"/>
        <v/>
      </c>
      <c r="AD250" s="227"/>
    </row>
    <row r="251" spans="1:30" customFormat="1" ht="15">
      <c r="A251" s="227"/>
      <c r="B251" s="276">
        <v>213</v>
      </c>
      <c r="C251" s="254"/>
      <c r="D251" s="255"/>
      <c r="E251" s="247"/>
      <c r="F251" s="232"/>
      <c r="G251" s="239"/>
      <c r="H251" s="386">
        <v>237</v>
      </c>
      <c r="I251" s="404"/>
      <c r="J251" s="404"/>
      <c r="K251" s="413"/>
      <c r="L251" s="413"/>
      <c r="M251" s="413"/>
      <c r="N251" s="452"/>
      <c r="O251" s="413"/>
      <c r="P251" s="413"/>
      <c r="Q251" s="413"/>
      <c r="R251" s="452"/>
      <c r="S251" s="443"/>
      <c r="T251" s="42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3"/>
      <c r="V251" s="423"/>
      <c r="W251" s="424"/>
      <c r="X251" s="425"/>
      <c r="Y251" s="426" t="str">
        <f t="shared" ca="1" si="15"/>
        <v/>
      </c>
      <c r="Z251" s="427" t="str">
        <f t="shared" ca="1" si="16"/>
        <v/>
      </c>
      <c r="AA251" s="426" t="str">
        <f t="shared" ca="1" si="17"/>
        <v/>
      </c>
      <c r="AB251" s="428" t="str">
        <f t="shared" ca="1" si="18"/>
        <v/>
      </c>
      <c r="AC251" s="427" t="str">
        <f t="shared" ca="1" si="19"/>
        <v/>
      </c>
      <c r="AD251" s="227"/>
    </row>
    <row r="252" spans="1:30" customFormat="1" ht="15">
      <c r="A252" s="227"/>
      <c r="B252" s="276">
        <v>214</v>
      </c>
      <c r="C252" s="254"/>
      <c r="D252" s="255"/>
      <c r="E252" s="247"/>
      <c r="F252" s="232"/>
      <c r="G252" s="239"/>
      <c r="H252" s="386">
        <v>238</v>
      </c>
      <c r="I252" s="404"/>
      <c r="J252" s="404"/>
      <c r="K252" s="413"/>
      <c r="L252" s="413"/>
      <c r="M252" s="413"/>
      <c r="N252" s="452"/>
      <c r="O252" s="413"/>
      <c r="P252" s="413"/>
      <c r="Q252" s="413"/>
      <c r="R252" s="452"/>
      <c r="S252" s="443"/>
      <c r="T252" s="42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3"/>
      <c r="V252" s="423"/>
      <c r="W252" s="424"/>
      <c r="X252" s="425"/>
      <c r="Y252" s="426" t="str">
        <f t="shared" ca="1" si="15"/>
        <v/>
      </c>
      <c r="Z252" s="427" t="str">
        <f t="shared" ca="1" si="16"/>
        <v/>
      </c>
      <c r="AA252" s="426" t="str">
        <f t="shared" ca="1" si="17"/>
        <v/>
      </c>
      <c r="AB252" s="428" t="str">
        <f t="shared" ca="1" si="18"/>
        <v/>
      </c>
      <c r="AC252" s="427" t="str">
        <f t="shared" ca="1" si="19"/>
        <v/>
      </c>
      <c r="AD252" s="227"/>
    </row>
    <row r="253" spans="1:30" customFormat="1" ht="15">
      <c r="A253" s="227"/>
      <c r="B253" s="276">
        <v>215</v>
      </c>
      <c r="C253" s="254"/>
      <c r="D253" s="255"/>
      <c r="E253" s="247"/>
      <c r="F253" s="232"/>
      <c r="G253" s="239"/>
      <c r="H253" s="386">
        <v>239</v>
      </c>
      <c r="I253" s="404"/>
      <c r="J253" s="404"/>
      <c r="K253" s="413"/>
      <c r="L253" s="413"/>
      <c r="M253" s="413"/>
      <c r="N253" s="452"/>
      <c r="O253" s="413"/>
      <c r="P253" s="413"/>
      <c r="Q253" s="413"/>
      <c r="R253" s="452"/>
      <c r="S253" s="443"/>
      <c r="T253" s="42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3"/>
      <c r="V253" s="423"/>
      <c r="W253" s="424"/>
      <c r="X253" s="425"/>
      <c r="Y253" s="426" t="str">
        <f t="shared" ca="1" si="15"/>
        <v/>
      </c>
      <c r="Z253" s="427" t="str">
        <f t="shared" ca="1" si="16"/>
        <v/>
      </c>
      <c r="AA253" s="426" t="str">
        <f t="shared" ca="1" si="17"/>
        <v/>
      </c>
      <c r="AB253" s="428" t="str">
        <f t="shared" ca="1" si="18"/>
        <v/>
      </c>
      <c r="AC253" s="427" t="str">
        <f t="shared" ca="1" si="19"/>
        <v/>
      </c>
      <c r="AD253" s="227"/>
    </row>
    <row r="254" spans="1:30" customFormat="1" ht="15">
      <c r="A254" s="227"/>
      <c r="B254" s="276">
        <v>216</v>
      </c>
      <c r="C254" s="254"/>
      <c r="D254" s="255"/>
      <c r="E254" s="247"/>
      <c r="F254" s="232"/>
      <c r="G254" s="239"/>
      <c r="H254" s="386">
        <v>240</v>
      </c>
      <c r="I254" s="404"/>
      <c r="J254" s="404"/>
      <c r="K254" s="413"/>
      <c r="L254" s="413"/>
      <c r="M254" s="413"/>
      <c r="N254" s="452"/>
      <c r="O254" s="413"/>
      <c r="P254" s="413"/>
      <c r="Q254" s="413"/>
      <c r="R254" s="452"/>
      <c r="S254" s="443"/>
      <c r="T254" s="42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3"/>
      <c r="V254" s="423"/>
      <c r="W254" s="424"/>
      <c r="X254" s="425"/>
      <c r="Y254" s="426" t="str">
        <f t="shared" ca="1" si="15"/>
        <v/>
      </c>
      <c r="Z254" s="427" t="str">
        <f t="shared" ca="1" si="16"/>
        <v/>
      </c>
      <c r="AA254" s="426" t="str">
        <f t="shared" ca="1" si="17"/>
        <v/>
      </c>
      <c r="AB254" s="428" t="str">
        <f t="shared" ca="1" si="18"/>
        <v/>
      </c>
      <c r="AC254" s="427" t="str">
        <f t="shared" ca="1" si="19"/>
        <v/>
      </c>
      <c r="AD254" s="227"/>
    </row>
    <row r="255" spans="1:30" customFormat="1" ht="15">
      <c r="A255" s="227"/>
      <c r="B255" s="276">
        <v>217</v>
      </c>
      <c r="C255" s="254"/>
      <c r="D255" s="255"/>
      <c r="E255" s="247"/>
      <c r="F255" s="232"/>
      <c r="G255" s="239"/>
      <c r="H255" s="386">
        <v>241</v>
      </c>
      <c r="I255" s="404"/>
      <c r="J255" s="404"/>
      <c r="K255" s="413"/>
      <c r="L255" s="413"/>
      <c r="M255" s="413"/>
      <c r="N255" s="452"/>
      <c r="O255" s="413"/>
      <c r="P255" s="413"/>
      <c r="Q255" s="413"/>
      <c r="R255" s="452"/>
      <c r="S255" s="443"/>
      <c r="T255" s="42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3"/>
      <c r="V255" s="423"/>
      <c r="W255" s="424"/>
      <c r="X255" s="425"/>
      <c r="Y255" s="426" t="str">
        <f t="shared" ca="1" si="15"/>
        <v/>
      </c>
      <c r="Z255" s="427" t="str">
        <f t="shared" ca="1" si="16"/>
        <v/>
      </c>
      <c r="AA255" s="426" t="str">
        <f t="shared" ca="1" si="17"/>
        <v/>
      </c>
      <c r="AB255" s="428" t="str">
        <f t="shared" ca="1" si="18"/>
        <v/>
      </c>
      <c r="AC255" s="427" t="str">
        <f t="shared" ca="1" si="19"/>
        <v/>
      </c>
      <c r="AD255" s="227"/>
    </row>
    <row r="256" spans="1:30" customFormat="1" ht="15">
      <c r="A256" s="227"/>
      <c r="B256" s="276">
        <v>218</v>
      </c>
      <c r="C256" s="254"/>
      <c r="D256" s="255"/>
      <c r="E256" s="247"/>
      <c r="F256" s="232"/>
      <c r="G256" s="239"/>
      <c r="H256" s="386">
        <v>242</v>
      </c>
      <c r="I256" s="404"/>
      <c r="J256" s="404"/>
      <c r="K256" s="413"/>
      <c r="L256" s="413"/>
      <c r="M256" s="413"/>
      <c r="N256" s="452"/>
      <c r="O256" s="413"/>
      <c r="P256" s="413"/>
      <c r="Q256" s="413"/>
      <c r="R256" s="452"/>
      <c r="S256" s="443"/>
      <c r="T256" s="42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3"/>
      <c r="V256" s="423"/>
      <c r="W256" s="424"/>
      <c r="X256" s="425"/>
      <c r="Y256" s="426" t="str">
        <f t="shared" ca="1" si="15"/>
        <v/>
      </c>
      <c r="Z256" s="427" t="str">
        <f t="shared" ca="1" si="16"/>
        <v/>
      </c>
      <c r="AA256" s="426" t="str">
        <f t="shared" ca="1" si="17"/>
        <v/>
      </c>
      <c r="AB256" s="428" t="str">
        <f t="shared" ca="1" si="18"/>
        <v/>
      </c>
      <c r="AC256" s="427" t="str">
        <f t="shared" ca="1" si="19"/>
        <v/>
      </c>
      <c r="AD256" s="227"/>
    </row>
    <row r="257" spans="1:30" customFormat="1" ht="15">
      <c r="A257" s="227"/>
      <c r="B257" s="276">
        <v>219</v>
      </c>
      <c r="C257" s="254"/>
      <c r="D257" s="255"/>
      <c r="E257" s="247"/>
      <c r="F257" s="232"/>
      <c r="G257" s="239"/>
      <c r="H257" s="386">
        <v>243</v>
      </c>
      <c r="I257" s="404"/>
      <c r="J257" s="404"/>
      <c r="K257" s="413"/>
      <c r="L257" s="413"/>
      <c r="M257" s="413"/>
      <c r="N257" s="452"/>
      <c r="O257" s="413"/>
      <c r="P257" s="413"/>
      <c r="Q257" s="413"/>
      <c r="R257" s="452"/>
      <c r="S257" s="443"/>
      <c r="T257" s="42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3"/>
      <c r="V257" s="423"/>
      <c r="W257" s="424"/>
      <c r="X257" s="425"/>
      <c r="Y257" s="426" t="str">
        <f t="shared" ca="1" si="15"/>
        <v/>
      </c>
      <c r="Z257" s="427" t="str">
        <f t="shared" ca="1" si="16"/>
        <v/>
      </c>
      <c r="AA257" s="426" t="str">
        <f t="shared" ca="1" si="17"/>
        <v/>
      </c>
      <c r="AB257" s="428" t="str">
        <f t="shared" ca="1" si="18"/>
        <v/>
      </c>
      <c r="AC257" s="427" t="str">
        <f t="shared" ca="1" si="19"/>
        <v/>
      </c>
      <c r="AD257" s="227"/>
    </row>
    <row r="258" spans="1:30" customFormat="1" ht="15">
      <c r="A258" s="227"/>
      <c r="B258" s="276">
        <v>220</v>
      </c>
      <c r="C258" s="254"/>
      <c r="D258" s="255"/>
      <c r="E258" s="247"/>
      <c r="F258" s="232"/>
      <c r="G258" s="239"/>
      <c r="H258" s="386">
        <v>244</v>
      </c>
      <c r="I258" s="404"/>
      <c r="J258" s="404"/>
      <c r="K258" s="413"/>
      <c r="L258" s="413"/>
      <c r="M258" s="413"/>
      <c r="N258" s="452"/>
      <c r="O258" s="413"/>
      <c r="P258" s="413"/>
      <c r="Q258" s="413"/>
      <c r="R258" s="452"/>
      <c r="S258" s="443"/>
      <c r="T258" s="42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3"/>
      <c r="V258" s="423"/>
      <c r="W258" s="424"/>
      <c r="X258" s="425"/>
      <c r="Y258" s="426" t="str">
        <f t="shared" ca="1" si="15"/>
        <v/>
      </c>
      <c r="Z258" s="427" t="str">
        <f t="shared" ca="1" si="16"/>
        <v/>
      </c>
      <c r="AA258" s="426" t="str">
        <f t="shared" ca="1" si="17"/>
        <v/>
      </c>
      <c r="AB258" s="428" t="str">
        <f t="shared" ca="1" si="18"/>
        <v/>
      </c>
      <c r="AC258" s="427" t="str">
        <f t="shared" ca="1" si="19"/>
        <v/>
      </c>
      <c r="AD258" s="227"/>
    </row>
    <row r="259" spans="1:30" customFormat="1" ht="15">
      <c r="A259" s="227"/>
      <c r="B259" s="276">
        <v>221</v>
      </c>
      <c r="C259" s="254"/>
      <c r="D259" s="255"/>
      <c r="E259" s="247"/>
      <c r="F259" s="232"/>
      <c r="G259" s="239"/>
      <c r="H259" s="386">
        <v>245</v>
      </c>
      <c r="I259" s="404"/>
      <c r="J259" s="404"/>
      <c r="K259" s="413"/>
      <c r="L259" s="413"/>
      <c r="M259" s="413"/>
      <c r="N259" s="452"/>
      <c r="O259" s="413"/>
      <c r="P259" s="413"/>
      <c r="Q259" s="413"/>
      <c r="R259" s="452"/>
      <c r="S259" s="443"/>
      <c r="T259" s="42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3"/>
      <c r="V259" s="423"/>
      <c r="W259" s="424"/>
      <c r="X259" s="425"/>
      <c r="Y259" s="426" t="str">
        <f t="shared" ca="1" si="15"/>
        <v/>
      </c>
      <c r="Z259" s="427" t="str">
        <f t="shared" ca="1" si="16"/>
        <v/>
      </c>
      <c r="AA259" s="426" t="str">
        <f t="shared" ca="1" si="17"/>
        <v/>
      </c>
      <c r="AB259" s="428" t="str">
        <f t="shared" ca="1" si="18"/>
        <v/>
      </c>
      <c r="AC259" s="427" t="str">
        <f t="shared" ca="1" si="19"/>
        <v/>
      </c>
      <c r="AD259" s="227"/>
    </row>
    <row r="260" spans="1:30" customFormat="1" ht="15">
      <c r="A260" s="227"/>
      <c r="B260" s="276">
        <v>222</v>
      </c>
      <c r="C260" s="254"/>
      <c r="D260" s="255"/>
      <c r="E260" s="247"/>
      <c r="F260" s="232"/>
      <c r="G260" s="239"/>
      <c r="H260" s="386">
        <v>246</v>
      </c>
      <c r="I260" s="404"/>
      <c r="J260" s="404"/>
      <c r="K260" s="413"/>
      <c r="L260" s="413"/>
      <c r="M260" s="413"/>
      <c r="N260" s="452"/>
      <c r="O260" s="413"/>
      <c r="P260" s="413"/>
      <c r="Q260" s="413"/>
      <c r="R260" s="452"/>
      <c r="S260" s="443"/>
      <c r="T260" s="42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3"/>
      <c r="V260" s="423"/>
      <c r="W260" s="424"/>
      <c r="X260" s="425"/>
      <c r="Y260" s="426" t="str">
        <f t="shared" ca="1" si="15"/>
        <v/>
      </c>
      <c r="Z260" s="427" t="str">
        <f t="shared" ca="1" si="16"/>
        <v/>
      </c>
      <c r="AA260" s="426" t="str">
        <f t="shared" ca="1" si="17"/>
        <v/>
      </c>
      <c r="AB260" s="428" t="str">
        <f t="shared" ca="1" si="18"/>
        <v/>
      </c>
      <c r="AC260" s="427" t="str">
        <f t="shared" ca="1" si="19"/>
        <v/>
      </c>
      <c r="AD260" s="227"/>
    </row>
    <row r="261" spans="1:30" customFormat="1" ht="15">
      <c r="A261" s="227"/>
      <c r="B261" s="276">
        <v>223</v>
      </c>
      <c r="C261" s="254"/>
      <c r="D261" s="255"/>
      <c r="E261" s="247"/>
      <c r="F261" s="232"/>
      <c r="G261" s="239"/>
      <c r="H261" s="386">
        <v>247</v>
      </c>
      <c r="I261" s="404"/>
      <c r="J261" s="404"/>
      <c r="K261" s="413"/>
      <c r="L261" s="413"/>
      <c r="M261" s="413"/>
      <c r="N261" s="452"/>
      <c r="O261" s="413"/>
      <c r="P261" s="413"/>
      <c r="Q261" s="413"/>
      <c r="R261" s="452"/>
      <c r="S261" s="443"/>
      <c r="T261" s="42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3"/>
      <c r="V261" s="423"/>
      <c r="W261" s="424"/>
      <c r="X261" s="425"/>
      <c r="Y261" s="426" t="str">
        <f t="shared" ca="1" si="15"/>
        <v/>
      </c>
      <c r="Z261" s="427" t="str">
        <f t="shared" ca="1" si="16"/>
        <v/>
      </c>
      <c r="AA261" s="426" t="str">
        <f t="shared" ca="1" si="17"/>
        <v/>
      </c>
      <c r="AB261" s="428" t="str">
        <f t="shared" ca="1" si="18"/>
        <v/>
      </c>
      <c r="AC261" s="427" t="str">
        <f t="shared" ca="1" si="19"/>
        <v/>
      </c>
      <c r="AD261" s="227"/>
    </row>
    <row r="262" spans="1:30" customFormat="1" ht="15">
      <c r="A262" s="227"/>
      <c r="B262" s="276">
        <v>224</v>
      </c>
      <c r="C262" s="254"/>
      <c r="D262" s="255"/>
      <c r="E262" s="247"/>
      <c r="F262" s="232"/>
      <c r="G262" s="239"/>
      <c r="H262" s="386">
        <v>248</v>
      </c>
      <c r="I262" s="404"/>
      <c r="J262" s="404"/>
      <c r="K262" s="413"/>
      <c r="L262" s="413"/>
      <c r="M262" s="413"/>
      <c r="N262" s="452"/>
      <c r="O262" s="413"/>
      <c r="P262" s="413"/>
      <c r="Q262" s="413"/>
      <c r="R262" s="452"/>
      <c r="S262" s="443"/>
      <c r="T262" s="42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3"/>
      <c r="V262" s="423"/>
      <c r="W262" s="424"/>
      <c r="X262" s="425"/>
      <c r="Y262" s="426" t="str">
        <f t="shared" ca="1" si="15"/>
        <v/>
      </c>
      <c r="Z262" s="427" t="str">
        <f t="shared" ca="1" si="16"/>
        <v/>
      </c>
      <c r="AA262" s="426" t="str">
        <f t="shared" ca="1" si="17"/>
        <v/>
      </c>
      <c r="AB262" s="428" t="str">
        <f t="shared" ca="1" si="18"/>
        <v/>
      </c>
      <c r="AC262" s="427" t="str">
        <f t="shared" ca="1" si="19"/>
        <v/>
      </c>
      <c r="AD262" s="227"/>
    </row>
    <row r="263" spans="1:30" customFormat="1" ht="15">
      <c r="A263" s="227"/>
      <c r="B263" s="276">
        <v>225</v>
      </c>
      <c r="C263" s="254"/>
      <c r="D263" s="255"/>
      <c r="E263" s="247"/>
      <c r="F263" s="232"/>
      <c r="G263" s="239"/>
      <c r="H263" s="386">
        <v>249</v>
      </c>
      <c r="I263" s="404"/>
      <c r="J263" s="404"/>
      <c r="K263" s="413"/>
      <c r="L263" s="413"/>
      <c r="M263" s="413"/>
      <c r="N263" s="452"/>
      <c r="O263" s="413"/>
      <c r="P263" s="413"/>
      <c r="Q263" s="413"/>
      <c r="R263" s="452"/>
      <c r="S263" s="443"/>
      <c r="T263" s="42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3"/>
      <c r="V263" s="423"/>
      <c r="W263" s="424"/>
      <c r="X263" s="425"/>
      <c r="Y263" s="426" t="str">
        <f t="shared" ca="1" si="15"/>
        <v/>
      </c>
      <c r="Z263" s="427" t="str">
        <f t="shared" ca="1" si="16"/>
        <v/>
      </c>
      <c r="AA263" s="426" t="str">
        <f t="shared" ca="1" si="17"/>
        <v/>
      </c>
      <c r="AB263" s="428" t="str">
        <f t="shared" ca="1" si="18"/>
        <v/>
      </c>
      <c r="AC263" s="427" t="str">
        <f t="shared" ca="1" si="19"/>
        <v/>
      </c>
      <c r="AD263" s="227"/>
    </row>
    <row r="264" spans="1:30" customFormat="1" ht="15">
      <c r="A264" s="227"/>
      <c r="B264" s="276">
        <v>226</v>
      </c>
      <c r="C264" s="254"/>
      <c r="D264" s="255"/>
      <c r="E264" s="247"/>
      <c r="F264" s="232"/>
      <c r="G264" s="239"/>
      <c r="H264" s="386">
        <v>250</v>
      </c>
      <c r="I264" s="404"/>
      <c r="J264" s="404"/>
      <c r="K264" s="413"/>
      <c r="L264" s="413"/>
      <c r="M264" s="413"/>
      <c r="N264" s="452"/>
      <c r="O264" s="413"/>
      <c r="P264" s="413"/>
      <c r="Q264" s="413"/>
      <c r="R264" s="452"/>
      <c r="S264" s="443"/>
      <c r="T264" s="42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3"/>
      <c r="V264" s="423"/>
      <c r="W264" s="424"/>
      <c r="X264" s="425"/>
      <c r="Y264" s="426" t="str">
        <f t="shared" ca="1" si="15"/>
        <v/>
      </c>
      <c r="Z264" s="427" t="str">
        <f t="shared" ca="1" si="16"/>
        <v/>
      </c>
      <c r="AA264" s="426" t="str">
        <f t="shared" ca="1" si="17"/>
        <v/>
      </c>
      <c r="AB264" s="428" t="str">
        <f t="shared" ca="1" si="18"/>
        <v/>
      </c>
      <c r="AC264" s="427" t="str">
        <f t="shared" ca="1" si="19"/>
        <v/>
      </c>
      <c r="AD264" s="227"/>
    </row>
    <row r="265" spans="1:30" customFormat="1" ht="15">
      <c r="A265" s="227"/>
      <c r="B265" s="276">
        <v>227</v>
      </c>
      <c r="C265" s="254"/>
      <c r="D265" s="255"/>
      <c r="E265" s="247"/>
      <c r="F265" s="232"/>
      <c r="G265" s="239"/>
      <c r="H265" s="386">
        <v>251</v>
      </c>
      <c r="I265" s="404"/>
      <c r="J265" s="404"/>
      <c r="K265" s="413"/>
      <c r="L265" s="413"/>
      <c r="M265" s="413"/>
      <c r="N265" s="452"/>
      <c r="O265" s="413"/>
      <c r="P265" s="413"/>
      <c r="Q265" s="413"/>
      <c r="R265" s="452"/>
      <c r="S265" s="443"/>
      <c r="T265" s="42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3"/>
      <c r="V265" s="423"/>
      <c r="W265" s="424"/>
      <c r="X265" s="425"/>
      <c r="Y265" s="426" t="str">
        <f t="shared" ca="1" si="15"/>
        <v/>
      </c>
      <c r="Z265" s="427" t="str">
        <f t="shared" ca="1" si="16"/>
        <v/>
      </c>
      <c r="AA265" s="426" t="str">
        <f t="shared" ca="1" si="17"/>
        <v/>
      </c>
      <c r="AB265" s="428" t="str">
        <f t="shared" ca="1" si="18"/>
        <v/>
      </c>
      <c r="AC265" s="427" t="str">
        <f t="shared" ca="1" si="19"/>
        <v/>
      </c>
      <c r="AD265" s="227"/>
    </row>
    <row r="266" spans="1:30" customFormat="1" ht="15">
      <c r="A266" s="227"/>
      <c r="B266" s="276">
        <v>228</v>
      </c>
      <c r="C266" s="254"/>
      <c r="D266" s="255"/>
      <c r="E266" s="247"/>
      <c r="F266" s="232"/>
      <c r="G266" s="239"/>
      <c r="H266" s="386">
        <v>252</v>
      </c>
      <c r="I266" s="404"/>
      <c r="J266" s="404"/>
      <c r="K266" s="413"/>
      <c r="L266" s="413"/>
      <c r="M266" s="413"/>
      <c r="N266" s="452"/>
      <c r="O266" s="413"/>
      <c r="P266" s="413"/>
      <c r="Q266" s="413"/>
      <c r="R266" s="452"/>
      <c r="S266" s="443"/>
      <c r="T266" s="42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3"/>
      <c r="V266" s="423"/>
      <c r="W266" s="424"/>
      <c r="X266" s="425"/>
      <c r="Y266" s="426" t="str">
        <f t="shared" ca="1" si="15"/>
        <v/>
      </c>
      <c r="Z266" s="427" t="str">
        <f t="shared" ca="1" si="16"/>
        <v/>
      </c>
      <c r="AA266" s="426" t="str">
        <f t="shared" ca="1" si="17"/>
        <v/>
      </c>
      <c r="AB266" s="428" t="str">
        <f t="shared" ca="1" si="18"/>
        <v/>
      </c>
      <c r="AC266" s="427" t="str">
        <f t="shared" ca="1" si="19"/>
        <v/>
      </c>
      <c r="AD266" s="227"/>
    </row>
    <row r="267" spans="1:30" customFormat="1" ht="15">
      <c r="A267" s="227"/>
      <c r="B267" s="276">
        <v>229</v>
      </c>
      <c r="C267" s="254"/>
      <c r="D267" s="255"/>
      <c r="E267" s="247"/>
      <c r="F267" s="232"/>
      <c r="G267" s="239"/>
      <c r="H267" s="386">
        <v>253</v>
      </c>
      <c r="I267" s="404"/>
      <c r="J267" s="404"/>
      <c r="K267" s="413"/>
      <c r="L267" s="413"/>
      <c r="M267" s="413"/>
      <c r="N267" s="452"/>
      <c r="O267" s="413"/>
      <c r="P267" s="413"/>
      <c r="Q267" s="413"/>
      <c r="R267" s="452"/>
      <c r="S267" s="443"/>
      <c r="T267" s="42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3"/>
      <c r="V267" s="423"/>
      <c r="W267" s="424"/>
      <c r="X267" s="425"/>
      <c r="Y267" s="426" t="str">
        <f t="shared" ca="1" si="15"/>
        <v/>
      </c>
      <c r="Z267" s="427" t="str">
        <f t="shared" ca="1" si="16"/>
        <v/>
      </c>
      <c r="AA267" s="426" t="str">
        <f t="shared" ca="1" si="17"/>
        <v/>
      </c>
      <c r="AB267" s="428" t="str">
        <f t="shared" ca="1" si="18"/>
        <v/>
      </c>
      <c r="AC267" s="427" t="str">
        <f t="shared" ca="1" si="19"/>
        <v/>
      </c>
      <c r="AD267" s="227"/>
    </row>
    <row r="268" spans="1:30" customFormat="1" ht="15">
      <c r="A268" s="227"/>
      <c r="B268" s="276">
        <v>230</v>
      </c>
      <c r="C268" s="254"/>
      <c r="D268" s="255"/>
      <c r="E268" s="247"/>
      <c r="F268" s="232"/>
      <c r="G268" s="239"/>
      <c r="H268" s="386">
        <v>254</v>
      </c>
      <c r="I268" s="404"/>
      <c r="J268" s="404"/>
      <c r="K268" s="413"/>
      <c r="L268" s="413"/>
      <c r="M268" s="413"/>
      <c r="N268" s="452"/>
      <c r="O268" s="413"/>
      <c r="P268" s="413"/>
      <c r="Q268" s="413"/>
      <c r="R268" s="452"/>
      <c r="S268" s="443"/>
      <c r="T268" s="42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3"/>
      <c r="V268" s="423"/>
      <c r="W268" s="424"/>
      <c r="X268" s="425"/>
      <c r="Y268" s="426" t="str">
        <f t="shared" ca="1" si="15"/>
        <v/>
      </c>
      <c r="Z268" s="427" t="str">
        <f t="shared" ca="1" si="16"/>
        <v/>
      </c>
      <c r="AA268" s="426" t="str">
        <f t="shared" ca="1" si="17"/>
        <v/>
      </c>
      <c r="AB268" s="428" t="str">
        <f t="shared" ca="1" si="18"/>
        <v/>
      </c>
      <c r="AC268" s="427" t="str">
        <f t="shared" ca="1" si="19"/>
        <v/>
      </c>
      <c r="AD268" s="227"/>
    </row>
    <row r="269" spans="1:30" customFormat="1" ht="15">
      <c r="A269" s="227"/>
      <c r="B269" s="276">
        <v>231</v>
      </c>
      <c r="C269" s="254"/>
      <c r="D269" s="255"/>
      <c r="E269" s="247"/>
      <c r="F269" s="232"/>
      <c r="G269" s="239"/>
      <c r="H269" s="386">
        <v>255</v>
      </c>
      <c r="I269" s="404"/>
      <c r="J269" s="404"/>
      <c r="K269" s="413"/>
      <c r="L269" s="413"/>
      <c r="M269" s="413"/>
      <c r="N269" s="452"/>
      <c r="O269" s="413"/>
      <c r="P269" s="413"/>
      <c r="Q269" s="413"/>
      <c r="R269" s="452"/>
      <c r="S269" s="443"/>
      <c r="T269" s="42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3"/>
      <c r="V269" s="423"/>
      <c r="W269" s="424"/>
      <c r="X269" s="425"/>
      <c r="Y269" s="426" t="str">
        <f t="shared" ca="1" si="15"/>
        <v/>
      </c>
      <c r="Z269" s="427" t="str">
        <f t="shared" ca="1" si="16"/>
        <v/>
      </c>
      <c r="AA269" s="426" t="str">
        <f t="shared" ca="1" si="17"/>
        <v/>
      </c>
      <c r="AB269" s="428" t="str">
        <f t="shared" ca="1" si="18"/>
        <v/>
      </c>
      <c r="AC269" s="427" t="str">
        <f t="shared" ca="1" si="19"/>
        <v/>
      </c>
      <c r="AD269" s="227"/>
    </row>
    <row r="270" spans="1:30" customFormat="1" ht="15">
      <c r="A270" s="227"/>
      <c r="B270" s="276">
        <v>232</v>
      </c>
      <c r="C270" s="254"/>
      <c r="D270" s="255"/>
      <c r="E270" s="247"/>
      <c r="F270" s="232"/>
      <c r="G270" s="239"/>
      <c r="H270" s="386">
        <v>256</v>
      </c>
      <c r="I270" s="404"/>
      <c r="J270" s="404"/>
      <c r="K270" s="413"/>
      <c r="L270" s="413"/>
      <c r="M270" s="413"/>
      <c r="N270" s="452"/>
      <c r="O270" s="413"/>
      <c r="P270" s="413"/>
      <c r="Q270" s="413"/>
      <c r="R270" s="452"/>
      <c r="S270" s="443"/>
      <c r="T270" s="42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3"/>
      <c r="V270" s="423"/>
      <c r="W270" s="424"/>
      <c r="X270" s="425"/>
      <c r="Y270" s="426" t="str">
        <f t="shared" ca="1" si="15"/>
        <v/>
      </c>
      <c r="Z270" s="427" t="str">
        <f t="shared" ca="1" si="16"/>
        <v/>
      </c>
      <c r="AA270" s="426" t="str">
        <f t="shared" ca="1" si="17"/>
        <v/>
      </c>
      <c r="AB270" s="428" t="str">
        <f t="shared" ca="1" si="18"/>
        <v/>
      </c>
      <c r="AC270" s="427" t="str">
        <f t="shared" ca="1" si="19"/>
        <v/>
      </c>
      <c r="AD270" s="227"/>
    </row>
    <row r="271" spans="1:30" customFormat="1" ht="15">
      <c r="A271" s="227"/>
      <c r="B271" s="276">
        <v>233</v>
      </c>
      <c r="C271" s="254"/>
      <c r="D271" s="255"/>
      <c r="E271" s="247"/>
      <c r="F271" s="232"/>
      <c r="G271" s="239"/>
      <c r="H271" s="386">
        <v>257</v>
      </c>
      <c r="I271" s="404"/>
      <c r="J271" s="404"/>
      <c r="K271" s="413"/>
      <c r="L271" s="413"/>
      <c r="M271" s="413"/>
      <c r="N271" s="452"/>
      <c r="O271" s="413"/>
      <c r="P271" s="413"/>
      <c r="Q271" s="413"/>
      <c r="R271" s="452"/>
      <c r="S271" s="443"/>
      <c r="T271" s="42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3"/>
      <c r="V271" s="423"/>
      <c r="W271" s="424"/>
      <c r="X271" s="425"/>
      <c r="Y271" s="426" t="str">
        <f t="shared" ca="1" si="15"/>
        <v/>
      </c>
      <c r="Z271" s="427" t="str">
        <f t="shared" ca="1" si="16"/>
        <v/>
      </c>
      <c r="AA271" s="426" t="str">
        <f t="shared" ca="1" si="17"/>
        <v/>
      </c>
      <c r="AB271" s="428" t="str">
        <f t="shared" ca="1" si="18"/>
        <v/>
      </c>
      <c r="AC271" s="427" t="str">
        <f t="shared" ca="1" si="19"/>
        <v/>
      </c>
      <c r="AD271" s="227"/>
    </row>
    <row r="272" spans="1:30" customFormat="1" ht="15">
      <c r="A272" s="227"/>
      <c r="B272" s="276">
        <v>234</v>
      </c>
      <c r="C272" s="254"/>
      <c r="D272" s="255"/>
      <c r="E272" s="247"/>
      <c r="F272" s="232"/>
      <c r="G272" s="239"/>
      <c r="H272" s="386">
        <v>258</v>
      </c>
      <c r="I272" s="404"/>
      <c r="J272" s="404"/>
      <c r="K272" s="413"/>
      <c r="L272" s="413"/>
      <c r="M272" s="413"/>
      <c r="N272" s="452"/>
      <c r="O272" s="413"/>
      <c r="P272" s="413"/>
      <c r="Q272" s="413"/>
      <c r="R272" s="452"/>
      <c r="S272" s="443"/>
      <c r="T272" s="42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3"/>
      <c r="V272" s="423"/>
      <c r="W272" s="424"/>
      <c r="X272" s="425"/>
      <c r="Y272" s="426" t="str">
        <f t="shared" ref="Y272:Y314" ca="1" si="20">IF($U$12,IF(T272="","",$U$13*D296/$C$18),"")</f>
        <v/>
      </c>
      <c r="Z272" s="427" t="str">
        <f t="shared" ref="Z272:Z314" ca="1" si="21">IF($U$12,IF(Y272="","",Y272*($Z$10-W272)*X272),"")</f>
        <v/>
      </c>
      <c r="AA272" s="426" t="str">
        <f t="shared" ref="AA272:AA313" ca="1" si="22">IF($U$12,IF(OR(T272="",L272=""),"",L272/($C$20-$C$19)),"")</f>
        <v/>
      </c>
      <c r="AB272" s="428" t="str">
        <f t="shared" ref="AB272:AB313" ca="1" si="23">IF($U$12,IF(W272="","",W272*$AC$10),"")</f>
        <v/>
      </c>
      <c r="AC272" s="427" t="str">
        <f t="shared" ref="AC272:AC313" ca="1" si="24">IF($U$12,IF(AA272="","",AA272*(AB272-W272)*X272),"")</f>
        <v/>
      </c>
      <c r="AD272" s="227"/>
    </row>
    <row r="273" spans="1:30" customFormat="1" ht="15">
      <c r="A273" s="227"/>
      <c r="B273" s="276">
        <v>235</v>
      </c>
      <c r="C273" s="254"/>
      <c r="D273" s="255"/>
      <c r="E273" s="247"/>
      <c r="F273" s="232"/>
      <c r="G273" s="239"/>
      <c r="H273" s="386">
        <v>259</v>
      </c>
      <c r="I273" s="404"/>
      <c r="J273" s="404"/>
      <c r="K273" s="413"/>
      <c r="L273" s="413"/>
      <c r="M273" s="413"/>
      <c r="N273" s="452"/>
      <c r="O273" s="413"/>
      <c r="P273" s="413"/>
      <c r="Q273" s="413"/>
      <c r="R273" s="452"/>
      <c r="S273" s="443"/>
      <c r="T273" s="42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3"/>
      <c r="V273" s="423"/>
      <c r="W273" s="424"/>
      <c r="X273" s="425"/>
      <c r="Y273" s="426" t="str">
        <f t="shared" ca="1" si="20"/>
        <v/>
      </c>
      <c r="Z273" s="427" t="str">
        <f t="shared" ca="1" si="21"/>
        <v/>
      </c>
      <c r="AA273" s="426" t="str">
        <f t="shared" ca="1" si="22"/>
        <v/>
      </c>
      <c r="AB273" s="428" t="str">
        <f t="shared" ca="1" si="23"/>
        <v/>
      </c>
      <c r="AC273" s="427" t="str">
        <f t="shared" ca="1" si="24"/>
        <v/>
      </c>
      <c r="AD273" s="227"/>
    </row>
    <row r="274" spans="1:30" customFormat="1" ht="15">
      <c r="A274" s="227"/>
      <c r="B274" s="276">
        <v>236</v>
      </c>
      <c r="C274" s="254"/>
      <c r="D274" s="255"/>
      <c r="E274" s="247"/>
      <c r="F274" s="232"/>
      <c r="G274" s="239"/>
      <c r="H274" s="386">
        <v>260</v>
      </c>
      <c r="I274" s="404"/>
      <c r="J274" s="404"/>
      <c r="K274" s="413"/>
      <c r="L274" s="413"/>
      <c r="M274" s="413"/>
      <c r="N274" s="452"/>
      <c r="O274" s="413"/>
      <c r="P274" s="413"/>
      <c r="Q274" s="413"/>
      <c r="R274" s="452"/>
      <c r="S274" s="443"/>
      <c r="T274" s="42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3"/>
      <c r="V274" s="423"/>
      <c r="W274" s="424"/>
      <c r="X274" s="425"/>
      <c r="Y274" s="426" t="str">
        <f t="shared" ca="1" si="20"/>
        <v/>
      </c>
      <c r="Z274" s="427" t="str">
        <f t="shared" ca="1" si="21"/>
        <v/>
      </c>
      <c r="AA274" s="426" t="str">
        <f t="shared" ca="1" si="22"/>
        <v/>
      </c>
      <c r="AB274" s="428" t="str">
        <f t="shared" ca="1" si="23"/>
        <v/>
      </c>
      <c r="AC274" s="427" t="str">
        <f t="shared" ca="1" si="24"/>
        <v/>
      </c>
      <c r="AD274" s="227"/>
    </row>
    <row r="275" spans="1:30" customFormat="1" ht="15">
      <c r="A275" s="227"/>
      <c r="B275" s="276">
        <v>237</v>
      </c>
      <c r="C275" s="254"/>
      <c r="D275" s="255"/>
      <c r="E275" s="247"/>
      <c r="F275" s="232"/>
      <c r="G275" s="239"/>
      <c r="H275" s="386">
        <v>261</v>
      </c>
      <c r="I275" s="404"/>
      <c r="J275" s="404"/>
      <c r="K275" s="413"/>
      <c r="L275" s="413"/>
      <c r="M275" s="413"/>
      <c r="N275" s="452"/>
      <c r="O275" s="413"/>
      <c r="P275" s="413"/>
      <c r="Q275" s="413"/>
      <c r="R275" s="452"/>
      <c r="S275" s="443"/>
      <c r="T275" s="42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3"/>
      <c r="V275" s="423"/>
      <c r="W275" s="424"/>
      <c r="X275" s="425"/>
      <c r="Y275" s="426" t="str">
        <f t="shared" ca="1" si="20"/>
        <v/>
      </c>
      <c r="Z275" s="427" t="str">
        <f t="shared" ca="1" si="21"/>
        <v/>
      </c>
      <c r="AA275" s="426" t="str">
        <f t="shared" ca="1" si="22"/>
        <v/>
      </c>
      <c r="AB275" s="428" t="str">
        <f t="shared" ca="1" si="23"/>
        <v/>
      </c>
      <c r="AC275" s="427" t="str">
        <f t="shared" ca="1" si="24"/>
        <v/>
      </c>
      <c r="AD275" s="227"/>
    </row>
    <row r="276" spans="1:30" customFormat="1" ht="15">
      <c r="A276" s="227"/>
      <c r="B276" s="276">
        <v>238</v>
      </c>
      <c r="C276" s="254"/>
      <c r="D276" s="255"/>
      <c r="E276" s="247"/>
      <c r="F276" s="232"/>
      <c r="G276" s="239"/>
      <c r="H276" s="386">
        <v>262</v>
      </c>
      <c r="I276" s="404"/>
      <c r="J276" s="404"/>
      <c r="K276" s="413"/>
      <c r="L276" s="413"/>
      <c r="M276" s="413"/>
      <c r="N276" s="452"/>
      <c r="O276" s="413"/>
      <c r="P276" s="413"/>
      <c r="Q276" s="413"/>
      <c r="R276" s="452"/>
      <c r="S276" s="443"/>
      <c r="T276" s="42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3"/>
      <c r="V276" s="423"/>
      <c r="W276" s="424"/>
      <c r="X276" s="425"/>
      <c r="Y276" s="426" t="str">
        <f t="shared" ca="1" si="20"/>
        <v/>
      </c>
      <c r="Z276" s="427" t="str">
        <f t="shared" ca="1" si="21"/>
        <v/>
      </c>
      <c r="AA276" s="426" t="str">
        <f t="shared" ca="1" si="22"/>
        <v/>
      </c>
      <c r="AB276" s="428" t="str">
        <f t="shared" ca="1" si="23"/>
        <v/>
      </c>
      <c r="AC276" s="427" t="str">
        <f t="shared" ca="1" si="24"/>
        <v/>
      </c>
      <c r="AD276" s="227"/>
    </row>
    <row r="277" spans="1:30" customFormat="1" ht="15">
      <c r="A277" s="227"/>
      <c r="B277" s="276">
        <v>239</v>
      </c>
      <c r="C277" s="254"/>
      <c r="D277" s="255"/>
      <c r="E277" s="247"/>
      <c r="F277" s="232"/>
      <c r="G277" s="239"/>
      <c r="H277" s="386">
        <v>263</v>
      </c>
      <c r="I277" s="404"/>
      <c r="J277" s="404"/>
      <c r="K277" s="413"/>
      <c r="L277" s="413"/>
      <c r="M277" s="413"/>
      <c r="N277" s="452"/>
      <c r="O277" s="413"/>
      <c r="P277" s="413"/>
      <c r="Q277" s="413"/>
      <c r="R277" s="452"/>
      <c r="S277" s="443"/>
      <c r="T277" s="42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3"/>
      <c r="V277" s="423"/>
      <c r="W277" s="424"/>
      <c r="X277" s="425"/>
      <c r="Y277" s="426" t="str">
        <f t="shared" ca="1" si="20"/>
        <v/>
      </c>
      <c r="Z277" s="427" t="str">
        <f t="shared" ca="1" si="21"/>
        <v/>
      </c>
      <c r="AA277" s="426" t="str">
        <f t="shared" ca="1" si="22"/>
        <v/>
      </c>
      <c r="AB277" s="428" t="str">
        <f t="shared" ca="1" si="23"/>
        <v/>
      </c>
      <c r="AC277" s="427" t="str">
        <f t="shared" ca="1" si="24"/>
        <v/>
      </c>
      <c r="AD277" s="227"/>
    </row>
    <row r="278" spans="1:30" customFormat="1" ht="15">
      <c r="A278" s="227"/>
      <c r="B278" s="276">
        <v>240</v>
      </c>
      <c r="C278" s="254"/>
      <c r="D278" s="255"/>
      <c r="E278" s="247"/>
      <c r="F278" s="232"/>
      <c r="G278" s="239"/>
      <c r="H278" s="386">
        <v>264</v>
      </c>
      <c r="I278" s="404"/>
      <c r="J278" s="404"/>
      <c r="K278" s="413"/>
      <c r="L278" s="413"/>
      <c r="M278" s="413"/>
      <c r="N278" s="452"/>
      <c r="O278" s="413"/>
      <c r="P278" s="413"/>
      <c r="Q278" s="413"/>
      <c r="R278" s="452"/>
      <c r="S278" s="443"/>
      <c r="T278" s="42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3"/>
      <c r="V278" s="423"/>
      <c r="W278" s="424"/>
      <c r="X278" s="425"/>
      <c r="Y278" s="426" t="str">
        <f t="shared" ca="1" si="20"/>
        <v/>
      </c>
      <c r="Z278" s="427" t="str">
        <f t="shared" ca="1" si="21"/>
        <v/>
      </c>
      <c r="AA278" s="426" t="str">
        <f t="shared" ca="1" si="22"/>
        <v/>
      </c>
      <c r="AB278" s="428" t="str">
        <f t="shared" ca="1" si="23"/>
        <v/>
      </c>
      <c r="AC278" s="427" t="str">
        <f t="shared" ca="1" si="24"/>
        <v/>
      </c>
      <c r="AD278" s="227"/>
    </row>
    <row r="279" spans="1:30" customFormat="1" ht="15">
      <c r="A279" s="227"/>
      <c r="B279" s="276">
        <v>241</v>
      </c>
      <c r="C279" s="254"/>
      <c r="D279" s="255"/>
      <c r="E279" s="247"/>
      <c r="F279" s="232"/>
      <c r="G279" s="239"/>
      <c r="H279" s="386">
        <v>265</v>
      </c>
      <c r="I279" s="404"/>
      <c r="J279" s="404"/>
      <c r="K279" s="413"/>
      <c r="L279" s="413"/>
      <c r="M279" s="413"/>
      <c r="N279" s="452"/>
      <c r="O279" s="413"/>
      <c r="P279" s="413"/>
      <c r="Q279" s="413"/>
      <c r="R279" s="452"/>
      <c r="S279" s="443"/>
      <c r="T279" s="42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3"/>
      <c r="V279" s="423"/>
      <c r="W279" s="424"/>
      <c r="X279" s="425"/>
      <c r="Y279" s="426" t="str">
        <f t="shared" ca="1" si="20"/>
        <v/>
      </c>
      <c r="Z279" s="427" t="str">
        <f t="shared" ca="1" si="21"/>
        <v/>
      </c>
      <c r="AA279" s="426" t="str">
        <f t="shared" ca="1" si="22"/>
        <v/>
      </c>
      <c r="AB279" s="428" t="str">
        <f t="shared" ca="1" si="23"/>
        <v/>
      </c>
      <c r="AC279" s="427" t="str">
        <f t="shared" ca="1" si="24"/>
        <v/>
      </c>
      <c r="AD279" s="227"/>
    </row>
    <row r="280" spans="1:30" customFormat="1" ht="15">
      <c r="A280" s="227"/>
      <c r="B280" s="276">
        <v>242</v>
      </c>
      <c r="C280" s="254"/>
      <c r="D280" s="255"/>
      <c r="E280" s="247"/>
      <c r="F280" s="232"/>
      <c r="G280" s="239"/>
      <c r="H280" s="386">
        <v>266</v>
      </c>
      <c r="I280" s="404"/>
      <c r="J280" s="404"/>
      <c r="K280" s="413"/>
      <c r="L280" s="413"/>
      <c r="M280" s="413"/>
      <c r="N280" s="452"/>
      <c r="O280" s="413"/>
      <c r="P280" s="413"/>
      <c r="Q280" s="413"/>
      <c r="R280" s="452"/>
      <c r="S280" s="443"/>
      <c r="T280" s="42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3"/>
      <c r="V280" s="423"/>
      <c r="W280" s="424"/>
      <c r="X280" s="425"/>
      <c r="Y280" s="426" t="str">
        <f t="shared" ca="1" si="20"/>
        <v/>
      </c>
      <c r="Z280" s="427" t="str">
        <f t="shared" ca="1" si="21"/>
        <v/>
      </c>
      <c r="AA280" s="426" t="str">
        <f t="shared" ca="1" si="22"/>
        <v/>
      </c>
      <c r="AB280" s="428" t="str">
        <f t="shared" ca="1" si="23"/>
        <v/>
      </c>
      <c r="AC280" s="427" t="str">
        <f t="shared" ca="1" si="24"/>
        <v/>
      </c>
      <c r="AD280" s="227"/>
    </row>
    <row r="281" spans="1:30" customFormat="1" ht="15">
      <c r="A281" s="227"/>
      <c r="B281" s="276">
        <v>243</v>
      </c>
      <c r="C281" s="254"/>
      <c r="D281" s="255"/>
      <c r="E281" s="247"/>
      <c r="F281" s="232"/>
      <c r="G281" s="239"/>
      <c r="H281" s="386">
        <v>267</v>
      </c>
      <c r="I281" s="404"/>
      <c r="J281" s="404"/>
      <c r="K281" s="413"/>
      <c r="L281" s="413"/>
      <c r="M281" s="413"/>
      <c r="N281" s="452"/>
      <c r="O281" s="413"/>
      <c r="P281" s="413"/>
      <c r="Q281" s="413"/>
      <c r="R281" s="452"/>
      <c r="S281" s="443"/>
      <c r="T281" s="42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3"/>
      <c r="V281" s="423"/>
      <c r="W281" s="424"/>
      <c r="X281" s="425"/>
      <c r="Y281" s="426" t="str">
        <f t="shared" ca="1" si="20"/>
        <v/>
      </c>
      <c r="Z281" s="427" t="str">
        <f t="shared" ca="1" si="21"/>
        <v/>
      </c>
      <c r="AA281" s="426" t="str">
        <f t="shared" ca="1" si="22"/>
        <v/>
      </c>
      <c r="AB281" s="428" t="str">
        <f t="shared" ca="1" si="23"/>
        <v/>
      </c>
      <c r="AC281" s="427" t="str">
        <f t="shared" ca="1" si="24"/>
        <v/>
      </c>
      <c r="AD281" s="227"/>
    </row>
    <row r="282" spans="1:30" customFormat="1" ht="15">
      <c r="A282" s="227"/>
      <c r="B282" s="276">
        <v>244</v>
      </c>
      <c r="C282" s="254"/>
      <c r="D282" s="255"/>
      <c r="E282" s="247"/>
      <c r="F282" s="232"/>
      <c r="G282" s="239"/>
      <c r="H282" s="386">
        <v>268</v>
      </c>
      <c r="I282" s="404"/>
      <c r="J282" s="404"/>
      <c r="K282" s="413"/>
      <c r="L282" s="413"/>
      <c r="M282" s="413"/>
      <c r="N282" s="452"/>
      <c r="O282" s="413"/>
      <c r="P282" s="413"/>
      <c r="Q282" s="413"/>
      <c r="R282" s="452"/>
      <c r="S282" s="443"/>
      <c r="T282" s="42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3"/>
      <c r="V282" s="423"/>
      <c r="W282" s="424"/>
      <c r="X282" s="425"/>
      <c r="Y282" s="426" t="str">
        <f t="shared" ca="1" si="20"/>
        <v/>
      </c>
      <c r="Z282" s="427" t="str">
        <f t="shared" ca="1" si="21"/>
        <v/>
      </c>
      <c r="AA282" s="426" t="str">
        <f t="shared" ca="1" si="22"/>
        <v/>
      </c>
      <c r="AB282" s="428" t="str">
        <f t="shared" ca="1" si="23"/>
        <v/>
      </c>
      <c r="AC282" s="427" t="str">
        <f t="shared" ca="1" si="24"/>
        <v/>
      </c>
      <c r="AD282" s="227"/>
    </row>
    <row r="283" spans="1:30" customFormat="1" ht="15">
      <c r="A283" s="227"/>
      <c r="B283" s="276">
        <v>245</v>
      </c>
      <c r="C283" s="254"/>
      <c r="D283" s="255"/>
      <c r="E283" s="247"/>
      <c r="F283" s="232"/>
      <c r="G283" s="239"/>
      <c r="H283" s="386">
        <v>269</v>
      </c>
      <c r="I283" s="404"/>
      <c r="J283" s="404"/>
      <c r="K283" s="413"/>
      <c r="L283" s="413"/>
      <c r="M283" s="413"/>
      <c r="N283" s="452"/>
      <c r="O283" s="413"/>
      <c r="P283" s="413"/>
      <c r="Q283" s="413"/>
      <c r="R283" s="452"/>
      <c r="S283" s="443"/>
      <c r="T283" s="42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3"/>
      <c r="V283" s="423"/>
      <c r="W283" s="424"/>
      <c r="X283" s="425"/>
      <c r="Y283" s="426" t="str">
        <f t="shared" ca="1" si="20"/>
        <v/>
      </c>
      <c r="Z283" s="427" t="str">
        <f t="shared" ca="1" si="21"/>
        <v/>
      </c>
      <c r="AA283" s="426" t="str">
        <f t="shared" ca="1" si="22"/>
        <v/>
      </c>
      <c r="AB283" s="428" t="str">
        <f t="shared" ca="1" si="23"/>
        <v/>
      </c>
      <c r="AC283" s="427" t="str">
        <f t="shared" ca="1" si="24"/>
        <v/>
      </c>
      <c r="AD283" s="227"/>
    </row>
    <row r="284" spans="1:30" customFormat="1" ht="15">
      <c r="A284" s="227"/>
      <c r="B284" s="276">
        <v>246</v>
      </c>
      <c r="C284" s="254"/>
      <c r="D284" s="255"/>
      <c r="E284" s="247"/>
      <c r="F284" s="232"/>
      <c r="G284" s="239"/>
      <c r="H284" s="386">
        <v>270</v>
      </c>
      <c r="I284" s="404"/>
      <c r="J284" s="404"/>
      <c r="K284" s="413"/>
      <c r="L284" s="413"/>
      <c r="M284" s="413"/>
      <c r="N284" s="452"/>
      <c r="O284" s="413"/>
      <c r="P284" s="413"/>
      <c r="Q284" s="413"/>
      <c r="R284" s="452"/>
      <c r="S284" s="443"/>
      <c r="T284" s="42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3"/>
      <c r="V284" s="423"/>
      <c r="W284" s="424"/>
      <c r="X284" s="425"/>
      <c r="Y284" s="426" t="str">
        <f t="shared" ca="1" si="20"/>
        <v/>
      </c>
      <c r="Z284" s="427" t="str">
        <f t="shared" ca="1" si="21"/>
        <v/>
      </c>
      <c r="AA284" s="426" t="str">
        <f t="shared" ca="1" si="22"/>
        <v/>
      </c>
      <c r="AB284" s="428" t="str">
        <f t="shared" ca="1" si="23"/>
        <v/>
      </c>
      <c r="AC284" s="427" t="str">
        <f t="shared" ca="1" si="24"/>
        <v/>
      </c>
      <c r="AD284" s="227"/>
    </row>
    <row r="285" spans="1:30" customFormat="1" ht="15">
      <c r="A285" s="227"/>
      <c r="B285" s="276">
        <v>247</v>
      </c>
      <c r="C285" s="254"/>
      <c r="D285" s="255"/>
      <c r="E285" s="247"/>
      <c r="F285" s="232"/>
      <c r="G285" s="239"/>
      <c r="H285" s="386">
        <v>271</v>
      </c>
      <c r="I285" s="404"/>
      <c r="J285" s="404"/>
      <c r="K285" s="413"/>
      <c r="L285" s="413"/>
      <c r="M285" s="413"/>
      <c r="N285" s="452"/>
      <c r="O285" s="413"/>
      <c r="P285" s="413"/>
      <c r="Q285" s="413"/>
      <c r="R285" s="452"/>
      <c r="S285" s="443"/>
      <c r="T285" s="42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3"/>
      <c r="V285" s="423"/>
      <c r="W285" s="424"/>
      <c r="X285" s="425"/>
      <c r="Y285" s="426" t="str">
        <f t="shared" ca="1" si="20"/>
        <v/>
      </c>
      <c r="Z285" s="427" t="str">
        <f t="shared" ca="1" si="21"/>
        <v/>
      </c>
      <c r="AA285" s="426" t="str">
        <f t="shared" ca="1" si="22"/>
        <v/>
      </c>
      <c r="AB285" s="428" t="str">
        <f t="shared" ca="1" si="23"/>
        <v/>
      </c>
      <c r="AC285" s="427" t="str">
        <f t="shared" ca="1" si="24"/>
        <v/>
      </c>
      <c r="AD285" s="227"/>
    </row>
    <row r="286" spans="1:30" customFormat="1" ht="15">
      <c r="A286" s="227"/>
      <c r="B286" s="276">
        <v>248</v>
      </c>
      <c r="C286" s="254"/>
      <c r="D286" s="255"/>
      <c r="E286" s="247"/>
      <c r="F286" s="232"/>
      <c r="G286" s="239"/>
      <c r="H286" s="386">
        <v>272</v>
      </c>
      <c r="I286" s="404"/>
      <c r="J286" s="404"/>
      <c r="K286" s="413"/>
      <c r="L286" s="413"/>
      <c r="M286" s="413"/>
      <c r="N286" s="452"/>
      <c r="O286" s="413"/>
      <c r="P286" s="413"/>
      <c r="Q286" s="413"/>
      <c r="R286" s="452"/>
      <c r="S286" s="443"/>
      <c r="T286" s="42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3"/>
      <c r="V286" s="423"/>
      <c r="W286" s="424"/>
      <c r="X286" s="425"/>
      <c r="Y286" s="426" t="str">
        <f t="shared" ca="1" si="20"/>
        <v/>
      </c>
      <c r="Z286" s="427" t="str">
        <f t="shared" ca="1" si="21"/>
        <v/>
      </c>
      <c r="AA286" s="426" t="str">
        <f t="shared" ca="1" si="22"/>
        <v/>
      </c>
      <c r="AB286" s="428" t="str">
        <f t="shared" ca="1" si="23"/>
        <v/>
      </c>
      <c r="AC286" s="427" t="str">
        <f t="shared" ca="1" si="24"/>
        <v/>
      </c>
      <c r="AD286" s="227"/>
    </row>
    <row r="287" spans="1:30" customFormat="1" ht="15">
      <c r="A287" s="227"/>
      <c r="B287" s="276">
        <v>249</v>
      </c>
      <c r="C287" s="254"/>
      <c r="D287" s="255"/>
      <c r="E287" s="247"/>
      <c r="F287" s="232"/>
      <c r="G287" s="239"/>
      <c r="H287" s="386">
        <v>273</v>
      </c>
      <c r="I287" s="404"/>
      <c r="J287" s="404"/>
      <c r="K287" s="413"/>
      <c r="L287" s="413"/>
      <c r="M287" s="413"/>
      <c r="N287" s="452"/>
      <c r="O287" s="413"/>
      <c r="P287" s="413"/>
      <c r="Q287" s="413"/>
      <c r="R287" s="452"/>
      <c r="S287" s="443"/>
      <c r="T287" s="42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3"/>
      <c r="V287" s="423"/>
      <c r="W287" s="424"/>
      <c r="X287" s="425"/>
      <c r="Y287" s="426" t="str">
        <f t="shared" ca="1" si="20"/>
        <v/>
      </c>
      <c r="Z287" s="427" t="str">
        <f t="shared" ca="1" si="21"/>
        <v/>
      </c>
      <c r="AA287" s="426" t="str">
        <f t="shared" ca="1" si="22"/>
        <v/>
      </c>
      <c r="AB287" s="428" t="str">
        <f t="shared" ca="1" si="23"/>
        <v/>
      </c>
      <c r="AC287" s="427" t="str">
        <f t="shared" ca="1" si="24"/>
        <v/>
      </c>
      <c r="AD287" s="227"/>
    </row>
    <row r="288" spans="1:30" customFormat="1" ht="15">
      <c r="A288" s="227"/>
      <c r="B288" s="276">
        <v>250</v>
      </c>
      <c r="C288" s="254"/>
      <c r="D288" s="255"/>
      <c r="E288" s="247"/>
      <c r="F288" s="232"/>
      <c r="G288" s="239"/>
      <c r="H288" s="386">
        <v>274</v>
      </c>
      <c r="I288" s="404"/>
      <c r="J288" s="404"/>
      <c r="K288" s="413"/>
      <c r="L288" s="413"/>
      <c r="M288" s="413"/>
      <c r="N288" s="452"/>
      <c r="O288" s="413"/>
      <c r="P288" s="413"/>
      <c r="Q288" s="413"/>
      <c r="R288" s="452"/>
      <c r="S288" s="443"/>
      <c r="T288" s="42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3"/>
      <c r="V288" s="423"/>
      <c r="W288" s="424"/>
      <c r="X288" s="425"/>
      <c r="Y288" s="426" t="str">
        <f t="shared" ca="1" si="20"/>
        <v/>
      </c>
      <c r="Z288" s="427" t="str">
        <f t="shared" ca="1" si="21"/>
        <v/>
      </c>
      <c r="AA288" s="426" t="str">
        <f t="shared" ca="1" si="22"/>
        <v/>
      </c>
      <c r="AB288" s="428" t="str">
        <f t="shared" ca="1" si="23"/>
        <v/>
      </c>
      <c r="AC288" s="427" t="str">
        <f t="shared" ca="1" si="24"/>
        <v/>
      </c>
      <c r="AD288" s="227"/>
    </row>
    <row r="289" spans="1:30" customFormat="1" ht="15">
      <c r="A289" s="227"/>
      <c r="B289" s="276">
        <v>251</v>
      </c>
      <c r="C289" s="254"/>
      <c r="D289" s="255"/>
      <c r="E289" s="247"/>
      <c r="F289" s="232"/>
      <c r="G289" s="239"/>
      <c r="H289" s="386">
        <v>275</v>
      </c>
      <c r="I289" s="404"/>
      <c r="J289" s="404"/>
      <c r="K289" s="413"/>
      <c r="L289" s="413"/>
      <c r="M289" s="413"/>
      <c r="N289" s="452"/>
      <c r="O289" s="413"/>
      <c r="P289" s="413"/>
      <c r="Q289" s="413"/>
      <c r="R289" s="452"/>
      <c r="S289" s="443"/>
      <c r="T289" s="42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3"/>
      <c r="V289" s="423"/>
      <c r="W289" s="424"/>
      <c r="X289" s="425"/>
      <c r="Y289" s="426" t="str">
        <f t="shared" ca="1" si="20"/>
        <v/>
      </c>
      <c r="Z289" s="427" t="str">
        <f t="shared" ca="1" si="21"/>
        <v/>
      </c>
      <c r="AA289" s="426" t="str">
        <f t="shared" ca="1" si="22"/>
        <v/>
      </c>
      <c r="AB289" s="428" t="str">
        <f t="shared" ca="1" si="23"/>
        <v/>
      </c>
      <c r="AC289" s="427" t="str">
        <f t="shared" ca="1" si="24"/>
        <v/>
      </c>
      <c r="AD289" s="227"/>
    </row>
    <row r="290" spans="1:30" customFormat="1" ht="15">
      <c r="A290" s="227"/>
      <c r="B290" s="276">
        <v>252</v>
      </c>
      <c r="C290" s="254"/>
      <c r="D290" s="255"/>
      <c r="E290" s="247"/>
      <c r="F290" s="232"/>
      <c r="G290" s="239"/>
      <c r="H290" s="386">
        <v>276</v>
      </c>
      <c r="I290" s="404"/>
      <c r="J290" s="404"/>
      <c r="K290" s="413"/>
      <c r="L290" s="413"/>
      <c r="M290" s="413"/>
      <c r="N290" s="452"/>
      <c r="O290" s="413"/>
      <c r="P290" s="413"/>
      <c r="Q290" s="413"/>
      <c r="R290" s="452"/>
      <c r="S290" s="443"/>
      <c r="T290" s="42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3"/>
      <c r="V290" s="423"/>
      <c r="W290" s="424"/>
      <c r="X290" s="425"/>
      <c r="Y290" s="426" t="str">
        <f t="shared" ca="1" si="20"/>
        <v/>
      </c>
      <c r="Z290" s="427" t="str">
        <f t="shared" ca="1" si="21"/>
        <v/>
      </c>
      <c r="AA290" s="426" t="str">
        <f t="shared" ca="1" si="22"/>
        <v/>
      </c>
      <c r="AB290" s="428" t="str">
        <f t="shared" ca="1" si="23"/>
        <v/>
      </c>
      <c r="AC290" s="427" t="str">
        <f t="shared" ca="1" si="24"/>
        <v/>
      </c>
      <c r="AD290" s="227"/>
    </row>
    <row r="291" spans="1:30" customFormat="1" ht="15">
      <c r="A291" s="227"/>
      <c r="B291" s="276">
        <v>253</v>
      </c>
      <c r="C291" s="254"/>
      <c r="D291" s="255"/>
      <c r="E291" s="247"/>
      <c r="F291" s="232"/>
      <c r="G291" s="239"/>
      <c r="H291" s="386">
        <v>277</v>
      </c>
      <c r="I291" s="404"/>
      <c r="J291" s="404"/>
      <c r="K291" s="413"/>
      <c r="L291" s="413"/>
      <c r="M291" s="413"/>
      <c r="N291" s="452"/>
      <c r="O291" s="413"/>
      <c r="P291" s="413"/>
      <c r="Q291" s="413"/>
      <c r="R291" s="452"/>
      <c r="S291" s="443"/>
      <c r="T291" s="42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3"/>
      <c r="V291" s="423"/>
      <c r="W291" s="424"/>
      <c r="X291" s="425"/>
      <c r="Y291" s="426" t="str">
        <f t="shared" ca="1" si="20"/>
        <v/>
      </c>
      <c r="Z291" s="427" t="str">
        <f t="shared" ca="1" si="21"/>
        <v/>
      </c>
      <c r="AA291" s="426" t="str">
        <f t="shared" ca="1" si="22"/>
        <v/>
      </c>
      <c r="AB291" s="428" t="str">
        <f t="shared" ca="1" si="23"/>
        <v/>
      </c>
      <c r="AC291" s="427" t="str">
        <f t="shared" ca="1" si="24"/>
        <v/>
      </c>
      <c r="AD291" s="227"/>
    </row>
    <row r="292" spans="1:30" customFormat="1" ht="15">
      <c r="A292" s="227"/>
      <c r="B292" s="276">
        <v>254</v>
      </c>
      <c r="C292" s="254"/>
      <c r="D292" s="255"/>
      <c r="E292" s="247"/>
      <c r="F292" s="232"/>
      <c r="G292" s="239"/>
      <c r="H292" s="386">
        <v>278</v>
      </c>
      <c r="I292" s="404"/>
      <c r="J292" s="404"/>
      <c r="K292" s="413"/>
      <c r="L292" s="413"/>
      <c r="M292" s="413"/>
      <c r="N292" s="452"/>
      <c r="O292" s="413"/>
      <c r="P292" s="413"/>
      <c r="Q292" s="413"/>
      <c r="R292" s="452"/>
      <c r="S292" s="443"/>
      <c r="T292" s="42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3"/>
      <c r="V292" s="423"/>
      <c r="W292" s="424"/>
      <c r="X292" s="425"/>
      <c r="Y292" s="426" t="str">
        <f t="shared" ca="1" si="20"/>
        <v/>
      </c>
      <c r="Z292" s="427" t="str">
        <f t="shared" ca="1" si="21"/>
        <v/>
      </c>
      <c r="AA292" s="426" t="str">
        <f t="shared" ca="1" si="22"/>
        <v/>
      </c>
      <c r="AB292" s="428" t="str">
        <f t="shared" ca="1" si="23"/>
        <v/>
      </c>
      <c r="AC292" s="427" t="str">
        <f t="shared" ca="1" si="24"/>
        <v/>
      </c>
      <c r="AD292" s="227"/>
    </row>
    <row r="293" spans="1:30" customFormat="1" ht="15">
      <c r="A293" s="227"/>
      <c r="B293" s="276">
        <v>255</v>
      </c>
      <c r="C293" s="254"/>
      <c r="D293" s="255"/>
      <c r="E293" s="247"/>
      <c r="F293" s="232"/>
      <c r="G293" s="239"/>
      <c r="H293" s="386">
        <v>279</v>
      </c>
      <c r="I293" s="404"/>
      <c r="J293" s="404"/>
      <c r="K293" s="413"/>
      <c r="L293" s="413"/>
      <c r="M293" s="413"/>
      <c r="N293" s="452"/>
      <c r="O293" s="413"/>
      <c r="P293" s="413"/>
      <c r="Q293" s="413"/>
      <c r="R293" s="452"/>
      <c r="S293" s="443"/>
      <c r="T293" s="42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3"/>
      <c r="V293" s="423"/>
      <c r="W293" s="424"/>
      <c r="X293" s="425"/>
      <c r="Y293" s="426" t="str">
        <f t="shared" ca="1" si="20"/>
        <v/>
      </c>
      <c r="Z293" s="427" t="str">
        <f t="shared" ca="1" si="21"/>
        <v/>
      </c>
      <c r="AA293" s="426" t="str">
        <f t="shared" ca="1" si="22"/>
        <v/>
      </c>
      <c r="AB293" s="428" t="str">
        <f t="shared" ca="1" si="23"/>
        <v/>
      </c>
      <c r="AC293" s="427" t="str">
        <f t="shared" ca="1" si="24"/>
        <v/>
      </c>
      <c r="AD293" s="227"/>
    </row>
    <row r="294" spans="1:30" customFormat="1" ht="15">
      <c r="A294" s="227"/>
      <c r="B294" s="276">
        <v>256</v>
      </c>
      <c r="C294" s="254"/>
      <c r="D294" s="255"/>
      <c r="E294" s="247"/>
      <c r="F294" s="232"/>
      <c r="G294" s="239"/>
      <c r="H294" s="386">
        <v>280</v>
      </c>
      <c r="I294" s="404"/>
      <c r="J294" s="404"/>
      <c r="K294" s="413"/>
      <c r="L294" s="413"/>
      <c r="M294" s="413"/>
      <c r="N294" s="452"/>
      <c r="O294" s="413"/>
      <c r="P294" s="413"/>
      <c r="Q294" s="413"/>
      <c r="R294" s="452"/>
      <c r="S294" s="443"/>
      <c r="T294" s="42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3"/>
      <c r="V294" s="423"/>
      <c r="W294" s="424"/>
      <c r="X294" s="425"/>
      <c r="Y294" s="426" t="str">
        <f t="shared" ca="1" si="20"/>
        <v/>
      </c>
      <c r="Z294" s="427" t="str">
        <f t="shared" ca="1" si="21"/>
        <v/>
      </c>
      <c r="AA294" s="426" t="str">
        <f t="shared" ca="1" si="22"/>
        <v/>
      </c>
      <c r="AB294" s="428" t="str">
        <f t="shared" ca="1" si="23"/>
        <v/>
      </c>
      <c r="AC294" s="427" t="str">
        <f t="shared" ca="1" si="24"/>
        <v/>
      </c>
      <c r="AD294" s="227"/>
    </row>
    <row r="295" spans="1:30" customFormat="1" ht="15">
      <c r="A295" s="227"/>
      <c r="B295" s="276">
        <v>257</v>
      </c>
      <c r="C295" s="254"/>
      <c r="D295" s="255"/>
      <c r="E295" s="247"/>
      <c r="F295" s="232"/>
      <c r="G295" s="239"/>
      <c r="H295" s="386">
        <v>281</v>
      </c>
      <c r="I295" s="404"/>
      <c r="J295" s="404"/>
      <c r="K295" s="413"/>
      <c r="L295" s="413"/>
      <c r="M295" s="413"/>
      <c r="N295" s="452"/>
      <c r="O295" s="413"/>
      <c r="P295" s="413"/>
      <c r="Q295" s="413"/>
      <c r="R295" s="452"/>
      <c r="S295" s="443"/>
      <c r="T295" s="42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3"/>
      <c r="V295" s="423"/>
      <c r="W295" s="424"/>
      <c r="X295" s="425"/>
      <c r="Y295" s="426" t="str">
        <f t="shared" ca="1" si="20"/>
        <v/>
      </c>
      <c r="Z295" s="427" t="str">
        <f t="shared" ca="1" si="21"/>
        <v/>
      </c>
      <c r="AA295" s="426" t="str">
        <f t="shared" ca="1" si="22"/>
        <v/>
      </c>
      <c r="AB295" s="428" t="str">
        <f t="shared" ca="1" si="23"/>
        <v/>
      </c>
      <c r="AC295" s="427" t="str">
        <f t="shared" ca="1" si="24"/>
        <v/>
      </c>
      <c r="AD295" s="227"/>
    </row>
    <row r="296" spans="1:30" customFormat="1" ht="15">
      <c r="A296" s="227"/>
      <c r="B296" s="276">
        <v>258</v>
      </c>
      <c r="C296" s="254"/>
      <c r="D296" s="255"/>
      <c r="E296" s="247"/>
      <c r="F296" s="232"/>
      <c r="G296" s="239"/>
      <c r="H296" s="386">
        <v>282</v>
      </c>
      <c r="I296" s="404"/>
      <c r="J296" s="404"/>
      <c r="K296" s="413"/>
      <c r="L296" s="413"/>
      <c r="M296" s="413"/>
      <c r="N296" s="452"/>
      <c r="O296" s="413"/>
      <c r="P296" s="413"/>
      <c r="Q296" s="413"/>
      <c r="R296" s="452"/>
      <c r="S296" s="443"/>
      <c r="T296" s="42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3"/>
      <c r="V296" s="423"/>
      <c r="W296" s="424"/>
      <c r="X296" s="425"/>
      <c r="Y296" s="426" t="str">
        <f t="shared" ca="1" si="20"/>
        <v/>
      </c>
      <c r="Z296" s="427" t="str">
        <f t="shared" ca="1" si="21"/>
        <v/>
      </c>
      <c r="AA296" s="426" t="str">
        <f t="shared" ca="1" si="22"/>
        <v/>
      </c>
      <c r="AB296" s="428" t="str">
        <f t="shared" ca="1" si="23"/>
        <v/>
      </c>
      <c r="AC296" s="427" t="str">
        <f t="shared" ca="1" si="24"/>
        <v/>
      </c>
      <c r="AD296" s="227"/>
    </row>
    <row r="297" spans="1:30" customFormat="1" ht="15">
      <c r="A297" s="227"/>
      <c r="B297" s="276">
        <v>259</v>
      </c>
      <c r="C297" s="254"/>
      <c r="D297" s="255"/>
      <c r="E297" s="247"/>
      <c r="F297" s="232"/>
      <c r="G297" s="239"/>
      <c r="H297" s="386">
        <v>283</v>
      </c>
      <c r="I297" s="404"/>
      <c r="J297" s="404"/>
      <c r="K297" s="413"/>
      <c r="L297" s="413"/>
      <c r="M297" s="413"/>
      <c r="N297" s="452"/>
      <c r="O297" s="413"/>
      <c r="P297" s="413"/>
      <c r="Q297" s="413"/>
      <c r="R297" s="452"/>
      <c r="S297" s="443"/>
      <c r="T297" s="42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3"/>
      <c r="V297" s="423"/>
      <c r="W297" s="424"/>
      <c r="X297" s="425"/>
      <c r="Y297" s="426" t="str">
        <f t="shared" ca="1" si="20"/>
        <v/>
      </c>
      <c r="Z297" s="427" t="str">
        <f t="shared" ca="1" si="21"/>
        <v/>
      </c>
      <c r="AA297" s="426" t="str">
        <f t="shared" ca="1" si="22"/>
        <v/>
      </c>
      <c r="AB297" s="428" t="str">
        <f t="shared" ca="1" si="23"/>
        <v/>
      </c>
      <c r="AC297" s="427" t="str">
        <f t="shared" ca="1" si="24"/>
        <v/>
      </c>
      <c r="AD297" s="227"/>
    </row>
    <row r="298" spans="1:30" customFormat="1" ht="15">
      <c r="A298" s="227"/>
      <c r="B298" s="276">
        <v>260</v>
      </c>
      <c r="C298" s="254"/>
      <c r="D298" s="255"/>
      <c r="E298" s="247"/>
      <c r="F298" s="232"/>
      <c r="G298" s="239"/>
      <c r="H298" s="386">
        <v>284</v>
      </c>
      <c r="I298" s="404"/>
      <c r="J298" s="404"/>
      <c r="K298" s="413"/>
      <c r="L298" s="413"/>
      <c r="M298" s="413"/>
      <c r="N298" s="452"/>
      <c r="O298" s="413"/>
      <c r="P298" s="413"/>
      <c r="Q298" s="413"/>
      <c r="R298" s="452"/>
      <c r="S298" s="443"/>
      <c r="T298" s="42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3"/>
      <c r="V298" s="423"/>
      <c r="W298" s="424"/>
      <c r="X298" s="425"/>
      <c r="Y298" s="426" t="str">
        <f t="shared" ca="1" si="20"/>
        <v/>
      </c>
      <c r="Z298" s="427" t="str">
        <f t="shared" ca="1" si="21"/>
        <v/>
      </c>
      <c r="AA298" s="426" t="str">
        <f t="shared" ca="1" si="22"/>
        <v/>
      </c>
      <c r="AB298" s="428" t="str">
        <f t="shared" ca="1" si="23"/>
        <v/>
      </c>
      <c r="AC298" s="427" t="str">
        <f t="shared" ca="1" si="24"/>
        <v/>
      </c>
      <c r="AD298" s="227"/>
    </row>
    <row r="299" spans="1:30" customFormat="1" ht="15">
      <c r="A299" s="227"/>
      <c r="B299" s="276">
        <v>261</v>
      </c>
      <c r="C299" s="254"/>
      <c r="D299" s="255"/>
      <c r="E299" s="247"/>
      <c r="F299" s="232"/>
      <c r="G299" s="239"/>
      <c r="H299" s="386">
        <v>285</v>
      </c>
      <c r="I299" s="404"/>
      <c r="J299" s="404"/>
      <c r="K299" s="413"/>
      <c r="L299" s="413"/>
      <c r="M299" s="413"/>
      <c r="N299" s="452"/>
      <c r="O299" s="413"/>
      <c r="P299" s="413"/>
      <c r="Q299" s="413"/>
      <c r="R299" s="452"/>
      <c r="S299" s="443"/>
      <c r="T299" s="42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3"/>
      <c r="V299" s="423"/>
      <c r="W299" s="424"/>
      <c r="X299" s="425"/>
      <c r="Y299" s="426" t="str">
        <f t="shared" ca="1" si="20"/>
        <v/>
      </c>
      <c r="Z299" s="427" t="str">
        <f t="shared" ca="1" si="21"/>
        <v/>
      </c>
      <c r="AA299" s="426" t="str">
        <f t="shared" ca="1" si="22"/>
        <v/>
      </c>
      <c r="AB299" s="428" t="str">
        <f t="shared" ca="1" si="23"/>
        <v/>
      </c>
      <c r="AC299" s="427" t="str">
        <f t="shared" ca="1" si="24"/>
        <v/>
      </c>
      <c r="AD299" s="227"/>
    </row>
    <row r="300" spans="1:30" customFormat="1" ht="15">
      <c r="A300" s="227"/>
      <c r="B300" s="276">
        <v>262</v>
      </c>
      <c r="C300" s="254"/>
      <c r="D300" s="255"/>
      <c r="E300" s="247"/>
      <c r="F300" s="232"/>
      <c r="G300" s="239"/>
      <c r="H300" s="386">
        <v>286</v>
      </c>
      <c r="I300" s="404"/>
      <c r="J300" s="404"/>
      <c r="K300" s="413"/>
      <c r="L300" s="413"/>
      <c r="M300" s="413"/>
      <c r="N300" s="452"/>
      <c r="O300" s="413"/>
      <c r="P300" s="413"/>
      <c r="Q300" s="413"/>
      <c r="R300" s="452"/>
      <c r="S300" s="443"/>
      <c r="T300" s="42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3"/>
      <c r="V300" s="423"/>
      <c r="W300" s="424"/>
      <c r="X300" s="425"/>
      <c r="Y300" s="426" t="str">
        <f t="shared" ca="1" si="20"/>
        <v/>
      </c>
      <c r="Z300" s="427" t="str">
        <f t="shared" ca="1" si="21"/>
        <v/>
      </c>
      <c r="AA300" s="426" t="str">
        <f t="shared" ca="1" si="22"/>
        <v/>
      </c>
      <c r="AB300" s="428" t="str">
        <f t="shared" ca="1" si="23"/>
        <v/>
      </c>
      <c r="AC300" s="427" t="str">
        <f t="shared" ca="1" si="24"/>
        <v/>
      </c>
      <c r="AD300" s="227"/>
    </row>
    <row r="301" spans="1:30" customFormat="1" ht="15">
      <c r="A301" s="227"/>
      <c r="B301" s="276">
        <v>263</v>
      </c>
      <c r="C301" s="254"/>
      <c r="D301" s="255"/>
      <c r="E301" s="247"/>
      <c r="F301" s="232"/>
      <c r="G301" s="239"/>
      <c r="H301" s="386">
        <v>287</v>
      </c>
      <c r="I301" s="404"/>
      <c r="J301" s="404"/>
      <c r="K301" s="413"/>
      <c r="L301" s="413"/>
      <c r="M301" s="413"/>
      <c r="N301" s="452"/>
      <c r="O301" s="413"/>
      <c r="P301" s="413"/>
      <c r="Q301" s="413"/>
      <c r="R301" s="452"/>
      <c r="S301" s="443"/>
      <c r="T301" s="42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3"/>
      <c r="V301" s="423"/>
      <c r="W301" s="424"/>
      <c r="X301" s="425"/>
      <c r="Y301" s="426" t="str">
        <f t="shared" ca="1" si="20"/>
        <v/>
      </c>
      <c r="Z301" s="427" t="str">
        <f t="shared" ca="1" si="21"/>
        <v/>
      </c>
      <c r="AA301" s="426" t="str">
        <f t="shared" ca="1" si="22"/>
        <v/>
      </c>
      <c r="AB301" s="428" t="str">
        <f t="shared" ca="1" si="23"/>
        <v/>
      </c>
      <c r="AC301" s="427" t="str">
        <f t="shared" ca="1" si="24"/>
        <v/>
      </c>
      <c r="AD301" s="227"/>
    </row>
    <row r="302" spans="1:30" customFormat="1" ht="15">
      <c r="A302" s="227"/>
      <c r="B302" s="276">
        <v>264</v>
      </c>
      <c r="C302" s="254"/>
      <c r="D302" s="255"/>
      <c r="E302" s="247"/>
      <c r="F302" s="232"/>
      <c r="G302" s="239"/>
      <c r="H302" s="386">
        <v>288</v>
      </c>
      <c r="I302" s="404"/>
      <c r="J302" s="404"/>
      <c r="K302" s="413"/>
      <c r="L302" s="413"/>
      <c r="M302" s="413"/>
      <c r="N302" s="452"/>
      <c r="O302" s="413"/>
      <c r="P302" s="413"/>
      <c r="Q302" s="413"/>
      <c r="R302" s="452"/>
      <c r="S302" s="443"/>
      <c r="T302" s="42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3"/>
      <c r="V302" s="423"/>
      <c r="W302" s="424"/>
      <c r="X302" s="425"/>
      <c r="Y302" s="426" t="str">
        <f t="shared" ca="1" si="20"/>
        <v/>
      </c>
      <c r="Z302" s="427" t="str">
        <f t="shared" ca="1" si="21"/>
        <v/>
      </c>
      <c r="AA302" s="426" t="str">
        <f t="shared" ca="1" si="22"/>
        <v/>
      </c>
      <c r="AB302" s="428" t="str">
        <f t="shared" ca="1" si="23"/>
        <v/>
      </c>
      <c r="AC302" s="427" t="str">
        <f t="shared" ca="1" si="24"/>
        <v/>
      </c>
      <c r="AD302" s="227"/>
    </row>
    <row r="303" spans="1:30" customFormat="1" ht="15">
      <c r="A303" s="227"/>
      <c r="B303" s="276">
        <v>265</v>
      </c>
      <c r="C303" s="254"/>
      <c r="D303" s="255"/>
      <c r="E303" s="247"/>
      <c r="F303" s="232"/>
      <c r="G303" s="239"/>
      <c r="H303" s="386">
        <v>289</v>
      </c>
      <c r="I303" s="404"/>
      <c r="J303" s="404"/>
      <c r="K303" s="413"/>
      <c r="L303" s="413"/>
      <c r="M303" s="413"/>
      <c r="N303" s="452"/>
      <c r="O303" s="413"/>
      <c r="P303" s="413"/>
      <c r="Q303" s="413"/>
      <c r="R303" s="452"/>
      <c r="S303" s="443"/>
      <c r="T303" s="42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3"/>
      <c r="V303" s="423"/>
      <c r="W303" s="424"/>
      <c r="X303" s="425"/>
      <c r="Y303" s="426" t="str">
        <f t="shared" ca="1" si="20"/>
        <v/>
      </c>
      <c r="Z303" s="427" t="str">
        <f t="shared" ca="1" si="21"/>
        <v/>
      </c>
      <c r="AA303" s="426" t="str">
        <f t="shared" ca="1" si="22"/>
        <v/>
      </c>
      <c r="AB303" s="428" t="str">
        <f t="shared" ca="1" si="23"/>
        <v/>
      </c>
      <c r="AC303" s="427" t="str">
        <f t="shared" ca="1" si="24"/>
        <v/>
      </c>
      <c r="AD303" s="227"/>
    </row>
    <row r="304" spans="1:30" customFormat="1" ht="15">
      <c r="A304" s="227"/>
      <c r="B304" s="276">
        <v>266</v>
      </c>
      <c r="C304" s="254"/>
      <c r="D304" s="255"/>
      <c r="E304" s="247"/>
      <c r="F304" s="232"/>
      <c r="G304" s="239"/>
      <c r="H304" s="386">
        <v>290</v>
      </c>
      <c r="I304" s="404"/>
      <c r="J304" s="404"/>
      <c r="K304" s="413"/>
      <c r="L304" s="413"/>
      <c r="M304" s="413"/>
      <c r="N304" s="452"/>
      <c r="O304" s="413"/>
      <c r="P304" s="413"/>
      <c r="Q304" s="413"/>
      <c r="R304" s="452"/>
      <c r="S304" s="443"/>
      <c r="T304" s="42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3"/>
      <c r="V304" s="423"/>
      <c r="W304" s="424"/>
      <c r="X304" s="425"/>
      <c r="Y304" s="426" t="str">
        <f t="shared" ca="1" si="20"/>
        <v/>
      </c>
      <c r="Z304" s="427" t="str">
        <f t="shared" ca="1" si="21"/>
        <v/>
      </c>
      <c r="AA304" s="426" t="str">
        <f t="shared" ca="1" si="22"/>
        <v/>
      </c>
      <c r="AB304" s="428" t="str">
        <f t="shared" ca="1" si="23"/>
        <v/>
      </c>
      <c r="AC304" s="427" t="str">
        <f t="shared" ca="1" si="24"/>
        <v/>
      </c>
      <c r="AD304" s="227"/>
    </row>
    <row r="305" spans="1:30" customFormat="1" ht="15">
      <c r="A305" s="227"/>
      <c r="B305" s="276">
        <v>267</v>
      </c>
      <c r="C305" s="254"/>
      <c r="D305" s="255"/>
      <c r="E305" s="247"/>
      <c r="F305" s="232"/>
      <c r="G305" s="239"/>
      <c r="H305" s="386">
        <v>291</v>
      </c>
      <c r="I305" s="404"/>
      <c r="J305" s="404"/>
      <c r="K305" s="413"/>
      <c r="L305" s="413"/>
      <c r="M305" s="413"/>
      <c r="N305" s="452"/>
      <c r="O305" s="413"/>
      <c r="P305" s="413"/>
      <c r="Q305" s="413"/>
      <c r="R305" s="452"/>
      <c r="S305" s="443"/>
      <c r="T305" s="42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3"/>
      <c r="V305" s="423"/>
      <c r="W305" s="424"/>
      <c r="X305" s="425"/>
      <c r="Y305" s="426" t="str">
        <f t="shared" ca="1" si="20"/>
        <v/>
      </c>
      <c r="Z305" s="427" t="str">
        <f t="shared" ca="1" si="21"/>
        <v/>
      </c>
      <c r="AA305" s="426" t="str">
        <f t="shared" ca="1" si="22"/>
        <v/>
      </c>
      <c r="AB305" s="428" t="str">
        <f t="shared" ca="1" si="23"/>
        <v/>
      </c>
      <c r="AC305" s="427" t="str">
        <f t="shared" ca="1" si="24"/>
        <v/>
      </c>
      <c r="AD305" s="227"/>
    </row>
    <row r="306" spans="1:30" customFormat="1" ht="15">
      <c r="A306" s="227"/>
      <c r="B306" s="276">
        <v>268</v>
      </c>
      <c r="C306" s="254"/>
      <c r="D306" s="255"/>
      <c r="E306" s="247"/>
      <c r="F306" s="232"/>
      <c r="G306" s="239"/>
      <c r="H306" s="386">
        <v>292</v>
      </c>
      <c r="I306" s="404"/>
      <c r="J306" s="404"/>
      <c r="K306" s="413"/>
      <c r="L306" s="413"/>
      <c r="M306" s="413"/>
      <c r="N306" s="452"/>
      <c r="O306" s="413"/>
      <c r="P306" s="413"/>
      <c r="Q306" s="413"/>
      <c r="R306" s="452"/>
      <c r="S306" s="443"/>
      <c r="T306" s="42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3"/>
      <c r="V306" s="423"/>
      <c r="W306" s="424"/>
      <c r="X306" s="425"/>
      <c r="Y306" s="426" t="str">
        <f t="shared" ca="1" si="20"/>
        <v/>
      </c>
      <c r="Z306" s="427" t="str">
        <f t="shared" ca="1" si="21"/>
        <v/>
      </c>
      <c r="AA306" s="426" t="str">
        <f t="shared" ca="1" si="22"/>
        <v/>
      </c>
      <c r="AB306" s="428" t="str">
        <f t="shared" ca="1" si="23"/>
        <v/>
      </c>
      <c r="AC306" s="427" t="str">
        <f t="shared" ca="1" si="24"/>
        <v/>
      </c>
      <c r="AD306" s="227"/>
    </row>
    <row r="307" spans="1:30" customFormat="1" ht="15">
      <c r="A307" s="227"/>
      <c r="B307" s="276">
        <v>269</v>
      </c>
      <c r="C307" s="254"/>
      <c r="D307" s="255"/>
      <c r="E307" s="247"/>
      <c r="F307" s="232"/>
      <c r="G307" s="239"/>
      <c r="H307" s="386">
        <v>293</v>
      </c>
      <c r="I307" s="404"/>
      <c r="J307" s="404"/>
      <c r="K307" s="413"/>
      <c r="L307" s="413"/>
      <c r="M307" s="413"/>
      <c r="N307" s="452"/>
      <c r="O307" s="413"/>
      <c r="P307" s="413"/>
      <c r="Q307" s="413"/>
      <c r="R307" s="452"/>
      <c r="S307" s="443"/>
      <c r="T307" s="42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3"/>
      <c r="V307" s="423"/>
      <c r="W307" s="424"/>
      <c r="X307" s="425"/>
      <c r="Y307" s="426" t="str">
        <f t="shared" ca="1" si="20"/>
        <v/>
      </c>
      <c r="Z307" s="427" t="str">
        <f t="shared" ca="1" si="21"/>
        <v/>
      </c>
      <c r="AA307" s="426" t="str">
        <f t="shared" ca="1" si="22"/>
        <v/>
      </c>
      <c r="AB307" s="428" t="str">
        <f t="shared" ca="1" si="23"/>
        <v/>
      </c>
      <c r="AC307" s="427" t="str">
        <f t="shared" ca="1" si="24"/>
        <v/>
      </c>
      <c r="AD307" s="227"/>
    </row>
    <row r="308" spans="1:30" customFormat="1" ht="15">
      <c r="A308" s="227"/>
      <c r="B308" s="276">
        <v>270</v>
      </c>
      <c r="C308" s="254"/>
      <c r="D308" s="255"/>
      <c r="E308" s="247"/>
      <c r="F308" s="232"/>
      <c r="G308" s="239"/>
      <c r="H308" s="386">
        <v>294</v>
      </c>
      <c r="I308" s="404"/>
      <c r="J308" s="404"/>
      <c r="K308" s="413"/>
      <c r="L308" s="413"/>
      <c r="M308" s="413"/>
      <c r="N308" s="452"/>
      <c r="O308" s="413"/>
      <c r="P308" s="413"/>
      <c r="Q308" s="413"/>
      <c r="R308" s="452"/>
      <c r="S308" s="443"/>
      <c r="T308" s="42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3"/>
      <c r="V308" s="423"/>
      <c r="W308" s="424"/>
      <c r="X308" s="425"/>
      <c r="Y308" s="426" t="str">
        <f t="shared" ca="1" si="20"/>
        <v/>
      </c>
      <c r="Z308" s="427" t="str">
        <f t="shared" ca="1" si="21"/>
        <v/>
      </c>
      <c r="AA308" s="426" t="str">
        <f t="shared" ca="1" si="22"/>
        <v/>
      </c>
      <c r="AB308" s="428" t="str">
        <f t="shared" ca="1" si="23"/>
        <v/>
      </c>
      <c r="AC308" s="427" t="str">
        <f t="shared" ca="1" si="24"/>
        <v/>
      </c>
      <c r="AD308" s="227"/>
    </row>
    <row r="309" spans="1:30" customFormat="1" ht="15">
      <c r="A309" s="227"/>
      <c r="B309" s="276">
        <v>271</v>
      </c>
      <c r="C309" s="254"/>
      <c r="D309" s="255"/>
      <c r="E309" s="247"/>
      <c r="F309" s="232"/>
      <c r="G309" s="239"/>
      <c r="H309" s="386">
        <v>295</v>
      </c>
      <c r="I309" s="404"/>
      <c r="J309" s="404"/>
      <c r="K309" s="413"/>
      <c r="L309" s="413"/>
      <c r="M309" s="413"/>
      <c r="N309" s="452"/>
      <c r="O309" s="413"/>
      <c r="P309" s="413"/>
      <c r="Q309" s="413"/>
      <c r="R309" s="452"/>
      <c r="S309" s="443"/>
      <c r="T309" s="42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3"/>
      <c r="V309" s="423"/>
      <c r="W309" s="424"/>
      <c r="X309" s="425"/>
      <c r="Y309" s="426" t="str">
        <f t="shared" ca="1" si="20"/>
        <v/>
      </c>
      <c r="Z309" s="427" t="str">
        <f t="shared" ca="1" si="21"/>
        <v/>
      </c>
      <c r="AA309" s="426" t="str">
        <f t="shared" ca="1" si="22"/>
        <v/>
      </c>
      <c r="AB309" s="428" t="str">
        <f t="shared" ca="1" si="23"/>
        <v/>
      </c>
      <c r="AC309" s="427" t="str">
        <f t="shared" ca="1" si="24"/>
        <v/>
      </c>
      <c r="AD309" s="227"/>
    </row>
    <row r="310" spans="1:30" customFormat="1" ht="15">
      <c r="A310" s="227"/>
      <c r="B310" s="276">
        <v>272</v>
      </c>
      <c r="C310" s="254"/>
      <c r="D310" s="255"/>
      <c r="E310" s="247"/>
      <c r="F310" s="232"/>
      <c r="G310" s="239"/>
      <c r="H310" s="386">
        <v>296</v>
      </c>
      <c r="I310" s="404"/>
      <c r="J310" s="404"/>
      <c r="K310" s="413"/>
      <c r="L310" s="413"/>
      <c r="M310" s="413"/>
      <c r="N310" s="452"/>
      <c r="O310" s="413"/>
      <c r="P310" s="413"/>
      <c r="Q310" s="413"/>
      <c r="R310" s="452"/>
      <c r="S310" s="443"/>
      <c r="T310" s="42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3"/>
      <c r="V310" s="423"/>
      <c r="W310" s="424"/>
      <c r="X310" s="425"/>
      <c r="Y310" s="426" t="str">
        <f t="shared" ca="1" si="20"/>
        <v/>
      </c>
      <c r="Z310" s="427" t="str">
        <f t="shared" ca="1" si="21"/>
        <v/>
      </c>
      <c r="AA310" s="426" t="str">
        <f t="shared" ca="1" si="22"/>
        <v/>
      </c>
      <c r="AB310" s="428" t="str">
        <f t="shared" ca="1" si="23"/>
        <v/>
      </c>
      <c r="AC310" s="427" t="str">
        <f t="shared" ca="1" si="24"/>
        <v/>
      </c>
      <c r="AD310" s="227"/>
    </row>
    <row r="311" spans="1:30" customFormat="1" ht="15">
      <c r="A311" s="227"/>
      <c r="B311" s="276">
        <v>273</v>
      </c>
      <c r="C311" s="254"/>
      <c r="D311" s="255"/>
      <c r="E311" s="247"/>
      <c r="F311" s="232"/>
      <c r="G311" s="239"/>
      <c r="H311" s="386">
        <v>297</v>
      </c>
      <c r="I311" s="404"/>
      <c r="J311" s="404"/>
      <c r="K311" s="413"/>
      <c r="L311" s="413"/>
      <c r="M311" s="413"/>
      <c r="N311" s="452"/>
      <c r="O311" s="413"/>
      <c r="P311" s="413"/>
      <c r="Q311" s="413"/>
      <c r="R311" s="452"/>
      <c r="S311" s="443"/>
      <c r="T311" s="42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3"/>
      <c r="V311" s="423"/>
      <c r="W311" s="424"/>
      <c r="X311" s="425"/>
      <c r="Y311" s="426" t="str">
        <f t="shared" ca="1" si="20"/>
        <v/>
      </c>
      <c r="Z311" s="427" t="str">
        <f t="shared" ca="1" si="21"/>
        <v/>
      </c>
      <c r="AA311" s="426" t="str">
        <f t="shared" ca="1" si="22"/>
        <v/>
      </c>
      <c r="AB311" s="428" t="str">
        <f t="shared" ca="1" si="23"/>
        <v/>
      </c>
      <c r="AC311" s="427" t="str">
        <f t="shared" ca="1" si="24"/>
        <v/>
      </c>
      <c r="AD311" s="227"/>
    </row>
    <row r="312" spans="1:30" customFormat="1" ht="15">
      <c r="A312" s="227"/>
      <c r="B312" s="276">
        <v>274</v>
      </c>
      <c r="C312" s="254"/>
      <c r="D312" s="255"/>
      <c r="E312" s="247"/>
      <c r="F312" s="232"/>
      <c r="G312" s="239"/>
      <c r="H312" s="386">
        <v>298</v>
      </c>
      <c r="I312" s="404"/>
      <c r="J312" s="404"/>
      <c r="K312" s="413"/>
      <c r="L312" s="413"/>
      <c r="M312" s="413"/>
      <c r="N312" s="452"/>
      <c r="O312" s="413"/>
      <c r="P312" s="413"/>
      <c r="Q312" s="413"/>
      <c r="R312" s="452"/>
      <c r="S312" s="443"/>
      <c r="T312" s="42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3"/>
      <c r="V312" s="423"/>
      <c r="W312" s="424"/>
      <c r="X312" s="425"/>
      <c r="Y312" s="426" t="str">
        <f t="shared" ca="1" si="20"/>
        <v/>
      </c>
      <c r="Z312" s="427" t="str">
        <f t="shared" ca="1" si="21"/>
        <v/>
      </c>
      <c r="AA312" s="426" t="str">
        <f t="shared" ca="1" si="22"/>
        <v/>
      </c>
      <c r="AB312" s="428" t="str">
        <f t="shared" ca="1" si="23"/>
        <v/>
      </c>
      <c r="AC312" s="427" t="str">
        <f t="shared" ca="1" si="24"/>
        <v/>
      </c>
      <c r="AD312" s="227"/>
    </row>
    <row r="313" spans="1:30" customFormat="1" ht="15">
      <c r="A313" s="227"/>
      <c r="B313" s="276">
        <v>275</v>
      </c>
      <c r="C313" s="254"/>
      <c r="D313" s="255"/>
      <c r="E313" s="247"/>
      <c r="F313" s="232"/>
      <c r="G313" s="239"/>
      <c r="H313" s="386">
        <v>299</v>
      </c>
      <c r="I313" s="404"/>
      <c r="J313" s="404"/>
      <c r="K313" s="413"/>
      <c r="L313" s="413"/>
      <c r="M313" s="413"/>
      <c r="N313" s="452"/>
      <c r="O313" s="413"/>
      <c r="P313" s="413"/>
      <c r="Q313" s="413"/>
      <c r="R313" s="452"/>
      <c r="S313" s="443"/>
      <c r="T313" s="42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3"/>
      <c r="V313" s="423"/>
      <c r="W313" s="424"/>
      <c r="X313" s="425"/>
      <c r="Y313" s="426" t="str">
        <f t="shared" ca="1" si="20"/>
        <v/>
      </c>
      <c r="Z313" s="427" t="str">
        <f t="shared" ca="1" si="21"/>
        <v/>
      </c>
      <c r="AA313" s="426" t="str">
        <f t="shared" ca="1" si="22"/>
        <v/>
      </c>
      <c r="AB313" s="428" t="str">
        <f t="shared" ca="1" si="23"/>
        <v/>
      </c>
      <c r="AC313" s="427" t="str">
        <f t="shared" ca="1" si="24"/>
        <v/>
      </c>
      <c r="AD313" s="227"/>
    </row>
    <row r="314" spans="1:30" customFormat="1" ht="15.75" thickBot="1">
      <c r="A314" s="227"/>
      <c r="B314" s="276">
        <v>276</v>
      </c>
      <c r="C314" s="254"/>
      <c r="D314" s="255"/>
      <c r="E314" s="247"/>
      <c r="F314" s="232"/>
      <c r="G314" s="239"/>
      <c r="H314" s="389">
        <v>300</v>
      </c>
      <c r="I314" s="414"/>
      <c r="J314" s="414"/>
      <c r="K314" s="415"/>
      <c r="L314" s="415"/>
      <c r="M314" s="415"/>
      <c r="N314" s="416"/>
      <c r="O314" s="415"/>
      <c r="P314" s="415"/>
      <c r="Q314" s="415"/>
      <c r="R314" s="416"/>
      <c r="S314" s="454"/>
      <c r="T314" s="43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9"/>
      <c r="V314" s="429"/>
      <c r="W314" s="430"/>
      <c r="X314" s="431"/>
      <c r="Y314" s="426" t="str">
        <f t="shared" ca="1" si="20"/>
        <v/>
      </c>
      <c r="Z314" s="427" t="str">
        <f t="shared" ca="1" si="21"/>
        <v/>
      </c>
      <c r="AA314" s="430"/>
      <c r="AB314" s="430"/>
      <c r="AC314" s="416"/>
      <c r="AD314" s="227"/>
    </row>
    <row r="315" spans="1:30" customFormat="1" ht="15">
      <c r="A315" s="227"/>
      <c r="B315" s="276">
        <v>277</v>
      </c>
      <c r="C315" s="254"/>
      <c r="D315" s="255"/>
      <c r="E315" s="247"/>
      <c r="F315" s="232"/>
      <c r="G315" s="239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7"/>
      <c r="B316" s="276">
        <v>278</v>
      </c>
      <c r="C316" s="254"/>
      <c r="D316" s="255"/>
      <c r="E316" s="247"/>
      <c r="F316" s="232"/>
      <c r="G316" s="239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7"/>
      <c r="B317" s="276">
        <v>279</v>
      </c>
      <c r="C317" s="254"/>
      <c r="D317" s="255"/>
      <c r="E317" s="247"/>
      <c r="F317" s="232"/>
      <c r="G317" s="239"/>
      <c r="S317" s="444"/>
    </row>
    <row r="318" spans="1:30" customFormat="1" ht="15">
      <c r="A318" s="227"/>
      <c r="B318" s="276">
        <v>280</v>
      </c>
      <c r="C318" s="254"/>
      <c r="D318" s="255"/>
      <c r="E318" s="247"/>
      <c r="F318" s="232"/>
      <c r="G318" s="239"/>
      <c r="S318" s="444"/>
    </row>
    <row r="319" spans="1:30" customFormat="1" ht="15">
      <c r="A319" s="227"/>
      <c r="B319" s="276">
        <v>281</v>
      </c>
      <c r="C319" s="254"/>
      <c r="D319" s="255"/>
      <c r="E319" s="247"/>
      <c r="F319" s="232"/>
      <c r="G319" s="239"/>
      <c r="S319" s="444"/>
    </row>
    <row r="320" spans="1:30" customFormat="1" ht="15">
      <c r="A320" s="227"/>
      <c r="B320" s="276">
        <v>282</v>
      </c>
      <c r="C320" s="254"/>
      <c r="D320" s="255"/>
      <c r="E320" s="247"/>
      <c r="F320" s="232"/>
      <c r="G320" s="239"/>
      <c r="S320" s="444"/>
    </row>
    <row r="321" spans="1:19" customFormat="1" ht="15">
      <c r="A321" s="227"/>
      <c r="B321" s="276">
        <v>283</v>
      </c>
      <c r="C321" s="254"/>
      <c r="D321" s="255"/>
      <c r="E321" s="247"/>
      <c r="F321" s="232"/>
      <c r="G321" s="239"/>
      <c r="S321" s="444"/>
    </row>
    <row r="322" spans="1:19" customFormat="1" ht="15">
      <c r="A322" s="227"/>
      <c r="B322" s="276">
        <v>284</v>
      </c>
      <c r="C322" s="254"/>
      <c r="D322" s="255"/>
      <c r="E322" s="247"/>
      <c r="F322" s="232"/>
      <c r="G322" s="239"/>
      <c r="S322" s="444"/>
    </row>
    <row r="323" spans="1:19" customFormat="1" ht="15">
      <c r="A323" s="227"/>
      <c r="B323" s="276">
        <v>285</v>
      </c>
      <c r="C323" s="254"/>
      <c r="D323" s="255"/>
      <c r="E323" s="247"/>
      <c r="F323" s="232"/>
      <c r="G323" s="239"/>
      <c r="S323" s="444"/>
    </row>
    <row r="324" spans="1:19" customFormat="1" ht="15">
      <c r="A324" s="227"/>
      <c r="B324" s="276">
        <v>286</v>
      </c>
      <c r="C324" s="254"/>
      <c r="D324" s="255"/>
      <c r="E324" s="247"/>
      <c r="F324" s="232"/>
      <c r="G324" s="239"/>
      <c r="S324" s="444"/>
    </row>
    <row r="325" spans="1:19" customFormat="1" ht="15">
      <c r="A325" s="227"/>
      <c r="B325" s="276">
        <v>287</v>
      </c>
      <c r="C325" s="254"/>
      <c r="D325" s="255"/>
      <c r="E325" s="247"/>
      <c r="F325" s="232"/>
      <c r="G325" s="239"/>
      <c r="S325" s="444"/>
    </row>
    <row r="326" spans="1:19" customFormat="1" ht="15">
      <c r="A326" s="227"/>
      <c r="B326" s="276">
        <v>288</v>
      </c>
      <c r="C326" s="254"/>
      <c r="D326" s="255"/>
      <c r="E326" s="247"/>
      <c r="F326" s="232"/>
      <c r="G326" s="239"/>
      <c r="S326" s="444"/>
    </row>
    <row r="327" spans="1:19" customFormat="1" ht="15">
      <c r="A327" s="227"/>
      <c r="B327" s="276">
        <v>289</v>
      </c>
      <c r="C327" s="254"/>
      <c r="D327" s="255"/>
      <c r="E327" s="247"/>
      <c r="F327" s="232"/>
      <c r="G327" s="239"/>
      <c r="S327" s="444"/>
    </row>
    <row r="328" spans="1:19" customFormat="1" ht="15">
      <c r="A328" s="227"/>
      <c r="B328" s="276">
        <v>290</v>
      </c>
      <c r="C328" s="254"/>
      <c r="D328" s="255"/>
      <c r="E328" s="247"/>
      <c r="F328" s="232"/>
      <c r="G328" s="239"/>
    </row>
    <row r="329" spans="1:19" customFormat="1" ht="15">
      <c r="A329" s="227"/>
      <c r="B329" s="276">
        <v>291</v>
      </c>
      <c r="C329" s="254"/>
      <c r="D329" s="255"/>
      <c r="E329" s="247"/>
      <c r="F329" s="232"/>
      <c r="G329" s="239"/>
    </row>
    <row r="330" spans="1:19" customFormat="1" ht="15">
      <c r="A330" s="227"/>
      <c r="B330" s="276">
        <v>292</v>
      </c>
      <c r="C330" s="254"/>
      <c r="D330" s="255"/>
      <c r="E330" s="247"/>
      <c r="F330" s="232"/>
      <c r="G330" s="239"/>
    </row>
    <row r="331" spans="1:19" customFormat="1" ht="15">
      <c r="A331" s="227"/>
      <c r="B331" s="276">
        <v>293</v>
      </c>
      <c r="C331" s="254"/>
      <c r="D331" s="255"/>
      <c r="E331" s="247"/>
      <c r="F331" s="232"/>
      <c r="G331" s="239"/>
    </row>
    <row r="332" spans="1:19" customFormat="1" ht="15">
      <c r="A332" s="227"/>
      <c r="B332" s="276">
        <v>294</v>
      </c>
      <c r="C332" s="254"/>
      <c r="D332" s="255"/>
      <c r="E332" s="247"/>
      <c r="F332" s="232"/>
      <c r="G332" s="239"/>
    </row>
    <row r="333" spans="1:19" customFormat="1" ht="15">
      <c r="A333" s="227"/>
      <c r="B333" s="276">
        <v>295</v>
      </c>
      <c r="C333" s="254"/>
      <c r="D333" s="255"/>
      <c r="E333" s="247"/>
      <c r="F333" s="232"/>
      <c r="G333" s="239"/>
    </row>
    <row r="334" spans="1:19" customFormat="1" ht="15">
      <c r="A334" s="227"/>
      <c r="B334" s="276">
        <v>296</v>
      </c>
      <c r="C334" s="254"/>
      <c r="D334" s="255"/>
      <c r="E334" s="247"/>
      <c r="F334" s="232"/>
      <c r="G334" s="239"/>
    </row>
    <row r="335" spans="1:19" customFormat="1" ht="15">
      <c r="A335" s="227"/>
      <c r="B335" s="276">
        <v>297</v>
      </c>
      <c r="C335" s="254"/>
      <c r="D335" s="255"/>
      <c r="E335" s="247"/>
      <c r="F335" s="232"/>
      <c r="G335" s="239"/>
    </row>
    <row r="336" spans="1:19" customFormat="1" ht="15">
      <c r="A336" s="227"/>
      <c r="B336" s="276">
        <v>298</v>
      </c>
      <c r="C336" s="254"/>
      <c r="D336" s="255"/>
      <c r="E336" s="247"/>
      <c r="F336" s="232"/>
      <c r="G336" s="239"/>
    </row>
    <row r="337" spans="1:7" customFormat="1" ht="15">
      <c r="A337" s="227"/>
      <c r="B337" s="276">
        <v>299</v>
      </c>
      <c r="C337" s="254"/>
      <c r="D337" s="255"/>
      <c r="E337" s="247"/>
      <c r="F337" s="232"/>
      <c r="G337" s="239"/>
    </row>
    <row r="338" spans="1:7" customFormat="1" ht="15.75" thickBot="1">
      <c r="A338" s="227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T808"/>
  <sheetViews>
    <sheetView zoomScale="130" zoomScaleNormal="130" workbookViewId="0">
      <selection activeCell="P18" sqref="P18"/>
    </sheetView>
  </sheetViews>
  <sheetFormatPr defaultColWidth="9.140625" defaultRowHeight="11.25"/>
  <cols>
    <col min="1" max="1" width="2.85546875" style="281" customWidth="1"/>
    <col min="2" max="2" width="17" style="281" bestFit="1" customWidth="1"/>
    <col min="3" max="3" width="26.5703125" style="281" bestFit="1" customWidth="1"/>
    <col min="4" max="4" width="10.5703125" style="282" customWidth="1"/>
    <col min="5" max="5" width="9.85546875" style="282" customWidth="1"/>
    <col min="6" max="13" width="12.42578125" style="282" customWidth="1"/>
    <col min="14" max="14" width="9.85546875" style="282" customWidth="1"/>
    <col min="15" max="15" width="26.7109375" style="79" customWidth="1"/>
    <col min="16" max="16" width="9.140625" style="79"/>
    <col min="17" max="17" width="9.7109375" style="79" bestFit="1" customWidth="1"/>
    <col min="18" max="20" width="9.140625" style="79"/>
    <col min="21" max="21" width="13.140625" style="79" customWidth="1"/>
    <col min="22" max="22" width="11.140625" style="79" bestFit="1" customWidth="1"/>
    <col min="23" max="31" width="9.140625" style="79"/>
    <col min="32" max="16384" width="9.140625" style="281"/>
  </cols>
  <sheetData>
    <row r="1" spans="1:228" s="495" customFormat="1" ht="29.25" customHeight="1">
      <c r="A1" s="494"/>
      <c r="B1" s="494"/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  <c r="O1" s="494"/>
      <c r="P1" s="494"/>
      <c r="Q1" s="494"/>
      <c r="R1" s="494"/>
      <c r="S1" s="494"/>
      <c r="T1" s="494"/>
      <c r="U1" s="494"/>
      <c r="V1" s="494"/>
      <c r="W1" s="494"/>
      <c r="X1" s="494"/>
      <c r="Y1" s="494"/>
      <c r="Z1" s="494"/>
      <c r="AA1" s="494"/>
      <c r="AB1" s="494"/>
      <c r="AC1" s="494"/>
      <c r="AD1" s="494"/>
      <c r="AE1" s="494"/>
      <c r="AF1" s="494"/>
      <c r="AG1" s="494"/>
      <c r="AH1" s="494"/>
      <c r="AI1" s="494"/>
      <c r="AJ1" s="494"/>
      <c r="AK1" s="494"/>
      <c r="AL1" s="494"/>
      <c r="AM1" s="494"/>
      <c r="AN1" s="494"/>
      <c r="AO1" s="494"/>
      <c r="AP1" s="494"/>
      <c r="AQ1" s="494"/>
      <c r="AR1" s="494"/>
      <c r="AS1" s="494"/>
      <c r="AT1" s="494"/>
      <c r="AU1" s="494"/>
      <c r="AV1" s="494"/>
      <c r="AW1" s="494"/>
      <c r="AX1" s="494"/>
      <c r="AY1" s="494"/>
      <c r="AZ1" s="494"/>
      <c r="BA1" s="494"/>
      <c r="BB1" s="494"/>
      <c r="BC1" s="494"/>
      <c r="BD1" s="494"/>
      <c r="BE1" s="494"/>
      <c r="BF1" s="494"/>
      <c r="BG1" s="494"/>
      <c r="BH1" s="494"/>
      <c r="BI1" s="494"/>
      <c r="BJ1" s="494"/>
      <c r="BK1" s="494"/>
      <c r="BL1" s="494"/>
      <c r="BM1" s="494"/>
      <c r="BN1" s="494"/>
      <c r="BO1" s="494"/>
      <c r="BP1" s="494"/>
      <c r="BQ1" s="494"/>
      <c r="BR1" s="494"/>
      <c r="BS1" s="494"/>
      <c r="BT1" s="494"/>
      <c r="BU1" s="494"/>
      <c r="BV1" s="494"/>
      <c r="BW1" s="494"/>
      <c r="BX1" s="494"/>
      <c r="BY1" s="494"/>
      <c r="BZ1" s="494"/>
      <c r="CA1" s="494"/>
      <c r="CB1" s="494"/>
      <c r="CC1" s="494"/>
      <c r="CD1" s="494"/>
      <c r="CE1" s="494"/>
      <c r="CF1" s="494"/>
      <c r="CG1" s="494"/>
      <c r="CH1" s="494"/>
      <c r="CI1" s="494"/>
      <c r="CJ1" s="494"/>
      <c r="CK1" s="494"/>
      <c r="CL1" s="494"/>
      <c r="CM1" s="494"/>
      <c r="CN1" s="494"/>
      <c r="CO1" s="494"/>
      <c r="CP1" s="494"/>
      <c r="CQ1" s="494"/>
      <c r="CR1" s="494"/>
      <c r="CS1" s="494"/>
      <c r="CT1" s="494"/>
      <c r="CU1" s="494"/>
      <c r="CV1" s="494"/>
      <c r="CW1" s="494"/>
      <c r="CX1" s="494"/>
      <c r="CY1" s="494"/>
      <c r="CZ1" s="494"/>
      <c r="DA1" s="494"/>
      <c r="DB1" s="494"/>
      <c r="DC1" s="494"/>
      <c r="DD1" s="494"/>
      <c r="DE1" s="494"/>
      <c r="DF1" s="494"/>
      <c r="DG1" s="494"/>
      <c r="DH1" s="494"/>
      <c r="DI1" s="494"/>
      <c r="DJ1" s="494"/>
      <c r="DK1" s="494"/>
      <c r="DL1" s="494"/>
      <c r="DM1" s="494"/>
      <c r="DN1" s="494"/>
      <c r="DO1" s="494"/>
      <c r="DP1" s="494"/>
      <c r="DQ1" s="494"/>
      <c r="DR1" s="494"/>
      <c r="DS1" s="494"/>
      <c r="DT1" s="494"/>
      <c r="DU1" s="494"/>
      <c r="DV1" s="494"/>
      <c r="DW1" s="494"/>
      <c r="DX1" s="494"/>
      <c r="DY1" s="494"/>
      <c r="DZ1" s="494"/>
      <c r="EA1" s="494"/>
      <c r="EB1" s="494"/>
      <c r="EC1" s="494"/>
      <c r="ED1" s="494"/>
      <c r="EE1" s="494"/>
      <c r="EF1" s="494"/>
      <c r="EG1" s="494"/>
      <c r="EH1" s="494"/>
      <c r="EI1" s="494"/>
      <c r="EJ1" s="494"/>
      <c r="EK1" s="494"/>
      <c r="EL1" s="494"/>
      <c r="EM1" s="494"/>
      <c r="EN1" s="494"/>
      <c r="EO1" s="494"/>
      <c r="EP1" s="494"/>
      <c r="EQ1" s="494"/>
      <c r="ER1" s="494"/>
      <c r="ES1" s="494"/>
      <c r="ET1" s="494"/>
      <c r="EU1" s="494"/>
      <c r="EV1" s="494"/>
      <c r="EW1" s="494"/>
      <c r="EX1" s="494"/>
      <c r="EY1" s="494"/>
      <c r="EZ1" s="494"/>
      <c r="FA1" s="494"/>
      <c r="FB1" s="494"/>
      <c r="FC1" s="494"/>
      <c r="FD1" s="494"/>
      <c r="FE1" s="494"/>
      <c r="FF1" s="494"/>
      <c r="FG1" s="494"/>
      <c r="FH1" s="494"/>
      <c r="FI1" s="494"/>
      <c r="FJ1" s="494"/>
      <c r="FK1" s="494"/>
      <c r="FL1" s="494"/>
      <c r="FM1" s="494"/>
      <c r="FN1" s="494"/>
      <c r="FO1" s="494"/>
      <c r="FP1" s="494"/>
      <c r="FQ1" s="494"/>
      <c r="FR1" s="494"/>
      <c r="FS1" s="494"/>
      <c r="FT1" s="494"/>
      <c r="FU1" s="494"/>
      <c r="FV1" s="494"/>
      <c r="FW1" s="494"/>
      <c r="FX1" s="494"/>
      <c r="FY1" s="494"/>
      <c r="FZ1" s="494"/>
      <c r="GA1" s="494"/>
      <c r="GB1" s="494"/>
      <c r="GC1" s="494"/>
      <c r="GD1" s="494"/>
      <c r="GE1" s="494"/>
      <c r="GF1" s="494"/>
      <c r="GG1" s="494"/>
      <c r="GH1" s="494"/>
      <c r="GI1" s="494"/>
      <c r="GJ1" s="494"/>
      <c r="GK1" s="494"/>
      <c r="GL1" s="494"/>
      <c r="GM1" s="494"/>
      <c r="GN1" s="494"/>
      <c r="GO1" s="494"/>
      <c r="GP1" s="494"/>
      <c r="GQ1" s="494"/>
      <c r="GR1" s="494"/>
      <c r="GS1" s="494"/>
      <c r="GT1" s="494"/>
      <c r="GU1" s="494"/>
      <c r="GV1" s="494"/>
      <c r="GW1" s="494"/>
      <c r="GX1" s="494"/>
      <c r="GY1" s="494"/>
      <c r="GZ1" s="494"/>
      <c r="HA1" s="494"/>
      <c r="HB1" s="494"/>
      <c r="HC1" s="494"/>
      <c r="HD1" s="494"/>
      <c r="HE1" s="494"/>
      <c r="HF1" s="494"/>
      <c r="HG1" s="494"/>
      <c r="HH1" s="494"/>
      <c r="HI1" s="494"/>
      <c r="HJ1" s="494"/>
      <c r="HK1" s="494"/>
      <c r="HL1" s="494"/>
      <c r="HM1" s="494"/>
      <c r="HN1" s="494"/>
      <c r="HO1" s="494"/>
      <c r="HP1" s="494"/>
      <c r="HQ1" s="494"/>
      <c r="HR1" s="494"/>
      <c r="HS1" s="494"/>
      <c r="HT1" s="494"/>
    </row>
    <row r="2" spans="1:228" s="495" customFormat="1" ht="54.75" customHeight="1">
      <c r="A2" s="494"/>
      <c r="B2" s="494"/>
      <c r="C2" s="496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  <c r="O2" s="494"/>
      <c r="P2" s="494"/>
      <c r="Q2" s="494"/>
      <c r="R2" s="494"/>
      <c r="S2" s="494"/>
      <c r="T2" s="494"/>
      <c r="U2" s="494"/>
      <c r="V2" s="494"/>
      <c r="W2" s="494"/>
      <c r="X2" s="494"/>
      <c r="Y2" s="494"/>
      <c r="Z2" s="494"/>
      <c r="AA2" s="494"/>
      <c r="AB2" s="494"/>
      <c r="AC2" s="494"/>
      <c r="AD2" s="494"/>
      <c r="AE2" s="494"/>
      <c r="AF2" s="494"/>
      <c r="AG2" s="494"/>
      <c r="AH2" s="494"/>
      <c r="AI2" s="494"/>
      <c r="AJ2" s="494"/>
      <c r="AK2" s="494"/>
      <c r="AL2" s="494"/>
      <c r="AM2" s="494"/>
      <c r="AN2" s="494"/>
      <c r="AO2" s="494"/>
      <c r="AP2" s="494"/>
      <c r="AQ2" s="494"/>
      <c r="AR2" s="494"/>
      <c r="AS2" s="494"/>
      <c r="AT2" s="494"/>
      <c r="AU2" s="494"/>
      <c r="AV2" s="494"/>
      <c r="AW2" s="494"/>
      <c r="AX2" s="494"/>
      <c r="AY2" s="494"/>
      <c r="AZ2" s="494"/>
      <c r="BA2" s="494"/>
      <c r="BB2" s="494"/>
      <c r="BC2" s="494"/>
      <c r="BD2" s="494"/>
      <c r="BE2" s="494"/>
      <c r="BF2" s="494"/>
      <c r="BG2" s="494"/>
      <c r="BH2" s="494"/>
      <c r="BI2" s="494"/>
      <c r="BJ2" s="494"/>
      <c r="BK2" s="494"/>
      <c r="BL2" s="494"/>
      <c r="BM2" s="494"/>
      <c r="BN2" s="494"/>
      <c r="BO2" s="494"/>
      <c r="BP2" s="494"/>
      <c r="BQ2" s="494"/>
      <c r="BR2" s="494"/>
      <c r="BS2" s="494"/>
      <c r="BT2" s="494"/>
      <c r="BU2" s="494"/>
      <c r="BV2" s="494"/>
      <c r="BW2" s="494"/>
      <c r="BX2" s="494"/>
      <c r="BY2" s="494"/>
      <c r="BZ2" s="494"/>
      <c r="CA2" s="494"/>
      <c r="CB2" s="494"/>
      <c r="CC2" s="494"/>
      <c r="CD2" s="494"/>
      <c r="CE2" s="494"/>
      <c r="CF2" s="494"/>
      <c r="CG2" s="494"/>
      <c r="CH2" s="494"/>
      <c r="CI2" s="494"/>
      <c r="CJ2" s="494"/>
      <c r="CK2" s="494"/>
      <c r="CL2" s="494"/>
      <c r="CM2" s="494"/>
      <c r="CN2" s="494"/>
      <c r="CO2" s="494"/>
      <c r="CP2" s="494"/>
      <c r="CQ2" s="494"/>
      <c r="CR2" s="494"/>
      <c r="CS2" s="494"/>
      <c r="CT2" s="494"/>
      <c r="CU2" s="494"/>
      <c r="CV2" s="494"/>
      <c r="CW2" s="494"/>
      <c r="CX2" s="494"/>
      <c r="CY2" s="494"/>
      <c r="CZ2" s="494"/>
      <c r="DA2" s="494"/>
      <c r="DB2" s="494"/>
      <c r="DC2" s="494"/>
      <c r="DD2" s="494"/>
      <c r="DE2" s="494"/>
      <c r="DF2" s="494"/>
      <c r="DG2" s="494"/>
      <c r="DH2" s="494"/>
      <c r="DI2" s="494"/>
      <c r="DJ2" s="494"/>
      <c r="DK2" s="494"/>
      <c r="DL2" s="494"/>
      <c r="DM2" s="494"/>
      <c r="DN2" s="494"/>
      <c r="DO2" s="494"/>
      <c r="DP2" s="494"/>
      <c r="DQ2" s="494"/>
      <c r="DR2" s="494"/>
      <c r="DS2" s="494"/>
      <c r="DT2" s="494"/>
      <c r="DU2" s="494"/>
      <c r="DV2" s="494"/>
      <c r="DW2" s="494"/>
      <c r="DX2" s="494"/>
      <c r="DY2" s="494"/>
      <c r="DZ2" s="494"/>
      <c r="EA2" s="494"/>
      <c r="EB2" s="494"/>
      <c r="EC2" s="494"/>
      <c r="ED2" s="494"/>
      <c r="EE2" s="494"/>
      <c r="EF2" s="494"/>
      <c r="EG2" s="494"/>
      <c r="EH2" s="494"/>
      <c r="EI2" s="494"/>
      <c r="EJ2" s="494"/>
      <c r="EK2" s="494"/>
      <c r="EL2" s="494"/>
      <c r="EM2" s="494"/>
      <c r="EN2" s="494"/>
      <c r="EO2" s="494"/>
      <c r="EP2" s="494"/>
      <c r="EQ2" s="494"/>
      <c r="ER2" s="494"/>
      <c r="ES2" s="494"/>
      <c r="ET2" s="494"/>
      <c r="EU2" s="494"/>
      <c r="EV2" s="494"/>
      <c r="EW2" s="494"/>
      <c r="EX2" s="494"/>
      <c r="EY2" s="494"/>
      <c r="EZ2" s="494"/>
      <c r="FA2" s="494"/>
      <c r="FB2" s="494"/>
      <c r="FC2" s="494"/>
      <c r="FD2" s="494"/>
      <c r="FE2" s="494"/>
      <c r="FF2" s="494"/>
      <c r="FG2" s="494"/>
      <c r="FH2" s="494"/>
      <c r="FI2" s="494"/>
      <c r="FJ2" s="494"/>
      <c r="FK2" s="494"/>
      <c r="FL2" s="494"/>
      <c r="FM2" s="494"/>
      <c r="FN2" s="494"/>
      <c r="FO2" s="494"/>
      <c r="FP2" s="494"/>
      <c r="FQ2" s="494"/>
      <c r="FR2" s="494"/>
      <c r="FS2" s="494"/>
      <c r="FT2" s="494"/>
      <c r="FU2" s="494"/>
      <c r="FV2" s="494"/>
      <c r="FW2" s="494"/>
      <c r="FX2" s="494"/>
      <c r="FY2" s="494"/>
      <c r="FZ2" s="494"/>
      <c r="GA2" s="494"/>
      <c r="GB2" s="494"/>
      <c r="GC2" s="494"/>
      <c r="GD2" s="494"/>
      <c r="GE2" s="494"/>
      <c r="GF2" s="494"/>
      <c r="GG2" s="494"/>
      <c r="GH2" s="494"/>
      <c r="GI2" s="494"/>
      <c r="GJ2" s="494"/>
      <c r="GK2" s="494"/>
      <c r="GL2" s="494"/>
      <c r="GM2" s="494"/>
      <c r="GN2" s="494"/>
      <c r="GO2" s="494"/>
      <c r="GP2" s="494"/>
      <c r="GQ2" s="494"/>
      <c r="GR2" s="494"/>
      <c r="GS2" s="494"/>
      <c r="GT2" s="494"/>
      <c r="GU2" s="494"/>
      <c r="GV2" s="494"/>
      <c r="GW2" s="494"/>
      <c r="GX2" s="494"/>
      <c r="GY2" s="494"/>
      <c r="GZ2" s="494"/>
      <c r="HA2" s="494"/>
      <c r="HB2" s="494"/>
      <c r="HC2" s="494"/>
      <c r="HD2" s="494"/>
      <c r="HE2" s="494"/>
      <c r="HF2" s="494"/>
      <c r="HG2" s="494"/>
      <c r="HH2" s="494"/>
      <c r="HI2" s="494"/>
      <c r="HJ2" s="494"/>
      <c r="HK2" s="494"/>
      <c r="HL2" s="494"/>
      <c r="HM2" s="494"/>
      <c r="HN2" s="494"/>
      <c r="HO2" s="494"/>
      <c r="HP2" s="494"/>
      <c r="HQ2" s="494"/>
      <c r="HR2" s="494"/>
      <c r="HS2" s="494"/>
      <c r="HT2" s="494"/>
    </row>
    <row r="3" spans="1:228" s="495" customFormat="1" ht="36.75" customHeight="1">
      <c r="A3" s="494"/>
      <c r="B3" s="494"/>
      <c r="C3" s="494"/>
      <c r="D3" s="494"/>
      <c r="E3" s="494"/>
      <c r="F3" s="494"/>
      <c r="G3" s="494"/>
      <c r="H3" s="494"/>
      <c r="I3" s="497"/>
      <c r="J3" s="497"/>
      <c r="K3" s="497"/>
      <c r="L3" s="497"/>
      <c r="M3" s="497"/>
      <c r="N3" s="497"/>
      <c r="O3" s="497"/>
      <c r="P3" s="497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497"/>
      <c r="AC3" s="494"/>
      <c r="AD3" s="494"/>
      <c r="AE3" s="494"/>
      <c r="AF3" s="494"/>
      <c r="AG3" s="494"/>
      <c r="AH3" s="494"/>
      <c r="AI3" s="494"/>
      <c r="AJ3" s="494"/>
      <c r="AK3" s="494"/>
      <c r="AL3" s="494"/>
      <c r="AM3" s="494"/>
      <c r="AN3" s="494"/>
      <c r="AO3" s="494"/>
      <c r="AP3" s="494"/>
      <c r="AQ3" s="494"/>
      <c r="AR3" s="494"/>
      <c r="AS3" s="494"/>
      <c r="AT3" s="494"/>
      <c r="AU3" s="494"/>
      <c r="AV3" s="494"/>
      <c r="AW3" s="494"/>
      <c r="AX3" s="494"/>
      <c r="AY3" s="494"/>
      <c r="AZ3" s="494"/>
      <c r="BA3" s="494"/>
      <c r="BB3" s="494"/>
      <c r="BC3" s="494"/>
      <c r="BD3" s="494"/>
      <c r="BE3" s="494"/>
      <c r="BF3" s="494"/>
      <c r="BG3" s="494"/>
      <c r="BH3" s="494"/>
      <c r="BI3" s="494"/>
      <c r="BJ3" s="494"/>
      <c r="BK3" s="494"/>
      <c r="BL3" s="494"/>
      <c r="BM3" s="494"/>
      <c r="BN3" s="494"/>
      <c r="BO3" s="494"/>
      <c r="BP3" s="494"/>
      <c r="BQ3" s="494"/>
      <c r="BR3" s="494"/>
      <c r="BS3" s="494"/>
      <c r="BT3" s="494"/>
      <c r="BU3" s="494"/>
      <c r="BV3" s="494"/>
      <c r="BW3" s="494"/>
      <c r="BX3" s="494"/>
      <c r="BY3" s="494"/>
      <c r="BZ3" s="494"/>
      <c r="CA3" s="494"/>
      <c r="CB3" s="494"/>
      <c r="CC3" s="494"/>
      <c r="CD3" s="494"/>
      <c r="CE3" s="494"/>
      <c r="CF3" s="494"/>
      <c r="CG3" s="494"/>
      <c r="CH3" s="494"/>
      <c r="CI3" s="494"/>
      <c r="CJ3" s="494"/>
      <c r="CK3" s="494"/>
      <c r="CL3" s="494"/>
      <c r="CM3" s="494"/>
      <c r="CN3" s="494"/>
      <c r="CO3" s="494"/>
      <c r="CP3" s="494"/>
      <c r="CQ3" s="494"/>
      <c r="CR3" s="494"/>
      <c r="CS3" s="494"/>
      <c r="CT3" s="494"/>
      <c r="CU3" s="494"/>
      <c r="CV3" s="494"/>
      <c r="CW3" s="494"/>
      <c r="CX3" s="494"/>
      <c r="CY3" s="494"/>
      <c r="CZ3" s="494"/>
      <c r="DA3" s="494"/>
      <c r="DB3" s="494"/>
      <c r="DC3" s="494"/>
      <c r="DD3" s="494"/>
      <c r="DE3" s="494"/>
      <c r="DF3" s="494"/>
      <c r="DG3" s="494"/>
      <c r="DH3" s="494"/>
      <c r="DI3" s="494"/>
      <c r="DJ3" s="494"/>
      <c r="DK3" s="494"/>
      <c r="DL3" s="494"/>
      <c r="DM3" s="494"/>
      <c r="DN3" s="494"/>
      <c r="DO3" s="494"/>
      <c r="DP3" s="494"/>
      <c r="DQ3" s="494"/>
      <c r="DR3" s="494"/>
      <c r="DS3" s="494"/>
      <c r="DT3" s="494"/>
      <c r="DU3" s="494"/>
      <c r="DV3" s="494"/>
      <c r="DW3" s="494"/>
      <c r="DX3" s="494"/>
      <c r="DY3" s="494"/>
      <c r="DZ3" s="494"/>
      <c r="EA3" s="494"/>
      <c r="EB3" s="494"/>
      <c r="EC3" s="494"/>
      <c r="ED3" s="494"/>
      <c r="EE3" s="494"/>
      <c r="EF3" s="494"/>
      <c r="EG3" s="494"/>
      <c r="EH3" s="494"/>
      <c r="EI3" s="494"/>
      <c r="EJ3" s="494"/>
      <c r="EK3" s="494"/>
      <c r="EL3" s="494"/>
      <c r="EM3" s="494"/>
      <c r="EN3" s="494"/>
      <c r="EO3" s="494"/>
      <c r="EP3" s="494"/>
      <c r="EQ3" s="494"/>
      <c r="ER3" s="494"/>
      <c r="ES3" s="494"/>
      <c r="ET3" s="494"/>
      <c r="EU3" s="494"/>
      <c r="EV3" s="494"/>
      <c r="EW3" s="494"/>
      <c r="EX3" s="494"/>
      <c r="EY3" s="494"/>
      <c r="EZ3" s="494"/>
      <c r="FA3" s="494"/>
      <c r="FB3" s="494"/>
      <c r="FC3" s="494"/>
      <c r="FD3" s="494"/>
      <c r="FE3" s="494"/>
      <c r="FF3" s="494"/>
      <c r="FG3" s="494"/>
      <c r="FH3" s="494"/>
      <c r="FI3" s="494"/>
      <c r="FJ3" s="494"/>
      <c r="FK3" s="494"/>
      <c r="FL3" s="494"/>
      <c r="FM3" s="494"/>
      <c r="FN3" s="494"/>
      <c r="FO3" s="494"/>
      <c r="FP3" s="494"/>
      <c r="FQ3" s="494"/>
      <c r="FR3" s="494"/>
      <c r="FS3" s="494"/>
      <c r="FT3" s="494"/>
      <c r="FU3" s="494"/>
      <c r="FV3" s="494"/>
      <c r="FW3" s="494"/>
      <c r="FX3" s="494"/>
      <c r="FY3" s="494"/>
      <c r="FZ3" s="494"/>
      <c r="GA3" s="494"/>
      <c r="GB3" s="494"/>
      <c r="GC3" s="494"/>
      <c r="GD3" s="494"/>
      <c r="GE3" s="494"/>
      <c r="GF3" s="494"/>
      <c r="GG3" s="494"/>
      <c r="GH3" s="494"/>
      <c r="GI3" s="494"/>
      <c r="GJ3" s="494"/>
      <c r="GK3" s="494"/>
      <c r="GL3" s="494"/>
      <c r="GM3" s="494"/>
      <c r="GN3" s="494"/>
      <c r="GO3" s="494"/>
      <c r="GP3" s="494"/>
      <c r="GQ3" s="494"/>
      <c r="GR3" s="494"/>
      <c r="GS3" s="494"/>
      <c r="GT3" s="494"/>
      <c r="GU3" s="494"/>
      <c r="GV3" s="494"/>
      <c r="GW3" s="494"/>
      <c r="GX3" s="494"/>
      <c r="GY3" s="494"/>
      <c r="GZ3" s="494"/>
      <c r="HA3" s="494"/>
      <c r="HB3" s="494"/>
      <c r="HC3" s="494"/>
      <c r="HD3" s="494"/>
      <c r="HE3" s="494"/>
      <c r="HF3" s="494"/>
      <c r="HG3" s="494"/>
      <c r="HH3" s="494"/>
      <c r="HI3" s="494"/>
      <c r="HJ3" s="494"/>
      <c r="HK3" s="494"/>
      <c r="HL3" s="494"/>
      <c r="HM3" s="494"/>
      <c r="HN3" s="494"/>
      <c r="HO3" s="494"/>
      <c r="HP3" s="494"/>
      <c r="HQ3" s="494"/>
      <c r="HR3" s="494"/>
      <c r="HS3" s="494"/>
      <c r="HT3" s="494"/>
    </row>
    <row r="4" spans="1:228"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</row>
    <row r="5" spans="1:228"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</row>
    <row r="6" spans="1:228">
      <c r="D6" s="281"/>
      <c r="E6" s="281"/>
      <c r="F6" s="281"/>
      <c r="G6" s="281"/>
      <c r="H6" s="281"/>
      <c r="I6" s="281"/>
      <c r="J6" s="281"/>
      <c r="K6" s="281"/>
      <c r="L6" s="281"/>
      <c r="M6" s="281"/>
      <c r="N6" s="281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</row>
    <row r="7" spans="1:228" ht="12" thickBot="1"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1"/>
    </row>
    <row r="8" spans="1:228" ht="12" thickBot="1">
      <c r="D8" s="281"/>
      <c r="E8" s="281"/>
      <c r="F8" s="484" t="s">
        <v>618</v>
      </c>
      <c r="G8" s="145" t="b">
        <v>1</v>
      </c>
      <c r="H8" s="281"/>
      <c r="I8" s="281"/>
      <c r="J8" s="281"/>
      <c r="K8" s="281"/>
      <c r="L8" s="281"/>
      <c r="M8" s="281"/>
      <c r="N8" s="281"/>
      <c r="O8" s="281"/>
      <c r="P8" s="281"/>
      <c r="Q8" s="281"/>
      <c r="R8" s="281"/>
      <c r="S8" s="281"/>
      <c r="T8" s="281"/>
      <c r="V8" s="281"/>
      <c r="W8" s="281"/>
      <c r="X8" s="281"/>
      <c r="Y8" s="281"/>
      <c r="Z8" s="281"/>
      <c r="AA8" s="281"/>
      <c r="AB8" s="281"/>
      <c r="AC8" s="281"/>
      <c r="AD8" s="281"/>
      <c r="AE8" s="281"/>
    </row>
    <row r="9" spans="1:228">
      <c r="D9" s="281"/>
      <c r="E9" s="281"/>
      <c r="F9" s="481" t="s">
        <v>612</v>
      </c>
      <c r="G9" s="498"/>
      <c r="H9" s="281"/>
      <c r="I9" s="281"/>
      <c r="J9" s="481" t="s">
        <v>613</v>
      </c>
      <c r="K9" s="500"/>
      <c r="L9" s="281"/>
      <c r="M9" s="281"/>
      <c r="N9" s="281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</row>
    <row r="10" spans="1:228">
      <c r="D10" s="281"/>
      <c r="E10" s="281"/>
      <c r="F10" s="482" t="s">
        <v>615</v>
      </c>
      <c r="G10" s="510">
        <f ca="1">MAX(MAX(G11,0)+0.5*MIN(G11,0),0)</f>
        <v>0.539003272180829</v>
      </c>
      <c r="H10" s="281"/>
      <c r="I10" s="281"/>
      <c r="J10" s="482" t="s">
        <v>615</v>
      </c>
      <c r="K10" s="510">
        <f ca="1">MAX(MAX(K11,0)+0.5*MIN(K11,0),0)</f>
        <v>13.883877947371985</v>
      </c>
      <c r="L10" s="281"/>
      <c r="M10" s="281"/>
      <c r="N10" s="281"/>
      <c r="P10" s="281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281"/>
    </row>
    <row r="11" spans="1:228" ht="12" thickBot="1">
      <c r="D11" s="281"/>
      <c r="E11" s="281"/>
      <c r="F11" s="482" t="s">
        <v>614</v>
      </c>
      <c r="G11" s="510">
        <f ca="1">15%*SUM(H14:H313)-G12*15%*SUM(I14:I313)</f>
        <v>0.539003272180829</v>
      </c>
      <c r="H11" s="281"/>
      <c r="I11" s="281"/>
      <c r="J11" s="482" t="s">
        <v>614</v>
      </c>
      <c r="K11" s="510">
        <f ca="1">15%*SUM(L14:L313)-K12*15%*SUM(M14:M313)</f>
        <v>13.883877947371985</v>
      </c>
      <c r="L11" s="281"/>
      <c r="M11" s="281"/>
      <c r="N11" s="281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</row>
    <row r="12" spans="1:228" ht="12" thickBot="1">
      <c r="D12" s="281"/>
      <c r="E12" s="281"/>
      <c r="F12" s="482" t="s">
        <v>611</v>
      </c>
      <c r="G12" s="510">
        <f ca="1">SUM(H14:H313)/(SUM(H14:H313)+SUM(I14:I313))</f>
        <v>1</v>
      </c>
      <c r="H12" s="281"/>
      <c r="I12" s="281"/>
      <c r="J12" s="482" t="s">
        <v>611</v>
      </c>
      <c r="K12" s="510">
        <f ca="1">SUM(L14:L313)/(SUM(L14:L313)+SUM(M14:M313))</f>
        <v>1</v>
      </c>
      <c r="L12" s="281"/>
      <c r="M12" s="281"/>
      <c r="N12" s="281"/>
      <c r="O12" s="493" t="s">
        <v>622</v>
      </c>
      <c r="P12" s="521">
        <f ca="1">-INDEX(GETCDO(P13,'CDO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-0.47560931827205899</v>
      </c>
      <c r="Q12" s="522">
        <f ca="1">-INDEX(GETCDO(Q13,'CDO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-0.95328191733040901</v>
      </c>
      <c r="R12" s="522">
        <f ca="1">-INDEX(GETCDO(R13,'CDO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-2.6524670600465901</v>
      </c>
      <c r="S12" s="522">
        <f ca="1">-INDEX(GETCDO(S13,'CDO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-3.9908809490352501</v>
      </c>
      <c r="T12" s="523">
        <f ca="1">-INDEX(GETCDO(T13,'CDO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-6.0991264314741196</v>
      </c>
      <c r="U12" s="493" t="s">
        <v>623</v>
      </c>
      <c r="V12" s="521" cm="1">
        <f t="array" aca="1" ref="V12:AE12" ca="1">GetCDODeltaGIRR('CDO Bespoke'!C6,'CDO Bespoke'!C19:'CDO Bespoke'!C20,'CDO Bespoke'!C21:'CDO Bespoke'!C22,'CDO Bespoke'!G39:'CDO Bespoke'!G338,'CDO Bespoke'!C8,'CDO Bespoke'!C17,'CDO Bespoke'!C39:'CDO Bespoke'!C338,'CDO Bespoke'!D39:'CDO Bespoke'!D338,'CDO Bespoke'!C12,'CDO Bespoke'!C13,'CDO Bespoke'!C14,'CDO Bespoke'!C15,'CDO Bespoke'!C9,'CDO Bespoke'!C10,'CDO Bespoke'!E39:'CDO Bespoke'!E338,'CDO Bespoke'!F39:'CDO Bespoke'!F338,'CDO Bespoke'!C24,'CDO Bespoke'!C25,FALSE,FALSE,'CDO Bespoke'!L6,'CDO Bespoke'!C29:'CDO Bespoke'!C31,'CDO Bespoke'!C36,'CDO Bespoke'!C33,,'CDO Bespoke'!C34)</f>
        <v>-1.2763307050134287E-3</v>
      </c>
      <c r="W12" s="522">
        <f ca="1"/>
        <v>3.1851782965018616E-2</v>
      </c>
      <c r="X12" s="522">
        <f ca="1"/>
        <v>2.538615126002064E-2</v>
      </c>
      <c r="Y12" s="522">
        <f ca="1"/>
        <v>4.1287811170000188E-2</v>
      </c>
      <c r="Z12" s="522">
        <f ca="1"/>
        <v>4.6809255539945194E-2</v>
      </c>
      <c r="AA12" s="522">
        <f ca="1"/>
        <v>4.9290973860027787E-2</v>
      </c>
      <c r="AB12" s="522">
        <f ca="1"/>
        <v>2.3231558169967137E-2</v>
      </c>
      <c r="AC12" s="522">
        <f ca="1"/>
        <v>-1.8901047899033685E-2</v>
      </c>
      <c r="AD12" s="522">
        <f ca="1"/>
        <v>-5.2317937000445625E-2</v>
      </c>
      <c r="AE12" s="523">
        <f ca="1"/>
        <v>-0.10664787170044931</v>
      </c>
    </row>
    <row r="13" spans="1:228" ht="12" thickBot="1">
      <c r="D13" s="281"/>
      <c r="E13" s="281"/>
      <c r="F13" s="484" t="s">
        <v>609</v>
      </c>
      <c r="G13" s="493" t="s">
        <v>610</v>
      </c>
      <c r="H13" s="499" t="s">
        <v>616</v>
      </c>
      <c r="I13" s="493" t="s">
        <v>617</v>
      </c>
      <c r="J13" s="499" t="s">
        <v>609</v>
      </c>
      <c r="K13" s="493" t="s">
        <v>610</v>
      </c>
      <c r="L13" s="499" t="s">
        <v>616</v>
      </c>
      <c r="M13" s="485" t="s">
        <v>617</v>
      </c>
      <c r="N13" s="281"/>
      <c r="O13" s="493" t="s">
        <v>620</v>
      </c>
      <c r="P13" s="491" t="s">
        <v>84</v>
      </c>
      <c r="Q13" s="518" t="s">
        <v>53</v>
      </c>
      <c r="R13" s="518" t="s">
        <v>55</v>
      </c>
      <c r="S13" s="518" t="s">
        <v>57</v>
      </c>
      <c r="T13" s="519" t="s">
        <v>62</v>
      </c>
      <c r="U13" s="493" t="s">
        <v>624</v>
      </c>
      <c r="V13" s="479" t="s">
        <v>83</v>
      </c>
      <c r="W13" s="479" t="s">
        <v>84</v>
      </c>
      <c r="X13" s="479" t="s">
        <v>53</v>
      </c>
      <c r="Y13" s="479" t="s">
        <v>54</v>
      </c>
      <c r="Z13" s="479" t="s">
        <v>55</v>
      </c>
      <c r="AA13" s="479" t="s">
        <v>57</v>
      </c>
      <c r="AB13" s="479" t="s">
        <v>62</v>
      </c>
      <c r="AC13" s="479" t="s">
        <v>63</v>
      </c>
      <c r="AD13" s="479" t="s">
        <v>64</v>
      </c>
      <c r="AE13" s="492" t="s">
        <v>619</v>
      </c>
    </row>
    <row r="14" spans="1:228" ht="12" thickBot="1">
      <c r="D14" s="281"/>
      <c r="E14" s="281"/>
      <c r="F14" s="503">
        <f ca="1">IF('CDO Bespoke'!O15&lt;&gt;"",'CDO Bespoke'!O15,"")</f>
        <v>1.19596898046723</v>
      </c>
      <c r="G14" s="504">
        <f ca="1">IF(F14&lt;&gt;"",ABS(MIN(-0.75*('CDO Bespoke'!Q15+'CDO Bespoke'!T15)+'CDO Bespoke'!T15,0)),"")</f>
        <v>1.1623903692261495</v>
      </c>
      <c r="H14" s="504">
        <f ca="1">IF(F14&lt;&gt;"",IF($G$8,MAX(F14-G14,0),F14),"")</f>
        <v>3.3578611241080525E-2</v>
      </c>
      <c r="I14" s="504">
        <f ca="1">IF(F14&lt;&gt;"",IF($G$8,0,G14),"")</f>
        <v>0</v>
      </c>
      <c r="J14" s="503">
        <f ca="1">IF('CDO Bespoke'!O15&lt;&gt;"",'CDO Bespoke'!O15,"")</f>
        <v>1.19596898046723</v>
      </c>
      <c r="K14" s="504">
        <f ca="1">IF(J14&lt;&gt;"",ABS(MIN(-0.75*('CDO Bespoke'!K15+'CDO Bespoke'!T15)+'CDO Bespoke'!T15,0)),"")</f>
        <v>0.29043499453531213</v>
      </c>
      <c r="L14" s="504">
        <f ca="1">IF(J14&lt;&gt;"",IF($G$8,MAX(J14-K14,0),J14),"")</f>
        <v>0.90553398593191781</v>
      </c>
      <c r="M14" s="505">
        <f ca="1">IF(J14&lt;&gt;"",IF($G$8,0,K14),"")</f>
        <v>0</v>
      </c>
      <c r="N14" s="281"/>
      <c r="O14" s="488" t="str">
        <f ca="1">IF('CDO Bespoke'!C39&lt;&gt;"",'CDO Bespoke'!C39,"")</f>
        <v>ABNAMRO_MMR.EUR.SU</v>
      </c>
      <c r="P14" s="513" cm="1">
        <f t="array" aca="1" ref="P14" ca="1">IF($O14&lt;&gt;"",-TRANSPOSE(INDEX(getcds('CDO Bespoke'!$C39,P$13,'CDO Bespoke'!$G39/10000,'CDO Bespoke'!F39,'CDO Bespoke'!D39,'CDO Bespoke'!$C$13,'CDO Bespoke'!$C$14,'CDO Bespoke'!$C$15,'CDO Bespoke'!$C$8,,,TRUE,TRUE,FALSE,'CDO Bespoke'!$C$29:'CDO Bespoke'!$C$31,'CDO Bespoke'!$C$33),{5})),"")</f>
        <v>-0.47808744118277302</v>
      </c>
      <c r="Q14" s="524" cm="1">
        <f t="array" aca="1" ref="Q14" ca="1">IF($O14&lt;&gt;"",-TRANSPOSE(INDEX(getcds('CDO Bespoke'!$C39,Q$13,'CDO Bespoke'!$G39/10000,'CDO Bespoke'!G39,'CDO Bespoke'!E39,'CDO Bespoke'!$C$13,'CDO Bespoke'!$C$14,'CDO Bespoke'!$C$15,'CDO Bespoke'!$C$8,,,TRUE,TRUE,FALSE,'CDO Bespoke'!$C$29:'CDO Bespoke'!$C$31,'CDO Bespoke'!$C$33),{5})),"")</f>
        <v>-0.96357167388028298</v>
      </c>
      <c r="R14" s="524" cm="1">
        <f t="array" aca="1" ref="R14" ca="1">IF($O14&lt;&gt;"",-TRANSPOSE(INDEX(getcds('CDO Bespoke'!$C39,R$13,'CDO Bespoke'!$G39/10000,'CDO Bespoke'!H39,'CDO Bespoke'!F39,'CDO Bespoke'!$C$13,'CDO Bespoke'!$C$14,'CDO Bespoke'!$C$15,'CDO Bespoke'!$C$8,,,TRUE,TRUE,FALSE,'CDO Bespoke'!$C$29:'CDO Bespoke'!$C$31,'CDO Bespoke'!$C$33),{5})),"")</f>
        <v>-2.7962801384573899</v>
      </c>
      <c r="S14" s="524" cm="1">
        <f t="array" aca="1" ref="S14" ca="1">IF($O14&lt;&gt;"",-TRANSPOSE(INDEX(getcds('CDO Bespoke'!$C39,S$13,'CDO Bespoke'!$G39/10000,'CDO Bespoke'!I39,'CDO Bespoke'!G39,'CDO Bespoke'!$C$13,'CDO Bespoke'!$C$14,'CDO Bespoke'!$C$15,'CDO Bespoke'!$C$8,,,TRUE,TRUE,FALSE,'CDO Bespoke'!$C$29:'CDO Bespoke'!$C$31,'CDO Bespoke'!$C$33),{5})),"")</f>
        <v>-4.4536727044950597</v>
      </c>
      <c r="T14" s="514" cm="1">
        <f t="array" aca="1" ref="T14" ca="1">IF($O14&lt;&gt;"",-TRANSPOSE(INDEX(getcds('CDO Bespoke'!$C39,T$13,'CDO Bespoke'!$G39/10000,'CDO Bespoke'!J39,'CDO Bespoke'!H39,'CDO Bespoke'!$C$13,'CDO Bespoke'!$C$14,'CDO Bespoke'!$C$15,'CDO Bespoke'!$C$8,,,TRUE,TRUE,FALSE,'CDO Bespoke'!$C$29:'CDO Bespoke'!$C$31,'CDO Bespoke'!$C$33),{5})),"")</f>
        <v>-7.8804263464712303</v>
      </c>
      <c r="U14" s="493"/>
      <c r="V14" s="569" cm="1">
        <f t="array" aca="1" ref="V14:AE113" ca="1">GetCDSDeltaGIRR('CDO Bespoke'!C39:'CDO Bespoke'!C138,'CDO Bespoke'!G39:'CDO Bespoke'!G138,'CDO Bespoke'!F39:'CDO Bespoke'!F138,'CDO Bespoke'!D39:'CDO Bespoke'!D138,'CDO Bespoke'!C13,'CDO Bespoke'!C14,'CDO Bespoke'!C15,'CDO Bespoke'!C8,'CDO Bespoke'!C29:'CDO Bespoke'!C31,'CDO Bespoke'!C33)</f>
        <v>-2.5175820870301097E-5</v>
      </c>
      <c r="W14" s="570">
        <f ca="1"/>
        <v>2.2510599339024481E-3</v>
      </c>
      <c r="X14" s="570">
        <f ca="1"/>
        <v>2.1598814187000215E-3</v>
      </c>
      <c r="Y14" s="570">
        <f ca="1"/>
        <v>4.0958423049887449E-3</v>
      </c>
      <c r="Z14" s="570">
        <f ca="1"/>
        <v>5.6051588279842912E-3</v>
      </c>
      <c r="AA14" s="570">
        <f ca="1"/>
        <v>8.0428173740085263E-3</v>
      </c>
      <c r="AB14" s="570">
        <f ca="1"/>
        <v>1.1338930118939827E-2</v>
      </c>
      <c r="AC14" s="570">
        <f ca="1"/>
        <v>1.1238371527971802E-2</v>
      </c>
      <c r="AD14" s="570">
        <f ca="1"/>
        <v>9.7366601289894383E-3</v>
      </c>
      <c r="AE14" s="571">
        <f ca="1"/>
        <v>4.4387728459494014E-3</v>
      </c>
    </row>
    <row r="15" spans="1:228" ht="12" thickBot="1">
      <c r="D15" s="281"/>
      <c r="E15" s="281"/>
      <c r="F15" s="501">
        <f ca="1">IF('CDO Bespoke'!O16&lt;&gt;"",'CDO Bespoke'!O16,"")</f>
        <v>1.1965388707520901</v>
      </c>
      <c r="G15" s="502">
        <f ca="1">IF(F15&lt;&gt;"",ABS(MIN(-0.75*('CDO Bespoke'!Q16+'CDO Bespoke'!T16)+'CDO Bespoke'!T16,0)),"")</f>
        <v>1.1605508709420218</v>
      </c>
      <c r="H15" s="502">
        <f t="shared" ref="H15:H78" ca="1" si="0">IF(F15&lt;&gt;"",IF($G$8,MAX(F15-G15,0),F15),"")</f>
        <v>3.5987999810068283E-2</v>
      </c>
      <c r="I15" s="502">
        <f ca="1">IF(F15&lt;&gt;"",IF($G$8,0,G15),"")</f>
        <v>0</v>
      </c>
      <c r="J15" s="501">
        <f ca="1">IF('CDO Bespoke'!O16&lt;&gt;"",'CDO Bespoke'!O16,"")</f>
        <v>1.1965388707520901</v>
      </c>
      <c r="K15" s="502">
        <f ca="1">IF(J15&lt;&gt;"",ABS(MIN(-0.75*('CDO Bespoke'!K16+'CDO Bespoke'!T16)+'CDO Bespoke'!T16,0)),"")</f>
        <v>0.27524071220561336</v>
      </c>
      <c r="L15" s="502">
        <f t="shared" ref="L15:L78" ca="1" si="1">IF(J15&lt;&gt;"",IF($G$8,MAX(J15-K15,0),J15),"")</f>
        <v>0.92129815854647679</v>
      </c>
      <c r="M15" s="506">
        <f t="shared" ref="M15:M78" ca="1" si="2">IF(J15&lt;&gt;"",IF($G$8,0,K15),"")</f>
        <v>0</v>
      </c>
      <c r="N15" s="281"/>
      <c r="O15" s="511" t="str">
        <f ca="1">IF('CDO Bespoke'!C40&lt;&gt;"",'CDO Bespoke'!C40,"")</f>
        <v>Accor_MMR.EUR.SU</v>
      </c>
      <c r="P15" s="513" cm="1">
        <f t="array" aca="1" ref="P15" ca="1">IF($O15&lt;&gt;"",-TRANSPOSE(INDEX(getcds('CDO Bespoke'!$C40,P$13,'CDO Bespoke'!$G40/10000,'CDO Bespoke'!F40,'CDO Bespoke'!D40,'CDO Bespoke'!$C$13,'CDO Bespoke'!$C$14,'CDO Bespoke'!$C$15,'CDO Bespoke'!$C$8,,,TRUE,TRUE,FALSE,'CDO Bespoke'!$C$29:'CDO Bespoke'!$C$31,'CDO Bespoke'!$C$33),{5})),"")</f>
        <v>-0.47818955615327402</v>
      </c>
      <c r="Q15" s="524" cm="1">
        <f t="array" aca="1" ref="Q15" ca="1">IF($O15&lt;&gt;"",-TRANSPOSE(INDEX(getcds('CDO Bespoke'!$C40,Q$13,'CDO Bespoke'!$G40/10000,'CDO Bespoke'!G40,'CDO Bespoke'!E40,'CDO Bespoke'!$C$13,'CDO Bespoke'!$C$14,'CDO Bespoke'!$C$15,'CDO Bespoke'!$C$8,,,TRUE,TRUE,FALSE,'CDO Bespoke'!$C$29:'CDO Bespoke'!$C$31,'CDO Bespoke'!$C$33),{5})),"")</f>
        <v>-0.96403723042834799</v>
      </c>
      <c r="R15" s="524" cm="1">
        <f t="array" aca="1" ref="R15" ca="1">IF($O15&lt;&gt;"",-TRANSPOSE(INDEX(getcds('CDO Bespoke'!$C40,R$13,'CDO Bespoke'!$G40/10000,'CDO Bespoke'!H40,'CDO Bespoke'!F40,'CDO Bespoke'!$C$13,'CDO Bespoke'!$C$14,'CDO Bespoke'!$C$15,'CDO Bespoke'!$C$8,,,TRUE,TRUE,FALSE,'CDO Bespoke'!$C$29:'CDO Bespoke'!$C$31,'CDO Bespoke'!$C$33),{5})),"")</f>
        <v>-2.8024732021160301</v>
      </c>
      <c r="S15" s="524" cm="1">
        <f t="array" aca="1" ref="S15" ca="1">IF($O15&lt;&gt;"",-TRANSPOSE(INDEX(getcds('CDO Bespoke'!$C40,S$13,'CDO Bespoke'!$G40/10000,'CDO Bespoke'!I40,'CDO Bespoke'!G40,'CDO Bespoke'!$C$13,'CDO Bespoke'!$C$14,'CDO Bespoke'!$C$15,'CDO Bespoke'!$C$8,,,TRUE,TRUE,FALSE,'CDO Bespoke'!$C$29:'CDO Bespoke'!$C$31,'CDO Bespoke'!$C$33),{5})),"")</f>
        <v>-4.4666482627952897</v>
      </c>
      <c r="T15" s="514" cm="1">
        <f t="array" aca="1" ref="T15" ca="1">IF($O15&lt;&gt;"",-TRANSPOSE(INDEX(getcds('CDO Bespoke'!$C40,T$13,'CDO Bespoke'!$G40/10000,'CDO Bespoke'!J40,'CDO Bespoke'!H40,'CDO Bespoke'!$C$13,'CDO Bespoke'!$C$14,'CDO Bespoke'!$C$15,'CDO Bespoke'!$C$8,,,TRUE,TRUE,FALSE,'CDO Bespoke'!$C$29:'CDO Bespoke'!$C$31,'CDO Bespoke'!$C$33),{5})),"")</f>
        <v>-7.8874674562164797</v>
      </c>
      <c r="U15" s="493"/>
      <c r="V15" s="513">
        <f ca="1"/>
        <v>-1.5147018289705765E-5</v>
      </c>
      <c r="W15" s="572">
        <f ca="1"/>
        <v>2.2731289254021569E-3</v>
      </c>
      <c r="X15" s="572">
        <f ca="1"/>
        <v>2.2744709447103384E-3</v>
      </c>
      <c r="Y15" s="572">
        <f ca="1"/>
        <v>4.2786261299915251E-3</v>
      </c>
      <c r="Z15" s="572">
        <f ca="1"/>
        <v>5.7485676039845113E-3</v>
      </c>
      <c r="AA15" s="572">
        <f ca="1"/>
        <v>7.9375715419938153E-3</v>
      </c>
      <c r="AB15" s="572">
        <f ca="1"/>
        <v>9.9566042559978696E-3</v>
      </c>
      <c r="AC15" s="572">
        <f ca="1"/>
        <v>9.0834057740046825E-3</v>
      </c>
      <c r="AD15" s="572">
        <f ca="1"/>
        <v>6.9320346919587994E-3</v>
      </c>
      <c r="AE15" s="514">
        <f ca="1"/>
        <v>6.0906101100044463E-4</v>
      </c>
    </row>
    <row r="16" spans="1:228" ht="12" thickBot="1">
      <c r="D16" s="281"/>
      <c r="E16" s="281"/>
      <c r="F16" s="501">
        <f ca="1">IF('CDO Bespoke'!O17&lt;&gt;"",'CDO Bespoke'!O17,"")</f>
        <v>1.19612777627997</v>
      </c>
      <c r="G16" s="502">
        <f ca="1">IF(F16&lt;&gt;"",ABS(MIN(-0.75*('CDO Bespoke'!Q17+'CDO Bespoke'!T17)+'CDO Bespoke'!T17,0)),"")</f>
        <v>1.1624896710349626</v>
      </c>
      <c r="H16" s="502">
        <f t="shared" ca="1" si="0"/>
        <v>3.3638105245007432E-2</v>
      </c>
      <c r="I16" s="502">
        <f t="shared" ref="I16:I79" ca="1" si="3">IF(F16&lt;&gt;"",IF($G$8,0,G16),"")</f>
        <v>0</v>
      </c>
      <c r="J16" s="501">
        <f ca="1">IF('CDO Bespoke'!O17&lt;&gt;"",'CDO Bespoke'!O17,"")</f>
        <v>1.19612777627997</v>
      </c>
      <c r="K16" s="502">
        <f ca="1">IF(J16&lt;&gt;"",ABS(MIN(-0.75*('CDO Bespoke'!K17+'CDO Bespoke'!T17)+'CDO Bespoke'!T17,0)),"")</f>
        <v>0.28781211252167899</v>
      </c>
      <c r="L16" s="502">
        <f t="shared" ca="1" si="1"/>
        <v>0.90831566375829098</v>
      </c>
      <c r="M16" s="506">
        <f t="shared" ca="1" si="2"/>
        <v>0</v>
      </c>
      <c r="N16" s="281"/>
      <c r="O16" s="511" t="str">
        <f ca="1">IF('CDO Bespoke'!C41&lt;&gt;"",'CDO Bespoke'!C41,"")</f>
        <v>Adecco_MMR.EUR.SU</v>
      </c>
      <c r="P16" s="513" cm="1">
        <f t="array" aca="1" ref="P16" ca="1">IF($O16&lt;&gt;"",-TRANSPOSE(INDEX(getcds('CDO Bespoke'!$C41,P$13,'CDO Bespoke'!$G41/10000,'CDO Bespoke'!F41,'CDO Bespoke'!D41,'CDO Bespoke'!$C$13,'CDO Bespoke'!$C$14,'CDO Bespoke'!$C$15,'CDO Bespoke'!$C$8,,,TRUE,TRUE,FALSE,'CDO Bespoke'!$C$29:'CDO Bespoke'!$C$31,'CDO Bespoke'!$C$33),{5})),"")</f>
        <v>-0.47822809770068903</v>
      </c>
      <c r="Q16" s="524" cm="1">
        <f t="array" aca="1" ref="Q16" ca="1">IF($O16&lt;&gt;"",-TRANSPOSE(INDEX(getcds('CDO Bespoke'!$C41,Q$13,'CDO Bespoke'!$G41/10000,'CDO Bespoke'!G41,'CDO Bespoke'!E41,'CDO Bespoke'!$C$13,'CDO Bespoke'!$C$14,'CDO Bespoke'!$C$15,'CDO Bespoke'!$C$8,,,TRUE,TRUE,FALSE,'CDO Bespoke'!$C$29:'CDO Bespoke'!$C$31,'CDO Bespoke'!$C$33),{5})),"")</f>
        <v>-0.96418210187770903</v>
      </c>
      <c r="R16" s="524" cm="1">
        <f t="array" aca="1" ref="R16" ca="1">IF($O16&lt;&gt;"",-TRANSPOSE(INDEX(getcds('CDO Bespoke'!$C41,R$13,'CDO Bespoke'!$G41/10000,'CDO Bespoke'!H41,'CDO Bespoke'!F41,'CDO Bespoke'!$C$13,'CDO Bespoke'!$C$14,'CDO Bespoke'!$C$15,'CDO Bespoke'!$C$8,,,TRUE,TRUE,FALSE,'CDO Bespoke'!$C$29:'CDO Bespoke'!$C$31,'CDO Bespoke'!$C$33),{5})),"")</f>
        <v>-2.8015081948034899</v>
      </c>
      <c r="S16" s="524" cm="1">
        <f t="array" aca="1" ref="S16" ca="1">IF($O16&lt;&gt;"",-TRANSPOSE(INDEX(getcds('CDO Bespoke'!$C41,S$13,'CDO Bespoke'!$G41/10000,'CDO Bespoke'!I41,'CDO Bespoke'!G41,'CDO Bespoke'!$C$13,'CDO Bespoke'!$C$14,'CDO Bespoke'!$C$15,'CDO Bespoke'!$C$8,,,TRUE,TRUE,FALSE,'CDO Bespoke'!$C$29:'CDO Bespoke'!$C$31,'CDO Bespoke'!$C$33),{5})),"")</f>
        <v>-4.4610987694038</v>
      </c>
      <c r="T16" s="514" cm="1">
        <f t="array" aca="1" ref="T16" ca="1">IF($O16&lt;&gt;"",-TRANSPOSE(INDEX(getcds('CDO Bespoke'!$C41,T$13,'CDO Bespoke'!$G41/10000,'CDO Bespoke'!J41,'CDO Bespoke'!H41,'CDO Bespoke'!$C$13,'CDO Bespoke'!$C$14,'CDO Bespoke'!$C$15,'CDO Bespoke'!$C$8,,,TRUE,TRUE,FALSE,'CDO Bespoke'!$C$29:'CDO Bespoke'!$C$31,'CDO Bespoke'!$C$33),{5})),"")</f>
        <v>-7.8473626707900497</v>
      </c>
      <c r="U16" s="493"/>
      <c r="V16" s="513">
        <f ca="1"/>
        <v>-1.1361302029917232E-5</v>
      </c>
      <c r="W16" s="572">
        <f ca="1"/>
        <v>2.2814620611981418E-3</v>
      </c>
      <c r="X16" s="572">
        <f ca="1"/>
        <v>2.271314223298293E-3</v>
      </c>
      <c r="Y16" s="572">
        <f ca="1"/>
        <v>4.1887295650078205E-3</v>
      </c>
      <c r="Z16" s="572">
        <f ca="1"/>
        <v>5.5471535199969058E-3</v>
      </c>
      <c r="AA16" s="572">
        <f ca="1"/>
        <v>7.7714047100330141E-3</v>
      </c>
      <c r="AB16" s="572">
        <f ca="1"/>
        <v>9.0633092830055828E-3</v>
      </c>
      <c r="AC16" s="572">
        <f ca="1"/>
        <v>7.7463484710049713E-3</v>
      </c>
      <c r="AD16" s="572">
        <f ca="1"/>
        <v>5.2850044119853723E-3</v>
      </c>
      <c r="AE16" s="514">
        <f ca="1"/>
        <v>-1.4680555100038406E-3</v>
      </c>
    </row>
    <row r="17" spans="6:31" s="281" customFormat="1" ht="12" thickBot="1">
      <c r="F17" s="501">
        <f ca="1">IF('CDO Bespoke'!O18&lt;&gt;"",'CDO Bespoke'!O18,"")</f>
        <v>1.1962591841272201</v>
      </c>
      <c r="G17" s="502">
        <f ca="1">IF(F17&lt;&gt;"",ABS(MIN(-0.75*('CDO Bespoke'!Q18+'CDO Bespoke'!T18)+'CDO Bespoke'!T18,0)),"")</f>
        <v>1.161495421930663</v>
      </c>
      <c r="H17" s="502">
        <f t="shared" ca="1" si="0"/>
        <v>3.476376219655708E-2</v>
      </c>
      <c r="I17" s="502">
        <f t="shared" ca="1" si="3"/>
        <v>0</v>
      </c>
      <c r="J17" s="501">
        <f ca="1">IF('CDO Bespoke'!O18&lt;&gt;"",'CDO Bespoke'!O18,"")</f>
        <v>1.1962591841272201</v>
      </c>
      <c r="K17" s="502">
        <f ca="1">IF(J17&lt;&gt;"",ABS(MIN(-0.75*('CDO Bespoke'!K18+'CDO Bespoke'!T18)+'CDO Bespoke'!T18,0)),"")</f>
        <v>0.28397643527168498</v>
      </c>
      <c r="L17" s="502">
        <f t="shared" ca="1" si="1"/>
        <v>0.91228274885553517</v>
      </c>
      <c r="M17" s="506">
        <f t="shared" ca="1" si="2"/>
        <v>0</v>
      </c>
      <c r="O17" s="511" t="str">
        <f ca="1">IF('CDO Bespoke'!C42&lt;&gt;"",'CDO Bespoke'!C42,"")</f>
        <v>Aegon_MMR.EUR.SU</v>
      </c>
      <c r="P17" s="513" cm="1">
        <f t="array" aca="1" ref="P17" ca="1">IF($O17&lt;&gt;"",-TRANSPOSE(INDEX(getcds('CDO Bespoke'!$C42,P$13,'CDO Bespoke'!$G42/10000,'CDO Bespoke'!F42,'CDO Bespoke'!D42,'CDO Bespoke'!$C$13,'CDO Bespoke'!$C$14,'CDO Bespoke'!$C$15,'CDO Bespoke'!$C$8,,,TRUE,TRUE,FALSE,'CDO Bespoke'!$C$29:'CDO Bespoke'!$C$31,'CDO Bespoke'!$C$33),{5})),"")</f>
        <v>-0.478100926391059</v>
      </c>
      <c r="Q17" s="524" cm="1">
        <f t="array" aca="1" ref="Q17" ca="1">IF($O17&lt;&gt;"",-TRANSPOSE(INDEX(getcds('CDO Bespoke'!$C42,Q$13,'CDO Bespoke'!$G42/10000,'CDO Bespoke'!G42,'CDO Bespoke'!E42,'CDO Bespoke'!$C$13,'CDO Bespoke'!$C$14,'CDO Bespoke'!$C$15,'CDO Bespoke'!$C$8,,,TRUE,TRUE,FALSE,'CDO Bespoke'!$C$29:'CDO Bespoke'!$C$31,'CDO Bespoke'!$C$33),{5})),"")</f>
        <v>-0.96364746289181802</v>
      </c>
      <c r="R17" s="524" cm="1">
        <f t="array" aca="1" ref="R17" ca="1">IF($O17&lt;&gt;"",-TRANSPOSE(INDEX(getcds('CDO Bespoke'!$C42,R$13,'CDO Bespoke'!$G42/10000,'CDO Bespoke'!H42,'CDO Bespoke'!F42,'CDO Bespoke'!$C$13,'CDO Bespoke'!$C$14,'CDO Bespoke'!$C$15,'CDO Bespoke'!$C$8,,,TRUE,TRUE,FALSE,'CDO Bespoke'!$C$29:'CDO Bespoke'!$C$31,'CDO Bespoke'!$C$33),{5})),"")</f>
        <v>-2.7976744883731302</v>
      </c>
      <c r="S17" s="524" cm="1">
        <f t="array" aca="1" ref="S17" ca="1">IF($O17&lt;&gt;"",-TRANSPOSE(INDEX(getcds('CDO Bespoke'!$C42,S$13,'CDO Bespoke'!$G42/10000,'CDO Bespoke'!I42,'CDO Bespoke'!G42,'CDO Bespoke'!$C$13,'CDO Bespoke'!$C$14,'CDO Bespoke'!$C$15,'CDO Bespoke'!$C$8,,,TRUE,TRUE,FALSE,'CDO Bespoke'!$C$29:'CDO Bespoke'!$C$31,'CDO Bespoke'!$C$33),{5})),"")</f>
        <v>-4.4575614386216698</v>
      </c>
      <c r="T17" s="514" cm="1">
        <f t="array" aca="1" ref="T17" ca="1">IF($O17&lt;&gt;"",-TRANSPOSE(INDEX(getcds('CDO Bespoke'!$C42,T$13,'CDO Bespoke'!$G42/10000,'CDO Bespoke'!J42,'CDO Bespoke'!H42,'CDO Bespoke'!$C$13,'CDO Bespoke'!$C$14,'CDO Bespoke'!$C$15,'CDO Bespoke'!$C$8,,,TRUE,TRUE,FALSE,'CDO Bespoke'!$C$29:'CDO Bespoke'!$C$31,'CDO Bespoke'!$C$33),{5})),"")</f>
        <v>-7.8914489410076003</v>
      </c>
      <c r="U17" s="493"/>
      <c r="V17" s="513">
        <f ca="1"/>
        <v>-2.3851540369504431E-5</v>
      </c>
      <c r="W17" s="572">
        <f ca="1"/>
        <v>2.2539735568000846E-3</v>
      </c>
      <c r="X17" s="572">
        <f ca="1"/>
        <v>2.1965191039034077E-3</v>
      </c>
      <c r="Y17" s="572">
        <f ca="1"/>
        <v>4.1228309639873562E-3</v>
      </c>
      <c r="Z17" s="572">
        <f ca="1"/>
        <v>5.6925336519922376E-3</v>
      </c>
      <c r="AA17" s="572">
        <f ca="1"/>
        <v>8.0961102339946467E-3</v>
      </c>
      <c r="AB17" s="572">
        <f ca="1"/>
        <v>1.1597280409961219E-2</v>
      </c>
      <c r="AC17" s="572">
        <f ca="1"/>
        <v>1.1642539030007337E-2</v>
      </c>
      <c r="AD17" s="572">
        <f ca="1"/>
        <v>1.0259302721041252E-2</v>
      </c>
      <c r="AE17" s="514">
        <f ca="1"/>
        <v>5.1514951569797685E-3</v>
      </c>
    </row>
    <row r="18" spans="6:31" s="281" customFormat="1" ht="12" thickBot="1">
      <c r="F18" s="501">
        <f ca="1">IF('CDO Bespoke'!O19&lt;&gt;"",'CDO Bespoke'!O19,"")</f>
        <v>1.1976357099794701</v>
      </c>
      <c r="G18" s="502">
        <f ca="1">IF(F18&lt;&gt;"",ABS(MIN(-0.75*('CDO Bespoke'!Q19+'CDO Bespoke'!T19)+'CDO Bespoke'!T19,0)),"")</f>
        <v>1.1552220213998141</v>
      </c>
      <c r="H18" s="502">
        <f t="shared" ca="1" si="0"/>
        <v>4.2413688579655995E-2</v>
      </c>
      <c r="I18" s="502">
        <f t="shared" ca="1" si="3"/>
        <v>0</v>
      </c>
      <c r="J18" s="501">
        <f ca="1">IF('CDO Bespoke'!O19&lt;&gt;"",'CDO Bespoke'!O19,"")</f>
        <v>1.1976357099794701</v>
      </c>
      <c r="K18" s="502">
        <f ca="1">IF(J18&lt;&gt;"",ABS(MIN(-0.75*('CDO Bespoke'!K19+'CDO Bespoke'!T19)+'CDO Bespoke'!T19,0)),"")</f>
        <v>0.23451993437946861</v>
      </c>
      <c r="L18" s="502">
        <f t="shared" ca="1" si="1"/>
        <v>0.9631157756000015</v>
      </c>
      <c r="M18" s="506">
        <f t="shared" ca="1" si="2"/>
        <v>0</v>
      </c>
      <c r="O18" s="511" t="str">
        <f ca="1">IF('CDO Bespoke'!C43&lt;&gt;"",'CDO Bespoke'!C43,"")</f>
        <v>AkzoNobel_MMR.EUR.SU</v>
      </c>
      <c r="P18" s="513" cm="1">
        <f t="array" aca="1" ref="P18" ca="1">IF($O18&lt;&gt;"",-TRANSPOSE(INDEX(getcds('CDO Bespoke'!$C43,P$13,'CDO Bespoke'!$G43/10000,'CDO Bespoke'!F43,'CDO Bespoke'!D43,'CDO Bespoke'!$C$13,'CDO Bespoke'!$C$14,'CDO Bespoke'!$C$15,'CDO Bespoke'!$C$8,,,TRUE,TRUE,FALSE,'CDO Bespoke'!$C$29:'CDO Bespoke'!$C$31,'CDO Bespoke'!$C$33),{5})),"")</f>
        <v>-0.47824737003613499</v>
      </c>
      <c r="Q18" s="524" cm="1">
        <f t="array" aca="1" ref="Q18" ca="1">IF($O18&lt;&gt;"",-TRANSPOSE(INDEX(getcds('CDO Bespoke'!$C43,Q$13,'CDO Bespoke'!$G43/10000,'CDO Bespoke'!G43,'CDO Bespoke'!E43,'CDO Bespoke'!$C$13,'CDO Bespoke'!$C$14,'CDO Bespoke'!$C$15,'CDO Bespoke'!$C$8,,,TRUE,TRUE,FALSE,'CDO Bespoke'!$C$29:'CDO Bespoke'!$C$31,'CDO Bespoke'!$C$33),{5})),"")</f>
        <v>-0.96429966064517303</v>
      </c>
      <c r="R18" s="524" cm="1">
        <f t="array" aca="1" ref="R18" ca="1">IF($O18&lt;&gt;"",-TRANSPOSE(INDEX(getcds('CDO Bespoke'!$C43,R$13,'CDO Bespoke'!$G43/10000,'CDO Bespoke'!H43,'CDO Bespoke'!F43,'CDO Bespoke'!$C$13,'CDO Bespoke'!$C$14,'CDO Bespoke'!$C$15,'CDO Bespoke'!$C$8,,,TRUE,TRUE,FALSE,'CDO Bespoke'!$C$29:'CDO Bespoke'!$C$31,'CDO Bespoke'!$C$33),{5})),"")</f>
        <v>-2.8061979069916201</v>
      </c>
      <c r="S18" s="524" cm="1">
        <f t="array" aca="1" ref="S18" ca="1">IF($O18&lt;&gt;"",-TRANSPOSE(INDEX(getcds('CDO Bespoke'!$C43,S$13,'CDO Bespoke'!$G43/10000,'CDO Bespoke'!I43,'CDO Bespoke'!G43,'CDO Bespoke'!$C$13,'CDO Bespoke'!$C$14,'CDO Bespoke'!$C$15,'CDO Bespoke'!$C$8,,,TRUE,TRUE,FALSE,'CDO Bespoke'!$C$29:'CDO Bespoke'!$C$31,'CDO Bespoke'!$C$33),{5})),"")</f>
        <v>-4.4812104120763596</v>
      </c>
      <c r="T18" s="514" cm="1">
        <f t="array" aca="1" ref="T18" ca="1">IF($O18&lt;&gt;"",-TRANSPOSE(INDEX(getcds('CDO Bespoke'!$C43,T$13,'CDO Bespoke'!$G43/10000,'CDO Bespoke'!J43,'CDO Bespoke'!H43,'CDO Bespoke'!$C$13,'CDO Bespoke'!$C$14,'CDO Bespoke'!$C$15,'CDO Bespoke'!$C$8,,,TRUE,TRUE,FALSE,'CDO Bespoke'!$C$29:'CDO Bespoke'!$C$31,'CDO Bespoke'!$C$33),{5})),"")</f>
        <v>-7.9554884440818103</v>
      </c>
      <c r="U18" s="493"/>
      <c r="V18" s="513">
        <f ca="1"/>
        <v>-9.4681843799699489E-6</v>
      </c>
      <c r="W18" s="572">
        <f ca="1"/>
        <v>2.2856297009991172E-3</v>
      </c>
      <c r="X18" s="572">
        <f ca="1"/>
        <v>2.3376038891034789E-3</v>
      </c>
      <c r="Y18" s="572">
        <f ca="1"/>
        <v>4.3609174889963631E-3</v>
      </c>
      <c r="Z18" s="572">
        <f ca="1"/>
        <v>6.1013919870275823E-3</v>
      </c>
      <c r="AA18" s="572">
        <f ca="1"/>
        <v>8.573423999971852E-3</v>
      </c>
      <c r="AB18" s="572">
        <f ca="1"/>
        <v>1.1598791192987679E-2</v>
      </c>
      <c r="AC18" s="572">
        <f ca="1"/>
        <v>1.1601752181039648E-2</v>
      </c>
      <c r="AD18" s="572">
        <f ca="1"/>
        <v>1.0120528066981382E-2</v>
      </c>
      <c r="AE18" s="514">
        <f ca="1"/>
        <v>4.8130043700522762E-3</v>
      </c>
    </row>
    <row r="19" spans="6:31" s="281" customFormat="1" ht="12" thickBot="1">
      <c r="F19" s="501">
        <f ca="1">IF('CDO Bespoke'!O20&lt;&gt;"",'CDO Bespoke'!O20,"")</f>
        <v>1.1968920226215001</v>
      </c>
      <c r="G19" s="502">
        <f ca="1">IF(F19&lt;&gt;"",ABS(MIN(-0.75*('CDO Bespoke'!Q20+'CDO Bespoke'!T20)+'CDO Bespoke'!T20,0)),"")</f>
        <v>1.1586232501102782</v>
      </c>
      <c r="H19" s="502">
        <f t="shared" ca="1" si="0"/>
        <v>3.8268772511221849E-2</v>
      </c>
      <c r="I19" s="502">
        <f t="shared" ca="1" si="3"/>
        <v>0</v>
      </c>
      <c r="J19" s="501">
        <f ca="1">IF('CDO Bespoke'!O20&lt;&gt;"",'CDO Bespoke'!O20,"")</f>
        <v>1.1968920226215001</v>
      </c>
      <c r="K19" s="502">
        <f ca="1">IF(J19&lt;&gt;"",ABS(MIN(-0.75*('CDO Bespoke'!K20+'CDO Bespoke'!T20)+'CDO Bespoke'!T20,0)),"")</f>
        <v>0.26450798994246427</v>
      </c>
      <c r="L19" s="502">
        <f t="shared" ca="1" si="1"/>
        <v>0.9323840326790358</v>
      </c>
      <c r="M19" s="506">
        <f t="shared" ca="1" si="2"/>
        <v>0</v>
      </c>
      <c r="O19" s="511" t="str">
        <f ca="1">IF('CDO Bespoke'!C44&lt;&gt;"",'CDO Bespoke'!C44,"")</f>
        <v>Allianz_MMR.EUR.SU</v>
      </c>
      <c r="P19" s="513" cm="1">
        <f t="array" aca="1" ref="P19" ca="1">IF($O19&lt;&gt;"",-TRANSPOSE(INDEX(getcds('CDO Bespoke'!$C44,P$13,'CDO Bespoke'!$G44/10000,'CDO Bespoke'!F44,'CDO Bespoke'!D44,'CDO Bespoke'!$C$13,'CDO Bespoke'!$C$14,'CDO Bespoke'!$C$15,'CDO Bespoke'!$C$8,,,TRUE,TRUE,FALSE,'CDO Bespoke'!$C$29:'CDO Bespoke'!$C$31,'CDO Bespoke'!$C$33),{5})),"")</f>
        <v>-0.47810670592201399</v>
      </c>
      <c r="Q19" s="524" cm="1">
        <f t="array" aca="1" ref="Q19" ca="1">IF($O19&lt;&gt;"",-TRANSPOSE(INDEX(getcds('CDO Bespoke'!$C44,Q$13,'CDO Bespoke'!$G44/10000,'CDO Bespoke'!G44,'CDO Bespoke'!E44,'CDO Bespoke'!$C$13,'CDO Bespoke'!$C$14,'CDO Bespoke'!$C$15,'CDO Bespoke'!$C$8,,,TRUE,TRUE,FALSE,'CDO Bespoke'!$C$29:'CDO Bespoke'!$C$31,'CDO Bespoke'!$C$33),{5})),"")</f>
        <v>-0.96369043471925098</v>
      </c>
      <c r="R19" s="524" cm="1">
        <f t="array" aca="1" ref="R19" ca="1">IF($O19&lt;&gt;"",-TRANSPOSE(INDEX(getcds('CDO Bespoke'!$C44,R$13,'CDO Bespoke'!$G44/10000,'CDO Bespoke'!H44,'CDO Bespoke'!F44,'CDO Bespoke'!$C$13,'CDO Bespoke'!$C$14,'CDO Bespoke'!$C$15,'CDO Bespoke'!$C$8,,,TRUE,TRUE,FALSE,'CDO Bespoke'!$C$29:'CDO Bespoke'!$C$31,'CDO Bespoke'!$C$33),{5})),"")</f>
        <v>-2.7991380368232202</v>
      </c>
      <c r="S19" s="524" cm="1">
        <f t="array" aca="1" ref="S19" ca="1">IF($O19&lt;&gt;"",-TRANSPOSE(INDEX(getcds('CDO Bespoke'!$C44,S$13,'CDO Bespoke'!$G44/10000,'CDO Bespoke'!I44,'CDO Bespoke'!G44,'CDO Bespoke'!$C$13,'CDO Bespoke'!$C$14,'CDO Bespoke'!$C$15,'CDO Bespoke'!$C$8,,,TRUE,TRUE,FALSE,'CDO Bespoke'!$C$29:'CDO Bespoke'!$C$31,'CDO Bespoke'!$C$33),{5})),"")</f>
        <v>-4.4646918825296904</v>
      </c>
      <c r="T19" s="514" cm="1">
        <f t="array" aca="1" ref="T19" ca="1">IF($O19&lt;&gt;"",-TRANSPOSE(INDEX(getcds('CDO Bespoke'!$C44,T$13,'CDO Bespoke'!$G44/10000,'CDO Bespoke'!J44,'CDO Bespoke'!H44,'CDO Bespoke'!$C$13,'CDO Bespoke'!$C$14,'CDO Bespoke'!$C$15,'CDO Bespoke'!$C$8,,,TRUE,TRUE,FALSE,'CDO Bespoke'!$C$29:'CDO Bespoke'!$C$31,'CDO Bespoke'!$C$33),{5})),"")</f>
        <v>-7.9240711148036702</v>
      </c>
      <c r="U19" s="493"/>
      <c r="V19" s="513">
        <f ca="1"/>
        <v>-2.3283965659400344E-5</v>
      </c>
      <c r="W19" s="572">
        <f ca="1"/>
        <v>2.2552223594976203E-3</v>
      </c>
      <c r="X19" s="572">
        <f ca="1"/>
        <v>2.2279943763005294E-3</v>
      </c>
      <c r="Y19" s="572">
        <f ca="1"/>
        <v>4.1558249319964546E-3</v>
      </c>
      <c r="Z19" s="572">
        <f ca="1"/>
        <v>5.8909549739694089E-3</v>
      </c>
      <c r="AA19" s="572">
        <f ca="1"/>
        <v>8.468868454014622E-3</v>
      </c>
      <c r="AB19" s="572">
        <f ca="1"/>
        <v>1.1815100982998095E-2</v>
      </c>
      <c r="AC19" s="572">
        <f ca="1"/>
        <v>1.1960587046958016E-2</v>
      </c>
      <c r="AD19" s="572">
        <f ca="1"/>
        <v>1.0625127565971892E-2</v>
      </c>
      <c r="AE19" s="514">
        <f ca="1"/>
        <v>5.5716700919639095E-3</v>
      </c>
    </row>
    <row r="20" spans="6:31" s="281" customFormat="1" ht="12" thickBot="1">
      <c r="F20" s="501">
        <f ca="1">IF('CDO Bespoke'!O21&lt;&gt;"",'CDO Bespoke'!O21,"")</f>
        <v>1.19415414320864</v>
      </c>
      <c r="G20" s="502">
        <f ca="1">IF(F20&lt;&gt;"",ABS(MIN(-0.75*('CDO Bespoke'!Q21+'CDO Bespoke'!T21)+'CDO Bespoke'!T21,0)),"")</f>
        <v>1.1705427781793789</v>
      </c>
      <c r="H20" s="502">
        <f t="shared" ca="1" si="0"/>
        <v>2.3611365029261089E-2</v>
      </c>
      <c r="I20" s="502">
        <f t="shared" ca="1" si="3"/>
        <v>0</v>
      </c>
      <c r="J20" s="501">
        <f ca="1">IF('CDO Bespoke'!O21&lt;&gt;"",'CDO Bespoke'!O21,"")</f>
        <v>1.19415414320864</v>
      </c>
      <c r="K20" s="502">
        <f ca="1">IF(J20&lt;&gt;"",ABS(MIN(-0.75*('CDO Bespoke'!K21+'CDO Bespoke'!T21)+'CDO Bespoke'!T21,0)),"")</f>
        <v>0.33281841995673211</v>
      </c>
      <c r="L20" s="502">
        <f t="shared" ca="1" si="1"/>
        <v>0.86133572325190788</v>
      </c>
      <c r="M20" s="506">
        <f t="shared" ca="1" si="2"/>
        <v>0</v>
      </c>
      <c r="O20" s="511" t="str">
        <f ca="1">IF('CDO Bespoke'!C45&lt;&gt;"",'CDO Bespoke'!C45,"")</f>
        <v>Altadis_MMR.EUR.SU</v>
      </c>
      <c r="P20" s="513" cm="1">
        <f t="array" aca="1" ref="P20" ca="1">IF($O20&lt;&gt;"",-TRANSPOSE(INDEX(getcds('CDO Bespoke'!$C45,P$13,'CDO Bespoke'!$G45/10000,'CDO Bespoke'!F45,'CDO Bespoke'!D45,'CDO Bespoke'!$C$13,'CDO Bespoke'!$C$14,'CDO Bespoke'!$C$15,'CDO Bespoke'!$C$8,,,TRUE,TRUE,FALSE,'CDO Bespoke'!$C$29:'CDO Bespoke'!$C$31,'CDO Bespoke'!$C$33),{5})),"")</f>
        <v>-0.47824737003613499</v>
      </c>
      <c r="Q20" s="524" cm="1">
        <f t="array" aca="1" ref="Q20" ca="1">IF($O20&lt;&gt;"",-TRANSPOSE(INDEX(getcds('CDO Bespoke'!$C45,Q$13,'CDO Bespoke'!$G45/10000,'CDO Bespoke'!G45,'CDO Bespoke'!E45,'CDO Bespoke'!$C$13,'CDO Bespoke'!$C$14,'CDO Bespoke'!$C$15,'CDO Bespoke'!$C$8,,,TRUE,TRUE,FALSE,'CDO Bespoke'!$C$29:'CDO Bespoke'!$C$31,'CDO Bespoke'!$C$33),{5})),"")</f>
        <v>-0.96419653526972604</v>
      </c>
      <c r="R20" s="524" cm="1">
        <f t="array" aca="1" ref="R20" ca="1">IF($O20&lt;&gt;"",-TRANSPOSE(INDEX(getcds('CDO Bespoke'!$C45,R$13,'CDO Bespoke'!$G45/10000,'CDO Bespoke'!H45,'CDO Bespoke'!F45,'CDO Bespoke'!$C$13,'CDO Bespoke'!$C$14,'CDO Bespoke'!$C$15,'CDO Bespoke'!$C$8,,,TRUE,TRUE,FALSE,'CDO Bespoke'!$C$29:'CDO Bespoke'!$C$31,'CDO Bespoke'!$C$33),{5})),"")</f>
        <v>-2.79786391092544</v>
      </c>
      <c r="S20" s="524" cm="1">
        <f t="array" aca="1" ref="S20" ca="1">IF($O20&lt;&gt;"",-TRANSPOSE(INDEX(getcds('CDO Bespoke'!$C45,S$13,'CDO Bespoke'!$G45/10000,'CDO Bespoke'!I45,'CDO Bespoke'!G45,'CDO Bespoke'!$C$13,'CDO Bespoke'!$C$14,'CDO Bespoke'!$C$15,'CDO Bespoke'!$C$8,,,TRUE,TRUE,FALSE,'CDO Bespoke'!$C$29:'CDO Bespoke'!$C$31,'CDO Bespoke'!$C$33),{5})),"")</f>
        <v>-4.4431054190783899</v>
      </c>
      <c r="T20" s="514" cm="1">
        <f t="array" aca="1" ref="T20" ca="1">IF($O20&lt;&gt;"",-TRANSPOSE(INDEX(getcds('CDO Bespoke'!$C45,T$13,'CDO Bespoke'!$G45/10000,'CDO Bespoke'!J45,'CDO Bespoke'!H45,'CDO Bespoke'!$C$13,'CDO Bespoke'!$C$14,'CDO Bespoke'!$C$15,'CDO Bespoke'!$C$8,,,TRUE,TRUE,FALSE,'CDO Bespoke'!$C$29:'CDO Bespoke'!$C$31,'CDO Bespoke'!$C$33),{5})),"")</f>
        <v>-7.7411447009419403</v>
      </c>
      <c r="U20" s="493"/>
      <c r="V20" s="513">
        <f ca="1"/>
        <v>-9.4681843799699489E-6</v>
      </c>
      <c r="W20" s="572">
        <f ca="1"/>
        <v>2.2856297009991172E-3</v>
      </c>
      <c r="X20" s="572">
        <f ca="1"/>
        <v>2.1825185200080588E-3</v>
      </c>
      <c r="Y20" s="572">
        <f ca="1"/>
        <v>4.0523901529906925E-3</v>
      </c>
      <c r="Z20" s="572">
        <f ca="1"/>
        <v>5.2473095250166191E-3</v>
      </c>
      <c r="AA20" s="572">
        <f ca="1"/>
        <v>6.5563997190057344E-3</v>
      </c>
      <c r="AB20" s="572">
        <f ca="1"/>
        <v>6.6604079570001251E-3</v>
      </c>
      <c r="AC20" s="572">
        <f ca="1"/>
        <v>4.2303890388992182E-3</v>
      </c>
      <c r="AD20" s="572">
        <f ca="1"/>
        <v>1.0265336899007577E-3</v>
      </c>
      <c r="AE20" s="514">
        <f ca="1"/>
        <v>-6.6672360402031394E-3</v>
      </c>
    </row>
    <row r="21" spans="6:31" s="281" customFormat="1" ht="12" thickBot="1">
      <c r="F21" s="501">
        <f ca="1">IF('CDO Bespoke'!O22&lt;&gt;"",'CDO Bespoke'!O22,"")</f>
        <v>1.1947799941897099</v>
      </c>
      <c r="G21" s="502">
        <f ca="1">IF(F21&lt;&gt;"",ABS(MIN(-0.75*('CDO Bespoke'!Q22+'CDO Bespoke'!T22)+'CDO Bespoke'!T22,0)),"")</f>
        <v>1.1682180639436111</v>
      </c>
      <c r="H21" s="502">
        <f t="shared" ca="1" si="0"/>
        <v>2.6561930246098875E-2</v>
      </c>
      <c r="I21" s="502">
        <f t="shared" ca="1" si="3"/>
        <v>0</v>
      </c>
      <c r="J21" s="501">
        <f ca="1">IF('CDO Bespoke'!O22&lt;&gt;"",'CDO Bespoke'!O22,"")</f>
        <v>1.1947799941897099</v>
      </c>
      <c r="K21" s="502">
        <f ca="1">IF(J21&lt;&gt;"",ABS(MIN(-0.75*('CDO Bespoke'!K22+'CDO Bespoke'!T22)+'CDO Bespoke'!T22,0)),"")</f>
        <v>0.32151214350464097</v>
      </c>
      <c r="L21" s="502">
        <f t="shared" ca="1" si="1"/>
        <v>0.87326785068506896</v>
      </c>
      <c r="M21" s="506">
        <f t="shared" ca="1" si="2"/>
        <v>0</v>
      </c>
      <c r="O21" s="511" t="str">
        <f ca="1">IF('CDO Bespoke'!C46&lt;&gt;"",'CDO Bespoke'!C46,"")</f>
        <v>ArcelorFinanceSca_MMR.EUR.SU</v>
      </c>
      <c r="P21" s="513" cm="1">
        <f t="array" aca="1" ref="P21" ca="1">IF($O21&lt;&gt;"",-TRANSPOSE(INDEX(getcds('CDO Bespoke'!$C46,P$13,'CDO Bespoke'!$G46/10000,'CDO Bespoke'!F46,'CDO Bespoke'!D46,'CDO Bespoke'!$C$13,'CDO Bespoke'!$C$14,'CDO Bespoke'!$C$15,'CDO Bespoke'!$C$8,,,TRUE,TRUE,FALSE,'CDO Bespoke'!$C$29:'CDO Bespoke'!$C$31,'CDO Bespoke'!$C$33),{5})),"")</f>
        <v>-0.47809322049536701</v>
      </c>
      <c r="Q21" s="524" cm="1">
        <f t="array" aca="1" ref="Q21" ca="1">IF($O21&lt;&gt;"",-TRANSPOSE(INDEX(getcds('CDO Bespoke'!$C46,Q$13,'CDO Bespoke'!$G46/10000,'CDO Bespoke'!G46,'CDO Bespoke'!E46,'CDO Bespoke'!$C$13,'CDO Bespoke'!$C$14,'CDO Bespoke'!$C$15,'CDO Bespoke'!$C$8,,,TRUE,TRUE,FALSE,'CDO Bespoke'!$C$29:'CDO Bespoke'!$C$31,'CDO Bespoke'!$C$33),{5})),"")</f>
        <v>-0.96366874027899496</v>
      </c>
      <c r="R21" s="524" cm="1">
        <f t="array" aca="1" ref="R21" ca="1">IF($O21&lt;&gt;"",-TRANSPOSE(INDEX(getcds('CDO Bespoke'!$C46,R$13,'CDO Bespoke'!$G46/10000,'CDO Bespoke'!H46,'CDO Bespoke'!F46,'CDO Bespoke'!$C$13,'CDO Bespoke'!$C$14,'CDO Bespoke'!$C$15,'CDO Bespoke'!$C$8,,,TRUE,TRUE,FALSE,'CDO Bespoke'!$C$29:'CDO Bespoke'!$C$31,'CDO Bespoke'!$C$33),{5})),"")</f>
        <v>-2.7969452424110202</v>
      </c>
      <c r="S21" s="524" cm="1">
        <f t="array" aca="1" ref="S21" ca="1">IF($O21&lt;&gt;"",-TRANSPOSE(INDEX(getcds('CDO Bespoke'!$C46,S$13,'CDO Bespoke'!$G46/10000,'CDO Bespoke'!I46,'CDO Bespoke'!G46,'CDO Bespoke'!$C$13,'CDO Bespoke'!$C$14,'CDO Bespoke'!$C$15,'CDO Bespoke'!$C$8,,,TRUE,TRUE,FALSE,'CDO Bespoke'!$C$29:'CDO Bespoke'!$C$31,'CDO Bespoke'!$C$33),{5})),"")</f>
        <v>-4.4463533803860003</v>
      </c>
      <c r="T21" s="514" cm="1">
        <f t="array" aca="1" ref="T21" ca="1">IF($O21&lt;&gt;"",-TRANSPOSE(INDEX(getcds('CDO Bespoke'!$C46,T$13,'CDO Bespoke'!$G46/10000,'CDO Bespoke'!J46,'CDO Bespoke'!H46,'CDO Bespoke'!$C$13,'CDO Bespoke'!$C$14,'CDO Bespoke'!$C$15,'CDO Bespoke'!$C$8,,,TRUE,TRUE,FALSE,'CDO Bespoke'!$C$29:'CDO Bespoke'!$C$31,'CDO Bespoke'!$C$33),{5})),"")</f>
        <v>-7.7659198124459596</v>
      </c>
      <c r="U21" s="493"/>
      <c r="V21" s="513">
        <f ca="1"/>
        <v>-2.4608282450612126E-5</v>
      </c>
      <c r="W21" s="572">
        <f ca="1"/>
        <v>2.2523085865984449E-3</v>
      </c>
      <c r="X21" s="572">
        <f ca="1"/>
        <v>2.2726811782849965E-3</v>
      </c>
      <c r="Y21" s="572">
        <f ca="1"/>
        <v>3.9819855900125045E-3</v>
      </c>
      <c r="Z21" s="572">
        <f ca="1"/>
        <v>5.4991845439833487E-3</v>
      </c>
      <c r="AA21" s="572">
        <f ca="1"/>
        <v>6.9337752179807199E-3</v>
      </c>
      <c r="AB21" s="572">
        <f ca="1"/>
        <v>7.4204449249971882E-3</v>
      </c>
      <c r="AC21" s="572">
        <f ca="1"/>
        <v>5.3308941679909572E-3</v>
      </c>
      <c r="AD21" s="572">
        <f ca="1"/>
        <v>2.3557430000025609E-3</v>
      </c>
      <c r="AE21" s="514">
        <f ca="1"/>
        <v>-5.0585824202002347E-3</v>
      </c>
    </row>
    <row r="22" spans="6:31" s="281" customFormat="1" ht="12" thickBot="1">
      <c r="F22" s="501">
        <f ca="1">IF('CDO Bespoke'!O23&lt;&gt;"",'CDO Bespoke'!O23,"")</f>
        <v>1.1978601824642301</v>
      </c>
      <c r="G22" s="502">
        <f ca="1">IF(F22&lt;&gt;"",ABS(MIN(-0.75*('CDO Bespoke'!Q23+'CDO Bespoke'!T23)+'CDO Bespoke'!T23,0)),"")</f>
        <v>1.1543005322093773</v>
      </c>
      <c r="H22" s="502">
        <f t="shared" ca="1" si="0"/>
        <v>4.3559650254852755E-2</v>
      </c>
      <c r="I22" s="502">
        <f t="shared" ca="1" si="3"/>
        <v>0</v>
      </c>
      <c r="J22" s="501">
        <f ca="1">IF('CDO Bespoke'!O23&lt;&gt;"",'CDO Bespoke'!O23,"")</f>
        <v>1.1978601824642301</v>
      </c>
      <c r="K22" s="502">
        <f ca="1">IF(J22&lt;&gt;"",ABS(MIN(-0.75*('CDO Bespoke'!K23+'CDO Bespoke'!T23)+'CDO Bespoke'!T23,0)),"")</f>
        <v>0.22694185494942368</v>
      </c>
      <c r="L22" s="502">
        <f t="shared" ca="1" si="1"/>
        <v>0.97091832751480645</v>
      </c>
      <c r="M22" s="506">
        <f t="shared" ca="1" si="2"/>
        <v>0</v>
      </c>
      <c r="O22" s="511" t="str">
        <f ca="1">IF('CDO Bespoke'!C47&lt;&gt;"",'CDO Bespoke'!C47,"")</f>
        <v>Auchan_MMR.EUR.SU</v>
      </c>
      <c r="P22" s="513" cm="1">
        <f t="array" aca="1" ref="P22" ca="1">IF($O22&lt;&gt;"",-TRANSPOSE(INDEX(getcds('CDO Bespoke'!$C47,P$13,'CDO Bespoke'!$G47/10000,'CDO Bespoke'!F47,'CDO Bespoke'!D47,'CDO Bespoke'!$C$13,'CDO Bespoke'!$C$14,'CDO Bespoke'!$C$15,'CDO Bespoke'!$C$8,,,TRUE,TRUE,FALSE,'CDO Bespoke'!$C$29:'CDO Bespoke'!$C$31,'CDO Bespoke'!$C$33),{5})),"")</f>
        <v>-0.47828591783154101</v>
      </c>
      <c r="Q22" s="524" cm="1">
        <f t="array" aca="1" ref="Q22" ca="1">IF($O22&lt;&gt;"",-TRANSPOSE(INDEX(getcds('CDO Bespoke'!$C47,Q$13,'CDO Bespoke'!$G47/10000,'CDO Bespoke'!G47,'CDO Bespoke'!E47,'CDO Bespoke'!$C$13,'CDO Bespoke'!$C$14,'CDO Bespoke'!$C$15,'CDO Bespoke'!$C$8,,,TRUE,TRUE,FALSE,'CDO Bespoke'!$C$29:'CDO Bespoke'!$C$31,'CDO Bespoke'!$C$33),{5})),"")</f>
        <v>-0.96443169505989301</v>
      </c>
      <c r="R22" s="524" cm="1">
        <f t="array" aca="1" ref="R22" ca="1">IF($O22&lt;&gt;"",-TRANSPOSE(INDEX(getcds('CDO Bespoke'!$C47,R$13,'CDO Bespoke'!$G47/10000,'CDO Bespoke'!H47,'CDO Bespoke'!F47,'CDO Bespoke'!$C$13,'CDO Bespoke'!$C$14,'CDO Bespoke'!$C$15,'CDO Bespoke'!$C$8,,,TRUE,TRUE,FALSE,'CDO Bespoke'!$C$29:'CDO Bespoke'!$C$31,'CDO Bespoke'!$C$33),{5})),"")</f>
        <v>-2.8061894884279899</v>
      </c>
      <c r="S22" s="524" cm="1">
        <f t="array" aca="1" ref="S22" ca="1">IF($O22&lt;&gt;"",-TRANSPOSE(INDEX(getcds('CDO Bespoke'!$C47,S$13,'CDO Bespoke'!$G47/10000,'CDO Bespoke'!I47,'CDO Bespoke'!G47,'CDO Bespoke'!$C$13,'CDO Bespoke'!$C$14,'CDO Bespoke'!$C$15,'CDO Bespoke'!$C$8,,,TRUE,TRUE,FALSE,'CDO Bespoke'!$C$29:'CDO Bespoke'!$C$31,'CDO Bespoke'!$C$33),{5})),"")</f>
        <v>-4.4818286098516804</v>
      </c>
      <c r="T22" s="514" cm="1">
        <f t="array" aca="1" ref="T22" ca="1">IF($O22&lt;&gt;"",-TRANSPOSE(INDEX(getcds('CDO Bespoke'!$C47,T$13,'CDO Bespoke'!$G47/10000,'CDO Bespoke'!J47,'CDO Bespoke'!H47,'CDO Bespoke'!$C$13,'CDO Bespoke'!$C$14,'CDO Bespoke'!$C$15,'CDO Bespoke'!$C$8,,,TRUE,TRUE,FALSE,'CDO Bespoke'!$C$29:'CDO Bespoke'!$C$31,'CDO Bespoke'!$C$33),{5})),"")</f>
        <v>-7.9698936530845099</v>
      </c>
      <c r="U22" s="493"/>
      <c r="V22" s="513">
        <f ca="1"/>
        <v>-5.6814299600094383E-6</v>
      </c>
      <c r="W22" s="572">
        <f ca="1"/>
        <v>2.293967125205007E-3</v>
      </c>
      <c r="X22" s="572">
        <f ca="1"/>
        <v>2.3150645194966457E-3</v>
      </c>
      <c r="Y22" s="572">
        <f ca="1"/>
        <v>4.3608704989803182E-3</v>
      </c>
      <c r="Z22" s="572">
        <f ca="1"/>
        <v>6.025429521022696E-3</v>
      </c>
      <c r="AA22" s="572">
        <f ca="1"/>
        <v>8.8337402000260301E-3</v>
      </c>
      <c r="AB22" s="572">
        <f ca="1"/>
        <v>1.1461204806953451E-2</v>
      </c>
      <c r="AC22" s="572">
        <f ca="1"/>
        <v>1.1366871563028846E-2</v>
      </c>
      <c r="AD22" s="572">
        <f ca="1"/>
        <v>9.775807975065387E-3</v>
      </c>
      <c r="AE22" s="514">
        <f ca="1"/>
        <v>4.2734125910159904E-3</v>
      </c>
    </row>
    <row r="23" spans="6:31" s="281" customFormat="1" ht="12" thickBot="1">
      <c r="F23" s="501">
        <f ca="1">IF('CDO Bespoke'!O24&lt;&gt;"",'CDO Bespoke'!O24,"")</f>
        <v>1.1970929211433401</v>
      </c>
      <c r="G23" s="502">
        <f ca="1">IF(F23&lt;&gt;"",ABS(MIN(-0.75*('CDO Bespoke'!Q24+'CDO Bespoke'!T24)+'CDO Bespoke'!T24,0)),"")</f>
        <v>1.1582212775300897</v>
      </c>
      <c r="H23" s="502">
        <f t="shared" ca="1" si="0"/>
        <v>3.8871643613250351E-2</v>
      </c>
      <c r="I23" s="502">
        <f t="shared" ca="1" si="3"/>
        <v>0</v>
      </c>
      <c r="J23" s="501">
        <f ca="1">IF('CDO Bespoke'!O24&lt;&gt;"",'CDO Bespoke'!O24,"")</f>
        <v>1.1970929211433401</v>
      </c>
      <c r="K23" s="502">
        <f ca="1">IF(J23&lt;&gt;"",ABS(MIN(-0.75*('CDO Bespoke'!K24+'CDO Bespoke'!T24)+'CDO Bespoke'!T24,0)),"")</f>
        <v>0.26036145783219838</v>
      </c>
      <c r="L23" s="502">
        <f t="shared" ca="1" si="1"/>
        <v>0.93673146331114165</v>
      </c>
      <c r="M23" s="506">
        <f t="shared" ca="1" si="2"/>
        <v>0</v>
      </c>
      <c r="O23" s="511" t="str">
        <f ca="1">IF('CDO Bespoke'!C48&lt;&gt;"",'CDO Bespoke'!C48,"")</f>
        <v>Aviva_MMR.EUR.SU</v>
      </c>
      <c r="P23" s="513" cm="1">
        <f t="array" aca="1" ref="P23" ca="1">IF($O23&lt;&gt;"",-TRANSPOSE(INDEX(getcds('CDO Bespoke'!$C48,P$13,'CDO Bespoke'!$G48/10000,'CDO Bespoke'!F48,'CDO Bespoke'!D48,'CDO Bespoke'!$C$13,'CDO Bespoke'!$C$14,'CDO Bespoke'!$C$15,'CDO Bespoke'!$C$8,,,TRUE,TRUE,FALSE,'CDO Bespoke'!$C$29:'CDO Bespoke'!$C$31,'CDO Bespoke'!$C$33),{5})),"")</f>
        <v>-0.47811441210887701</v>
      </c>
      <c r="Q23" s="524" cm="1">
        <f t="array" aca="1" ref="Q23" ca="1">IF($O23&lt;&gt;"",-TRANSPOSE(INDEX(getcds('CDO Bespoke'!$C48,Q$13,'CDO Bespoke'!$G48/10000,'CDO Bespoke'!G48,'CDO Bespoke'!E48,'CDO Bespoke'!$C$13,'CDO Bespoke'!$C$14,'CDO Bespoke'!$C$15,'CDO Bespoke'!$C$8,,,TRUE,TRUE,FALSE,'CDO Bespoke'!$C$29:'CDO Bespoke'!$C$31,'CDO Bespoke'!$C$33),{5})),"")</f>
        <v>-0.96373742644190996</v>
      </c>
      <c r="R23" s="524" cm="1">
        <f t="array" aca="1" ref="R23" ca="1">IF($O23&lt;&gt;"",-TRANSPOSE(INDEX(getcds('CDO Bespoke'!$C48,R$13,'CDO Bespoke'!$G48/10000,'CDO Bespoke'!H48,'CDO Bespoke'!F48,'CDO Bespoke'!$C$13,'CDO Bespoke'!$C$14,'CDO Bespoke'!$C$15,'CDO Bespoke'!$C$8,,,TRUE,TRUE,FALSE,'CDO Bespoke'!$C$29:'CDO Bespoke'!$C$31,'CDO Bespoke'!$C$33),{5})),"")</f>
        <v>-2.80067946331198</v>
      </c>
      <c r="S23" s="524" cm="1">
        <f t="array" aca="1" ref="S23" ca="1">IF($O23&lt;&gt;"",-TRANSPOSE(INDEX(getcds('CDO Bespoke'!$C48,S$13,'CDO Bespoke'!$G48/10000,'CDO Bespoke'!I48,'CDO Bespoke'!G48,'CDO Bespoke'!$C$13,'CDO Bespoke'!$C$14,'CDO Bespoke'!$C$15,'CDO Bespoke'!$C$8,,,TRUE,TRUE,FALSE,'CDO Bespoke'!$C$29:'CDO Bespoke'!$C$31,'CDO Bespoke'!$C$33),{5})),"")</f>
        <v>-4.4678553447521203</v>
      </c>
      <c r="T23" s="514" cm="1">
        <f t="array" aca="1" ref="T23" ca="1">IF($O23&lt;&gt;"",-TRANSPOSE(INDEX(getcds('CDO Bespoke'!$C48,T$13,'CDO Bespoke'!$G48/10000,'CDO Bespoke'!J48,'CDO Bespoke'!H48,'CDO Bespoke'!$C$13,'CDO Bespoke'!$C$14,'CDO Bespoke'!$C$15,'CDO Bespoke'!$C$8,,,TRUE,TRUE,FALSE,'CDO Bespoke'!$C$29:'CDO Bespoke'!$C$31,'CDO Bespoke'!$C$33),{5})),"")</f>
        <v>-7.9333813959380803</v>
      </c>
      <c r="U23" s="493"/>
      <c r="V23" s="513">
        <f ca="1"/>
        <v>-2.2527175189265489E-5</v>
      </c>
      <c r="W23" s="572">
        <f ca="1"/>
        <v>2.2568875295003732E-3</v>
      </c>
      <c r="X23" s="572">
        <f ca="1"/>
        <v>2.2544768944927907E-3</v>
      </c>
      <c r="Y23" s="572">
        <f ca="1"/>
        <v>4.2315835070000363E-3</v>
      </c>
      <c r="Z23" s="572">
        <f ca="1"/>
        <v>5.8904849939769854E-3</v>
      </c>
      <c r="AA23" s="572">
        <f ca="1"/>
        <v>8.4516579799964742E-3</v>
      </c>
      <c r="AB23" s="572">
        <f ca="1"/>
        <v>1.2110508389034935E-2</v>
      </c>
      <c r="AC23" s="572">
        <f ca="1"/>
        <v>1.2426698173043094E-2</v>
      </c>
      <c r="AD23" s="572">
        <f ca="1"/>
        <v>1.1233514297936953E-2</v>
      </c>
      <c r="AE23" s="514">
        <f ca="1"/>
        <v>6.4132583420251077E-3</v>
      </c>
    </row>
    <row r="24" spans="6:31" s="281" customFormat="1" ht="12" thickBot="1">
      <c r="F24" s="501">
        <f ca="1">IF('CDO Bespoke'!O25&lt;&gt;"",'CDO Bespoke'!O25,"")</f>
        <v>1.1967866726626899</v>
      </c>
      <c r="G24" s="502">
        <f ca="1">IF(F24&lt;&gt;"",ABS(MIN(-0.75*('CDO Bespoke'!Q25+'CDO Bespoke'!T25)+'CDO Bespoke'!T25,0)),"")</f>
        <v>1.1596797188756431</v>
      </c>
      <c r="H24" s="502">
        <f t="shared" ca="1" si="0"/>
        <v>3.7106953787046759E-2</v>
      </c>
      <c r="I24" s="502">
        <f t="shared" ca="1" si="3"/>
        <v>0</v>
      </c>
      <c r="J24" s="501">
        <f ca="1">IF('CDO Bespoke'!O25&lt;&gt;"",'CDO Bespoke'!O25,"")</f>
        <v>1.1967866726626899</v>
      </c>
      <c r="K24" s="502">
        <f ca="1">IF(J24&lt;&gt;"",ABS(MIN(-0.75*('CDO Bespoke'!K25+'CDO Bespoke'!T25)+'CDO Bespoke'!T25,0)),"")</f>
        <v>0.27119044008634735</v>
      </c>
      <c r="L24" s="502">
        <f t="shared" ca="1" si="1"/>
        <v>0.92559623257634249</v>
      </c>
      <c r="M24" s="506">
        <f t="shared" ca="1" si="2"/>
        <v>0</v>
      </c>
      <c r="O24" s="511" t="str">
        <f ca="1">IF('CDO Bespoke'!C49&lt;&gt;"",'CDO Bespoke'!C49,"")</f>
        <v>AXA_MMR.EUR.SU</v>
      </c>
      <c r="P24" s="513" cm="1">
        <f t="array" aca="1" ref="P24" ca="1">IF($O24&lt;&gt;"",-TRANSPOSE(INDEX(getcds('CDO Bespoke'!$C49,P$13,'CDO Bespoke'!$G49/10000,'CDO Bespoke'!F49,'CDO Bespoke'!D49,'CDO Bespoke'!$C$13,'CDO Bespoke'!$C$14,'CDO Bespoke'!$C$15,'CDO Bespoke'!$C$8,,,TRUE,TRUE,FALSE,'CDO Bespoke'!$C$29:'CDO Bespoke'!$C$31,'CDO Bespoke'!$C$33),{5})),"")</f>
        <v>-0.47810285289097498</v>
      </c>
      <c r="Q24" s="524" cm="1">
        <f t="array" aca="1" ref="Q24" ca="1">IF($O24&lt;&gt;"",-TRANSPOSE(INDEX(getcds('CDO Bespoke'!$C49,Q$13,'CDO Bespoke'!$G49/10000,'CDO Bespoke'!G49,'CDO Bespoke'!E49,'CDO Bespoke'!$C$13,'CDO Bespoke'!$C$14,'CDO Bespoke'!$C$15,'CDO Bespoke'!$C$8,,,TRUE,TRUE,FALSE,'CDO Bespoke'!$C$29:'CDO Bespoke'!$C$31,'CDO Bespoke'!$C$33),{5})),"")</f>
        <v>-0.96367209195541603</v>
      </c>
      <c r="R24" s="524" cm="1">
        <f t="array" aca="1" ref="R24" ca="1">IF($O24&lt;&gt;"",-TRANSPOSE(INDEX(getcds('CDO Bespoke'!$C49,R$13,'CDO Bespoke'!$G49/10000,'CDO Bespoke'!H49,'CDO Bespoke'!F49,'CDO Bespoke'!$C$13,'CDO Bespoke'!$C$14,'CDO Bespoke'!$C$15,'CDO Bespoke'!$C$8,,,TRUE,TRUE,FALSE,'CDO Bespoke'!$C$29:'CDO Bespoke'!$C$31,'CDO Bespoke'!$C$33),{5})),"")</f>
        <v>-2.7987304367071699</v>
      </c>
      <c r="S24" s="524" cm="1">
        <f t="array" aca="1" ref="S24" ca="1">IF($O24&lt;&gt;"",-TRANSPOSE(INDEX(getcds('CDO Bespoke'!$C49,S$13,'CDO Bespoke'!$G49/10000,'CDO Bespoke'!I49,'CDO Bespoke'!G49,'CDO Bespoke'!$C$13,'CDO Bespoke'!$C$14,'CDO Bespoke'!$C$15,'CDO Bespoke'!$C$8,,,TRUE,TRUE,FALSE,'CDO Bespoke'!$C$29:'CDO Bespoke'!$C$31,'CDO Bespoke'!$C$33),{5})),"")</f>
        <v>-4.4624446959465498</v>
      </c>
      <c r="T24" s="514" cm="1">
        <f t="array" aca="1" ref="T24" ca="1">IF($O24&lt;&gt;"",-TRANSPOSE(INDEX(getcds('CDO Bespoke'!$C49,T$13,'CDO Bespoke'!$G49/10000,'CDO Bespoke'!J49,'CDO Bespoke'!H49,'CDO Bespoke'!$C$13,'CDO Bespoke'!$C$14,'CDO Bespoke'!$C$15,'CDO Bespoke'!$C$8,,,TRUE,TRUE,FALSE,'CDO Bespoke'!$C$29:'CDO Bespoke'!$C$31,'CDO Bespoke'!$C$33),{5})),"")</f>
        <v>-7.9124975879492299</v>
      </c>
      <c r="U24" s="493"/>
      <c r="V24" s="513">
        <f ca="1"/>
        <v>-2.3662350529495002E-5</v>
      </c>
      <c r="W24" s="572">
        <f ca="1"/>
        <v>2.2543898171986307E-3</v>
      </c>
      <c r="X24" s="572">
        <f ca="1"/>
        <v>2.2225016047938001E-3</v>
      </c>
      <c r="Y24" s="572">
        <f ca="1"/>
        <v>4.1457429809932389E-3</v>
      </c>
      <c r="Z24" s="572">
        <f ca="1"/>
        <v>5.8255718219865638E-3</v>
      </c>
      <c r="AA24" s="572">
        <f ca="1"/>
        <v>8.3384448830089997E-3</v>
      </c>
      <c r="AB24" s="572">
        <f ca="1"/>
        <v>1.1676278876965318E-2</v>
      </c>
      <c r="AC24" s="572">
        <f ca="1"/>
        <v>1.1749862931023647E-2</v>
      </c>
      <c r="AD24" s="572">
        <f ca="1"/>
        <v>1.0365776007964511E-2</v>
      </c>
      <c r="AE24" s="514">
        <f ca="1"/>
        <v>5.2405371239738763E-3</v>
      </c>
    </row>
    <row r="25" spans="6:31" s="281" customFormat="1" ht="12" thickBot="1">
      <c r="F25" s="501">
        <f ca="1">IF('CDO Bespoke'!O26&lt;&gt;"",'CDO Bespoke'!O26,"")</f>
        <v>1.19555785574021</v>
      </c>
      <c r="G25" s="502">
        <f ca="1">IF(F25&lt;&gt;"",ABS(MIN(-0.75*('CDO Bespoke'!Q26+'CDO Bespoke'!T26)+'CDO Bespoke'!T26,0)),"")</f>
        <v>1.1649247959740381</v>
      </c>
      <c r="H25" s="502">
        <f t="shared" ca="1" si="0"/>
        <v>3.0633059766171922E-2</v>
      </c>
      <c r="I25" s="502">
        <f t="shared" ca="1" si="3"/>
        <v>0</v>
      </c>
      <c r="J25" s="501">
        <f ca="1">IF('CDO Bespoke'!O26&lt;&gt;"",'CDO Bespoke'!O26,"")</f>
        <v>1.19555785574021</v>
      </c>
      <c r="K25" s="502">
        <f ca="1">IF(J25&lt;&gt;"",ABS(MIN(-0.75*('CDO Bespoke'!K26+'CDO Bespoke'!T26)+'CDO Bespoke'!T26,0)),"")</f>
        <v>0.30518910640787061</v>
      </c>
      <c r="L25" s="502">
        <f t="shared" ca="1" si="1"/>
        <v>0.89036874933233934</v>
      </c>
      <c r="M25" s="506">
        <f t="shared" ca="1" si="2"/>
        <v>0</v>
      </c>
      <c r="O25" s="511" t="str">
        <f ca="1">IF('CDO Bespoke'!C50&lt;&gt;"",'CDO Bespoke'!C50,"")</f>
        <v>BancoEspiritoSanto_MMR.EUR.SU</v>
      </c>
      <c r="P25" s="513" cm="1">
        <f t="array" aca="1" ref="P25" ca="1">IF($O25&lt;&gt;"",-TRANSPOSE(INDEX(getcds('CDO Bespoke'!$C50,P$13,'CDO Bespoke'!$G50/10000,'CDO Bespoke'!F50,'CDO Bespoke'!D50,'CDO Bespoke'!$C$13,'CDO Bespoke'!$C$14,'CDO Bespoke'!$C$15,'CDO Bespoke'!$C$8,,,TRUE,TRUE,FALSE,'CDO Bespoke'!$C$29:'CDO Bespoke'!$C$31,'CDO Bespoke'!$C$33),{5})),"")</f>
        <v>-0.47814138507339099</v>
      </c>
      <c r="Q25" s="524" cm="1">
        <f t="array" aca="1" ref="Q25" ca="1">IF($O25&lt;&gt;"",-TRANSPOSE(INDEX(getcds('CDO Bespoke'!$C50,Q$13,'CDO Bespoke'!$G50/10000,'CDO Bespoke'!G50,'CDO Bespoke'!E50,'CDO Bespoke'!$C$13,'CDO Bespoke'!$C$14,'CDO Bespoke'!$C$15,'CDO Bespoke'!$C$8,,,TRUE,TRUE,FALSE,'CDO Bespoke'!$C$29:'CDO Bespoke'!$C$31,'CDO Bespoke'!$C$33),{5})),"")</f>
        <v>-0.96374988189964805</v>
      </c>
      <c r="R25" s="524" cm="1">
        <f t="array" aca="1" ref="R25" ca="1">IF($O25&lt;&gt;"",-TRANSPOSE(INDEX(getcds('CDO Bespoke'!$C50,R$13,'CDO Bespoke'!$G50/10000,'CDO Bespoke'!H50,'CDO Bespoke'!F50,'CDO Bespoke'!$C$13,'CDO Bespoke'!$C$14,'CDO Bespoke'!$C$15,'CDO Bespoke'!$C$8,,,TRUE,TRUE,FALSE,'CDO Bespoke'!$C$29:'CDO Bespoke'!$C$31,'CDO Bespoke'!$C$33),{5})),"")</f>
        <v>-2.7939394460356799</v>
      </c>
      <c r="S25" s="524" cm="1">
        <f t="array" aca="1" ref="S25" ca="1">IF($O25&lt;&gt;"",-TRANSPOSE(INDEX(getcds('CDO Bespoke'!$C50,S$13,'CDO Bespoke'!$G50/10000,'CDO Bespoke'!I50,'CDO Bespoke'!G50,'CDO Bespoke'!$C$13,'CDO Bespoke'!$C$14,'CDO Bespoke'!$C$15,'CDO Bespoke'!$C$8,,,TRUE,TRUE,FALSE,'CDO Bespoke'!$C$29:'CDO Bespoke'!$C$31,'CDO Bespoke'!$C$33),{5})),"")</f>
        <v>-4.4455372705418199</v>
      </c>
      <c r="T25" s="514" cm="1">
        <f t="array" aca="1" ref="T25" ca="1">IF($O25&lt;&gt;"",-TRANSPOSE(INDEX(getcds('CDO Bespoke'!$C50,T$13,'CDO Bespoke'!$G50/10000,'CDO Bespoke'!J50,'CDO Bespoke'!H50,'CDO Bespoke'!$C$13,'CDO Bespoke'!$C$14,'CDO Bespoke'!$C$15,'CDO Bespoke'!$C$8,,,TRUE,TRUE,FALSE,'CDO Bespoke'!$C$29:'CDO Bespoke'!$C$31,'CDO Bespoke'!$C$33),{5})),"")</f>
        <v>-7.8433949386360498</v>
      </c>
      <c r="U25" s="493"/>
      <c r="V25" s="513">
        <f ca="1"/>
        <v>-1.9878190689629968E-5</v>
      </c>
      <c r="W25" s="572">
        <f ca="1"/>
        <v>2.2627165243999797E-3</v>
      </c>
      <c r="X25" s="572">
        <f ca="1"/>
        <v>2.1186413978920016E-3</v>
      </c>
      <c r="Y25" s="572">
        <f ca="1"/>
        <v>3.9253031290133189E-3</v>
      </c>
      <c r="Z25" s="572">
        <f ca="1"/>
        <v>5.4633338139944976E-3</v>
      </c>
      <c r="AA25" s="572">
        <f ca="1"/>
        <v>7.8545347510089458E-3</v>
      </c>
      <c r="AB25" s="572">
        <f ca="1"/>
        <v>1.0559641727969638E-2</v>
      </c>
      <c r="AC25" s="572">
        <f ca="1"/>
        <v>1.0039845024026328E-2</v>
      </c>
      <c r="AD25" s="572">
        <f ca="1"/>
        <v>8.2203074300291057E-3</v>
      </c>
      <c r="AE25" s="514">
        <f ca="1"/>
        <v>2.4354905989870668E-3</v>
      </c>
    </row>
    <row r="26" spans="6:31" s="281" customFormat="1" ht="12" thickBot="1">
      <c r="F26" s="501">
        <f ca="1">IF('CDO Bespoke'!O27&lt;&gt;"",'CDO Bespoke'!O27,"")</f>
        <v>1.1961074031243799</v>
      </c>
      <c r="G26" s="502">
        <f ca="1">IF(F26&lt;&gt;"",ABS(MIN(-0.75*('CDO Bespoke'!Q27+'CDO Bespoke'!T27)+'CDO Bespoke'!T27,0)),"")</f>
        <v>1.1625505366217397</v>
      </c>
      <c r="H26" s="502">
        <f t="shared" ca="1" si="0"/>
        <v>3.3556866502640226E-2</v>
      </c>
      <c r="I26" s="502">
        <f t="shared" ca="1" si="3"/>
        <v>0</v>
      </c>
      <c r="J26" s="501">
        <f ca="1">IF('CDO Bespoke'!O27&lt;&gt;"",'CDO Bespoke'!O27,"")</f>
        <v>1.1961074031243799</v>
      </c>
      <c r="K26" s="502">
        <f ca="1">IF(J26&lt;&gt;"",ABS(MIN(-0.75*('CDO Bespoke'!K27+'CDO Bespoke'!T27)+'CDO Bespoke'!T27,0)),"")</f>
        <v>0.29129317696450613</v>
      </c>
      <c r="L26" s="502">
        <f t="shared" ca="1" si="1"/>
        <v>0.90481422615987372</v>
      </c>
      <c r="M26" s="506">
        <f t="shared" ca="1" si="2"/>
        <v>0</v>
      </c>
      <c r="O26" s="511" t="str">
        <f ca="1">IF('CDO Bespoke'!C51&lt;&gt;"",'CDO Bespoke'!C51,"")</f>
        <v>Barclays_MMR.EUR.SU</v>
      </c>
      <c r="P26" s="513" cm="1">
        <f t="array" aca="1" ref="P26" ca="1">IF($O26&lt;&gt;"",-TRANSPOSE(INDEX(getcds('CDO Bespoke'!$C51,P$13,'CDO Bespoke'!$G51/10000,'CDO Bespoke'!F51,'CDO Bespoke'!D51,'CDO Bespoke'!$C$13,'CDO Bespoke'!$C$14,'CDO Bespoke'!$C$15,'CDO Bespoke'!$C$8,,,TRUE,TRUE,FALSE,'CDO Bespoke'!$C$29:'CDO Bespoke'!$C$31,'CDO Bespoke'!$C$33),{5})),"")</f>
        <v>-0.47804698861440198</v>
      </c>
      <c r="Q26" s="524" cm="1">
        <f t="array" aca="1" ref="Q26" ca="1">IF($O26&lt;&gt;"",-TRANSPOSE(INDEX(getcds('CDO Bespoke'!$C51,Q$13,'CDO Bespoke'!$G51/10000,'CDO Bespoke'!G51,'CDO Bespoke'!E51,'CDO Bespoke'!$C$13,'CDO Bespoke'!$C$14,'CDO Bespoke'!$C$15,'CDO Bespoke'!$C$8,,,TRUE,TRUE,FALSE,'CDO Bespoke'!$C$29:'CDO Bespoke'!$C$31,'CDO Bespoke'!$C$33),{5})),"")</f>
        <v>-0.963386847628115</v>
      </c>
      <c r="R26" s="524" cm="1">
        <f t="array" aca="1" ref="R26" ca="1">IF($O26&lt;&gt;"",-TRANSPOSE(INDEX(getcds('CDO Bespoke'!$C51,R$13,'CDO Bespoke'!$G51/10000,'CDO Bespoke'!H51,'CDO Bespoke'!F51,'CDO Bespoke'!$C$13,'CDO Bespoke'!$C$14,'CDO Bespoke'!$C$15,'CDO Bespoke'!$C$8,,,TRUE,TRUE,FALSE,'CDO Bespoke'!$C$29:'CDO Bespoke'!$C$31,'CDO Bespoke'!$C$33),{5})),"")</f>
        <v>-2.7937178129348701</v>
      </c>
      <c r="S26" s="524" cm="1">
        <f t="array" aca="1" ref="S26" ca="1">IF($O26&lt;&gt;"",-TRANSPOSE(INDEX(getcds('CDO Bespoke'!$C51,S$13,'CDO Bespoke'!$G51/10000,'CDO Bespoke'!I51,'CDO Bespoke'!G51,'CDO Bespoke'!$C$13,'CDO Bespoke'!$C$14,'CDO Bespoke'!$C$15,'CDO Bespoke'!$C$8,,,TRUE,TRUE,FALSE,'CDO Bespoke'!$C$29:'CDO Bespoke'!$C$31,'CDO Bespoke'!$C$33),{5})),"")</f>
        <v>-4.4500574689696304</v>
      </c>
      <c r="T26" s="514" cm="1">
        <f t="array" aca="1" ref="T26" ca="1">IF($O26&lt;&gt;"",-TRANSPOSE(INDEX(getcds('CDO Bespoke'!$C51,T$13,'CDO Bespoke'!$G51/10000,'CDO Bespoke'!J51,'CDO Bespoke'!H51,'CDO Bespoke'!$C$13,'CDO Bespoke'!$C$14,'CDO Bespoke'!$C$15,'CDO Bespoke'!$C$8,,,TRUE,TRUE,FALSE,'CDO Bespoke'!$C$29:'CDO Bespoke'!$C$31,'CDO Bespoke'!$C$33),{5})),"")</f>
        <v>-7.8742568135745898</v>
      </c>
      <c r="U26" s="493"/>
      <c r="V26" s="513">
        <f ca="1"/>
        <v>-2.9148154270016574E-5</v>
      </c>
      <c r="W26" s="572">
        <f ca="1"/>
        <v>2.2423211636004442E-3</v>
      </c>
      <c r="X26" s="572">
        <f ca="1"/>
        <v>2.1138837218073053E-3</v>
      </c>
      <c r="Y26" s="572">
        <f ca="1"/>
        <v>3.9948232649980597E-3</v>
      </c>
      <c r="Z26" s="572">
        <f ca="1"/>
        <v>5.6819176619954392E-3</v>
      </c>
      <c r="AA26" s="572">
        <f ca="1"/>
        <v>8.1725248659778038E-3</v>
      </c>
      <c r="AB26" s="572">
        <f ca="1"/>
        <v>1.0862377425036041E-2</v>
      </c>
      <c r="AC26" s="572">
        <f ca="1"/>
        <v>1.0487739421013997E-2</v>
      </c>
      <c r="AD26" s="572">
        <f ca="1"/>
        <v>8.7508828220533852E-3</v>
      </c>
      <c r="AE26" s="514">
        <f ca="1"/>
        <v>3.0725037759860019E-3</v>
      </c>
    </row>
    <row r="27" spans="6:31" s="281" customFormat="1" ht="12" thickBot="1">
      <c r="F27" s="501">
        <f ca="1">IF('CDO Bespoke'!O28&lt;&gt;"",'CDO Bespoke'!O28,"")</f>
        <v>1.19824715104431</v>
      </c>
      <c r="G27" s="502">
        <f ca="1">IF(F27&lt;&gt;"",ABS(MIN(-0.75*('CDO Bespoke'!Q28+'CDO Bespoke'!T28)+'CDO Bespoke'!T28,0)),"")</f>
        <v>1.1523594534369397</v>
      </c>
      <c r="H27" s="502">
        <f t="shared" ca="1" si="0"/>
        <v>4.5887697607370326E-2</v>
      </c>
      <c r="I27" s="502">
        <f t="shared" ca="1" si="3"/>
        <v>0</v>
      </c>
      <c r="J27" s="501">
        <f ca="1">IF('CDO Bespoke'!O28&lt;&gt;"",'CDO Bespoke'!O28,"")</f>
        <v>1.19824715104431</v>
      </c>
      <c r="K27" s="502">
        <f ca="1">IF(J27&lt;&gt;"",ABS(MIN(-0.75*('CDO Bespoke'!K28+'CDO Bespoke'!T28)+'CDO Bespoke'!T28,0)),"")</f>
        <v>0.20833814282673438</v>
      </c>
      <c r="L27" s="502">
        <f t="shared" ca="1" si="1"/>
        <v>0.98990900821757566</v>
      </c>
      <c r="M27" s="506">
        <f t="shared" ca="1" si="2"/>
        <v>0</v>
      </c>
      <c r="O27" s="511" t="str">
        <f ca="1">IF('CDO Bespoke'!C52&lt;&gt;"",'CDO Bespoke'!C52,"")</f>
        <v>BASF_MMR.EUR.SU</v>
      </c>
      <c r="P27" s="513" cm="1">
        <f t="array" aca="1" ref="P27" ca="1">IF($O27&lt;&gt;"",-TRANSPOSE(INDEX(getcds('CDO Bespoke'!$C52,P$13,'CDO Bespoke'!$G52/10000,'CDO Bespoke'!F52,'CDO Bespoke'!D52,'CDO Bespoke'!$C$13,'CDO Bespoke'!$C$14,'CDO Bespoke'!$C$15,'CDO Bespoke'!$C$8,,,TRUE,TRUE,FALSE,'CDO Bespoke'!$C$29:'CDO Bespoke'!$C$31,'CDO Bespoke'!$C$33),{5})),"")</f>
        <v>-0.47824737003613499</v>
      </c>
      <c r="Q27" s="524" cm="1">
        <f t="array" aca="1" ref="Q27" ca="1">IF($O27&lt;&gt;"",-TRANSPOSE(INDEX(getcds('CDO Bespoke'!$C52,Q$13,'CDO Bespoke'!$G52/10000,'CDO Bespoke'!G52,'CDO Bespoke'!E52,'CDO Bespoke'!$C$13,'CDO Bespoke'!$C$14,'CDO Bespoke'!$C$15,'CDO Bespoke'!$C$8,,,TRUE,TRUE,FALSE,'CDO Bespoke'!$C$29:'CDO Bespoke'!$C$31,'CDO Bespoke'!$C$33),{5})),"")</f>
        <v>-0.96429966064517303</v>
      </c>
      <c r="R27" s="524" cm="1">
        <f t="array" aca="1" ref="R27" ca="1">IF($O27&lt;&gt;"",-TRANSPOSE(INDEX(getcds('CDO Bespoke'!$C52,R$13,'CDO Bespoke'!$G52/10000,'CDO Bespoke'!H52,'CDO Bespoke'!F52,'CDO Bespoke'!$C$13,'CDO Bespoke'!$C$14,'CDO Bespoke'!$C$15,'CDO Bespoke'!$C$8,,,TRUE,TRUE,FALSE,'CDO Bespoke'!$C$29:'CDO Bespoke'!$C$31,'CDO Bespoke'!$C$33),{5})),"")</f>
        <v>-2.8076335697555801</v>
      </c>
      <c r="S27" s="524" cm="1">
        <f t="array" aca="1" ref="S27" ca="1">IF($O27&lt;&gt;"",-TRANSPOSE(INDEX(getcds('CDO Bespoke'!$C52,S$13,'CDO Bespoke'!$G52/10000,'CDO Bespoke'!I52,'CDO Bespoke'!G52,'CDO Bespoke'!$C$13,'CDO Bespoke'!$C$14,'CDO Bespoke'!$C$15,'CDO Bespoke'!$C$8,,,TRUE,TRUE,FALSE,'CDO Bespoke'!$C$29:'CDO Bespoke'!$C$31,'CDO Bespoke'!$C$33),{5})),"")</f>
        <v>-4.4878553438361601</v>
      </c>
      <c r="T27" s="514" cm="1">
        <f t="array" aca="1" ref="T27" ca="1">IF($O27&lt;&gt;"",-TRANSPOSE(INDEX(getcds('CDO Bespoke'!$C52,T$13,'CDO Bespoke'!$G52/10000,'CDO Bespoke'!J52,'CDO Bespoke'!H52,'CDO Bespoke'!$C$13,'CDO Bespoke'!$C$14,'CDO Bespoke'!$C$15,'CDO Bespoke'!$C$8,,,TRUE,TRUE,FALSE,'CDO Bespoke'!$C$29:'CDO Bespoke'!$C$31,'CDO Bespoke'!$C$33),{5})),"")</f>
        <v>-7.9969951441097198</v>
      </c>
      <c r="U27" s="493"/>
      <c r="V27" s="513">
        <f ca="1"/>
        <v>-9.4681843799699489E-6</v>
      </c>
      <c r="W27" s="572">
        <f ca="1"/>
        <v>2.2856297009991172E-3</v>
      </c>
      <c r="X27" s="572">
        <f ca="1"/>
        <v>2.3376038891034789E-3</v>
      </c>
      <c r="Y27" s="572">
        <f ca="1"/>
        <v>4.4674812270037445E-3</v>
      </c>
      <c r="Z27" s="572">
        <f ca="1"/>
        <v>6.1774049309876178E-3</v>
      </c>
      <c r="AA27" s="572">
        <f ca="1"/>
        <v>9.0040527889884148E-3</v>
      </c>
      <c r="AB27" s="572">
        <f ca="1"/>
        <v>1.2295858668950888E-2</v>
      </c>
      <c r="AC27" s="572">
        <f ca="1"/>
        <v>1.2672166225941028E-2</v>
      </c>
      <c r="AD27" s="572">
        <f ca="1"/>
        <v>1.1463362109970232E-2</v>
      </c>
      <c r="AE27" s="514">
        <f ca="1"/>
        <v>6.573693417111226E-3</v>
      </c>
    </row>
    <row r="28" spans="6:31" s="281" customFormat="1" ht="12" thickBot="1">
      <c r="F28" s="501">
        <f ca="1">IF('CDO Bespoke'!O29&lt;&gt;"",'CDO Bespoke'!O29,"")</f>
        <v>1.1970674172792199</v>
      </c>
      <c r="G28" s="502">
        <f ca="1">IF(F28&lt;&gt;"",ABS(MIN(-0.75*('CDO Bespoke'!Q29+'CDO Bespoke'!T29)+'CDO Bespoke'!T29,0)),"")</f>
        <v>1.1593075474245447</v>
      </c>
      <c r="H28" s="502">
        <f t="shared" ca="1" si="0"/>
        <v>3.7759869854675276E-2</v>
      </c>
      <c r="I28" s="502">
        <f t="shared" ca="1" si="3"/>
        <v>0</v>
      </c>
      <c r="J28" s="501">
        <f ca="1">IF('CDO Bespoke'!O29&lt;&gt;"",'CDO Bespoke'!O29,"")</f>
        <v>1.1970674172792199</v>
      </c>
      <c r="K28" s="502">
        <f ca="1">IF(J28&lt;&gt;"",ABS(MIN(-0.75*('CDO Bespoke'!K29+'CDO Bespoke'!T29)+'CDO Bespoke'!T29,0)),"")</f>
        <v>0.26450608043718199</v>
      </c>
      <c r="L28" s="502">
        <f t="shared" ca="1" si="1"/>
        <v>0.93256133684203801</v>
      </c>
      <c r="M28" s="506">
        <f t="shared" ca="1" si="2"/>
        <v>0</v>
      </c>
      <c r="O28" s="511" t="str">
        <f ca="1">IF('CDO Bespoke'!C53&lt;&gt;"",'CDO Bespoke'!C53,"")</f>
        <v>BAT_MMR.EUR.SU</v>
      </c>
      <c r="P28" s="513" cm="1">
        <f t="array" aca="1" ref="P28" ca="1">IF($O28&lt;&gt;"",-TRANSPOSE(INDEX(getcds('CDO Bespoke'!$C53,P$13,'CDO Bespoke'!$G53/10000,'CDO Bespoke'!F53,'CDO Bespoke'!D53,'CDO Bespoke'!$C$13,'CDO Bespoke'!$C$14,'CDO Bespoke'!$C$15,'CDO Bespoke'!$C$8,,,TRUE,TRUE,FALSE,'CDO Bespoke'!$C$29:'CDO Bespoke'!$C$31,'CDO Bespoke'!$C$33),{5})),"")</f>
        <v>-0.47828591783154101</v>
      </c>
      <c r="Q28" s="524" cm="1">
        <f t="array" aca="1" ref="Q28" ca="1">IF($O28&lt;&gt;"",-TRANSPOSE(INDEX(getcds('CDO Bespoke'!$C53,Q$13,'CDO Bespoke'!$G53/10000,'CDO Bespoke'!G53,'CDO Bespoke'!E53,'CDO Bespoke'!$C$13,'CDO Bespoke'!$C$14,'CDO Bespoke'!$C$15,'CDO Bespoke'!$C$8,,,TRUE,TRUE,FALSE,'CDO Bespoke'!$C$29:'CDO Bespoke'!$C$31,'CDO Bespoke'!$C$33),{5})),"")</f>
        <v>-0.96439301709083303</v>
      </c>
      <c r="R28" s="524" cm="1">
        <f t="array" aca="1" ref="R28" ca="1">IF($O28&lt;&gt;"",-TRANSPOSE(INDEX(getcds('CDO Bespoke'!$C53,R$13,'CDO Bespoke'!$G53/10000,'CDO Bespoke'!H53,'CDO Bespoke'!F53,'CDO Bespoke'!$C$13,'CDO Bespoke'!$C$14,'CDO Bespoke'!$C$15,'CDO Bespoke'!$C$8,,,TRUE,TRUE,FALSE,'CDO Bespoke'!$C$29:'CDO Bespoke'!$C$31,'CDO Bespoke'!$C$33),{5})),"")</f>
        <v>-2.8038527331251299</v>
      </c>
      <c r="S28" s="524" cm="1">
        <f t="array" aca="1" ref="S28" ca="1">IF($O28&lt;&gt;"",-TRANSPOSE(INDEX(getcds('CDO Bespoke'!$C53,S$13,'CDO Bespoke'!$G53/10000,'CDO Bespoke'!I53,'CDO Bespoke'!G53,'CDO Bespoke'!$C$13,'CDO Bespoke'!$C$14,'CDO Bespoke'!$C$15,'CDO Bespoke'!$C$8,,,TRUE,TRUE,FALSE,'CDO Bespoke'!$C$29:'CDO Bespoke'!$C$31,'CDO Bespoke'!$C$33),{5})),"")</f>
        <v>-4.4714053201684303</v>
      </c>
      <c r="T28" s="514" cm="1">
        <f t="array" aca="1" ref="T28" ca="1">IF($O28&lt;&gt;"",-TRANSPOSE(INDEX(getcds('CDO Bespoke'!$C53,T$13,'CDO Bespoke'!$G53/10000,'CDO Bespoke'!J53,'CDO Bespoke'!H53,'CDO Bespoke'!$C$13,'CDO Bespoke'!$C$14,'CDO Bespoke'!$C$15,'CDO Bespoke'!$C$8,,,TRUE,TRUE,FALSE,'CDO Bespoke'!$C$29:'CDO Bespoke'!$C$31,'CDO Bespoke'!$C$33),{5})),"")</f>
        <v>-7.8996204437677804</v>
      </c>
      <c r="U28" s="493"/>
      <c r="V28" s="513">
        <f ca="1"/>
        <v>-5.6814299600094383E-6</v>
      </c>
      <c r="W28" s="572">
        <f ca="1"/>
        <v>2.293967125205007E-3</v>
      </c>
      <c r="X28" s="572">
        <f ca="1"/>
        <v>2.2568857457015701E-3</v>
      </c>
      <c r="Y28" s="572">
        <f ca="1"/>
        <v>4.2759596409827627E-3</v>
      </c>
      <c r="Z28" s="572">
        <f ca="1"/>
        <v>5.924745416011068E-3</v>
      </c>
      <c r="AA28" s="572">
        <f ca="1"/>
        <v>8.0622489130252606E-3</v>
      </c>
      <c r="AB28" s="572">
        <f ca="1"/>
        <v>9.8786201549461161E-3</v>
      </c>
      <c r="AC28" s="572">
        <f ca="1"/>
        <v>8.9582882150524012E-3</v>
      </c>
      <c r="AD28" s="572">
        <f ca="1"/>
        <v>6.7582873389954168E-3</v>
      </c>
      <c r="AE28" s="514">
        <f ca="1"/>
        <v>3.5556358898847229E-4</v>
      </c>
    </row>
    <row r="29" spans="6:31" s="281" customFormat="1" ht="12" thickBot="1">
      <c r="F29" s="501">
        <f ca="1">IF('CDO Bespoke'!O30&lt;&gt;"",'CDO Bespoke'!O30,"")</f>
        <v>1.1978053106812301</v>
      </c>
      <c r="G29" s="502">
        <f ca="1">IF(F29&lt;&gt;"",ABS(MIN(-0.75*('CDO Bespoke'!Q30+'CDO Bespoke'!T30)+'CDO Bespoke'!T30,0)),"")</f>
        <v>1.1553849825299654</v>
      </c>
      <c r="H29" s="502">
        <f t="shared" ca="1" si="0"/>
        <v>4.242032815126473E-2</v>
      </c>
      <c r="I29" s="502">
        <f t="shared" ca="1" si="3"/>
        <v>0</v>
      </c>
      <c r="J29" s="501">
        <f ca="1">IF('CDO Bespoke'!O30&lt;&gt;"",'CDO Bespoke'!O30,"")</f>
        <v>1.1978053106812301</v>
      </c>
      <c r="K29" s="502">
        <f ca="1">IF(J29&lt;&gt;"",ABS(MIN(-0.75*('CDO Bespoke'!K30+'CDO Bespoke'!T30)+'CDO Bespoke'!T30,0)),"")</f>
        <v>0.23459612686924564</v>
      </c>
      <c r="L29" s="502">
        <f t="shared" ca="1" si="1"/>
        <v>0.9632091838119845</v>
      </c>
      <c r="M29" s="506">
        <f t="shared" ca="1" si="2"/>
        <v>0</v>
      </c>
      <c r="O29" s="511" t="str">
        <f ca="1">IF('CDO Bespoke'!C54&lt;&gt;"",'CDO Bespoke'!C54,"")</f>
        <v>Bayer_MMR.EUR.SU</v>
      </c>
      <c r="P29" s="513" cm="1">
        <f t="array" aca="1" ref="P29" ca="1">IF($O29&lt;&gt;"",-TRANSPOSE(INDEX(getcds('CDO Bespoke'!$C54,P$13,'CDO Bespoke'!$G54/10000,'CDO Bespoke'!F54,'CDO Bespoke'!D54,'CDO Bespoke'!$C$13,'CDO Bespoke'!$C$14,'CDO Bespoke'!$C$15,'CDO Bespoke'!$C$8,,,TRUE,TRUE,FALSE,'CDO Bespoke'!$C$29:'CDO Bespoke'!$C$31,'CDO Bespoke'!$C$33),{5})),"")</f>
        <v>-0.47822809770068903</v>
      </c>
      <c r="Q29" s="524" cm="1">
        <f t="array" aca="1" ref="Q29" ca="1">IF($O29&lt;&gt;"",-TRANSPOSE(INDEX(getcds('CDO Bespoke'!$C54,Q$13,'CDO Bespoke'!$G54/10000,'CDO Bespoke'!G54,'CDO Bespoke'!E54,'CDO Bespoke'!$C$13,'CDO Bespoke'!$C$14,'CDO Bespoke'!$C$15,'CDO Bespoke'!$C$8,,,TRUE,TRUE,FALSE,'CDO Bespoke'!$C$29:'CDO Bespoke'!$C$31,'CDO Bespoke'!$C$33),{5})),"")</f>
        <v>-0.96423365190695498</v>
      </c>
      <c r="R29" s="524" cm="1">
        <f t="array" aca="1" ref="R29" ca="1">IF($O29&lt;&gt;"",-TRANSPOSE(INDEX(getcds('CDO Bespoke'!$C54,R$13,'CDO Bespoke'!$G54/10000,'CDO Bespoke'!H54,'CDO Bespoke'!F54,'CDO Bespoke'!$C$13,'CDO Bespoke'!$C$14,'CDO Bespoke'!$C$15,'CDO Bespoke'!$C$8,,,TRUE,TRUE,FALSE,'CDO Bespoke'!$C$29:'CDO Bespoke'!$C$31,'CDO Bespoke'!$C$33),{5})),"")</f>
        <v>-2.8061308735181401</v>
      </c>
      <c r="S29" s="524" cm="1">
        <f t="array" aca="1" ref="S29" ca="1">IF($O29&lt;&gt;"",-TRANSPOSE(INDEX(getcds('CDO Bespoke'!$C54,S$13,'CDO Bespoke'!$G54/10000,'CDO Bespoke'!I54,'CDO Bespoke'!G54,'CDO Bespoke'!$C$13,'CDO Bespoke'!$C$14,'CDO Bespoke'!$C$15,'CDO Bespoke'!$C$8,,,TRUE,TRUE,FALSE,'CDO Bespoke'!$C$29:'CDO Bespoke'!$C$31,'CDO Bespoke'!$C$33),{5})),"")</f>
        <v>-4.4811495569681297</v>
      </c>
      <c r="T29" s="514" cm="1">
        <f t="array" aca="1" ref="T29" ca="1">IF($O29&lt;&gt;"",-TRANSPOSE(INDEX(getcds('CDO Bespoke'!$C54,T$13,'CDO Bespoke'!$G54/10000,'CDO Bespoke'!J54,'CDO Bespoke'!H54,'CDO Bespoke'!$C$13,'CDO Bespoke'!$C$14,'CDO Bespoke'!$C$15,'CDO Bespoke'!$C$8,,,TRUE,TRUE,FALSE,'CDO Bespoke'!$C$29:'CDO Bespoke'!$C$31,'CDO Bespoke'!$C$33),{5})),"")</f>
        <v>-7.94643110301155</v>
      </c>
      <c r="U29" s="493"/>
      <c r="V29" s="513">
        <f ca="1"/>
        <v>-1.1361302029917232E-5</v>
      </c>
      <c r="W29" s="572">
        <f ca="1"/>
        <v>2.2814620611981418E-3</v>
      </c>
      <c r="X29" s="572">
        <f ca="1"/>
        <v>2.3488718641113959E-3</v>
      </c>
      <c r="Y29" s="572">
        <f ca="1"/>
        <v>4.3609409879769023E-3</v>
      </c>
      <c r="Z29" s="572">
        <f ca="1"/>
        <v>6.1014271049777968E-3</v>
      </c>
      <c r="AA29" s="572">
        <f ca="1"/>
        <v>8.5734821170246889E-3</v>
      </c>
      <c r="AB29" s="572">
        <f ca="1"/>
        <v>1.0780435454049719E-2</v>
      </c>
      <c r="AC29" s="572">
        <f ca="1"/>
        <v>1.0323194267955471E-2</v>
      </c>
      <c r="AD29" s="572">
        <f ca="1"/>
        <v>8.4583493410034238E-3</v>
      </c>
      <c r="AE29" s="514">
        <f ca="1"/>
        <v>2.5411572800171367E-3</v>
      </c>
    </row>
    <row r="30" spans="6:31" s="281" customFormat="1" ht="12" thickBot="1">
      <c r="F30" s="501">
        <f ca="1">IF('CDO Bespoke'!O31&lt;&gt;"",'CDO Bespoke'!O31,"")</f>
        <v>1.196914882865</v>
      </c>
      <c r="G30" s="502">
        <f ca="1">IF(F30&lt;&gt;"",ABS(MIN(-0.75*('CDO Bespoke'!Q31+'CDO Bespoke'!T31)+'CDO Bespoke'!T31,0)),"")</f>
        <v>1.1592536770751343</v>
      </c>
      <c r="H30" s="502">
        <f t="shared" ca="1" si="0"/>
        <v>3.7661205789865759E-2</v>
      </c>
      <c r="I30" s="502">
        <f t="shared" ca="1" si="3"/>
        <v>0</v>
      </c>
      <c r="J30" s="501">
        <f ca="1">IF('CDO Bespoke'!O31&lt;&gt;"",'CDO Bespoke'!O31,"")</f>
        <v>1.196914882865</v>
      </c>
      <c r="K30" s="502">
        <f ca="1">IF(J30&lt;&gt;"",ABS(MIN(-0.75*('CDO Bespoke'!K31+'CDO Bespoke'!T31)+'CDO Bespoke'!T31,0)),"")</f>
        <v>0.26890732602002138</v>
      </c>
      <c r="L30" s="502">
        <f t="shared" ca="1" si="1"/>
        <v>0.9280075568449786</v>
      </c>
      <c r="M30" s="506">
        <f t="shared" ca="1" si="2"/>
        <v>0</v>
      </c>
      <c r="O30" s="511" t="str">
        <f ca="1">IF('CDO Bespoke'!C55&lt;&gt;"",'CDO Bespoke'!C55,"")</f>
        <v>BBVA_MMR.EUR.SU</v>
      </c>
      <c r="P30" s="513" cm="1">
        <f t="array" aca="1" ref="P30" ca="1">IF($O30&lt;&gt;"",-TRANSPOSE(INDEX(getcds('CDO Bespoke'!$C55,P$13,'CDO Bespoke'!$G55/10000,'CDO Bespoke'!F55,'CDO Bespoke'!D55,'CDO Bespoke'!$C$13,'CDO Bespoke'!$C$14,'CDO Bespoke'!$C$15,'CDO Bespoke'!$C$8,,,TRUE,TRUE,FALSE,'CDO Bespoke'!$C$29:'CDO Bespoke'!$C$31,'CDO Bespoke'!$C$33),{5})),"")</f>
        <v>-0.47812597170117599</v>
      </c>
      <c r="Q30" s="524" cm="1">
        <f t="array" aca="1" ref="Q30" ca="1">IF($O30&lt;&gt;"",-TRANSPOSE(INDEX(getcds('CDO Bespoke'!$C55,Q$13,'CDO Bespoke'!$G55/10000,'CDO Bespoke'!G55,'CDO Bespoke'!E55,'CDO Bespoke'!$C$13,'CDO Bespoke'!$C$14,'CDO Bespoke'!$C$15,'CDO Bespoke'!$C$8,,,TRUE,TRUE,FALSE,'CDO Bespoke'!$C$29:'CDO Bespoke'!$C$31,'CDO Bespoke'!$C$33),{5})),"")</f>
        <v>-0.96372546845934404</v>
      </c>
      <c r="R30" s="524" cm="1">
        <f t="array" aca="1" ref="R30" ca="1">IF($O30&lt;&gt;"",-TRANSPOSE(INDEX(getcds('CDO Bespoke'!$C55,R$13,'CDO Bespoke'!$G55/10000,'CDO Bespoke'!H55,'CDO Bespoke'!F55,'CDO Bespoke'!$C$13,'CDO Bespoke'!$C$14,'CDO Bespoke'!$C$15,'CDO Bespoke'!$C$8,,,TRUE,TRUE,FALSE,'CDO Bespoke'!$C$29:'CDO Bespoke'!$C$31,'CDO Bespoke'!$C$33),{5})),"")</f>
        <v>-2.7969213065195899</v>
      </c>
      <c r="S30" s="524" cm="1">
        <f t="array" aca="1" ref="S30" ca="1">IF($O30&lt;&gt;"",-TRANSPOSE(INDEX(getcds('CDO Bespoke'!$C55,S$13,'CDO Bespoke'!$G55/10000,'CDO Bespoke'!I55,'CDO Bespoke'!G55,'CDO Bespoke'!$C$13,'CDO Bespoke'!$C$14,'CDO Bespoke'!$C$15,'CDO Bespoke'!$C$8,,,TRUE,TRUE,FALSE,'CDO Bespoke'!$C$29:'CDO Bespoke'!$C$31,'CDO Bespoke'!$C$33),{5})),"")</f>
        <v>-4.45988373464023</v>
      </c>
      <c r="T30" s="514" cm="1">
        <f t="array" aca="1" ref="T30" ca="1">IF($O30&lt;&gt;"",-TRANSPOSE(INDEX(getcds('CDO Bespoke'!$C55,T$13,'CDO Bespoke'!$G55/10000,'CDO Bespoke'!J55,'CDO Bespoke'!H55,'CDO Bespoke'!$C$13,'CDO Bespoke'!$C$14,'CDO Bespoke'!$C$15,'CDO Bespoke'!$C$8,,,TRUE,TRUE,FALSE,'CDO Bespoke'!$C$29:'CDO Bespoke'!$C$31,'CDO Bespoke'!$C$33),{5})),"")</f>
        <v>-7.9190675633863403</v>
      </c>
      <c r="U30" s="493"/>
      <c r="V30" s="513">
        <f ca="1"/>
        <v>-2.1391937610410264E-5</v>
      </c>
      <c r="W30" s="572">
        <f ca="1"/>
        <v>2.2593854988057355E-3</v>
      </c>
      <c r="X30" s="572">
        <f ca="1"/>
        <v>2.1702506981975678E-3</v>
      </c>
      <c r="Y30" s="572">
        <f ca="1"/>
        <v>4.0529354940026241E-3</v>
      </c>
      <c r="Z30" s="572">
        <f ca="1"/>
        <v>5.8161963880157264E-3</v>
      </c>
      <c r="AA30" s="572">
        <f ca="1"/>
        <v>8.5913114659941225E-3</v>
      </c>
      <c r="AB30" s="572">
        <f ca="1"/>
        <v>1.1854779815995142E-2</v>
      </c>
      <c r="AC30" s="572">
        <f ca="1"/>
        <v>1.2023427167009992E-2</v>
      </c>
      <c r="AD30" s="572">
        <f ca="1"/>
        <v>1.0707712476965003E-2</v>
      </c>
      <c r="AE30" s="514">
        <f ca="1"/>
        <v>5.68677552895136E-3</v>
      </c>
    </row>
    <row r="31" spans="6:31" s="281" customFormat="1" ht="12" thickBot="1">
      <c r="F31" s="501">
        <f ca="1">IF('CDO Bespoke'!O32&lt;&gt;"",'CDO Bespoke'!O32,"")</f>
        <v>1.1972881785768601</v>
      </c>
      <c r="G31" s="502">
        <f ca="1">IF(F31&lt;&gt;"",ABS(MIN(-0.75*('CDO Bespoke'!Q32+'CDO Bespoke'!T32)+'CDO Bespoke'!T32,0)),"")</f>
        <v>1.1583621583959556</v>
      </c>
      <c r="H31" s="502">
        <f t="shared" ca="1" si="0"/>
        <v>3.8926020180904519E-2</v>
      </c>
      <c r="I31" s="502">
        <f t="shared" ca="1" si="3"/>
        <v>0</v>
      </c>
      <c r="J31" s="501">
        <f ca="1">IF('CDO Bespoke'!O32&lt;&gt;"",'CDO Bespoke'!O32,"")</f>
        <v>1.1972881785768601</v>
      </c>
      <c r="K31" s="502">
        <f ca="1">IF(J31&lt;&gt;"",ABS(MIN(-0.75*('CDO Bespoke'!K32+'CDO Bespoke'!T32)+'CDO Bespoke'!T32,0)),"")</f>
        <v>0.25781740747381043</v>
      </c>
      <c r="L31" s="502">
        <f t="shared" ca="1" si="1"/>
        <v>0.93947077110304966</v>
      </c>
      <c r="M31" s="506">
        <f t="shared" ca="1" si="2"/>
        <v>0</v>
      </c>
      <c r="O31" s="511" t="str">
        <f ca="1">IF('CDO Bespoke'!C56&lt;&gt;"",'CDO Bespoke'!C56,"")</f>
        <v>BertelsmannAG_MMR.EUR.SU</v>
      </c>
      <c r="P31" s="513" cm="1">
        <f t="array" aca="1" ref="P31" ca="1">IF($O31&lt;&gt;"",-TRANSPOSE(INDEX(getcds('CDO Bespoke'!$C56,P$13,'CDO Bespoke'!$G56/10000,'CDO Bespoke'!F56,'CDO Bespoke'!D56,'CDO Bespoke'!$C$13,'CDO Bespoke'!$C$14,'CDO Bespoke'!$C$15,'CDO Bespoke'!$C$8,,,TRUE,TRUE,FALSE,'CDO Bespoke'!$C$29:'CDO Bespoke'!$C$31,'CDO Bespoke'!$C$33),{5})),"")</f>
        <v>-0.478208826406473</v>
      </c>
      <c r="Q31" s="524" cm="1">
        <f t="array" aca="1" ref="Q31" ca="1">IF($O31&lt;&gt;"",-TRANSPOSE(INDEX(getcds('CDO Bespoke'!$C56,Q$13,'CDO Bespoke'!$G56/10000,'CDO Bespoke'!G56,'CDO Bespoke'!E56,'CDO Bespoke'!$C$13,'CDO Bespoke'!$C$14,'CDO Bespoke'!$C$15,'CDO Bespoke'!$C$8,,,TRUE,TRUE,FALSE,'CDO Bespoke'!$C$29:'CDO Bespoke'!$C$31,'CDO Bespoke'!$C$33),{5})),"")</f>
        <v>-0.96414187878826896</v>
      </c>
      <c r="R31" s="524" cm="1">
        <f t="array" aca="1" ref="R31" ca="1">IF($O31&lt;&gt;"",-TRANSPOSE(INDEX(getcds('CDO Bespoke'!$C56,R$13,'CDO Bespoke'!$G56/10000,'CDO Bespoke'!H56,'CDO Bespoke'!F56,'CDO Bespoke'!$C$13,'CDO Bespoke'!$C$14,'CDO Bespoke'!$C$15,'CDO Bespoke'!$C$8,,,TRUE,TRUE,FALSE,'CDO Bespoke'!$C$29:'CDO Bespoke'!$C$31,'CDO Bespoke'!$C$33),{5})),"")</f>
        <v>-2.8042041391286201</v>
      </c>
      <c r="S31" s="524" cm="1">
        <f t="array" aca="1" ref="S31" ca="1">IF($O31&lt;&gt;"",-TRANSPOSE(INDEX(getcds('CDO Bespoke'!$C56,S$13,'CDO Bespoke'!$G56/10000,'CDO Bespoke'!I56,'CDO Bespoke'!G56,'CDO Bespoke'!$C$13,'CDO Bespoke'!$C$14,'CDO Bespoke'!$C$15,'CDO Bespoke'!$C$8,,,TRUE,TRUE,FALSE,'CDO Bespoke'!$C$29:'CDO Bespoke'!$C$31,'CDO Bespoke'!$C$33),{5})),"")</f>
        <v>-4.4734994342026297</v>
      </c>
      <c r="T31" s="514" cm="1">
        <f t="array" aca="1" ref="T31" ca="1">IF($O31&lt;&gt;"",-TRANSPOSE(INDEX(getcds('CDO Bespoke'!$C56,T$13,'CDO Bespoke'!$G56/10000,'CDO Bespoke'!J56,'CDO Bespoke'!H56,'CDO Bespoke'!$C$13,'CDO Bespoke'!$C$14,'CDO Bespoke'!$C$15,'CDO Bespoke'!$C$8,,,TRUE,TRUE,FALSE,'CDO Bespoke'!$C$29:'CDO Bespoke'!$C$31,'CDO Bespoke'!$C$33),{5})),"")</f>
        <v>-7.9055575784283496</v>
      </c>
      <c r="U31" s="493"/>
      <c r="V31" s="513">
        <f ca="1"/>
        <v>-1.3254246649871404E-5</v>
      </c>
      <c r="W31" s="572">
        <f ca="1"/>
        <v>2.2772951361032384E-3</v>
      </c>
      <c r="X31" s="572">
        <f ca="1"/>
        <v>2.3213569349048169E-3</v>
      </c>
      <c r="Y31" s="572">
        <f ca="1"/>
        <v>4.2925189900136496E-3</v>
      </c>
      <c r="Z31" s="572">
        <f ca="1"/>
        <v>5.9500097840045618E-3</v>
      </c>
      <c r="AA31" s="572">
        <f ca="1"/>
        <v>8.2043415380178564E-3</v>
      </c>
      <c r="AB31" s="572">
        <f ca="1"/>
        <v>9.326045391014337E-3</v>
      </c>
      <c r="AC31" s="572">
        <f ca="1"/>
        <v>8.1122850850018358E-3</v>
      </c>
      <c r="AD31" s="572">
        <f ca="1"/>
        <v>5.6661447370154328E-3</v>
      </c>
      <c r="AE31" s="514">
        <f ca="1"/>
        <v>-1.1065202500104565E-3</v>
      </c>
    </row>
    <row r="32" spans="6:31" s="281" customFormat="1" ht="12" thickBot="1">
      <c r="F32" s="501">
        <f ca="1">IF('CDO Bespoke'!O33&lt;&gt;"",'CDO Bespoke'!O33,"")</f>
        <v>1.19774815715411</v>
      </c>
      <c r="G32" s="502">
        <f ca="1">IF(F32&lt;&gt;"",ABS(MIN(-0.75*('CDO Bespoke'!Q33+'CDO Bespoke'!T33)+'CDO Bespoke'!T33,0)),"")</f>
        <v>1.1559127775737787</v>
      </c>
      <c r="H32" s="502">
        <f t="shared" ca="1" si="0"/>
        <v>4.1835379580331233E-2</v>
      </c>
      <c r="I32" s="502">
        <f t="shared" ca="1" si="3"/>
        <v>0</v>
      </c>
      <c r="J32" s="501">
        <f ca="1">IF('CDO Bespoke'!O33&lt;&gt;"",'CDO Bespoke'!O33,"")</f>
        <v>1.19774815715411</v>
      </c>
      <c r="K32" s="502">
        <f ca="1">IF(J32&lt;&gt;"",ABS(MIN(-0.75*('CDO Bespoke'!K33+'CDO Bespoke'!T33)+'CDO Bespoke'!T33,0)),"")</f>
        <v>0.2390688192736764</v>
      </c>
      <c r="L32" s="502">
        <f t="shared" ca="1" si="1"/>
        <v>0.95867933788043358</v>
      </c>
      <c r="M32" s="506">
        <f t="shared" ca="1" si="2"/>
        <v>0</v>
      </c>
      <c r="O32" s="511" t="str">
        <f ca="1">IF('CDO Bespoke'!C57&lt;&gt;"",'CDO Bespoke'!C57,"")</f>
        <v>BMW_MMR.EUR.SU</v>
      </c>
      <c r="P32" s="513" cm="1">
        <f t="array" aca="1" ref="P32" ca="1">IF($O32&lt;&gt;"",-TRANSPOSE(INDEX(getcds('CDO Bespoke'!$C57,P$13,'CDO Bespoke'!$G57/10000,'CDO Bespoke'!F57,'CDO Bespoke'!D57,'CDO Bespoke'!$C$13,'CDO Bespoke'!$C$14,'CDO Bespoke'!$C$15,'CDO Bespoke'!$C$8,,,TRUE,TRUE,FALSE,'CDO Bespoke'!$C$29:'CDO Bespoke'!$C$31,'CDO Bespoke'!$C$33),{5})),"")</f>
        <v>-0.47824737003613499</v>
      </c>
      <c r="Q32" s="524" cm="1">
        <f t="array" aca="1" ref="Q32" ca="1">IF($O32&lt;&gt;"",-TRANSPOSE(INDEX(getcds('CDO Bespoke'!$C57,Q$13,'CDO Bespoke'!$G57/10000,'CDO Bespoke'!G57,'CDO Bespoke'!E57,'CDO Bespoke'!$C$13,'CDO Bespoke'!$C$14,'CDO Bespoke'!$C$15,'CDO Bespoke'!$C$8,,,TRUE,TRUE,FALSE,'CDO Bespoke'!$C$29:'CDO Bespoke'!$C$31,'CDO Bespoke'!$C$33),{5})),"")</f>
        <v>-0.96427388331152697</v>
      </c>
      <c r="R32" s="524" cm="1">
        <f t="array" aca="1" ref="R32" ca="1">IF($O32&lt;&gt;"",-TRANSPOSE(INDEX(getcds('CDO Bespoke'!$C57,R$13,'CDO Bespoke'!$G57/10000,'CDO Bespoke'!H57,'CDO Bespoke'!F57,'CDO Bespoke'!$C$13,'CDO Bespoke'!$C$14,'CDO Bespoke'!$C$15,'CDO Bespoke'!$C$8,,,TRUE,TRUE,FALSE,'CDO Bespoke'!$C$29:'CDO Bespoke'!$C$31,'CDO Bespoke'!$C$33),{5})),"")</f>
        <v>-2.8054368050715301</v>
      </c>
      <c r="S32" s="524" cm="1">
        <f t="array" aca="1" ref="S32" ca="1">IF($O32&lt;&gt;"",-TRANSPOSE(INDEX(getcds('CDO Bespoke'!$C57,S$13,'CDO Bespoke'!$G57/10000,'CDO Bespoke'!I57,'CDO Bespoke'!G57,'CDO Bespoke'!$C$13,'CDO Bespoke'!$C$14,'CDO Bespoke'!$C$15,'CDO Bespoke'!$C$8,,,TRUE,TRUE,FALSE,'CDO Bespoke'!$C$29:'CDO Bespoke'!$C$31,'CDO Bespoke'!$C$33),{5})),"")</f>
        <v>-4.4793384010059896</v>
      </c>
      <c r="T32" s="514" cm="1">
        <f t="array" aca="1" ref="T32" ca="1">IF($O32&lt;&gt;"",-TRANSPOSE(INDEX(getcds('CDO Bespoke'!$C57,T$13,'CDO Bespoke'!$G57/10000,'CDO Bespoke'!J57,'CDO Bespoke'!H57,'CDO Bespoke'!$C$13,'CDO Bespoke'!$C$14,'CDO Bespoke'!$C$15,'CDO Bespoke'!$C$8,,,TRUE,TRUE,FALSE,'CDO Bespoke'!$C$29:'CDO Bespoke'!$C$31,'CDO Bespoke'!$C$33),{5})),"")</f>
        <v>-7.9583085346091798</v>
      </c>
      <c r="U32" s="493"/>
      <c r="V32" s="513">
        <f ca="1"/>
        <v>-9.4681843799699489E-6</v>
      </c>
      <c r="W32" s="572">
        <f ca="1"/>
        <v>2.2856297009991172E-3</v>
      </c>
      <c r="X32" s="572">
        <f ca="1"/>
        <v>2.2988189488960808E-3</v>
      </c>
      <c r="Y32" s="572">
        <f ca="1"/>
        <v>4.3634256470179156E-3</v>
      </c>
      <c r="Z32" s="572">
        <f ca="1"/>
        <v>6.0762437250130863E-3</v>
      </c>
      <c r="AA32" s="572">
        <f ca="1"/>
        <v>8.5315100059601967E-3</v>
      </c>
      <c r="AB32" s="572">
        <f ca="1"/>
        <v>1.2338120947974485E-2</v>
      </c>
      <c r="AC32" s="572">
        <f ca="1"/>
        <v>1.2778813720942805E-2</v>
      </c>
      <c r="AD32" s="572">
        <f ca="1"/>
        <v>1.1678657021035876E-2</v>
      </c>
      <c r="AE32" s="514">
        <f ca="1"/>
        <v>7.0048347790285792E-3</v>
      </c>
    </row>
    <row r="33" spans="6:31" s="281" customFormat="1" ht="12" thickBot="1">
      <c r="F33" s="501">
        <f ca="1">IF('CDO Bespoke'!O34&lt;&gt;"",'CDO Bespoke'!O34,"")</f>
        <v>1.1973586082143199</v>
      </c>
      <c r="G33" s="502">
        <f ca="1">IF(F33&lt;&gt;"",ABS(MIN(-0.75*('CDO Bespoke'!Q34+'CDO Bespoke'!T34)+'CDO Bespoke'!T34,0)),"")</f>
        <v>1.1578785369641134</v>
      </c>
      <c r="H33" s="502">
        <f t="shared" ca="1" si="0"/>
        <v>3.9480071250206583E-2</v>
      </c>
      <c r="I33" s="502">
        <f t="shared" ca="1" si="3"/>
        <v>0</v>
      </c>
      <c r="J33" s="501">
        <f ca="1">IF('CDO Bespoke'!O34&lt;&gt;"",'CDO Bespoke'!O34,"")</f>
        <v>1.1973586082143199</v>
      </c>
      <c r="K33" s="502">
        <f ca="1">IF(J33&lt;&gt;"",ABS(MIN(-0.75*('CDO Bespoke'!K34+'CDO Bespoke'!T34)+'CDO Bespoke'!T34,0)),"")</f>
        <v>0.25581865704730017</v>
      </c>
      <c r="L33" s="502">
        <f t="shared" ca="1" si="1"/>
        <v>0.94153995116701972</v>
      </c>
      <c r="M33" s="506">
        <f t="shared" ca="1" si="2"/>
        <v>0</v>
      </c>
      <c r="O33" s="511" t="str">
        <f ca="1">IF('CDO Bespoke'!C58&lt;&gt;"",'CDO Bespoke'!C58,"")</f>
        <v>BNPParibas_MMR.EUR.SU</v>
      </c>
      <c r="P33" s="513" cm="1">
        <f t="array" aca="1" ref="P33" ca="1">IF($O33&lt;&gt;"",-TRANSPOSE(INDEX(getcds('CDO Bespoke'!$C58,P$13,'CDO Bespoke'!$G58/10000,'CDO Bespoke'!F58,'CDO Bespoke'!D58,'CDO Bespoke'!$C$13,'CDO Bespoke'!$C$14,'CDO Bespoke'!$C$15,'CDO Bespoke'!$C$8,,,TRUE,TRUE,FALSE,'CDO Bespoke'!$C$29:'CDO Bespoke'!$C$31,'CDO Bespoke'!$C$33),{5})),"")</f>
        <v>-0.47822038905806802</v>
      </c>
      <c r="Q33" s="524" cm="1">
        <f t="array" aca="1" ref="Q33" ca="1">IF($O33&lt;&gt;"",-TRANSPOSE(INDEX(getcds('CDO Bespoke'!$C58,Q$13,'CDO Bespoke'!$G58/10000,'CDO Bespoke'!G58,'CDO Bespoke'!E58,'CDO Bespoke'!$C$13,'CDO Bespoke'!$C$14,'CDO Bespoke'!$C$15,'CDO Bespoke'!$C$8,,,TRUE,TRUE,FALSE,'CDO Bespoke'!$C$29:'CDO Bespoke'!$C$31,'CDO Bespoke'!$C$33),{5})),"")</f>
        <v>-0.96413250320186505</v>
      </c>
      <c r="R33" s="524" cm="1">
        <f t="array" aca="1" ref="R33" ca="1">IF($O33&lt;&gt;"",-TRANSPOSE(INDEX(getcds('CDO Bespoke'!$C58,R$13,'CDO Bespoke'!$G58/10000,'CDO Bespoke'!H58,'CDO Bespoke'!F58,'CDO Bespoke'!$C$13,'CDO Bespoke'!$C$14,'CDO Bespoke'!$C$15,'CDO Bespoke'!$C$8,,,TRUE,TRUE,FALSE,'CDO Bespoke'!$C$29:'CDO Bespoke'!$C$31,'CDO Bespoke'!$C$33),{5})),"")</f>
        <v>-2.80253653183934</v>
      </c>
      <c r="S33" s="524" cm="1">
        <f t="array" aca="1" ref="S33" ca="1">IF($O33&lt;&gt;"",-TRANSPOSE(INDEX(getcds('CDO Bespoke'!$C58,S$13,'CDO Bespoke'!$G58/10000,'CDO Bespoke'!I58,'CDO Bespoke'!G58,'CDO Bespoke'!$C$13,'CDO Bespoke'!$C$14,'CDO Bespoke'!$C$15,'CDO Bespoke'!$C$8,,,TRUE,TRUE,FALSE,'CDO Bespoke'!$C$29:'CDO Bespoke'!$C$31,'CDO Bespoke'!$C$33),{5})),"")</f>
        <v>-4.47135856573348</v>
      </c>
      <c r="T33" s="514" cm="1">
        <f t="array" aca="1" ref="T33" ca="1">IF($O33&lt;&gt;"",-TRANSPOSE(INDEX(getcds('CDO Bespoke'!$C58,T$13,'CDO Bespoke'!$G58/10000,'CDO Bespoke'!J58,'CDO Bespoke'!H58,'CDO Bespoke'!$C$13,'CDO Bespoke'!$C$14,'CDO Bespoke'!$C$15,'CDO Bespoke'!$C$8,,,TRUE,TRUE,FALSE,'CDO Bespoke'!$C$29:'CDO Bespoke'!$C$31,'CDO Bespoke'!$C$33),{5})),"")</f>
        <v>-7.9365715223014801</v>
      </c>
      <c r="U33" s="493"/>
      <c r="V33" s="513">
        <f ca="1"/>
        <v>-1.2118500650128324E-5</v>
      </c>
      <c r="W33" s="572">
        <f ca="1"/>
        <v>2.2797952054041254E-3</v>
      </c>
      <c r="X33" s="572">
        <f ca="1"/>
        <v>2.2409338253960576E-3</v>
      </c>
      <c r="Y33" s="572">
        <f ca="1"/>
        <v>4.272521946010327E-3</v>
      </c>
      <c r="Z33" s="572">
        <f ca="1"/>
        <v>5.9226713820109689E-3</v>
      </c>
      <c r="AA33" s="572">
        <f ca="1"/>
        <v>8.4283742639995607E-3</v>
      </c>
      <c r="AB33" s="572">
        <f ca="1"/>
        <v>1.2489223247050263E-2</v>
      </c>
      <c r="AC33" s="572">
        <f ca="1"/>
        <v>1.304122804399177E-2</v>
      </c>
      <c r="AD33" s="572">
        <f ca="1"/>
        <v>1.2064764973035436E-2</v>
      </c>
      <c r="AE33" s="514">
        <f ca="1"/>
        <v>7.6176072830169694E-3</v>
      </c>
    </row>
    <row r="34" spans="6:31" s="281" customFormat="1" ht="12" thickBot="1">
      <c r="F34" s="501">
        <f ca="1">IF('CDO Bespoke'!O35&lt;&gt;"",'CDO Bespoke'!O35,"")</f>
        <v>1.1964246273305601</v>
      </c>
      <c r="G34" s="502">
        <f ca="1">IF(F34&lt;&gt;"",ABS(MIN(-0.75*('CDO Bespoke'!Q35+'CDO Bespoke'!T35)+'CDO Bespoke'!T35,0)),"")</f>
        <v>1.1622280224694199</v>
      </c>
      <c r="H34" s="502">
        <f t="shared" ca="1" si="0"/>
        <v>3.4196604861140178E-2</v>
      </c>
      <c r="I34" s="502">
        <f t="shared" ca="1" si="3"/>
        <v>0</v>
      </c>
      <c r="J34" s="501">
        <f ca="1">IF('CDO Bespoke'!O35&lt;&gt;"",'CDO Bespoke'!O35,"")</f>
        <v>1.1964246273305601</v>
      </c>
      <c r="K34" s="502">
        <f ca="1">IF(J34&lt;&gt;"",ABS(MIN(-0.75*('CDO Bespoke'!K35+'CDO Bespoke'!T35)+'CDO Bespoke'!T35,0)),"")</f>
        <v>0.28656287235927658</v>
      </c>
      <c r="L34" s="502">
        <f t="shared" ca="1" si="1"/>
        <v>0.90986175497128352</v>
      </c>
      <c r="M34" s="506">
        <f t="shared" ca="1" si="2"/>
        <v>0</v>
      </c>
      <c r="O34" s="511" t="str">
        <f ca="1">IF('CDO Bespoke'!C59&lt;&gt;"",'CDO Bespoke'!C59,"")</f>
        <v>BritishTelecom_MMR.EUR.SU</v>
      </c>
      <c r="P34" s="513" cm="1">
        <f t="array" aca="1" ref="P34" ca="1">IF($O34&lt;&gt;"",-TRANSPOSE(INDEX(getcds('CDO Bespoke'!$C59,P$13,'CDO Bespoke'!$G59/10000,'CDO Bespoke'!F59,'CDO Bespoke'!D59,'CDO Bespoke'!$C$13,'CDO Bespoke'!$C$14,'CDO Bespoke'!$C$15,'CDO Bespoke'!$C$8,,,TRUE,TRUE,FALSE,'CDO Bespoke'!$C$29:'CDO Bespoke'!$C$31,'CDO Bespoke'!$C$33),{5})),"")</f>
        <v>-0.47813175163773902</v>
      </c>
      <c r="Q34" s="524" cm="1">
        <f t="array" aca="1" ref="Q34" ca="1">IF($O34&lt;&gt;"",-TRANSPOSE(INDEX(getcds('CDO Bespoke'!$C59,Q$13,'CDO Bespoke'!$G59/10000,'CDO Bespoke'!G59,'CDO Bespoke'!E59,'CDO Bespoke'!$C$13,'CDO Bespoke'!$C$14,'CDO Bespoke'!$C$15,'CDO Bespoke'!$C$8,,,TRUE,TRUE,FALSE,'CDO Bespoke'!$C$29:'CDO Bespoke'!$C$31,'CDO Bespoke'!$C$33),{5})),"")</f>
        <v>-0.963774889097468</v>
      </c>
      <c r="R34" s="524" cm="1">
        <f t="array" aca="1" ref="R34" ca="1">IF($O34&lt;&gt;"",-TRANSPOSE(INDEX(getcds('CDO Bespoke'!$C59,R$13,'CDO Bespoke'!$G59/10000,'CDO Bespoke'!H59,'CDO Bespoke'!F59,'CDO Bespoke'!$C$13,'CDO Bespoke'!$C$14,'CDO Bespoke'!$C$15,'CDO Bespoke'!$C$8,,,TRUE,TRUE,FALSE,'CDO Bespoke'!$C$29:'CDO Bespoke'!$C$31,'CDO Bespoke'!$C$33),{5})),"")</f>
        <v>-2.7988967237978399</v>
      </c>
      <c r="S34" s="524" cm="1">
        <f t="array" aca="1" ref="S34" ca="1">IF($O34&lt;&gt;"",-TRANSPOSE(INDEX(getcds('CDO Bespoke'!$C59,S$13,'CDO Bespoke'!$G59/10000,'CDO Bespoke'!I59,'CDO Bespoke'!G59,'CDO Bespoke'!$C$13,'CDO Bespoke'!$C$14,'CDO Bespoke'!$C$15,'CDO Bespoke'!$C$8,,,TRUE,TRUE,FALSE,'CDO Bespoke'!$C$29:'CDO Bespoke'!$C$31,'CDO Bespoke'!$C$33),{5})),"")</f>
        <v>-4.4575962118014996</v>
      </c>
      <c r="T34" s="514" cm="1">
        <f t="array" aca="1" ref="T34" ca="1">IF($O34&lt;&gt;"",-TRANSPOSE(INDEX(getcds('CDO Bespoke'!$C59,T$13,'CDO Bespoke'!$G59/10000,'CDO Bespoke'!J59,'CDO Bespoke'!H59,'CDO Bespoke'!$C$13,'CDO Bespoke'!$C$14,'CDO Bespoke'!$C$15,'CDO Bespoke'!$C$8,,,TRUE,TRUE,FALSE,'CDO Bespoke'!$C$29:'CDO Bespoke'!$C$31,'CDO Bespoke'!$C$33),{5})),"")</f>
        <v>-7.8647846954530198</v>
      </c>
      <c r="U34" s="493"/>
      <c r="V34" s="513">
        <f ca="1"/>
        <v>-2.0824295480278282E-5</v>
      </c>
      <c r="W34" s="572">
        <f ca="1"/>
        <v>2.2606345798006217E-3</v>
      </c>
      <c r="X34" s="572">
        <f ca="1"/>
        <v>2.2114081685981057E-3</v>
      </c>
      <c r="Y34" s="572">
        <f ca="1"/>
        <v>4.1965991910003497E-3</v>
      </c>
      <c r="Z34" s="572">
        <f ca="1"/>
        <v>5.4730149650142335E-3</v>
      </c>
      <c r="AA34" s="572">
        <f ca="1"/>
        <v>8.0475193569781722E-3</v>
      </c>
      <c r="AB34" s="572">
        <f ca="1"/>
        <v>9.4863606700523739E-3</v>
      </c>
      <c r="AC34" s="572">
        <f ca="1"/>
        <v>8.3727474030348414E-3</v>
      </c>
      <c r="AD34" s="572">
        <f ca="1"/>
        <v>6.0421895289874961E-3</v>
      </c>
      <c r="AE34" s="514">
        <f ca="1"/>
        <v>-5.3914386996534169E-4</v>
      </c>
    </row>
    <row r="35" spans="6:31" s="281" customFormat="1" ht="12" thickBot="1">
      <c r="F35" s="501">
        <f ca="1">IF('CDO Bespoke'!O36&lt;&gt;"",'CDO Bespoke'!O36,"")</f>
        <v>1.197037550955</v>
      </c>
      <c r="G35" s="502">
        <f ca="1">IF(F35&lt;&gt;"",ABS(MIN(-0.75*('CDO Bespoke'!Q36+'CDO Bespoke'!T36)+'CDO Bespoke'!T36,0)),"")</f>
        <v>1.1593455941964212</v>
      </c>
      <c r="H35" s="502">
        <f t="shared" ca="1" si="0"/>
        <v>3.7691956758578726E-2</v>
      </c>
      <c r="I35" s="502">
        <f t="shared" ca="1" si="3"/>
        <v>0</v>
      </c>
      <c r="J35" s="501">
        <f ca="1">IF('CDO Bespoke'!O36&lt;&gt;"",'CDO Bespoke'!O36,"")</f>
        <v>1.197037550955</v>
      </c>
      <c r="K35" s="502">
        <f ca="1">IF(J35&lt;&gt;"",ABS(MIN(-0.75*('CDO Bespoke'!K36+'CDO Bespoke'!T36)+'CDO Bespoke'!T36,0)),"")</f>
        <v>0.26789609139871362</v>
      </c>
      <c r="L35" s="502">
        <f t="shared" ca="1" si="1"/>
        <v>0.92914145955628635</v>
      </c>
      <c r="M35" s="506">
        <f t="shared" ca="1" si="2"/>
        <v>0</v>
      </c>
      <c r="O35" s="511" t="str">
        <f ca="1">IF('CDO Bespoke'!C60&lt;&gt;"",'CDO Bespoke'!C60,"")</f>
        <v>BSCH_MMR.EUR.SU</v>
      </c>
      <c r="P35" s="513" cm="1">
        <f t="array" aca="1" ref="P35" ca="1">IF($O35&lt;&gt;"",-TRANSPOSE(INDEX(getcds('CDO Bespoke'!$C60,P$13,'CDO Bespoke'!$G60/10000,'CDO Bespoke'!F60,'CDO Bespoke'!D60,'CDO Bespoke'!$C$13,'CDO Bespoke'!$C$14,'CDO Bespoke'!$C$15,'CDO Bespoke'!$C$8,,,TRUE,TRUE,FALSE,'CDO Bespoke'!$C$29:'CDO Bespoke'!$C$31,'CDO Bespoke'!$C$33),{5})),"")</f>
        <v>-0.47819341012063998</v>
      </c>
      <c r="Q35" s="524" cm="1">
        <f t="array" aca="1" ref="Q35" ca="1">IF($O35&lt;&gt;"",-TRANSPOSE(INDEX(getcds('CDO Bespoke'!$C60,Q$13,'CDO Bespoke'!$G60/10000,'CDO Bespoke'!G60,'CDO Bespoke'!E60,'CDO Bespoke'!$C$13,'CDO Bespoke'!$C$14,'CDO Bespoke'!$C$15,'CDO Bespoke'!$C$8,,,TRUE,TRUE,FALSE,'CDO Bespoke'!$C$29:'CDO Bespoke'!$C$31,'CDO Bespoke'!$C$33),{5})),"")</f>
        <v>-0.96401563240395105</v>
      </c>
      <c r="R35" s="524" cm="1">
        <f t="array" aca="1" ref="R35" ca="1">IF($O35&lt;&gt;"",-TRANSPOSE(INDEX(getcds('CDO Bespoke'!$C60,R$13,'CDO Bespoke'!$G60/10000,'CDO Bespoke'!H60,'CDO Bespoke'!F60,'CDO Bespoke'!$C$13,'CDO Bespoke'!$C$14,'CDO Bespoke'!$C$15,'CDO Bespoke'!$C$8,,,TRUE,TRUE,FALSE,'CDO Bespoke'!$C$29:'CDO Bespoke'!$C$31,'CDO Bespoke'!$C$33),{5})),"")</f>
        <v>-2.7991911355859198</v>
      </c>
      <c r="S35" s="524" cm="1">
        <f t="array" aca="1" ref="S35" ca="1">IF($O35&lt;&gt;"",-TRANSPOSE(INDEX(getcds('CDO Bespoke'!$C60,S$13,'CDO Bespoke'!$G60/10000,'CDO Bespoke'!I60,'CDO Bespoke'!G60,'CDO Bespoke'!$C$13,'CDO Bespoke'!$C$14,'CDO Bespoke'!$C$15,'CDO Bespoke'!$C$8,,,TRUE,TRUE,FALSE,'CDO Bespoke'!$C$29:'CDO Bespoke'!$C$31,'CDO Bespoke'!$C$33),{5})),"")</f>
        <v>-4.4631127108099102</v>
      </c>
      <c r="T35" s="514" cm="1">
        <f t="array" aca="1" ref="T35" ca="1">IF($O35&lt;&gt;"",-TRANSPOSE(INDEX(getcds('CDO Bespoke'!$C60,T$13,'CDO Bespoke'!$G60/10000,'CDO Bespoke'!J60,'CDO Bespoke'!H60,'CDO Bespoke'!$C$13,'CDO Bespoke'!$C$14,'CDO Bespoke'!$C$15,'CDO Bespoke'!$C$8,,,TRUE,TRUE,FALSE,'CDO Bespoke'!$C$29:'CDO Bespoke'!$C$31,'CDO Bespoke'!$C$33),{5})),"")</f>
        <v>-7.9221693178663797</v>
      </c>
      <c r="U35" s="493"/>
      <c r="V35" s="513">
        <f ca="1"/>
        <v>-1.4768477799736481E-5</v>
      </c>
      <c r="W35" s="572">
        <f ca="1"/>
        <v>2.2739621103988472E-3</v>
      </c>
      <c r="X35" s="572">
        <f ca="1"/>
        <v>2.2198961615108037E-3</v>
      </c>
      <c r="Y35" s="572">
        <f ca="1"/>
        <v>4.0821219639969319E-3</v>
      </c>
      <c r="Z35" s="572">
        <f ca="1"/>
        <v>5.8001051090120215E-3</v>
      </c>
      <c r="AA35" s="572">
        <f ca="1"/>
        <v>8.473216951999929E-3</v>
      </c>
      <c r="AB35" s="572">
        <f ca="1"/>
        <v>1.2171713528047468E-2</v>
      </c>
      <c r="AC35" s="572">
        <f ca="1"/>
        <v>1.2533211080981155E-2</v>
      </c>
      <c r="AD35" s="572">
        <f ca="1"/>
        <v>1.1391209401995228E-2</v>
      </c>
      <c r="AE35" s="514">
        <f ca="1"/>
        <v>6.6643783010189583E-3</v>
      </c>
    </row>
    <row r="36" spans="6:31" s="281" customFormat="1" ht="12" thickBot="1">
      <c r="F36" s="501">
        <f ca="1">IF('CDO Bespoke'!O37&lt;&gt;"",'CDO Bespoke'!O37,"")</f>
        <v>1.19685189914516</v>
      </c>
      <c r="G36" s="502">
        <f ca="1">IF(F36&lt;&gt;"",ABS(MIN(-0.75*('CDO Bespoke'!Q37+'CDO Bespoke'!T37)+'CDO Bespoke'!T37,0)),"")</f>
        <v>1.1608545524205669</v>
      </c>
      <c r="H36" s="502">
        <f t="shared" ca="1" si="0"/>
        <v>3.5997346724593093E-2</v>
      </c>
      <c r="I36" s="502">
        <f t="shared" ca="1" si="3"/>
        <v>0</v>
      </c>
      <c r="J36" s="501">
        <f ca="1">IF('CDO Bespoke'!O37&lt;&gt;"",'CDO Bespoke'!O37,"")</f>
        <v>1.19685189914516</v>
      </c>
      <c r="K36" s="502">
        <f ca="1">IF(J36&lt;&gt;"",ABS(MIN(-0.75*('CDO Bespoke'!K37+'CDO Bespoke'!T37)+'CDO Bespoke'!T37,0)),"")</f>
        <v>0.27506753753928931</v>
      </c>
      <c r="L36" s="502">
        <f t="shared" ca="1" si="1"/>
        <v>0.92178436160587074</v>
      </c>
      <c r="M36" s="506">
        <f t="shared" ca="1" si="2"/>
        <v>0</v>
      </c>
      <c r="O36" s="511" t="str">
        <f ca="1">IF('CDO Bespoke'!C61&lt;&gt;"",'CDO Bespoke'!C61,"")</f>
        <v>CadburySchweppes_MMR.EUR.SU</v>
      </c>
      <c r="P36" s="513" cm="1">
        <f t="array" aca="1" ref="P36" ca="1">IF($O36&lt;&gt;"",-TRANSPOSE(INDEX(getcds('CDO Bespoke'!$C61,P$13,'CDO Bespoke'!$G61/10000,'CDO Bespoke'!F61,'CDO Bespoke'!D61,'CDO Bespoke'!$C$13,'CDO Bespoke'!$C$14,'CDO Bespoke'!$C$15,'CDO Bespoke'!$C$8,,,TRUE,TRUE,FALSE,'CDO Bespoke'!$C$29:'CDO Bespoke'!$C$31,'CDO Bespoke'!$C$33),{5})),"")</f>
        <v>-0.47824737003613499</v>
      </c>
      <c r="Q36" s="524" cm="1">
        <f t="array" aca="1" ref="Q36" ca="1">IF($O36&lt;&gt;"",-TRANSPOSE(INDEX(getcds('CDO Bespoke'!$C61,Q$13,'CDO Bespoke'!$G61/10000,'CDO Bespoke'!G61,'CDO Bespoke'!E61,'CDO Bespoke'!$C$13,'CDO Bespoke'!$C$14,'CDO Bespoke'!$C$15,'CDO Bespoke'!$C$8,,,TRUE,TRUE,FALSE,'CDO Bespoke'!$C$29:'CDO Bespoke'!$C$31,'CDO Bespoke'!$C$33),{5})),"")</f>
        <v>-0.96426099364292694</v>
      </c>
      <c r="R36" s="524" cm="1">
        <f t="array" aca="1" ref="R36" ca="1">IF($O36&lt;&gt;"",-TRANSPOSE(INDEX(getcds('CDO Bespoke'!$C61,R$13,'CDO Bespoke'!$G61/10000,'CDO Bespoke'!H61,'CDO Bespoke'!F61,'CDO Bespoke'!$C$13,'CDO Bespoke'!$C$14,'CDO Bespoke'!$C$15,'CDO Bespoke'!$C$8,,,TRUE,TRUE,FALSE,'CDO Bespoke'!$C$29:'CDO Bespoke'!$C$31,'CDO Bespoke'!$C$33),{5})),"")</f>
        <v>-2.80281383596434</v>
      </c>
      <c r="S36" s="524" cm="1">
        <f t="array" aca="1" ref="S36" ca="1">IF($O36&lt;&gt;"",-TRANSPOSE(INDEX(getcds('CDO Bespoke'!$C61,S$13,'CDO Bespoke'!$G61/10000,'CDO Bespoke'!I61,'CDO Bespoke'!G61,'CDO Bespoke'!$C$13,'CDO Bespoke'!$C$14,'CDO Bespoke'!$C$15,'CDO Bespoke'!$C$8,,,TRUE,TRUE,FALSE,'CDO Bespoke'!$C$29:'CDO Bespoke'!$C$31,'CDO Bespoke'!$C$33),{5})),"")</f>
        <v>-4.4663897246243698</v>
      </c>
      <c r="T36" s="514" cm="1">
        <f t="array" aca="1" ref="T36" ca="1">IF($O36&lt;&gt;"",-TRANSPOSE(INDEX(getcds('CDO Bespoke'!$C61,T$13,'CDO Bespoke'!$G61/10000,'CDO Bespoke'!J61,'CDO Bespoke'!H61,'CDO Bespoke'!$C$13,'CDO Bespoke'!$C$14,'CDO Bespoke'!$C$15,'CDO Bespoke'!$C$8,,,TRUE,TRUE,FALSE,'CDO Bespoke'!$C$29:'CDO Bespoke'!$C$31,'CDO Bespoke'!$C$33),{5})),"")</f>
        <v>-7.8722487153802296</v>
      </c>
      <c r="U36" s="493"/>
      <c r="V36" s="513">
        <f ca="1"/>
        <v>-9.4681843799699489E-6</v>
      </c>
      <c r="W36" s="572">
        <f ca="1"/>
        <v>2.2856297009991172E-3</v>
      </c>
      <c r="X36" s="572">
        <f ca="1"/>
        <v>2.2794298782866096E-3</v>
      </c>
      <c r="Y36" s="572">
        <f ca="1"/>
        <v>4.2405625960001414E-3</v>
      </c>
      <c r="Z36" s="572">
        <f ca="1"/>
        <v>5.6726552490060644E-3</v>
      </c>
      <c r="AA36" s="572">
        <f ca="1"/>
        <v>7.9953381880090713E-3</v>
      </c>
      <c r="AB36" s="572">
        <f ca="1"/>
        <v>9.2298006870022986E-3</v>
      </c>
      <c r="AC36" s="572">
        <f ca="1"/>
        <v>7.9851344540055047E-3</v>
      </c>
      <c r="AD36" s="572">
        <f ca="1"/>
        <v>5.5535097190362315E-3</v>
      </c>
      <c r="AE36" s="514">
        <f ca="1"/>
        <v>-1.1736934199535476E-3</v>
      </c>
    </row>
    <row r="37" spans="6:31" s="281" customFormat="1" ht="13.5" customHeight="1" thickBot="1">
      <c r="F37" s="501">
        <f ca="1">IF('CDO Bespoke'!O38&lt;&gt;"",'CDO Bespoke'!O38,"")</f>
        <v>1.1956511807594601</v>
      </c>
      <c r="G37" s="502">
        <f ca="1">IF(F37&lt;&gt;"",ABS(MIN(-0.75*('CDO Bespoke'!Q38+'CDO Bespoke'!T38)+'CDO Bespoke'!T38,0)),"")</f>
        <v>1.1655794761472926</v>
      </c>
      <c r="H37" s="502">
        <f t="shared" ca="1" si="0"/>
        <v>3.007170461216746E-2</v>
      </c>
      <c r="I37" s="502">
        <f t="shared" ca="1" si="3"/>
        <v>0</v>
      </c>
      <c r="J37" s="501">
        <f ca="1">IF('CDO Bespoke'!O38&lt;&gt;"",'CDO Bespoke'!O38,"")</f>
        <v>1.1956511807594601</v>
      </c>
      <c r="K37" s="502">
        <f ca="1">IF(J37&lt;&gt;"",ABS(MIN(-0.75*('CDO Bespoke'!K38+'CDO Bespoke'!T38)+'CDO Bespoke'!T38,0)),"")</f>
        <v>0.30723167346053792</v>
      </c>
      <c r="L37" s="502">
        <f t="shared" ca="1" si="1"/>
        <v>0.88841950729892216</v>
      </c>
      <c r="M37" s="506">
        <f t="shared" ca="1" si="2"/>
        <v>0</v>
      </c>
      <c r="O37" s="511" t="str">
        <f ca="1">IF('CDO Bespoke'!C62&lt;&gt;"",'CDO Bespoke'!C62,"")</f>
        <v>Capitalia_MMR.EUR.SU</v>
      </c>
      <c r="P37" s="513" cm="1">
        <f t="array" aca="1" ref="P37" ca="1">IF($O37&lt;&gt;"",-TRANSPOSE(INDEX(getcds('CDO Bespoke'!$C62,P$13,'CDO Bespoke'!$G62/10000,'CDO Bespoke'!F62,'CDO Bespoke'!D62,'CDO Bespoke'!$C$13,'CDO Bespoke'!$C$14,'CDO Bespoke'!$C$15,'CDO Bespoke'!$C$8,,,TRUE,TRUE,FALSE,'CDO Bespoke'!$C$29:'CDO Bespoke'!$C$31,'CDO Bespoke'!$C$33),{5})),"")</f>
        <v>-0.47812211846214198</v>
      </c>
      <c r="Q37" s="524" cm="1">
        <f t="array" aca="1" ref="Q37" ca="1">IF($O37&lt;&gt;"",-TRANSPOSE(INDEX(getcds('CDO Bespoke'!$C62,Q$13,'CDO Bespoke'!$G62/10000,'CDO Bespoke'!G62,'CDO Bespoke'!E62,'CDO Bespoke'!$C$13,'CDO Bespoke'!$C$14,'CDO Bespoke'!$C$15,'CDO Bespoke'!$C$8,,,TRUE,TRUE,FALSE,'CDO Bespoke'!$C$29:'CDO Bespoke'!$C$31,'CDO Bespoke'!$C$33),{5})),"")</f>
        <v>-0.96371485471834895</v>
      </c>
      <c r="R37" s="524" cm="1">
        <f t="array" aca="1" ref="R37" ca="1">IF($O37&lt;&gt;"",-TRANSPOSE(INDEX(getcds('CDO Bespoke'!$C62,R$13,'CDO Bespoke'!$G62/10000,'CDO Bespoke'!H62,'CDO Bespoke'!F62,'CDO Bespoke'!$C$13,'CDO Bespoke'!$C$14,'CDO Bespoke'!$C$15,'CDO Bespoke'!$C$8,,,TRUE,TRUE,FALSE,'CDO Bespoke'!$C$29:'CDO Bespoke'!$C$31,'CDO Bespoke'!$C$33),{5})),"")</f>
        <v>-2.7955158056435399</v>
      </c>
      <c r="S37" s="524" cm="1">
        <f t="array" aca="1" ref="S37" ca="1">IF($O37&lt;&gt;"",-TRANSPOSE(INDEX(getcds('CDO Bespoke'!$C62,S$13,'CDO Bespoke'!$G62/10000,'CDO Bespoke'!I62,'CDO Bespoke'!G62,'CDO Bespoke'!$C$13,'CDO Bespoke'!$C$14,'CDO Bespoke'!$C$15,'CDO Bespoke'!$C$8,,,TRUE,TRUE,FALSE,'CDO Bespoke'!$C$29:'CDO Bespoke'!$C$31,'CDO Bespoke'!$C$33),{5})),"")</f>
        <v>-4.4474751996622803</v>
      </c>
      <c r="T37" s="514" cm="1">
        <f t="array" aca="1" ref="T37" ca="1">IF($O37&lt;&gt;"",-TRANSPOSE(INDEX(getcds('CDO Bespoke'!$C62,T$13,'CDO Bespoke'!$G62/10000,'CDO Bespoke'!J62,'CDO Bespoke'!H62,'CDO Bespoke'!$C$13,'CDO Bespoke'!$C$14,'CDO Bespoke'!$C$15,'CDO Bespoke'!$C$8,,,TRUE,TRUE,FALSE,'CDO Bespoke'!$C$29:'CDO Bespoke'!$C$31,'CDO Bespoke'!$C$33),{5})),"")</f>
        <v>-7.8383492837314304</v>
      </c>
      <c r="U37" s="493"/>
      <c r="V37" s="513">
        <f ca="1"/>
        <v>-2.1770357050291192E-5</v>
      </c>
      <c r="W37" s="572">
        <f ca="1"/>
        <v>2.2585528138951289E-3</v>
      </c>
      <c r="X37" s="572">
        <f ca="1"/>
        <v>2.1763772879018761E-3</v>
      </c>
      <c r="Y37" s="572">
        <f ca="1"/>
        <v>3.9891361970113837E-3</v>
      </c>
      <c r="Z37" s="572">
        <f ca="1"/>
        <v>5.4497712960108191E-3</v>
      </c>
      <c r="AA37" s="572">
        <f ca="1"/>
        <v>7.6439030910133154E-3</v>
      </c>
      <c r="AB37" s="572">
        <f ca="1"/>
        <v>1.043087716701141E-2</v>
      </c>
      <c r="AC37" s="572">
        <f ca="1"/>
        <v>9.8453418900107392E-3</v>
      </c>
      <c r="AD37" s="572">
        <f ca="1"/>
        <v>7.9806559810657873E-3</v>
      </c>
      <c r="AE37" s="514">
        <f ca="1"/>
        <v>2.1308710849987644E-3</v>
      </c>
    </row>
    <row r="38" spans="6:31" s="281" customFormat="1" ht="12" thickBot="1">
      <c r="F38" s="501">
        <f ca="1">IF('CDO Bespoke'!O39&lt;&gt;"",'CDO Bespoke'!O39,"")</f>
        <v>1.1980723904661399</v>
      </c>
      <c r="G38" s="502">
        <f ca="1">IF(F38&lt;&gt;"",ABS(MIN(-0.75*('CDO Bespoke'!Q39+'CDO Bespoke'!T39)+'CDO Bespoke'!T39,0)),"")</f>
        <v>1.1545058216350557</v>
      </c>
      <c r="H38" s="502">
        <f t="shared" ca="1" si="0"/>
        <v>4.3566568831084229E-2</v>
      </c>
      <c r="I38" s="502">
        <f t="shared" ca="1" si="3"/>
        <v>0</v>
      </c>
      <c r="J38" s="501">
        <f ca="1">IF('CDO Bespoke'!O39&lt;&gt;"",'CDO Bespoke'!O39,"")</f>
        <v>1.1980723904661399</v>
      </c>
      <c r="K38" s="502">
        <f ca="1">IF(J38&lt;&gt;"",ABS(MIN(-0.75*('CDO Bespoke'!K39+'CDO Bespoke'!T39)+'CDO Bespoke'!T39,0)),"")</f>
        <v>0.22731712743748478</v>
      </c>
      <c r="L38" s="502">
        <f t="shared" ca="1" si="1"/>
        <v>0.97075526302865511</v>
      </c>
      <c r="M38" s="506">
        <f t="shared" ca="1" si="2"/>
        <v>0</v>
      </c>
      <c r="O38" s="511" t="str">
        <f ca="1">IF('CDO Bespoke'!C63&lt;&gt;"",'CDO Bespoke'!C63,"")</f>
        <v>Carrefour_MMR.EUR.SU</v>
      </c>
      <c r="P38" s="513" cm="1">
        <f t="array" aca="1" ref="P38" ca="1">IF($O38&lt;&gt;"",-TRANSPOSE(INDEX(getcds('CDO Bespoke'!$C63,P$13,'CDO Bespoke'!$G63/10000,'CDO Bespoke'!F63,'CDO Bespoke'!D63,'CDO Bespoke'!$C$13,'CDO Bespoke'!$C$14,'CDO Bespoke'!$C$15,'CDO Bespoke'!$C$8,,,TRUE,TRUE,FALSE,'CDO Bespoke'!$C$29:'CDO Bespoke'!$C$31,'CDO Bespoke'!$C$33),{5})),"")</f>
        <v>-0.47824737003613499</v>
      </c>
      <c r="Q38" s="524" cm="1">
        <f t="array" aca="1" ref="Q38" ca="1">IF($O38&lt;&gt;"",-TRANSPOSE(INDEX(getcds('CDO Bespoke'!$C63,Q$13,'CDO Bespoke'!$G63/10000,'CDO Bespoke'!G63,'CDO Bespoke'!E63,'CDO Bespoke'!$C$13,'CDO Bespoke'!$C$14,'CDO Bespoke'!$C$15,'CDO Bespoke'!$C$8,,,TRUE,TRUE,FALSE,'CDO Bespoke'!$C$29:'CDO Bespoke'!$C$31,'CDO Bespoke'!$C$33),{5})),"")</f>
        <v>-0.96428677231217297</v>
      </c>
      <c r="R38" s="524" cm="1">
        <f t="array" aca="1" ref="R38" ca="1">IF($O38&lt;&gt;"",-TRANSPOSE(INDEX(getcds('CDO Bespoke'!$C63,R$13,'CDO Bespoke'!$G63/10000,'CDO Bespoke'!H63,'CDO Bespoke'!F63,'CDO Bespoke'!$C$13,'CDO Bespoke'!$C$14,'CDO Bespoke'!$C$15,'CDO Bespoke'!$C$8,,,TRUE,TRUE,FALSE,'CDO Bespoke'!$C$29:'CDO Bespoke'!$C$31,'CDO Bespoke'!$C$33),{5})),"")</f>
        <v>-2.80591401543436</v>
      </c>
      <c r="S38" s="524" cm="1">
        <f t="array" aca="1" ref="S38" ca="1">IF($O38&lt;&gt;"",-TRANSPOSE(INDEX(getcds('CDO Bespoke'!$C63,S$13,'CDO Bespoke'!$G63/10000,'CDO Bespoke'!I63,'CDO Bespoke'!G63,'CDO Bespoke'!$C$13,'CDO Bespoke'!$C$14,'CDO Bespoke'!$C$15,'CDO Bespoke'!$C$8,,,TRUE,TRUE,FALSE,'CDO Bespoke'!$C$29:'CDO Bespoke'!$C$31,'CDO Bespoke'!$C$33),{5})),"")</f>
        <v>-4.4815780108911802</v>
      </c>
      <c r="T38" s="514" cm="1">
        <f t="array" aca="1" ref="T38" ca="1">IF($O38&lt;&gt;"",-TRANSPOSE(INDEX(getcds('CDO Bespoke'!$C63,T$13,'CDO Bespoke'!$G63/10000,'CDO Bespoke'!J63,'CDO Bespoke'!H63,'CDO Bespoke'!$C$13,'CDO Bespoke'!$C$14,'CDO Bespoke'!$C$15,'CDO Bespoke'!$C$8,,,TRUE,TRUE,FALSE,'CDO Bespoke'!$C$29:'CDO Bespoke'!$C$31,'CDO Bespoke'!$C$33),{5})),"")</f>
        <v>-7.9674477275015301</v>
      </c>
      <c r="U38" s="493"/>
      <c r="V38" s="513">
        <f ca="1"/>
        <v>-9.4681843799699489E-6</v>
      </c>
      <c r="W38" s="572">
        <f ca="1"/>
        <v>2.2856297009991172E-3</v>
      </c>
      <c r="X38" s="572">
        <f ca="1"/>
        <v>2.318210285887079E-3</v>
      </c>
      <c r="Y38" s="572">
        <f ca="1"/>
        <v>4.379920196979914E-3</v>
      </c>
      <c r="Z38" s="572">
        <f ca="1"/>
        <v>6.0255776769893576E-3</v>
      </c>
      <c r="AA38" s="572">
        <f ca="1"/>
        <v>8.8339595279846028E-3</v>
      </c>
      <c r="AB38" s="572">
        <f ca="1"/>
        <v>1.1617181881959371E-2</v>
      </c>
      <c r="AC38" s="572">
        <f ca="1"/>
        <v>1.1617176439021604E-2</v>
      </c>
      <c r="AD38" s="572">
        <f ca="1"/>
        <v>1.011357652597189E-2</v>
      </c>
      <c r="AE38" s="514">
        <f ca="1"/>
        <v>4.757119688031386E-3</v>
      </c>
    </row>
    <row r="39" spans="6:31" s="281" customFormat="1" ht="12" thickBot="1">
      <c r="F39" s="501">
        <f ca="1">IF('CDO Bespoke'!O40&lt;&gt;"",'CDO Bespoke'!O40,"")</f>
        <v>1.19283814490652</v>
      </c>
      <c r="G39" s="502">
        <f ca="1">IF(F39&lt;&gt;"",ABS(MIN(-0.75*('CDO Bespoke'!Q40+'CDO Bespoke'!T40)+'CDO Bespoke'!T40,0)),"")</f>
        <v>1.1758022185585149</v>
      </c>
      <c r="H39" s="502">
        <f t="shared" ca="1" si="0"/>
        <v>1.7035926348005104E-2</v>
      </c>
      <c r="I39" s="502">
        <f t="shared" ca="1" si="3"/>
        <v>0</v>
      </c>
      <c r="J39" s="501">
        <f ca="1">IF('CDO Bespoke'!O40&lt;&gt;"",'CDO Bespoke'!O40,"")</f>
        <v>1.19283814490652</v>
      </c>
      <c r="K39" s="502">
        <f ca="1">IF(J39&lt;&gt;"",ABS(MIN(-0.75*('CDO Bespoke'!K40+'CDO Bespoke'!T40)+'CDO Bespoke'!T40,0)),"")</f>
        <v>0.3588146924871069</v>
      </c>
      <c r="L39" s="502">
        <f t="shared" ca="1" si="1"/>
        <v>0.834023452419413</v>
      </c>
      <c r="M39" s="506">
        <f t="shared" ca="1" si="2"/>
        <v>0</v>
      </c>
      <c r="O39" s="511" t="str">
        <f ca="1">IF('CDO Bespoke'!C64&lt;&gt;"",'CDO Bespoke'!C64,"")</f>
        <v>CasinoGuichard_MMR.EUR.SU</v>
      </c>
      <c r="P39" s="513" cm="1">
        <f t="array" aca="1" ref="P39" ca="1">IF($O39&lt;&gt;"",-TRANSPOSE(INDEX(getcds('CDO Bespoke'!$C64,P$13,'CDO Bespoke'!$G64/10000,'CDO Bespoke'!F64,'CDO Bespoke'!D64,'CDO Bespoke'!$C$13,'CDO Bespoke'!$C$14,'CDO Bespoke'!$C$15,'CDO Bespoke'!$C$8,,,TRUE,TRUE,FALSE,'CDO Bespoke'!$C$29:'CDO Bespoke'!$C$31,'CDO Bespoke'!$C$33),{5})),"")</f>
        <v>-0.47817028694088998</v>
      </c>
      <c r="Q39" s="524" cm="1">
        <f t="array" aca="1" ref="Q39" ca="1">IF($O39&lt;&gt;"",-TRANSPOSE(INDEX(getcds('CDO Bespoke'!$C64,Q$13,'CDO Bespoke'!$G64/10000,'CDO Bespoke'!G64,'CDO Bespoke'!E64,'CDO Bespoke'!$C$13,'CDO Bespoke'!$C$14,'CDO Bespoke'!$C$15,'CDO Bespoke'!$C$8,,,TRUE,TRUE,FALSE,'CDO Bespoke'!$C$29:'CDO Bespoke'!$C$31,'CDO Bespoke'!$C$33),{5})),"")</f>
        <v>-0.96382948294849302</v>
      </c>
      <c r="R39" s="524" cm="1">
        <f t="array" aca="1" ref="R39" ca="1">IF($O39&lt;&gt;"",-TRANSPOSE(INDEX(getcds('CDO Bespoke'!$C64,R$13,'CDO Bespoke'!$G64/10000,'CDO Bespoke'!H64,'CDO Bespoke'!F64,'CDO Bespoke'!$C$13,'CDO Bespoke'!$C$14,'CDO Bespoke'!$C$15,'CDO Bespoke'!$C$8,,,TRUE,TRUE,FALSE,'CDO Bespoke'!$C$29:'CDO Bespoke'!$C$31,'CDO Bespoke'!$C$33),{5})),"")</f>
        <v>-2.7920450611246102</v>
      </c>
      <c r="S39" s="524" cm="1">
        <f t="array" aca="1" ref="S39" ca="1">IF($O39&lt;&gt;"",-TRANSPOSE(INDEX(getcds('CDO Bespoke'!$C64,S$13,'CDO Bespoke'!$G64/10000,'CDO Bespoke'!I64,'CDO Bespoke'!G64,'CDO Bespoke'!$C$13,'CDO Bespoke'!$C$14,'CDO Bespoke'!$C$15,'CDO Bespoke'!$C$8,,,TRUE,TRUE,FALSE,'CDO Bespoke'!$C$29:'CDO Bespoke'!$C$31,'CDO Bespoke'!$C$33),{5})),"")</f>
        <v>-4.4256310488254096</v>
      </c>
      <c r="T39" s="514" cm="1">
        <f t="array" aca="1" ref="T39" ca="1">IF($O39&lt;&gt;"",-TRANSPOSE(INDEX(getcds('CDO Bespoke'!$C64,T$13,'CDO Bespoke'!$G64/10000,'CDO Bespoke'!J64,'CDO Bespoke'!H64,'CDO Bespoke'!$C$13,'CDO Bespoke'!$C$14,'CDO Bespoke'!$C$15,'CDO Bespoke'!$C$8,,,TRUE,TRUE,FALSE,'CDO Bespoke'!$C$29:'CDO Bespoke'!$C$31,'CDO Bespoke'!$C$33),{5})),"")</f>
        <v>-7.6634562815991103</v>
      </c>
      <c r="U39" s="493"/>
      <c r="V39" s="513">
        <f ca="1"/>
        <v>-1.7039616939662494E-5</v>
      </c>
      <c r="W39" s="572">
        <f ca="1"/>
        <v>2.2689634291989808E-3</v>
      </c>
      <c r="X39" s="572">
        <f ca="1"/>
        <v>2.0726939476030382E-3</v>
      </c>
      <c r="Y39" s="572">
        <f ca="1"/>
        <v>3.8867550750110169E-3</v>
      </c>
      <c r="Z39" s="572">
        <f ca="1"/>
        <v>4.9510367739966088E-3</v>
      </c>
      <c r="AA39" s="572">
        <f ca="1"/>
        <v>6.0631428490040551E-3</v>
      </c>
      <c r="AB39" s="572">
        <f ca="1"/>
        <v>5.1888342079021293E-3</v>
      </c>
      <c r="AC39" s="572">
        <f ca="1"/>
        <v>2.1468964539993196E-3</v>
      </c>
      <c r="AD39" s="572">
        <f ca="1"/>
        <v>-1.4159007899819387E-3</v>
      </c>
      <c r="AE39" s="514">
        <f ca="1"/>
        <v>-9.4855590199866002E-3</v>
      </c>
    </row>
    <row r="40" spans="6:31" s="281" customFormat="1" ht="12" thickBot="1">
      <c r="F40" s="501">
        <f ca="1">IF('CDO Bespoke'!O41&lt;&gt;"",'CDO Bespoke'!O41,"")</f>
        <v>1.1981159897418501</v>
      </c>
      <c r="G40" s="502">
        <f ca="1">IF(F40&lt;&gt;"",ABS(MIN(-0.75*('CDO Bespoke'!Q41+'CDO Bespoke'!T41)+'CDO Bespoke'!T41,0)),"")</f>
        <v>1.1545492239463242</v>
      </c>
      <c r="H40" s="502">
        <f t="shared" ca="1" si="0"/>
        <v>4.3566765795525875E-2</v>
      </c>
      <c r="I40" s="502">
        <f t="shared" ca="1" si="3"/>
        <v>0</v>
      </c>
      <c r="J40" s="501">
        <f ca="1">IF('CDO Bespoke'!O41&lt;&gt;"",'CDO Bespoke'!O41,"")</f>
        <v>1.1981159897418501</v>
      </c>
      <c r="K40" s="502">
        <f ca="1">IF(J40&lt;&gt;"",ABS(MIN(-0.75*('CDO Bespoke'!K41+'CDO Bespoke'!T41)+'CDO Bespoke'!T41,0)),"")</f>
        <v>0.22740559948365432</v>
      </c>
      <c r="L40" s="502">
        <f t="shared" ca="1" si="1"/>
        <v>0.97071039025819572</v>
      </c>
      <c r="M40" s="506">
        <f t="shared" ca="1" si="2"/>
        <v>0</v>
      </c>
      <c r="O40" s="511" t="str">
        <f ca="1">IF('CDO Bespoke'!C65&lt;&gt;"",'CDO Bespoke'!C65,"")</f>
        <v>Centrica_MMR.EUR.SU</v>
      </c>
      <c r="P40" s="513" cm="1">
        <f t="array" aca="1" ref="P40" ca="1">IF($O40&lt;&gt;"",-TRANSPOSE(INDEX(getcds('CDO Bespoke'!$C65,P$13,'CDO Bespoke'!$G65/10000,'CDO Bespoke'!F65,'CDO Bespoke'!D65,'CDO Bespoke'!$C$13,'CDO Bespoke'!$C$14,'CDO Bespoke'!$C$15,'CDO Bespoke'!$C$8,,,TRUE,TRUE,FALSE,'CDO Bespoke'!$C$29:'CDO Bespoke'!$C$31,'CDO Bespoke'!$C$33),{5})),"")</f>
        <v>-0.47824737003613499</v>
      </c>
      <c r="Q40" s="524" cm="1">
        <f t="array" aca="1" ref="Q40" ca="1">IF($O40&lt;&gt;"",-TRANSPOSE(INDEX(getcds('CDO Bespoke'!$C65,Q$13,'CDO Bespoke'!$G65/10000,'CDO Bespoke'!G65,'CDO Bespoke'!E65,'CDO Bespoke'!$C$13,'CDO Bespoke'!$C$14,'CDO Bespoke'!$C$15,'CDO Bespoke'!$C$8,,,TRUE,TRUE,FALSE,'CDO Bespoke'!$C$29:'CDO Bespoke'!$C$31,'CDO Bespoke'!$C$33),{5})),"")</f>
        <v>-0.96429966064517303</v>
      </c>
      <c r="R40" s="524" cm="1">
        <f t="array" aca="1" ref="R40" ca="1">IF($O40&lt;&gt;"",-TRANSPOSE(INDEX(getcds('CDO Bespoke'!$C65,R$13,'CDO Bespoke'!$G65/10000,'CDO Bespoke'!H65,'CDO Bespoke'!F65,'CDO Bespoke'!$C$13,'CDO Bespoke'!$C$14,'CDO Bespoke'!$C$15,'CDO Bespoke'!$C$8,,,TRUE,TRUE,FALSE,'CDO Bespoke'!$C$29:'CDO Bespoke'!$C$31,'CDO Bespoke'!$C$33),{5})),"")</f>
        <v>-2.8057195244967401</v>
      </c>
      <c r="S40" s="524" cm="1">
        <f t="array" aca="1" ref="S40" ca="1">IF($O40&lt;&gt;"",-TRANSPOSE(INDEX(getcds('CDO Bespoke'!$C65,S$13,'CDO Bespoke'!$G65/10000,'CDO Bespoke'!I65,'CDO Bespoke'!G65,'CDO Bespoke'!$C$13,'CDO Bespoke'!$C$14,'CDO Bespoke'!$C$15,'CDO Bespoke'!$C$8,,,TRUE,TRUE,FALSE,'CDO Bespoke'!$C$29:'CDO Bespoke'!$C$31,'CDO Bespoke'!$C$33),{5})),"")</f>
        <v>-4.4813903443976599</v>
      </c>
      <c r="T40" s="514" cm="1">
        <f t="array" aca="1" ref="T40" ca="1">IF($O40&lt;&gt;"",-TRANSPOSE(INDEX(getcds('CDO Bespoke'!$C65,T$13,'CDO Bespoke'!$G65/10000,'CDO Bespoke'!J65,'CDO Bespoke'!H65,'CDO Bespoke'!$C$13,'CDO Bespoke'!$C$14,'CDO Bespoke'!$C$15,'CDO Bespoke'!$C$8,,,TRUE,TRUE,FALSE,'CDO Bespoke'!$C$29:'CDO Bespoke'!$C$31,'CDO Bespoke'!$C$33),{5})),"")</f>
        <v>-7.9785849874508097</v>
      </c>
      <c r="U40" s="493"/>
      <c r="V40" s="513">
        <f ca="1"/>
        <v>-9.4681843799699489E-6</v>
      </c>
      <c r="W40" s="572">
        <f ca="1"/>
        <v>2.2856297009991172E-3</v>
      </c>
      <c r="X40" s="572">
        <f ca="1"/>
        <v>2.3376038891034789E-3</v>
      </c>
      <c r="Y40" s="572">
        <f ca="1"/>
        <v>4.3254230119860182E-3</v>
      </c>
      <c r="Z40" s="572">
        <f ca="1"/>
        <v>6.0761015949900576E-3</v>
      </c>
      <c r="AA40" s="572">
        <f ca="1"/>
        <v>8.8341174630385266E-3</v>
      </c>
      <c r="AB40" s="572">
        <f ca="1"/>
        <v>1.2287536938979104E-2</v>
      </c>
      <c r="AC40" s="572">
        <f ca="1"/>
        <v>1.2672204847963275E-2</v>
      </c>
      <c r="AD40" s="572">
        <f ca="1"/>
        <v>1.1488731138098451E-2</v>
      </c>
      <c r="AE40" s="514">
        <f ca="1"/>
        <v>6.6528895549533562E-3</v>
      </c>
    </row>
    <row r="41" spans="6:31" s="281" customFormat="1" ht="12" thickBot="1">
      <c r="F41" s="501">
        <f ca="1">IF('CDO Bespoke'!O42&lt;&gt;"",'CDO Bespoke'!O42,"")</f>
        <v>1.1952149282967099</v>
      </c>
      <c r="G41" s="502">
        <f ca="1">IF(F41&lt;&gt;"",ABS(MIN(-0.75*('CDO Bespoke'!Q42+'CDO Bespoke'!T42)+'CDO Bespoke'!T42,0)),"")</f>
        <v>1.1680527161906646</v>
      </c>
      <c r="H41" s="502">
        <f t="shared" ca="1" si="0"/>
        <v>2.7162212106045303E-2</v>
      </c>
      <c r="I41" s="502">
        <f t="shared" ca="1" si="3"/>
        <v>0</v>
      </c>
      <c r="J41" s="501">
        <f ca="1">IF('CDO Bespoke'!O42&lt;&gt;"",'CDO Bespoke'!O42,"")</f>
        <v>1.1952149282967099</v>
      </c>
      <c r="K41" s="502">
        <f ca="1">IF(J41&lt;&gt;"",ABS(MIN(-0.75*('CDO Bespoke'!K42+'CDO Bespoke'!T42)+'CDO Bespoke'!T42,0)),"")</f>
        <v>0.31875774743965951</v>
      </c>
      <c r="L41" s="502">
        <f t="shared" ca="1" si="1"/>
        <v>0.87645718085705049</v>
      </c>
      <c r="M41" s="506">
        <f t="shared" ca="1" si="2"/>
        <v>0</v>
      </c>
      <c r="O41" s="511" t="str">
        <f ca="1">IF('CDO Bespoke'!C66&lt;&gt;"",'CDO Bespoke'!C66,"")</f>
        <v>Cibasc_MMR.EUR.SU</v>
      </c>
      <c r="P41" s="513" cm="1">
        <f t="array" aca="1" ref="P41" ca="1">IF($O41&lt;&gt;"",-TRANSPOSE(INDEX(getcds('CDO Bespoke'!$C66,P$13,'CDO Bespoke'!$G66/10000,'CDO Bespoke'!F66,'CDO Bespoke'!D66,'CDO Bespoke'!$C$13,'CDO Bespoke'!$C$14,'CDO Bespoke'!$C$15,'CDO Bespoke'!$C$8,,,TRUE,TRUE,FALSE,'CDO Bespoke'!$C$29:'CDO Bespoke'!$C$31,'CDO Bespoke'!$C$33),{5})),"")</f>
        <v>-0.47815101876911398</v>
      </c>
      <c r="Q41" s="524" cm="1">
        <f t="array" aca="1" ref="Q41" ca="1">IF($O41&lt;&gt;"",-TRANSPOSE(INDEX(getcds('CDO Bespoke'!$C66,Q$13,'CDO Bespoke'!$G66/10000,'CDO Bespoke'!G66,'CDO Bespoke'!E66,'CDO Bespoke'!$C$13,'CDO Bespoke'!$C$14,'CDO Bespoke'!$C$15,'CDO Bespoke'!$C$8,,,TRUE,TRUE,FALSE,'CDO Bespoke'!$C$29:'CDO Bespoke'!$C$31,'CDO Bespoke'!$C$33),{5})),"")</f>
        <v>-0.96387950498081798</v>
      </c>
      <c r="R41" s="524" cm="1">
        <f t="array" aca="1" ref="R41" ca="1">IF($O41&lt;&gt;"",-TRANSPOSE(INDEX(getcds('CDO Bespoke'!$C66,R$13,'CDO Bespoke'!$G66/10000,'CDO Bespoke'!H66,'CDO Bespoke'!F66,'CDO Bespoke'!$C$13,'CDO Bespoke'!$C$14,'CDO Bespoke'!$C$15,'CDO Bespoke'!$C$8,,,TRUE,TRUE,FALSE,'CDO Bespoke'!$C$29:'CDO Bespoke'!$C$31,'CDO Bespoke'!$C$33),{5})),"")</f>
        <v>-2.7981477760700599</v>
      </c>
      <c r="S41" s="524" cm="1">
        <f t="array" aca="1" ref="S41" ca="1">IF($O41&lt;&gt;"",-TRANSPOSE(INDEX(getcds('CDO Bespoke'!$C66,S$13,'CDO Bespoke'!$G66/10000,'CDO Bespoke'!I66,'CDO Bespoke'!G66,'CDO Bespoke'!$C$13,'CDO Bespoke'!$C$14,'CDO Bespoke'!$C$15,'CDO Bespoke'!$C$8,,,TRUE,TRUE,FALSE,'CDO Bespoke'!$C$29:'CDO Bespoke'!$C$31,'CDO Bespoke'!$C$33),{5})),"")</f>
        <v>-4.4475025089201603</v>
      </c>
      <c r="T41" s="514" cm="1">
        <f t="array" aca="1" ref="T41" ca="1">IF($O41&lt;&gt;"",-TRANSPOSE(INDEX(getcds('CDO Bespoke'!$C66,T$13,'CDO Bespoke'!$G66/10000,'CDO Bespoke'!J66,'CDO Bespoke'!H66,'CDO Bespoke'!$C$13,'CDO Bespoke'!$C$14,'CDO Bespoke'!$C$15,'CDO Bespoke'!$C$8,,,TRUE,TRUE,FALSE,'CDO Bespoke'!$C$29:'CDO Bespoke'!$C$31,'CDO Bespoke'!$C$33),{5})),"")</f>
        <v>-7.7746669192615903</v>
      </c>
      <c r="U41" s="493"/>
      <c r="V41" s="513">
        <f ca="1"/>
        <v>-1.8932042670214734E-5</v>
      </c>
      <c r="W41" s="572">
        <f ca="1"/>
        <v>2.2647986473983001E-3</v>
      </c>
      <c r="X41" s="572">
        <f ca="1"/>
        <v>2.2582525022879496E-3</v>
      </c>
      <c r="Y41" s="572">
        <f ca="1"/>
        <v>4.0688978960104483E-3</v>
      </c>
      <c r="Z41" s="572">
        <f ca="1"/>
        <v>5.2722604569968579E-3</v>
      </c>
      <c r="AA41" s="572">
        <f ca="1"/>
        <v>7.0889068689780621E-3</v>
      </c>
      <c r="AB41" s="572">
        <f ca="1"/>
        <v>7.9589509460048502E-3</v>
      </c>
      <c r="AC41" s="572">
        <f ca="1"/>
        <v>6.1237282520006098E-3</v>
      </c>
      <c r="AD41" s="572">
        <f ca="1"/>
        <v>3.3347855400017723E-3</v>
      </c>
      <c r="AE41" s="514">
        <f ca="1"/>
        <v>-3.8328789600007573E-3</v>
      </c>
    </row>
    <row r="42" spans="6:31" s="281" customFormat="1" ht="12" thickBot="1">
      <c r="F42" s="501">
        <f ca="1">IF('CDO Bespoke'!O43&lt;&gt;"",'CDO Bespoke'!O43,"")</f>
        <v>1.19603994625277</v>
      </c>
      <c r="G42" s="502">
        <f ca="1">IF(F42&lt;&gt;"",ABS(MIN(-0.75*('CDO Bespoke'!Q43+'CDO Bespoke'!T43)+'CDO Bespoke'!T43,0)),"")</f>
        <v>1.164222326671263</v>
      </c>
      <c r="H42" s="502">
        <f t="shared" ca="1" si="0"/>
        <v>3.1817619581506973E-2</v>
      </c>
      <c r="I42" s="502">
        <f t="shared" ca="1" si="3"/>
        <v>0</v>
      </c>
      <c r="J42" s="501">
        <f ca="1">IF('CDO Bespoke'!O43&lt;&gt;"",'CDO Bespoke'!O43,"")</f>
        <v>1.19603994625277</v>
      </c>
      <c r="K42" s="502">
        <f ca="1">IF(J42&lt;&gt;"",ABS(MIN(-0.75*('CDO Bespoke'!K43+'CDO Bespoke'!T43)+'CDO Bespoke'!T43,0)),"")</f>
        <v>0.29960735742685507</v>
      </c>
      <c r="L42" s="502">
        <f t="shared" ca="1" si="1"/>
        <v>0.89643258882591492</v>
      </c>
      <c r="M42" s="506">
        <f t="shared" ca="1" si="2"/>
        <v>0</v>
      </c>
      <c r="O42" s="511" t="str">
        <f ca="1">IF('CDO Bespoke'!C67&lt;&gt;"",'CDO Bespoke'!C67,"")</f>
        <v>Commerzbank_MMR.EUR.SU</v>
      </c>
      <c r="P42" s="513" cm="1">
        <f t="array" aca="1" ref="P42" ca="1">IF($O42&lt;&gt;"",-TRANSPOSE(INDEX(getcds('CDO Bespoke'!$C67,P$13,'CDO Bespoke'!$G67/10000,'CDO Bespoke'!F67,'CDO Bespoke'!D67,'CDO Bespoke'!$C$13,'CDO Bespoke'!$C$14,'CDO Bespoke'!$C$15,'CDO Bespoke'!$C$8,,,TRUE,TRUE,FALSE,'CDO Bespoke'!$C$29:'CDO Bespoke'!$C$31,'CDO Bespoke'!$C$33),{5})),"")</f>
        <v>-0.47797572619188999</v>
      </c>
      <c r="Q42" s="524" cm="1">
        <f t="array" aca="1" ref="Q42" ca="1">IF($O42&lt;&gt;"",-TRANSPOSE(INDEX(getcds('CDO Bespoke'!$C67,Q$13,'CDO Bespoke'!$G67/10000,'CDO Bespoke'!G67,'CDO Bespoke'!E67,'CDO Bespoke'!$C$13,'CDO Bespoke'!$C$14,'CDO Bespoke'!$C$15,'CDO Bespoke'!$C$8,,,TRUE,TRUE,FALSE,'CDO Bespoke'!$C$29:'CDO Bespoke'!$C$31,'CDO Bespoke'!$C$33),{5})),"")</f>
        <v>-0.96316615146149598</v>
      </c>
      <c r="R42" s="524" cm="1">
        <f t="array" aca="1" ref="R42" ca="1">IF($O42&lt;&gt;"",-TRANSPOSE(INDEX(getcds('CDO Bespoke'!$C67,R$13,'CDO Bespoke'!$G67/10000,'CDO Bespoke'!H67,'CDO Bespoke'!F67,'CDO Bespoke'!$C$13,'CDO Bespoke'!$C$14,'CDO Bespoke'!$C$15,'CDO Bespoke'!$C$8,,,TRUE,TRUE,FALSE,'CDO Bespoke'!$C$29:'CDO Bespoke'!$C$31,'CDO Bespoke'!$C$33),{5})),"")</f>
        <v>-2.7941506136008201</v>
      </c>
      <c r="S42" s="524" cm="1">
        <f t="array" aca="1" ref="S42" ca="1">IF($O42&lt;&gt;"",-TRANSPOSE(INDEX(getcds('CDO Bespoke'!$C67,S$13,'CDO Bespoke'!$G67/10000,'CDO Bespoke'!I67,'CDO Bespoke'!G67,'CDO Bespoke'!$C$13,'CDO Bespoke'!$C$14,'CDO Bespoke'!$C$15,'CDO Bespoke'!$C$8,,,TRUE,TRUE,FALSE,'CDO Bespoke'!$C$29:'CDO Bespoke'!$C$31,'CDO Bespoke'!$C$33),{5})),"")</f>
        <v>-4.4481228777147903</v>
      </c>
      <c r="T42" s="514" cm="1">
        <f t="array" aca="1" ref="T42" ca="1">IF($O42&lt;&gt;"",-TRANSPOSE(INDEX(getcds('CDO Bespoke'!$C67,T$13,'CDO Bespoke'!$G67/10000,'CDO Bespoke'!J67,'CDO Bespoke'!H67,'CDO Bespoke'!$C$13,'CDO Bespoke'!$C$14,'CDO Bespoke'!$C$15,'CDO Bespoke'!$C$8,,,TRUE,TRUE,FALSE,'CDO Bespoke'!$C$29:'CDO Bespoke'!$C$31,'CDO Bespoke'!$C$33),{5})),"")</f>
        <v>-7.8610527013575604</v>
      </c>
      <c r="U42" s="493"/>
      <c r="V42" s="513">
        <f ca="1"/>
        <v>-3.614517366944299E-5</v>
      </c>
      <c r="W42" s="572">
        <f ca="1"/>
        <v>2.2269319381986244E-3</v>
      </c>
      <c r="X42" s="572">
        <f ca="1"/>
        <v>2.1903996483968458E-3</v>
      </c>
      <c r="Y42" s="572">
        <f ca="1"/>
        <v>4.0207269430027337E-3</v>
      </c>
      <c r="Z42" s="572">
        <f ca="1"/>
        <v>5.5208954770000207E-3</v>
      </c>
      <c r="AA42" s="572">
        <f ca="1"/>
        <v>7.9314291500168221E-3</v>
      </c>
      <c r="AB42" s="572">
        <f ca="1"/>
        <v>1.1169380060016554E-2</v>
      </c>
      <c r="AC42" s="572">
        <f ca="1"/>
        <v>1.0984901916005763E-2</v>
      </c>
      <c r="AD42" s="572">
        <f ca="1"/>
        <v>9.4319808409404349E-3</v>
      </c>
      <c r="AE42" s="514">
        <f ca="1"/>
        <v>4.0636901608992471E-3</v>
      </c>
    </row>
    <row r="43" spans="6:31" s="281" customFormat="1" ht="12" thickBot="1">
      <c r="F43" s="501">
        <f ca="1">IF('CDO Bespoke'!O44&lt;&gt;"",'CDO Bespoke'!O44,"")</f>
        <v>1.19776111216589</v>
      </c>
      <c r="G43" s="502">
        <f ca="1">IF(F43&lt;&gt;"",ABS(MIN(-0.75*('CDO Bespoke'!Q44+'CDO Bespoke'!T44)+'CDO Bespoke'!T44,0)),"")</f>
        <v>1.1570867822143418</v>
      </c>
      <c r="H43" s="502">
        <f t="shared" ca="1" si="0"/>
        <v>4.0674329951548183E-2</v>
      </c>
      <c r="I43" s="502">
        <f t="shared" ca="1" si="3"/>
        <v>0</v>
      </c>
      <c r="J43" s="501">
        <f ca="1">IF('CDO Bespoke'!O44&lt;&gt;"",'CDO Bespoke'!O44,"")</f>
        <v>1.19776111216589</v>
      </c>
      <c r="K43" s="502">
        <f ca="1">IF(J43&lt;&gt;"",ABS(MIN(-0.75*('CDO Bespoke'!K44+'CDO Bespoke'!T44)+'CDO Bespoke'!T44,0)),"")</f>
        <v>0.24683181058971224</v>
      </c>
      <c r="L43" s="502">
        <f t="shared" ca="1" si="1"/>
        <v>0.95092930157617772</v>
      </c>
      <c r="M43" s="506">
        <f t="shared" ca="1" si="2"/>
        <v>0</v>
      </c>
      <c r="O43" s="511" t="str">
        <f ca="1">IF('CDO Bespoke'!C68&lt;&gt;"",'CDO Bespoke'!C68,"")</f>
        <v>Compass_MMR.EUR.SU</v>
      </c>
      <c r="P43" s="513" cm="1">
        <f t="array" aca="1" ref="P43" ca="1">IF($O43&lt;&gt;"",-TRANSPOSE(INDEX(getcds('CDO Bespoke'!$C68,P$13,'CDO Bespoke'!$G68/10000,'CDO Bespoke'!F68,'CDO Bespoke'!D68,'CDO Bespoke'!$C$13,'CDO Bespoke'!$C$14,'CDO Bespoke'!$C$15,'CDO Bespoke'!$C$8,,,TRUE,TRUE,FALSE,'CDO Bespoke'!$C$29:'CDO Bespoke'!$C$31,'CDO Bespoke'!$C$33),{5})),"")</f>
        <v>-0.478266643413018</v>
      </c>
      <c r="Q43" s="524" cm="1">
        <f t="array" aca="1" ref="Q43" ca="1">IF($O43&lt;&gt;"",-TRANSPOSE(INDEX(getcds('CDO Bespoke'!$C68,Q$13,'CDO Bespoke'!$G68/10000,'CDO Bespoke'!G68,'CDO Bespoke'!E68,'CDO Bespoke'!$C$13,'CDO Bespoke'!$C$14,'CDO Bespoke'!$C$15,'CDO Bespoke'!$C$8,,,TRUE,TRUE,FALSE,'CDO Bespoke'!$C$29:'CDO Bespoke'!$C$31,'CDO Bespoke'!$C$33),{5})),"")</f>
        <v>-0.96435278486870502</v>
      </c>
      <c r="R43" s="524" cm="1">
        <f t="array" aca="1" ref="R43" ca="1">IF($O43&lt;&gt;"",-TRANSPOSE(INDEX(getcds('CDO Bespoke'!$C68,R$13,'CDO Bespoke'!$G68/10000,'CDO Bespoke'!H68,'CDO Bespoke'!F68,'CDO Bespoke'!$C$13,'CDO Bespoke'!$C$14,'CDO Bespoke'!$C$15,'CDO Bespoke'!$C$8,,,TRUE,TRUE,FALSE,'CDO Bespoke'!$C$29:'CDO Bespoke'!$C$31,'CDO Bespoke'!$C$33),{5})),"")</f>
        <v>-2.8052177352724299</v>
      </c>
      <c r="S43" s="524" cm="1">
        <f t="array" aca="1" ref="S43" ca="1">IF($O43&lt;&gt;"",-TRANSPOSE(INDEX(getcds('CDO Bespoke'!$C68,S$13,'CDO Bespoke'!$G68/10000,'CDO Bespoke'!I68,'CDO Bespoke'!G68,'CDO Bespoke'!$C$13,'CDO Bespoke'!$C$14,'CDO Bespoke'!$C$15,'CDO Bespoke'!$C$8,,,TRUE,TRUE,FALSE,'CDO Bespoke'!$C$29:'CDO Bespoke'!$C$31,'CDO Bespoke'!$C$33),{5})),"")</f>
        <v>-4.4762345599966</v>
      </c>
      <c r="T43" s="514" cm="1">
        <f t="array" aca="1" ref="T43" ca="1">IF($O43&lt;&gt;"",-TRANSPOSE(INDEX(getcds('CDO Bespoke'!$C68,T$13,'CDO Bespoke'!$G68/10000,'CDO Bespoke'!J68,'CDO Bespoke'!H68,'CDO Bespoke'!$C$13,'CDO Bespoke'!$C$14,'CDO Bespoke'!$C$15,'CDO Bespoke'!$C$8,,,TRUE,TRUE,FALSE,'CDO Bespoke'!$C$29:'CDO Bespoke'!$C$31,'CDO Bespoke'!$C$33),{5})),"")</f>
        <v>-7.9318366197705501</v>
      </c>
      <c r="U43" s="493"/>
      <c r="V43" s="513">
        <f ca="1"/>
        <v>-7.5748937100584245E-6</v>
      </c>
      <c r="W43" s="572">
        <f ca="1"/>
        <v>2.2897980556015746E-3</v>
      </c>
      <c r="X43" s="572">
        <f ca="1"/>
        <v>2.3069403769920838E-3</v>
      </c>
      <c r="Y43" s="572">
        <f ca="1"/>
        <v>4.3444004409892711E-3</v>
      </c>
      <c r="Z43" s="572">
        <f ca="1"/>
        <v>5.8486694820211738E-3</v>
      </c>
      <c r="AA43" s="572">
        <f ca="1"/>
        <v>8.5050149350313076E-3</v>
      </c>
      <c r="AB43" s="572">
        <f ca="1"/>
        <v>1.1015499051941768E-2</v>
      </c>
      <c r="AC43" s="572">
        <f ca="1"/>
        <v>1.0700752329992347E-2</v>
      </c>
      <c r="AD43" s="572">
        <f ca="1"/>
        <v>8.973097280970399E-3</v>
      </c>
      <c r="AE43" s="514">
        <f ca="1"/>
        <v>3.2834573959750202E-3</v>
      </c>
    </row>
    <row r="44" spans="6:31" s="281" customFormat="1" ht="12" thickBot="1">
      <c r="F44" s="501">
        <f ca="1">IF('CDO Bespoke'!O45&lt;&gt;"",'CDO Bespoke'!O45,"")</f>
        <v>1.1941626631039799</v>
      </c>
      <c r="G44" s="502">
        <f ca="1">IF(F44&lt;&gt;"",ABS(MIN(-0.75*('CDO Bespoke'!Q45+'CDO Bespoke'!T45)+'CDO Bespoke'!T45,0)),"")</f>
        <v>1.1717705737153019</v>
      </c>
      <c r="H44" s="502">
        <f t="shared" ca="1" si="0"/>
        <v>2.2392089388677983E-2</v>
      </c>
      <c r="I44" s="502">
        <f t="shared" ca="1" si="3"/>
        <v>0</v>
      </c>
      <c r="J44" s="501">
        <f ca="1">IF('CDO Bespoke'!O45&lt;&gt;"",'CDO Bespoke'!O45,"")</f>
        <v>1.1941626631039799</v>
      </c>
      <c r="K44" s="502">
        <f ca="1">IF(J44&lt;&gt;"",ABS(MIN(-0.75*('CDO Bespoke'!K45+'CDO Bespoke'!T45)+'CDO Bespoke'!T45,0)),"")</f>
        <v>0.33945920732154955</v>
      </c>
      <c r="L44" s="502">
        <f t="shared" ca="1" si="1"/>
        <v>0.85470345578243034</v>
      </c>
      <c r="M44" s="506">
        <f t="shared" ca="1" si="2"/>
        <v>0</v>
      </c>
      <c r="O44" s="511" t="str">
        <f ca="1">IF('CDO Bespoke'!C69&lt;&gt;"",'CDO Bespoke'!C69,"")</f>
        <v>Continental_MMR.EUR.SU</v>
      </c>
      <c r="P44" s="513" cm="1">
        <f t="array" aca="1" ref="P44" ca="1">IF($O44&lt;&gt;"",-TRANSPOSE(INDEX(getcds('CDO Bespoke'!$C69,P$13,'CDO Bespoke'!$G69/10000,'CDO Bespoke'!F69,'CDO Bespoke'!D69,'CDO Bespoke'!$C$13,'CDO Bespoke'!$C$14,'CDO Bespoke'!$C$15,'CDO Bespoke'!$C$8,,,TRUE,TRUE,FALSE,'CDO Bespoke'!$C$29:'CDO Bespoke'!$C$31,'CDO Bespoke'!$C$33),{5})),"")</f>
        <v>-0.47817028694088998</v>
      </c>
      <c r="Q44" s="524" cm="1">
        <f t="array" aca="1" ref="Q44" ca="1">IF($O44&lt;&gt;"",-TRANSPOSE(INDEX(getcds('CDO Bespoke'!$C69,Q$13,'CDO Bespoke'!$G69/10000,'CDO Bespoke'!G69,'CDO Bespoke'!E69,'CDO Bespoke'!$C$13,'CDO Bespoke'!$C$14,'CDO Bespoke'!$C$15,'CDO Bespoke'!$C$8,,,TRUE,TRUE,FALSE,'CDO Bespoke'!$C$29:'CDO Bespoke'!$C$31,'CDO Bespoke'!$C$33),{5})),"")</f>
        <v>-0.96388104316579204</v>
      </c>
      <c r="R44" s="524" cm="1">
        <f t="array" aca="1" ref="R44" ca="1">IF($O44&lt;&gt;"",-TRANSPOSE(INDEX(getcds('CDO Bespoke'!$C69,R$13,'CDO Bespoke'!$G69/10000,'CDO Bespoke'!H69,'CDO Bespoke'!F69,'CDO Bespoke'!$C$13,'CDO Bespoke'!$C$14,'CDO Bespoke'!$C$15,'CDO Bespoke'!$C$8,,,TRUE,TRUE,FALSE,'CDO Bespoke'!$C$29:'CDO Bespoke'!$C$31,'CDO Bespoke'!$C$33),{5})),"")</f>
        <v>-2.7925060401786101</v>
      </c>
      <c r="S44" s="524" cm="1">
        <f t="array" aca="1" ref="S44" ca="1">IF($O44&lt;&gt;"",-TRANSPOSE(INDEX(getcds('CDO Bespoke'!$C69,S$13,'CDO Bespoke'!$G69/10000,'CDO Bespoke'!I69,'CDO Bespoke'!G69,'CDO Bespoke'!$C$13,'CDO Bespoke'!$C$14,'CDO Bespoke'!$C$15,'CDO Bespoke'!$C$8,,,TRUE,TRUE,FALSE,'CDO Bespoke'!$C$29:'CDO Bespoke'!$C$31,'CDO Bespoke'!$C$33),{5})),"")</f>
        <v>-4.4335968586860597</v>
      </c>
      <c r="T44" s="514" cm="1">
        <f t="array" aca="1" ref="T44" ca="1">IF($O44&lt;&gt;"",-TRANSPOSE(INDEX(getcds('CDO Bespoke'!$C69,T$13,'CDO Bespoke'!$G69/10000,'CDO Bespoke'!J69,'CDO Bespoke'!H69,'CDO Bespoke'!$C$13,'CDO Bespoke'!$C$14,'CDO Bespoke'!$C$15,'CDO Bespoke'!$C$8,,,TRUE,TRUE,FALSE,'CDO Bespoke'!$C$29:'CDO Bespoke'!$C$31,'CDO Bespoke'!$C$33),{5})),"")</f>
        <v>-7.7280690874903302</v>
      </c>
      <c r="U44" s="493"/>
      <c r="V44" s="513">
        <f ca="1"/>
        <v>-1.7039616939662494E-5</v>
      </c>
      <c r="W44" s="572">
        <f ca="1"/>
        <v>2.2689634291989808E-3</v>
      </c>
      <c r="X44" s="572">
        <f ca="1"/>
        <v>2.1501333319958599E-3</v>
      </c>
      <c r="Y44" s="572">
        <f ca="1"/>
        <v>3.7404564539982033E-3</v>
      </c>
      <c r="Z44" s="572">
        <f ca="1"/>
        <v>5.3515962149947027E-3</v>
      </c>
      <c r="AA44" s="572">
        <f ca="1"/>
        <v>6.7113844279959034E-3</v>
      </c>
      <c r="AB44" s="572">
        <f ca="1"/>
        <v>6.9799883570080545E-3</v>
      </c>
      <c r="AC44" s="572">
        <f ca="1"/>
        <v>4.6953348950030949E-3</v>
      </c>
      <c r="AD44" s="572">
        <f ca="1"/>
        <v>1.6038442400560695E-3</v>
      </c>
      <c r="AE44" s="514">
        <f ca="1"/>
        <v>-5.9437814398013294E-3</v>
      </c>
    </row>
    <row r="45" spans="6:31" s="281" customFormat="1" ht="12" thickBot="1">
      <c r="F45" s="501">
        <f ca="1">IF('CDO Bespoke'!O46&lt;&gt;"",'CDO Bespoke'!O46,"")</f>
        <v>1.1975894531264599</v>
      </c>
      <c r="G45" s="502">
        <f ca="1">IF(F45&lt;&gt;"",ABS(MIN(-0.75*('CDO Bespoke'!Q46+'CDO Bespoke'!T46)+'CDO Bespoke'!T46,0)),"")</f>
        <v>1.1580992952737583</v>
      </c>
      <c r="H45" s="502">
        <f t="shared" ca="1" si="0"/>
        <v>3.9490157852701602E-2</v>
      </c>
      <c r="I45" s="502">
        <f t="shared" ca="1" si="3"/>
        <v>0</v>
      </c>
      <c r="J45" s="501">
        <f ca="1">IF('CDO Bespoke'!O46&lt;&gt;"",'CDO Bespoke'!O46,"")</f>
        <v>1.1975894531264599</v>
      </c>
      <c r="K45" s="502">
        <f ca="1">IF(J45&lt;&gt;"",ABS(MIN(-0.75*('CDO Bespoke'!K46+'CDO Bespoke'!T46)+'CDO Bespoke'!T46,0)),"")</f>
        <v>0.25542758376915481</v>
      </c>
      <c r="L45" s="502">
        <f t="shared" ca="1" si="1"/>
        <v>0.94216186935730506</v>
      </c>
      <c r="M45" s="506">
        <f t="shared" ca="1" si="2"/>
        <v>0</v>
      </c>
      <c r="O45" s="511" t="str">
        <f ca="1">IF('CDO Bespoke'!C70&lt;&gt;"",'CDO Bespoke'!C70,"")</f>
        <v>CreditAgricole_MMR.EUR.SU</v>
      </c>
      <c r="P45" s="513" cm="1">
        <f t="array" aca="1" ref="P45" ca="1">IF($O45&lt;&gt;"",-TRANSPOSE(INDEX(getcds('CDO Bespoke'!$C70,P$13,'CDO Bespoke'!$G70/10000,'CDO Bespoke'!F70,'CDO Bespoke'!D70,'CDO Bespoke'!$C$13,'CDO Bespoke'!$C$14,'CDO Bespoke'!$C$15,'CDO Bespoke'!$C$8,,,TRUE,TRUE,FALSE,'CDO Bespoke'!$C$29:'CDO Bespoke'!$C$31,'CDO Bespoke'!$C$33),{5})),"")</f>
        <v>-0.47828013539660003</v>
      </c>
      <c r="Q45" s="524" cm="1">
        <f t="array" aca="1" ref="Q45" ca="1">IF($O45&lt;&gt;"",-TRANSPOSE(INDEX(getcds('CDO Bespoke'!$C70,Q$13,'CDO Bespoke'!$G70/10000,'CDO Bespoke'!G70,'CDO Bespoke'!E70,'CDO Bespoke'!$C$13,'CDO Bespoke'!$C$14,'CDO Bespoke'!$C$15,'CDO Bespoke'!$C$8,,,TRUE,TRUE,FALSE,'CDO Bespoke'!$C$29:'CDO Bespoke'!$C$31,'CDO Bespoke'!$C$33),{5})),"")</f>
        <v>-0.96437192281949902</v>
      </c>
      <c r="R45" s="524" cm="1">
        <f t="array" aca="1" ref="R45" ca="1">IF($O45&lt;&gt;"",-TRANSPOSE(INDEX(getcds('CDO Bespoke'!$C70,R$13,'CDO Bespoke'!$G70/10000,'CDO Bespoke'!H70,'CDO Bespoke'!F70,'CDO Bespoke'!$C$13,'CDO Bespoke'!$C$14,'CDO Bespoke'!$C$15,'CDO Bespoke'!$C$8,,,TRUE,TRUE,FALSE,'CDO Bespoke'!$C$29:'CDO Bespoke'!$C$31,'CDO Bespoke'!$C$33),{5})),"")</f>
        <v>-2.8030925438226602</v>
      </c>
      <c r="S45" s="524" cm="1">
        <f t="array" aca="1" ref="S45" ca="1">IF($O45&lt;&gt;"",-TRANSPOSE(INDEX(getcds('CDO Bespoke'!$C70,S$13,'CDO Bespoke'!$G70/10000,'CDO Bespoke'!I70,'CDO Bespoke'!G70,'CDO Bespoke'!$C$13,'CDO Bespoke'!$C$14,'CDO Bespoke'!$C$15,'CDO Bespoke'!$C$8,,,TRUE,TRUE,FALSE,'CDO Bespoke'!$C$29:'CDO Bespoke'!$C$31,'CDO Bespoke'!$C$33),{5})),"")</f>
        <v>-4.4714676552436003</v>
      </c>
      <c r="T45" s="514" cm="1">
        <f t="array" aca="1" ref="T45" ca="1">IF($O45&lt;&gt;"",-TRANSPOSE(INDEX(getcds('CDO Bespoke'!$C70,T$13,'CDO Bespoke'!$G70/10000,'CDO Bespoke'!J70,'CDO Bespoke'!H70,'CDO Bespoke'!$C$13,'CDO Bespoke'!$C$14,'CDO Bespoke'!$C$15,'CDO Bespoke'!$C$8,,,TRUE,TRUE,FALSE,'CDO Bespoke'!$C$29:'CDO Bespoke'!$C$31,'CDO Bespoke'!$C$33),{5})),"")</f>
        <v>-7.9400165554465199</v>
      </c>
      <c r="U45" s="493"/>
      <c r="V45" s="513">
        <f ca="1"/>
        <v>-6.2494872501268027E-6</v>
      </c>
      <c r="W45" s="572">
        <f ca="1"/>
        <v>2.2927163294012703E-3</v>
      </c>
      <c r="X45" s="572">
        <f ca="1"/>
        <v>2.2583287389958684E-3</v>
      </c>
      <c r="Y45" s="572">
        <f ca="1"/>
        <v>4.2282428880033307E-3</v>
      </c>
      <c r="Z45" s="572">
        <f ca="1"/>
        <v>5.8592537960019953E-3</v>
      </c>
      <c r="AA45" s="572">
        <f ca="1"/>
        <v>8.468666457990548E-3</v>
      </c>
      <c r="AB45" s="572">
        <f ca="1"/>
        <v>1.2254997008021018E-2</v>
      </c>
      <c r="AC45" s="572">
        <f ca="1"/>
        <v>1.2656091621029986E-2</v>
      </c>
      <c r="AD45" s="572">
        <f ca="1"/>
        <v>1.1534955511038891E-2</v>
      </c>
      <c r="AE45" s="514">
        <f ca="1"/>
        <v>6.8344867969194478E-3</v>
      </c>
    </row>
    <row r="46" spans="6:31" s="281" customFormat="1" ht="12" thickBot="1">
      <c r="F46" s="501">
        <f ca="1">IF('CDO Bespoke'!O47&lt;&gt;"",'CDO Bespoke'!O47,"")</f>
        <v>1.1956098378701701</v>
      </c>
      <c r="G46" s="502">
        <f ca="1">IF(F46&lt;&gt;"",ABS(MIN(-0.75*('CDO Bespoke'!Q47+'CDO Bespoke'!T47)+'CDO Bespoke'!T47,0)),"")</f>
        <v>1.1667030667122746</v>
      </c>
      <c r="H46" s="502">
        <f t="shared" ca="1" si="0"/>
        <v>2.8906771157895417E-2</v>
      </c>
      <c r="I46" s="502">
        <f t="shared" ca="1" si="3"/>
        <v>0</v>
      </c>
      <c r="J46" s="501">
        <f ca="1">IF('CDO Bespoke'!O47&lt;&gt;"",'CDO Bespoke'!O47,"")</f>
        <v>1.1956098378701701</v>
      </c>
      <c r="K46" s="502">
        <f ca="1">IF(J46&lt;&gt;"",ABS(MIN(-0.75*('CDO Bespoke'!K47+'CDO Bespoke'!T47)+'CDO Bespoke'!T47,0)),"")</f>
        <v>0.31225738067863468</v>
      </c>
      <c r="L46" s="502">
        <f t="shared" ca="1" si="1"/>
        <v>0.88335245719153543</v>
      </c>
      <c r="M46" s="506">
        <f t="shared" ca="1" si="2"/>
        <v>0</v>
      </c>
      <c r="O46" s="511" t="str">
        <f ca="1">IF('CDO Bespoke'!C71&lt;&gt;"",'CDO Bespoke'!C71,"")</f>
        <v>CreditSuisseGroup_MMR.EUR.SU</v>
      </c>
      <c r="P46" s="513" cm="1">
        <f t="array" aca="1" ref="P46" ca="1">IF($O46&lt;&gt;"",-TRANSPOSE(INDEX(getcds('CDO Bespoke'!$C71,P$13,'CDO Bespoke'!$G71/10000,'CDO Bespoke'!F71,'CDO Bespoke'!D71,'CDO Bespoke'!$C$13,'CDO Bespoke'!$C$14,'CDO Bespoke'!$C$15,'CDO Bespoke'!$C$8,,,TRUE,TRUE,FALSE,'CDO Bespoke'!$C$29:'CDO Bespoke'!$C$31,'CDO Bespoke'!$C$33),{5})),"")</f>
        <v>-0.478183775280285</v>
      </c>
      <c r="Q46" s="524" cm="1">
        <f t="array" aca="1" ref="Q46" ca="1">IF($O46&lt;&gt;"",-TRANSPOSE(INDEX(getcds('CDO Bespoke'!$C71,Q$13,'CDO Bespoke'!$G71/10000,'CDO Bespoke'!G71,'CDO Bespoke'!E71,'CDO Bespoke'!$C$13,'CDO Bespoke'!$C$14,'CDO Bespoke'!$C$15,'CDO Bespoke'!$C$8,,,TRUE,TRUE,FALSE,'CDO Bespoke'!$C$29:'CDO Bespoke'!$C$31,'CDO Bespoke'!$C$33),{5})),"")</f>
        <v>-0.96393237743183302</v>
      </c>
      <c r="R46" s="524" cm="1">
        <f t="array" aca="1" ref="R46" ca="1">IF($O46&lt;&gt;"",-TRANSPOSE(INDEX(getcds('CDO Bespoke'!$C71,R$13,'CDO Bespoke'!$G71/10000,'CDO Bespoke'!H71,'CDO Bespoke'!F71,'CDO Bespoke'!$C$13,'CDO Bespoke'!$C$14,'CDO Bespoke'!$C$15,'CDO Bespoke'!$C$8,,,TRUE,TRUE,FALSE,'CDO Bespoke'!$C$29:'CDO Bespoke'!$C$31,'CDO Bespoke'!$C$33),{5})),"")</f>
        <v>-2.7956848393581399</v>
      </c>
      <c r="S46" s="524" cm="1">
        <f t="array" aca="1" ref="S46" ca="1">IF($O46&lt;&gt;"",-TRANSPOSE(INDEX(getcds('CDO Bespoke'!$C71,S$13,'CDO Bespoke'!$G71/10000,'CDO Bespoke'!I71,'CDO Bespoke'!G71,'CDO Bespoke'!$C$13,'CDO Bespoke'!$C$14,'CDO Bespoke'!$C$15,'CDO Bespoke'!$C$8,,,TRUE,TRUE,FALSE,'CDO Bespoke'!$C$29:'CDO Bespoke'!$C$31,'CDO Bespoke'!$C$33),{5})),"")</f>
        <v>-4.4463807517841696</v>
      </c>
      <c r="T46" s="514" cm="1">
        <f t="array" aca="1" ref="T46" ca="1">IF($O46&lt;&gt;"",-TRANSPOSE(INDEX(getcds('CDO Bespoke'!$C71,T$13,'CDO Bespoke'!$G71/10000,'CDO Bespoke'!J71,'CDO Bespoke'!H71,'CDO Bespoke'!$C$13,'CDO Bespoke'!$C$14,'CDO Bespoke'!$C$15,'CDO Bespoke'!$C$8,,,TRUE,TRUE,FALSE,'CDO Bespoke'!$C$29:'CDO Bespoke'!$C$31,'CDO Bespoke'!$C$33),{5})),"")</f>
        <v>-7.8337882582308396</v>
      </c>
      <c r="U46" s="493"/>
      <c r="V46" s="513">
        <f ca="1"/>
        <v>-1.5714816050012292E-5</v>
      </c>
      <c r="W46" s="572">
        <f ca="1"/>
        <v>2.2718792015014033E-3</v>
      </c>
      <c r="X46" s="572">
        <f ca="1"/>
        <v>2.1499877581997867E-3</v>
      </c>
      <c r="Y46" s="572">
        <f ca="1"/>
        <v>3.9689677770043952E-3</v>
      </c>
      <c r="Z46" s="572">
        <f ca="1"/>
        <v>5.4572116529871817E-3</v>
      </c>
      <c r="AA46" s="572">
        <f ca="1"/>
        <v>7.4513654419947062E-3</v>
      </c>
      <c r="AB46" s="572">
        <f ca="1"/>
        <v>1.0589295531063248E-2</v>
      </c>
      <c r="AC46" s="572">
        <f ca="1"/>
        <v>1.0096138339035776E-2</v>
      </c>
      <c r="AD46" s="572">
        <f ca="1"/>
        <v>8.3147486409917981E-3</v>
      </c>
      <c r="AE46" s="514">
        <f ca="1"/>
        <v>2.6002592050378137E-3</v>
      </c>
    </row>
    <row r="47" spans="6:31" s="281" customFormat="1" ht="12" thickBot="1">
      <c r="F47" s="501">
        <f ca="1">IF('CDO Bespoke'!O48&lt;&gt;"",'CDO Bespoke'!O48,"")</f>
        <v>1.1978222878487199</v>
      </c>
      <c r="G47" s="502">
        <f ca="1">IF(F47&lt;&gt;"",ABS(MIN(-0.75*('CDO Bespoke'!Q48+'CDO Bespoke'!T48)+'CDO Bespoke'!T48,0)),"")</f>
        <v>1.1566258280165931</v>
      </c>
      <c r="H47" s="502">
        <f t="shared" ca="1" si="0"/>
        <v>4.119645983212683E-2</v>
      </c>
      <c r="I47" s="502">
        <f t="shared" ca="1" si="3"/>
        <v>0</v>
      </c>
      <c r="J47" s="501">
        <f ca="1">IF('CDO Bespoke'!O48&lt;&gt;"",'CDO Bespoke'!O48,"")</f>
        <v>1.1978222878487199</v>
      </c>
      <c r="K47" s="502">
        <f ca="1">IF(J47&lt;&gt;"",ABS(MIN(-0.75*('CDO Bespoke'!K48+'CDO Bespoke'!T48)+'CDO Bespoke'!T48,0)),"")</f>
        <v>0.24636967802575996</v>
      </c>
      <c r="L47" s="502">
        <f t="shared" ca="1" si="1"/>
        <v>0.95145260982295998</v>
      </c>
      <c r="M47" s="506">
        <f t="shared" ca="1" si="2"/>
        <v>0</v>
      </c>
      <c r="O47" s="511" t="str">
        <f ca="1">IF('CDO Bespoke'!C72&lt;&gt;"",'CDO Bespoke'!C72,"")</f>
        <v>DaimlerChrysler_MMR.EUR.SU</v>
      </c>
      <c r="P47" s="513" cm="1">
        <f t="array" aca="1" ref="P47" ca="1">IF($O47&lt;&gt;"",-TRANSPOSE(INDEX(getcds('CDO Bespoke'!$C72,P$13,'CDO Bespoke'!$G72/10000,'CDO Bespoke'!F72,'CDO Bespoke'!D72,'CDO Bespoke'!$C$13,'CDO Bespoke'!$C$14,'CDO Bespoke'!$C$15,'CDO Bespoke'!$C$8,,,TRUE,TRUE,FALSE,'CDO Bespoke'!$C$29:'CDO Bespoke'!$C$31,'CDO Bespoke'!$C$33),{5})),"")</f>
        <v>-0.478112485546557</v>
      </c>
      <c r="Q47" s="524" cm="1">
        <f t="array" aca="1" ref="Q47" ca="1">IF($O47&lt;&gt;"",-TRANSPOSE(INDEX(getcds('CDO Bespoke'!$C72,Q$13,'CDO Bespoke'!$G72/10000,'CDO Bespoke'!G72,'CDO Bespoke'!E72,'CDO Bespoke'!$C$13,'CDO Bespoke'!$C$14,'CDO Bespoke'!$C$15,'CDO Bespoke'!$C$8,,,TRUE,TRUE,FALSE,'CDO Bespoke'!$C$29:'CDO Bespoke'!$C$31,'CDO Bespoke'!$C$33),{5})),"")</f>
        <v>-0.96373469491869801</v>
      </c>
      <c r="R47" s="524" cm="1">
        <f t="array" aca="1" ref="R47" ca="1">IF($O47&lt;&gt;"",-TRANSPOSE(INDEX(getcds('CDO Bespoke'!$C72,R$13,'CDO Bespoke'!$G72/10000,'CDO Bespoke'!H72,'CDO Bespoke'!F72,'CDO Bespoke'!$C$13,'CDO Bespoke'!$C$14,'CDO Bespoke'!$C$15,'CDO Bespoke'!$C$8,,,TRUE,TRUE,FALSE,'CDO Bespoke'!$C$29:'CDO Bespoke'!$C$31,'CDO Bespoke'!$C$33),{5})),"")</f>
        <v>-2.8011121448919298</v>
      </c>
      <c r="S47" s="524" cm="1">
        <f t="array" aca="1" ref="S47" ca="1">IF($O47&lt;&gt;"",-TRANSPOSE(INDEX(getcds('CDO Bespoke'!$C72,S$13,'CDO Bespoke'!$G72/10000,'CDO Bespoke'!I72,'CDO Bespoke'!G72,'CDO Bespoke'!$C$13,'CDO Bespoke'!$C$14,'CDO Bespoke'!$C$15,'CDO Bespoke'!$C$8,,,TRUE,TRUE,FALSE,'CDO Bespoke'!$C$29:'CDO Bespoke'!$C$31,'CDO Bespoke'!$C$33),{5})),"")</f>
        <v>-4.4707584703969401</v>
      </c>
      <c r="T47" s="514" cm="1">
        <f t="array" aca="1" ref="T47" ca="1">IF($O47&lt;&gt;"",-TRANSPOSE(INDEX(getcds('CDO Bespoke'!$C72,T$13,'CDO Bespoke'!$G72/10000,'CDO Bespoke'!J72,'CDO Bespoke'!H72,'CDO Bespoke'!$C$13,'CDO Bespoke'!$C$14,'CDO Bespoke'!$C$15,'CDO Bespoke'!$C$8,,,TRUE,TRUE,FALSE,'CDO Bespoke'!$C$29:'CDO Bespoke'!$C$31,'CDO Bespoke'!$C$33),{5})),"")</f>
        <v>-7.9400676615970296</v>
      </c>
      <c r="U47" s="493"/>
      <c r="V47" s="513">
        <f ca="1"/>
        <v>-2.2716375389910878E-5</v>
      </c>
      <c r="W47" s="572">
        <f ca="1"/>
        <v>2.2564712261977787E-3</v>
      </c>
      <c r="X47" s="572">
        <f ca="1"/>
        <v>2.2614148320956873E-3</v>
      </c>
      <c r="Y47" s="572">
        <f ca="1"/>
        <v>4.2648370849988904E-3</v>
      </c>
      <c r="Z47" s="572">
        <f ca="1"/>
        <v>5.8500155280041821E-3</v>
      </c>
      <c r="AA47" s="572">
        <f ca="1"/>
        <v>8.8421596580040562E-3</v>
      </c>
      <c r="AB47" s="572">
        <f ca="1"/>
        <v>1.1285936131963381E-2</v>
      </c>
      <c r="AC47" s="572">
        <f ca="1"/>
        <v>1.1110796280036639E-2</v>
      </c>
      <c r="AD47" s="572">
        <f ca="1"/>
        <v>9.4801328169580312E-3</v>
      </c>
      <c r="AE47" s="514">
        <f ca="1"/>
        <v>3.9322928920004774E-3</v>
      </c>
    </row>
    <row r="48" spans="6:31" s="281" customFormat="1" ht="12" thickBot="1">
      <c r="F48" s="501">
        <f ca="1">IF('CDO Bespoke'!O49&lt;&gt;"",'CDO Bespoke'!O49,"")</f>
        <v>1.19792036210283</v>
      </c>
      <c r="G48" s="502">
        <f ca="1">IF(F48&lt;&gt;"",ABS(MIN(-0.75*('CDO Bespoke'!Q49+'CDO Bespoke'!T49)+'CDO Bespoke'!T49,0)),"")</f>
        <v>1.1566684917103587</v>
      </c>
      <c r="H48" s="502">
        <f t="shared" ca="1" si="0"/>
        <v>4.1251870392471357E-2</v>
      </c>
      <c r="I48" s="502">
        <f t="shared" ca="1" si="3"/>
        <v>0</v>
      </c>
      <c r="J48" s="501">
        <f ca="1">IF('CDO Bespoke'!O49&lt;&gt;"",'CDO Bespoke'!O49,"")</f>
        <v>1.19792036210283</v>
      </c>
      <c r="K48" s="502">
        <f ca="1">IF(J48&lt;&gt;"",ABS(MIN(-0.75*('CDO Bespoke'!K49+'CDO Bespoke'!T49)+'CDO Bespoke'!T49,0)),"")</f>
        <v>0.24371603739229863</v>
      </c>
      <c r="L48" s="502">
        <f t="shared" ca="1" si="1"/>
        <v>0.9542043247105314</v>
      </c>
      <c r="M48" s="506">
        <f t="shared" ca="1" si="2"/>
        <v>0</v>
      </c>
      <c r="O48" s="511" t="str">
        <f ca="1">IF('CDO Bespoke'!C73&lt;&gt;"",'CDO Bespoke'!C73,"")</f>
        <v>Danone_MMR.EUR.SU</v>
      </c>
      <c r="P48" s="513" cm="1">
        <f t="array" aca="1" ref="P48" ca="1">IF($O48&lt;&gt;"",-TRANSPOSE(INDEX(getcds('CDO Bespoke'!$C73,P$13,'CDO Bespoke'!$G73/10000,'CDO Bespoke'!F73,'CDO Bespoke'!D73,'CDO Bespoke'!$C$13,'CDO Bespoke'!$C$14,'CDO Bespoke'!$C$15,'CDO Bespoke'!$C$8,,,TRUE,TRUE,FALSE,'CDO Bespoke'!$C$29:'CDO Bespoke'!$C$31,'CDO Bespoke'!$C$33),{5})),"")</f>
        <v>-0.478266643413018</v>
      </c>
      <c r="Q48" s="524" cm="1">
        <f t="array" aca="1" ref="Q48" ca="1">IF($O48&lt;&gt;"",-TRANSPOSE(INDEX(getcds('CDO Bespoke'!$C73,Q$13,'CDO Bespoke'!$G73/10000,'CDO Bespoke'!G73,'CDO Bespoke'!E73,'CDO Bespoke'!$C$13,'CDO Bespoke'!$C$14,'CDO Bespoke'!$C$15,'CDO Bespoke'!$C$8,,,TRUE,TRUE,FALSE,'CDO Bespoke'!$C$29:'CDO Bespoke'!$C$31,'CDO Bespoke'!$C$33),{5})),"")</f>
        <v>-0.964327002543935</v>
      </c>
      <c r="R48" s="524" cm="1">
        <f t="array" aca="1" ref="R48" ca="1">IF($O48&lt;&gt;"",-TRANSPOSE(INDEX(getcds('CDO Bespoke'!$C73,R$13,'CDO Bespoke'!$G73/10000,'CDO Bespoke'!H73,'CDO Bespoke'!F73,'CDO Bespoke'!$C$13,'CDO Bespoke'!$C$14,'CDO Bespoke'!$C$15,'CDO Bespoke'!$C$8,,,TRUE,TRUE,FALSE,'CDO Bespoke'!$C$29:'CDO Bespoke'!$C$31,'CDO Bespoke'!$C$33),{5})),"")</f>
        <v>-2.8044061591271601</v>
      </c>
      <c r="S48" s="524" cm="1">
        <f t="array" aca="1" ref="S48" ca="1">IF($O48&lt;&gt;"",-TRANSPOSE(INDEX(getcds('CDO Bespoke'!$C73,S$13,'CDO Bespoke'!$G73/10000,'CDO Bespoke'!I73,'CDO Bespoke'!G73,'CDO Bespoke'!$C$13,'CDO Bespoke'!$C$14,'CDO Bespoke'!$C$15,'CDO Bespoke'!$C$8,,,TRUE,TRUE,FALSE,'CDO Bespoke'!$C$29:'CDO Bespoke'!$C$31,'CDO Bespoke'!$C$33),{5})),"")</f>
        <v>-4.4766418023763999</v>
      </c>
      <c r="T48" s="514" cm="1">
        <f t="array" aca="1" ref="T48" ca="1">IF($O48&lt;&gt;"",-TRANSPOSE(INDEX(getcds('CDO Bespoke'!$C73,T$13,'CDO Bespoke'!$G73/10000,'CDO Bespoke'!J73,'CDO Bespoke'!H73,'CDO Bespoke'!$C$13,'CDO Bespoke'!$C$14,'CDO Bespoke'!$C$15,'CDO Bespoke'!$C$8,,,TRUE,TRUE,FALSE,'CDO Bespoke'!$C$29:'CDO Bespoke'!$C$31,'CDO Bespoke'!$C$33),{5})),"")</f>
        <v>-7.9424715281412599</v>
      </c>
      <c r="U48" s="493"/>
      <c r="V48" s="513">
        <f ca="1"/>
        <v>-7.5748937100584245E-6</v>
      </c>
      <c r="W48" s="572">
        <f ca="1"/>
        <v>2.2897980556015746E-3</v>
      </c>
      <c r="X48" s="572">
        <f ca="1"/>
        <v>2.2681583819982032E-3</v>
      </c>
      <c r="Y48" s="572">
        <f ca="1"/>
        <v>4.3114451289683053E-3</v>
      </c>
      <c r="Z48" s="572">
        <f ca="1"/>
        <v>6.0257694370000059E-3</v>
      </c>
      <c r="AA48" s="572">
        <f ca="1"/>
        <v>8.5481369679896169E-3</v>
      </c>
      <c r="AB48" s="572">
        <f ca="1"/>
        <v>1.1432043972997574E-2</v>
      </c>
      <c r="AC48" s="572">
        <f ca="1"/>
        <v>1.1346468795983555E-2</v>
      </c>
      <c r="AD48" s="572">
        <f ca="1"/>
        <v>9.8008503440771833E-3</v>
      </c>
      <c r="AE48" s="514">
        <f ca="1"/>
        <v>4.3957766680813304E-3</v>
      </c>
    </row>
    <row r="49" spans="6:31" s="281" customFormat="1" ht="12" thickBot="1">
      <c r="F49" s="501">
        <f ca="1">IF('CDO Bespoke'!O50&lt;&gt;"",'CDO Bespoke'!O50,"")</f>
        <v>1.1963942204585001</v>
      </c>
      <c r="G49" s="502">
        <f ca="1">IF(F49&lt;&gt;"",ABS(MIN(-0.75*('CDO Bespoke'!Q50+'CDO Bespoke'!T50)+'CDO Bespoke'!T50,0)),"")</f>
        <v>1.1633925880668594</v>
      </c>
      <c r="H49" s="502">
        <f t="shared" ca="1" si="0"/>
        <v>3.3001632391640667E-2</v>
      </c>
      <c r="I49" s="502">
        <f t="shared" ca="1" si="3"/>
        <v>0</v>
      </c>
      <c r="J49" s="501">
        <f ca="1">IF('CDO Bespoke'!O50&lt;&gt;"",'CDO Bespoke'!O50,"")</f>
        <v>1.1963942204585001</v>
      </c>
      <c r="K49" s="502">
        <f ca="1">IF(J49&lt;&gt;"",ABS(MIN(-0.75*('CDO Bespoke'!K50+'CDO Bespoke'!T50)+'CDO Bespoke'!T50,0)),"")</f>
        <v>0.29367320223851728</v>
      </c>
      <c r="L49" s="502">
        <f t="shared" ca="1" si="1"/>
        <v>0.90272101821998274</v>
      </c>
      <c r="M49" s="506">
        <f t="shared" ca="1" si="2"/>
        <v>0</v>
      </c>
      <c r="O49" s="511" t="str">
        <f ca="1">IF('CDO Bespoke'!C74&lt;&gt;"",'CDO Bespoke'!C74,"")</f>
        <v>DeutscheBank_MMR.EUR.SU</v>
      </c>
      <c r="P49" s="513" cm="1">
        <f t="array" aca="1" ref="P49" ca="1">IF($O49&lt;&gt;"",-TRANSPOSE(INDEX(getcds('CDO Bespoke'!$C74,P$13,'CDO Bespoke'!$G74/10000,'CDO Bespoke'!F74,'CDO Bespoke'!D74,'CDO Bespoke'!$C$13,'CDO Bespoke'!$C$14,'CDO Bespoke'!$C$15,'CDO Bespoke'!$C$8,,,TRUE,TRUE,FALSE,'CDO Bespoke'!$C$29:'CDO Bespoke'!$C$31,'CDO Bespoke'!$C$33),{5})),"")</f>
        <v>-0.47798728129430601</v>
      </c>
      <c r="Q49" s="524" cm="1">
        <f t="array" aca="1" ref="Q49" ca="1">IF($O49&lt;&gt;"",-TRANSPOSE(INDEX(getcds('CDO Bespoke'!$C74,Q$13,'CDO Bespoke'!$G74/10000,'CDO Bespoke'!G74,'CDO Bespoke'!E74,'CDO Bespoke'!$C$13,'CDO Bespoke'!$C$14,'CDO Bespoke'!$C$15,'CDO Bespoke'!$C$8,,,TRUE,TRUE,FALSE,'CDO Bespoke'!$C$29:'CDO Bespoke'!$C$31,'CDO Bespoke'!$C$33),{5})),"")</f>
        <v>-0.96321985529114296</v>
      </c>
      <c r="R49" s="524" cm="1">
        <f t="array" aca="1" ref="R49" ca="1">IF($O49&lt;&gt;"",-TRANSPOSE(INDEX(getcds('CDO Bespoke'!$C74,R$13,'CDO Bespoke'!$G74/10000,'CDO Bespoke'!H74,'CDO Bespoke'!F74,'CDO Bespoke'!$C$13,'CDO Bespoke'!$C$14,'CDO Bespoke'!$C$15,'CDO Bespoke'!$C$8,,,TRUE,TRUE,FALSE,'CDO Bespoke'!$C$29:'CDO Bespoke'!$C$31,'CDO Bespoke'!$C$33),{5})),"")</f>
        <v>-2.7949913806617901</v>
      </c>
      <c r="S49" s="524" cm="1">
        <f t="array" aca="1" ref="S49" ca="1">IF($O49&lt;&gt;"",-TRANSPOSE(INDEX(getcds('CDO Bespoke'!$C74,S$13,'CDO Bespoke'!$G74/10000,'CDO Bespoke'!I74,'CDO Bespoke'!G74,'CDO Bespoke'!$C$13,'CDO Bespoke'!$C$14,'CDO Bespoke'!$C$15,'CDO Bespoke'!$C$8,,,TRUE,TRUE,FALSE,'CDO Bespoke'!$C$29:'CDO Bespoke'!$C$31,'CDO Bespoke'!$C$33),{5})),"")</f>
        <v>-4.4513248104170504</v>
      </c>
      <c r="T49" s="514" cm="1">
        <f t="array" aca="1" ref="T49" ca="1">IF($O49&lt;&gt;"",-TRANSPOSE(INDEX(getcds('CDO Bespoke'!$C74,T$13,'CDO Bespoke'!$G74/10000,'CDO Bespoke'!J74,'CDO Bespoke'!H74,'CDO Bespoke'!$C$13,'CDO Bespoke'!$C$14,'CDO Bespoke'!$C$15,'CDO Bespoke'!$C$8,,,TRUE,TRUE,FALSE,'CDO Bespoke'!$C$29:'CDO Bespoke'!$C$31,'CDO Bespoke'!$C$33),{5})),"")</f>
        <v>-7.87005943706259</v>
      </c>
      <c r="U49" s="493"/>
      <c r="V49" s="513">
        <f ca="1"/>
        <v>-3.5010682490057773E-5</v>
      </c>
      <c r="W49" s="572">
        <f ca="1"/>
        <v>2.2294268250001165E-3</v>
      </c>
      <c r="X49" s="572">
        <f ca="1"/>
        <v>2.2049249010988592E-3</v>
      </c>
      <c r="Y49" s="572">
        <f ca="1"/>
        <v>4.0351252209892829E-3</v>
      </c>
      <c r="Z49" s="572">
        <f ca="1"/>
        <v>5.6360065370242296E-3</v>
      </c>
      <c r="AA49" s="572">
        <f ca="1"/>
        <v>8.0022444789995539E-3</v>
      </c>
      <c r="AB49" s="572">
        <f ca="1"/>
        <v>1.1170755302020163E-2</v>
      </c>
      <c r="AC49" s="572">
        <f ca="1"/>
        <v>1.0981288834019387E-2</v>
      </c>
      <c r="AD49" s="572">
        <f ca="1"/>
        <v>9.4156194609812394E-3</v>
      </c>
      <c r="AE49" s="514">
        <f ca="1"/>
        <v>4.021273364018807E-3</v>
      </c>
    </row>
    <row r="50" spans="6:31" s="281" customFormat="1" ht="12" thickBot="1">
      <c r="F50" s="501">
        <f ca="1">IF('CDO Bespoke'!O51&lt;&gt;"",'CDO Bespoke'!O51,"")</f>
        <v>1.1982198567657101</v>
      </c>
      <c r="G50" s="502">
        <f ca="1">IF(F50&lt;&gt;"",ABS(MIN(-0.75*('CDO Bespoke'!Q51+'CDO Bespoke'!T51)+'CDO Bespoke'!T51,0)),"")</f>
        <v>1.1552112215732717</v>
      </c>
      <c r="H50" s="502">
        <f t="shared" ca="1" si="0"/>
        <v>4.300863519243836E-2</v>
      </c>
      <c r="I50" s="502">
        <f t="shared" ca="1" si="3"/>
        <v>0</v>
      </c>
      <c r="J50" s="501">
        <f ca="1">IF('CDO Bespoke'!O51&lt;&gt;"",'CDO Bespoke'!O51,"")</f>
        <v>1.1982198567657101</v>
      </c>
      <c r="K50" s="502">
        <f ca="1">IF(J50&lt;&gt;"",ABS(MIN(-0.75*('CDO Bespoke'!K51+'CDO Bespoke'!T51)+'CDO Bespoke'!T51,0)),"")</f>
        <v>0.23088893529019006</v>
      </c>
      <c r="L50" s="502">
        <f t="shared" ca="1" si="1"/>
        <v>0.96733092147552002</v>
      </c>
      <c r="M50" s="506">
        <f t="shared" ca="1" si="2"/>
        <v>0</v>
      </c>
      <c r="O50" s="511" t="str">
        <f ca="1">IF('CDO Bespoke'!C75&lt;&gt;"",'CDO Bespoke'!C75,"")</f>
        <v>DeutschePostAG_MMR.EUR.SU</v>
      </c>
      <c r="P50" s="513" cm="1">
        <f t="array" aca="1" ref="P50" ca="1">IF($O50&lt;&gt;"",-TRANSPOSE(INDEX(getcds('CDO Bespoke'!$C75,P$13,'CDO Bespoke'!$G75/10000,'CDO Bespoke'!F75,'CDO Bespoke'!D75,'CDO Bespoke'!$C$13,'CDO Bespoke'!$C$14,'CDO Bespoke'!$C$15,'CDO Bespoke'!$C$8,,,TRUE,TRUE,FALSE,'CDO Bespoke'!$C$29:'CDO Bespoke'!$C$31,'CDO Bespoke'!$C$33),{5})),"")</f>
        <v>-0.47824737003613499</v>
      </c>
      <c r="Q50" s="524" cm="1">
        <f t="array" aca="1" ref="Q50" ca="1">IF($O50&lt;&gt;"",-TRANSPOSE(INDEX(getcds('CDO Bespoke'!$C75,Q$13,'CDO Bespoke'!$G75/10000,'CDO Bespoke'!G75,'CDO Bespoke'!E75,'CDO Bespoke'!$C$13,'CDO Bespoke'!$C$14,'CDO Bespoke'!$C$15,'CDO Bespoke'!$C$8,,,TRUE,TRUE,FALSE,'CDO Bespoke'!$C$29:'CDO Bespoke'!$C$31,'CDO Bespoke'!$C$33),{5})),"")</f>
        <v>-0.96428677231217297</v>
      </c>
      <c r="R50" s="524" cm="1">
        <f t="array" aca="1" ref="R50" ca="1">IF($O50&lt;&gt;"",-TRANSPOSE(INDEX(getcds('CDO Bespoke'!$C75,R$13,'CDO Bespoke'!$G75/10000,'CDO Bespoke'!H75,'CDO Bespoke'!F75,'CDO Bespoke'!$C$13,'CDO Bespoke'!$C$14,'CDO Bespoke'!$C$15,'CDO Bespoke'!$C$8,,,TRUE,TRUE,FALSE,'CDO Bespoke'!$C$29:'CDO Bespoke'!$C$31,'CDO Bespoke'!$C$33),{5})),"")</f>
        <v>-2.8060565042313899</v>
      </c>
      <c r="S50" s="524" cm="1">
        <f t="array" aca="1" ref="S50" ca="1">IF($O50&lt;&gt;"",-TRANSPOSE(INDEX(getcds('CDO Bespoke'!$C75,S$13,'CDO Bespoke'!$G75/10000,'CDO Bespoke'!I75,'CDO Bespoke'!G75,'CDO Bespoke'!$C$13,'CDO Bespoke'!$C$14,'CDO Bespoke'!$C$15,'CDO Bespoke'!$C$8,,,TRUE,TRUE,FALSE,'CDO Bespoke'!$C$29:'CDO Bespoke'!$C$31,'CDO Bespoke'!$C$33),{5})),"")</f>
        <v>-4.4816799271609797</v>
      </c>
      <c r="T50" s="514" cm="1">
        <f t="array" aca="1" ref="T50" ca="1">IF($O50&lt;&gt;"",-TRANSPOSE(INDEX(getcds('CDO Bespoke'!$C75,T$13,'CDO Bespoke'!$G75/10000,'CDO Bespoke'!J75,'CDO Bespoke'!H75,'CDO Bespoke'!$C$13,'CDO Bespoke'!$C$14,'CDO Bespoke'!$C$15,'CDO Bespoke'!$C$8,,,TRUE,TRUE,FALSE,'CDO Bespoke'!$C$29:'CDO Bespoke'!$C$31,'CDO Bespoke'!$C$33),{5})),"")</f>
        <v>-7.9571832817643697</v>
      </c>
      <c r="U50" s="493"/>
      <c r="V50" s="513">
        <f ca="1"/>
        <v>-9.4681843799699489E-6</v>
      </c>
      <c r="W50" s="572">
        <f ca="1"/>
        <v>2.2856297009991172E-3</v>
      </c>
      <c r="X50" s="572">
        <f ca="1"/>
        <v>2.318210285887079E-3</v>
      </c>
      <c r="Y50" s="572">
        <f ca="1"/>
        <v>4.379920196979914E-3</v>
      </c>
      <c r="Z50" s="572">
        <f ca="1"/>
        <v>6.1014630780079071E-3</v>
      </c>
      <c r="AA50" s="572">
        <f ca="1"/>
        <v>8.6744668769539457E-3</v>
      </c>
      <c r="AB50" s="572">
        <f ca="1"/>
        <v>1.1197024874995409E-2</v>
      </c>
      <c r="AC50" s="572">
        <f ca="1"/>
        <v>1.0965265496987175E-2</v>
      </c>
      <c r="AD50" s="572">
        <f ca="1"/>
        <v>9.2772670350071973E-3</v>
      </c>
      <c r="AE50" s="514">
        <f ca="1"/>
        <v>3.6317504549521207E-3</v>
      </c>
    </row>
    <row r="51" spans="6:31" s="281" customFormat="1" ht="12" thickBot="1">
      <c r="F51" s="501">
        <f ca="1">IF('CDO Bespoke'!O52&lt;&gt;"",'CDO Bespoke'!O52,"")</f>
        <v>1.19673794453292</v>
      </c>
      <c r="G51" s="502">
        <f ca="1">IF(F51&lt;&gt;"",ABS(MIN(-0.75*('CDO Bespoke'!Q52+'CDO Bespoke'!T52)+'CDO Bespoke'!T52,0)),"")</f>
        <v>1.1625181451522593</v>
      </c>
      <c r="H51" s="502">
        <f t="shared" ca="1" si="0"/>
        <v>3.4219799380660776E-2</v>
      </c>
      <c r="I51" s="502">
        <f t="shared" ca="1" si="3"/>
        <v>0</v>
      </c>
      <c r="J51" s="501">
        <f ca="1">IF('CDO Bespoke'!O52&lt;&gt;"",'CDO Bespoke'!O52,"")</f>
        <v>1.19673794453292</v>
      </c>
      <c r="K51" s="502">
        <f ca="1">IF(J51&lt;&gt;"",ABS(MIN(-0.75*('CDO Bespoke'!K52+'CDO Bespoke'!T52)+'CDO Bespoke'!T52,0)),"")</f>
        <v>0.28609776649491436</v>
      </c>
      <c r="L51" s="502">
        <f t="shared" ca="1" si="1"/>
        <v>0.91064017803800568</v>
      </c>
      <c r="M51" s="506">
        <f t="shared" ca="1" si="2"/>
        <v>0</v>
      </c>
      <c r="O51" s="511" t="str">
        <f ca="1">IF('CDO Bespoke'!C76&lt;&gt;"",'CDO Bespoke'!C76,"")</f>
        <v>DeutscheTelekom_MMR.EUR.SU</v>
      </c>
      <c r="P51" s="513" cm="1">
        <f t="array" aca="1" ref="P51" ca="1">IF($O51&lt;&gt;"",-TRANSPOSE(INDEX(getcds('CDO Bespoke'!$C76,P$13,'CDO Bespoke'!$G76/10000,'CDO Bespoke'!F76,'CDO Bespoke'!D76,'CDO Bespoke'!$C$13,'CDO Bespoke'!$C$14,'CDO Bespoke'!$C$15,'CDO Bespoke'!$C$8,,,TRUE,TRUE,FALSE,'CDO Bespoke'!$C$29:'CDO Bespoke'!$C$31,'CDO Bespoke'!$C$33),{5})),"")</f>
        <v>-0.47813175163773902</v>
      </c>
      <c r="Q51" s="524" cm="1">
        <f t="array" aca="1" ref="Q51" ca="1">IF($O51&lt;&gt;"",-TRANSPOSE(INDEX(getcds('CDO Bespoke'!$C76,Q$13,'CDO Bespoke'!$G76/10000,'CDO Bespoke'!G76,'CDO Bespoke'!E76,'CDO Bespoke'!$C$13,'CDO Bespoke'!$C$14,'CDO Bespoke'!$C$15,'CDO Bespoke'!$C$8,,,TRUE,TRUE,FALSE,'CDO Bespoke'!$C$29:'CDO Bespoke'!$C$31,'CDO Bespoke'!$C$33),{5})),"")</f>
        <v>-0.963774889097468</v>
      </c>
      <c r="R51" s="524" cm="1">
        <f t="array" aca="1" ref="R51" ca="1">IF($O51&lt;&gt;"",-TRANSPOSE(INDEX(getcds('CDO Bespoke'!$C76,R$13,'CDO Bespoke'!$G76/10000,'CDO Bespoke'!H76,'CDO Bespoke'!F76,'CDO Bespoke'!$C$13,'CDO Bespoke'!$C$14,'CDO Bespoke'!$C$15,'CDO Bespoke'!$C$8,,,TRUE,TRUE,FALSE,'CDO Bespoke'!$C$29:'CDO Bespoke'!$C$31,'CDO Bespoke'!$C$33),{5})),"")</f>
        <v>-2.7995159178694702</v>
      </c>
      <c r="S51" s="524" cm="1">
        <f t="array" aca="1" ref="S51" ca="1">IF($O51&lt;&gt;"",-TRANSPOSE(INDEX(getcds('CDO Bespoke'!$C76,S$13,'CDO Bespoke'!$G76/10000,'CDO Bespoke'!I76,'CDO Bespoke'!G76,'CDO Bespoke'!$C$13,'CDO Bespoke'!$C$14,'CDO Bespoke'!$C$15,'CDO Bespoke'!$C$8,,,TRUE,TRUE,FALSE,'CDO Bespoke'!$C$29:'CDO Bespoke'!$C$31,'CDO Bespoke'!$C$33),{5})),"")</f>
        <v>-4.4593008267856202</v>
      </c>
      <c r="T51" s="514" cm="1">
        <f t="array" aca="1" ref="T51" ca="1">IF($O51&lt;&gt;"",-TRANSPOSE(INDEX(getcds('CDO Bespoke'!$C76,T$13,'CDO Bespoke'!$G76/10000,'CDO Bespoke'!J76,'CDO Bespoke'!H76,'CDO Bespoke'!$C$13,'CDO Bespoke'!$C$14,'CDO Bespoke'!$C$15,'CDO Bespoke'!$C$8,,,TRUE,TRUE,FALSE,'CDO Bespoke'!$C$29:'CDO Bespoke'!$C$31,'CDO Bespoke'!$C$33),{5})),"")</f>
        <v>-7.8677921939563404</v>
      </c>
      <c r="U51" s="493"/>
      <c r="V51" s="513">
        <f ca="1"/>
        <v>-2.0824295480278282E-5</v>
      </c>
      <c r="W51" s="572">
        <f ca="1"/>
        <v>2.2606345798006217E-3</v>
      </c>
      <c r="X51" s="572">
        <f ca="1"/>
        <v>2.2114081685981057E-3</v>
      </c>
      <c r="Y51" s="572">
        <f ca="1"/>
        <v>4.2319843410014435E-3</v>
      </c>
      <c r="Z51" s="572">
        <f ca="1"/>
        <v>5.573399857010386E-3</v>
      </c>
      <c r="AA51" s="572">
        <f ca="1"/>
        <v>7.9308977589745422E-3</v>
      </c>
      <c r="AB51" s="572">
        <f ca="1"/>
        <v>9.7212410869740307E-3</v>
      </c>
      <c r="AC51" s="572">
        <f ca="1"/>
        <v>8.7312692099994482E-3</v>
      </c>
      <c r="AD51" s="572">
        <f ca="1"/>
        <v>6.5007806290123815E-3</v>
      </c>
      <c r="AE51" s="514">
        <f ca="1"/>
        <v>6.8529769983727284E-5</v>
      </c>
    </row>
    <row r="52" spans="6:31" s="281" customFormat="1" ht="12" thickBot="1">
      <c r="F52" s="501">
        <f ca="1">IF('CDO Bespoke'!O53&lt;&gt;"",'CDO Bespoke'!O53,"")</f>
        <v>1.19780975579286</v>
      </c>
      <c r="G52" s="502">
        <f ca="1">IF(F52&lt;&gt;"",ABS(MIN(-0.75*('CDO Bespoke'!Q53+'CDO Bespoke'!T53)+'CDO Bespoke'!T53,0)),"")</f>
        <v>1.1577074223214028</v>
      </c>
      <c r="H52" s="502">
        <f t="shared" ca="1" si="0"/>
        <v>4.0102333471457197E-2</v>
      </c>
      <c r="I52" s="502">
        <f t="shared" ca="1" si="3"/>
        <v>0</v>
      </c>
      <c r="J52" s="501">
        <f ca="1">IF('CDO Bespoke'!O53&lt;&gt;"",'CDO Bespoke'!O53,"")</f>
        <v>1.19780975579286</v>
      </c>
      <c r="K52" s="502">
        <f ca="1">IF(J52&lt;&gt;"",ABS(MIN(-0.75*('CDO Bespoke'!K53+'CDO Bespoke'!T53)+'CDO Bespoke'!T53,0)),"")</f>
        <v>0.25073835916963216</v>
      </c>
      <c r="L52" s="502">
        <f t="shared" ca="1" si="1"/>
        <v>0.94707139662322781</v>
      </c>
      <c r="M52" s="506">
        <f t="shared" ca="1" si="2"/>
        <v>0</v>
      </c>
      <c r="O52" s="511" t="str">
        <f ca="1">IF('CDO Bespoke'!C77&lt;&gt;"",'CDO Bespoke'!C77,"")</f>
        <v>Diageo_MMR.EUR.SU</v>
      </c>
      <c r="P52" s="513" cm="1">
        <f t="array" aca="1" ref="P52" ca="1">IF($O52&lt;&gt;"",-TRANSPOSE(INDEX(getcds('CDO Bespoke'!$C77,P$13,'CDO Bespoke'!$G77/10000,'CDO Bespoke'!F77,'CDO Bespoke'!D77,'CDO Bespoke'!$C$13,'CDO Bespoke'!$C$14,'CDO Bespoke'!$C$15,'CDO Bespoke'!$C$8,,,TRUE,TRUE,FALSE,'CDO Bespoke'!$C$29:'CDO Bespoke'!$C$31,'CDO Bespoke'!$C$33),{5})),"")</f>
        <v>-0.478208826406473</v>
      </c>
      <c r="Q52" s="524" cm="1">
        <f t="array" aca="1" ref="Q52" ca="1">IF($O52&lt;&gt;"",-TRANSPOSE(INDEX(getcds('CDO Bespoke'!$C77,Q$13,'CDO Bespoke'!$G77/10000,'CDO Bespoke'!G77,'CDO Bespoke'!E77,'CDO Bespoke'!$C$13,'CDO Bespoke'!$C$14,'CDO Bespoke'!$C$15,'CDO Bespoke'!$C$8,,,TRUE,TRUE,FALSE,'CDO Bespoke'!$C$29:'CDO Bespoke'!$C$31,'CDO Bespoke'!$C$33),{5})),"")</f>
        <v>-0.96412899277452202</v>
      </c>
      <c r="R52" s="524" cm="1">
        <f t="array" aca="1" ref="R52" ca="1">IF($O52&lt;&gt;"",-TRANSPOSE(INDEX(getcds('CDO Bespoke'!$C77,R$13,'CDO Bespoke'!$G77/10000,'CDO Bespoke'!H77,'CDO Bespoke'!F77,'CDO Bespoke'!$C$13,'CDO Bespoke'!$C$14,'CDO Bespoke'!$C$15,'CDO Bespoke'!$C$8,,,TRUE,TRUE,FALSE,'CDO Bespoke'!$C$29:'CDO Bespoke'!$C$31,'CDO Bespoke'!$C$33),{5})),"")</f>
        <v>-2.80454092173773</v>
      </c>
      <c r="S52" s="524" cm="1">
        <f t="array" aca="1" ref="S52" ca="1">IF($O52&lt;&gt;"",-TRANSPOSE(INDEX(getcds('CDO Bespoke'!$C77,S$13,'CDO Bespoke'!$G77/10000,'CDO Bespoke'!I77,'CDO Bespoke'!G77,'CDO Bespoke'!$C$13,'CDO Bespoke'!$C$14,'CDO Bespoke'!$C$15,'CDO Bespoke'!$C$8,,,TRUE,TRUE,FALSE,'CDO Bespoke'!$C$29:'CDO Bespoke'!$C$31,'CDO Bespoke'!$C$33),{5})),"")</f>
        <v>-4.4755802618337501</v>
      </c>
      <c r="T52" s="514" cm="1">
        <f t="array" aca="1" ref="T52" ca="1">IF($O52&lt;&gt;"",-TRANSPOSE(INDEX(getcds('CDO Bespoke'!$C77,T$13,'CDO Bespoke'!$G77/10000,'CDO Bespoke'!J77,'CDO Bespoke'!H77,'CDO Bespoke'!$C$13,'CDO Bespoke'!$C$14,'CDO Bespoke'!$C$15,'CDO Bespoke'!$C$8,,,TRUE,TRUE,FALSE,'CDO Bespoke'!$C$29:'CDO Bespoke'!$C$31,'CDO Bespoke'!$C$33),{5})),"")</f>
        <v>-7.9305635282121996</v>
      </c>
      <c r="U52" s="493"/>
      <c r="V52" s="513">
        <f ca="1"/>
        <v>-1.3254246649871404E-5</v>
      </c>
      <c r="W52" s="572">
        <f ca="1"/>
        <v>2.2772951361032384E-3</v>
      </c>
      <c r="X52" s="572">
        <f ca="1"/>
        <v>2.3019694513071176E-3</v>
      </c>
      <c r="Y52" s="572">
        <f ca="1"/>
        <v>4.3469863789807883E-3</v>
      </c>
      <c r="Z52" s="572">
        <f ca="1"/>
        <v>5.9752994470071985E-3</v>
      </c>
      <c r="AA52" s="572">
        <f ca="1"/>
        <v>8.3467559110206313E-3</v>
      </c>
      <c r="AB52" s="572">
        <f ca="1"/>
        <v>1.1018068154025618E-2</v>
      </c>
      <c r="AC52" s="572">
        <f ca="1"/>
        <v>1.0704449558002205E-2</v>
      </c>
      <c r="AD52" s="572">
        <f ca="1"/>
        <v>8.9772449960584533E-3</v>
      </c>
      <c r="AE52" s="514">
        <f ca="1"/>
        <v>3.2880078050523398E-3</v>
      </c>
    </row>
    <row r="53" spans="6:31" s="281" customFormat="1" ht="12" thickBot="1">
      <c r="F53" s="501">
        <f ca="1">IF('CDO Bespoke'!O54&lt;&gt;"",'CDO Bespoke'!O54,"")</f>
        <v>1.19124649185039</v>
      </c>
      <c r="G53" s="502">
        <f ca="1">IF(F53&lt;&gt;"",ABS(MIN(-0.75*('CDO Bespoke'!Q54+'CDO Bespoke'!T54)+'CDO Bespoke'!T54,0)),"")</f>
        <v>1.1814144063562804</v>
      </c>
      <c r="H53" s="502">
        <f t="shared" ca="1" si="0"/>
        <v>9.8320854941096325E-3</v>
      </c>
      <c r="I53" s="502">
        <f t="shared" ca="1" si="3"/>
        <v>0</v>
      </c>
      <c r="J53" s="501">
        <f ca="1">IF('CDO Bespoke'!O54&lt;&gt;"",'CDO Bespoke'!O54,"")</f>
        <v>1.19124649185039</v>
      </c>
      <c r="K53" s="502">
        <f ca="1">IF(J53&lt;&gt;"",ABS(MIN(-0.75*('CDO Bespoke'!K54+'CDO Bespoke'!T54)+'CDO Bespoke'!T54,0)),"")</f>
        <v>0.38283947191969309</v>
      </c>
      <c r="L53" s="502">
        <f t="shared" ca="1" si="1"/>
        <v>0.80840701993069697</v>
      </c>
      <c r="M53" s="506">
        <f t="shared" ca="1" si="2"/>
        <v>0</v>
      </c>
      <c r="O53" s="511" t="str">
        <f ca="1">IF('CDO Bespoke'!C78&lt;&gt;"",'CDO Bespoke'!C78,"")</f>
        <v>DixonsGroupPlc_MMR.EUR.SU</v>
      </c>
      <c r="P53" s="513" cm="1">
        <f t="array" aca="1" ref="P53" ca="1">IF($O53&lt;&gt;"",-TRANSPOSE(INDEX(getcds('CDO Bespoke'!$C78,P$13,'CDO Bespoke'!$G78/10000,'CDO Bespoke'!F78,'CDO Bespoke'!D78,'CDO Bespoke'!$C$13,'CDO Bespoke'!$C$14,'CDO Bespoke'!$C$15,'CDO Bespoke'!$C$8,,,TRUE,TRUE,FALSE,'CDO Bespoke'!$C$29:'CDO Bespoke'!$C$31,'CDO Bespoke'!$C$33),{5})),"")</f>
        <v>-0.478112485546557</v>
      </c>
      <c r="Q53" s="524" cm="1">
        <f t="array" aca="1" ref="Q53" ca="1">IF($O53&lt;&gt;"",-TRANSPOSE(INDEX(getcds('CDO Bespoke'!$C78,Q$13,'CDO Bespoke'!$G78/10000,'CDO Bespoke'!G78,'CDO Bespoke'!E78,'CDO Bespoke'!$C$13,'CDO Bespoke'!$C$14,'CDO Bespoke'!$C$15,'CDO Bespoke'!$C$8,,,TRUE,TRUE,FALSE,'CDO Bespoke'!$C$29:'CDO Bespoke'!$C$31,'CDO Bespoke'!$C$33),{5})),"")</f>
        <v>-0.96360585592140802</v>
      </c>
      <c r="R53" s="524" cm="1">
        <f t="array" aca="1" ref="R53" ca="1">IF($O53&lt;&gt;"",-TRANSPOSE(INDEX(getcds('CDO Bespoke'!$C78,R$13,'CDO Bespoke'!$G78/10000,'CDO Bespoke'!H78,'CDO Bespoke'!F78,'CDO Bespoke'!$C$13,'CDO Bespoke'!$C$14,'CDO Bespoke'!$C$15,'CDO Bespoke'!$C$8,,,TRUE,TRUE,FALSE,'CDO Bespoke'!$C$29:'CDO Bespoke'!$C$31,'CDO Bespoke'!$C$33),{5})),"")</f>
        <v>-2.7886215479626202</v>
      </c>
      <c r="S53" s="524" cm="1">
        <f t="array" aca="1" ref="S53" ca="1">IF($O53&lt;&gt;"",-TRANSPOSE(INDEX(getcds('CDO Bespoke'!$C78,S$13,'CDO Bespoke'!$G78/10000,'CDO Bespoke'!I78,'CDO Bespoke'!G78,'CDO Bespoke'!$C$13,'CDO Bespoke'!$C$14,'CDO Bespoke'!$C$15,'CDO Bespoke'!$C$8,,,TRUE,TRUE,FALSE,'CDO Bespoke'!$C$29:'CDO Bespoke'!$C$31,'CDO Bespoke'!$C$33),{5})),"")</f>
        <v>-4.4103891223337897</v>
      </c>
      <c r="T53" s="514" cm="1">
        <f t="array" aca="1" ref="T53" ca="1">IF($O53&lt;&gt;"",-TRANSPOSE(INDEX(getcds('CDO Bespoke'!$C78,T$13,'CDO Bespoke'!$G78/10000,'CDO Bespoke'!J78,'CDO Bespoke'!H78,'CDO Bespoke'!$C$13,'CDO Bespoke'!$C$14,'CDO Bespoke'!$C$15,'CDO Bespoke'!$C$8,,,TRUE,TRUE,FALSE,'CDO Bespoke'!$C$29:'CDO Bespoke'!$C$31,'CDO Bespoke'!$C$33),{5})),"")</f>
        <v>-7.59999326916095</v>
      </c>
      <c r="U53" s="493"/>
      <c r="V53" s="513">
        <f ca="1"/>
        <v>-2.2716375389910878E-5</v>
      </c>
      <c r="W53" s="572">
        <f ca="1"/>
        <v>2.2564712261977787E-3</v>
      </c>
      <c r="X53" s="572">
        <f ca="1"/>
        <v>2.0678174338963073E-3</v>
      </c>
      <c r="Y53" s="572">
        <f ca="1"/>
        <v>3.7487907550079469E-3</v>
      </c>
      <c r="Z53" s="572">
        <f ca="1"/>
        <v>4.5299899479982197E-3</v>
      </c>
      <c r="AA53" s="572">
        <f ca="1"/>
        <v>5.4213804120007564E-3</v>
      </c>
      <c r="AB53" s="572">
        <f ca="1"/>
        <v>4.5706599700011397E-3</v>
      </c>
      <c r="AC53" s="572">
        <f ca="1"/>
        <v>1.2868309099897668E-3</v>
      </c>
      <c r="AD53" s="572">
        <f ca="1"/>
        <v>-2.3846810100203175E-3</v>
      </c>
      <c r="AE53" s="514">
        <f ca="1"/>
        <v>-1.0534523210009583E-2</v>
      </c>
    </row>
    <row r="54" spans="6:31" s="281" customFormat="1" ht="12" thickBot="1">
      <c r="F54" s="501">
        <f ca="1">IF('CDO Bespoke'!O55&lt;&gt;"",'CDO Bespoke'!O55,"")</f>
        <v>1.19796432813176</v>
      </c>
      <c r="G54" s="502">
        <f ca="1">IF(F54&lt;&gt;"",ABS(MIN(-0.75*('CDO Bespoke'!Q55+'CDO Bespoke'!T55)+'CDO Bespoke'!T55,0)),"")</f>
        <v>1.157276795466909</v>
      </c>
      <c r="H54" s="502">
        <f t="shared" ca="1" si="0"/>
        <v>4.0687532664851034E-2</v>
      </c>
      <c r="I54" s="502">
        <f t="shared" ca="1" si="3"/>
        <v>0</v>
      </c>
      <c r="J54" s="501">
        <f ca="1">IF('CDO Bespoke'!O55&lt;&gt;"",'CDO Bespoke'!O55,"")</f>
        <v>1.19796432813176</v>
      </c>
      <c r="K54" s="502">
        <f ca="1">IF(J54&lt;&gt;"",ABS(MIN(-0.75*('CDO Bespoke'!K55+'CDO Bespoke'!T55)+'CDO Bespoke'!T55,0)),"")</f>
        <v>0.24673392775830144</v>
      </c>
      <c r="L54" s="502">
        <f t="shared" ca="1" si="1"/>
        <v>0.95123040037345863</v>
      </c>
      <c r="M54" s="506">
        <f t="shared" ca="1" si="2"/>
        <v>0</v>
      </c>
      <c r="O54" s="511" t="str">
        <f ca="1">IF('CDO Bespoke'!C79&lt;&gt;"",'CDO Bespoke'!C79,"")</f>
        <v>DSM_MMR.EUR.SU</v>
      </c>
      <c r="P54" s="513" cm="1">
        <f t="array" aca="1" ref="P54" ca="1">IF($O54&lt;&gt;"",-TRANSPOSE(INDEX(getcds('CDO Bespoke'!$C79,P$13,'CDO Bespoke'!$G79/10000,'CDO Bespoke'!F79,'CDO Bespoke'!D79,'CDO Bespoke'!$C$13,'CDO Bespoke'!$C$14,'CDO Bespoke'!$C$15,'CDO Bespoke'!$C$8,,,TRUE,TRUE,FALSE,'CDO Bespoke'!$C$29:'CDO Bespoke'!$C$31,'CDO Bespoke'!$C$33),{5})),"")</f>
        <v>-0.47822809770068903</v>
      </c>
      <c r="Q54" s="524" cm="1">
        <f t="array" aca="1" ref="Q54" ca="1">IF($O54&lt;&gt;"",-TRANSPOSE(INDEX(getcds('CDO Bespoke'!$C79,Q$13,'CDO Bespoke'!$G79/10000,'CDO Bespoke'!G79,'CDO Bespoke'!E79,'CDO Bespoke'!$C$13,'CDO Bespoke'!$C$14,'CDO Bespoke'!$C$15,'CDO Bespoke'!$C$8,,,TRUE,TRUE,FALSE,'CDO Bespoke'!$C$29:'CDO Bespoke'!$C$31,'CDO Bespoke'!$C$33),{5})),"")</f>
        <v>-0.96422076540110302</v>
      </c>
      <c r="R54" s="524" cm="1">
        <f t="array" aca="1" ref="R54" ca="1">IF($O54&lt;&gt;"",-TRANSPOSE(INDEX(getcds('CDO Bespoke'!$C79,R$13,'CDO Bespoke'!$G79/10000,'CDO Bespoke'!H79,'CDO Bespoke'!F79,'CDO Bespoke'!$C$13,'CDO Bespoke'!$C$14,'CDO Bespoke'!$C$15,'CDO Bespoke'!$C$8,,,TRUE,TRUE,FALSE,'CDO Bespoke'!$C$29:'CDO Bespoke'!$C$31,'CDO Bespoke'!$C$33),{5})),"")</f>
        <v>-2.80522622257807</v>
      </c>
      <c r="S54" s="524" cm="1">
        <f t="array" aca="1" ref="S54" ca="1">IF($O54&lt;&gt;"",-TRANSPOSE(INDEX(getcds('CDO Bespoke'!$C79,S$13,'CDO Bespoke'!$G79/10000,'CDO Bespoke'!I79,'CDO Bespoke'!G79,'CDO Bespoke'!$C$13,'CDO Bespoke'!$C$14,'CDO Bespoke'!$C$15,'CDO Bespoke'!$C$8,,,TRUE,TRUE,FALSE,'CDO Bespoke'!$C$29:'CDO Bespoke'!$C$31,'CDO Bespoke'!$C$33),{5})),"")</f>
        <v>-4.4768120558015498</v>
      </c>
      <c r="T54" s="514" cm="1">
        <f t="array" aca="1" ref="T54" ca="1">IF($O54&lt;&gt;"",-TRANSPOSE(INDEX(getcds('CDO Bespoke'!$C79,T$13,'CDO Bespoke'!$G79/10000,'CDO Bespoke'!J79,'CDO Bespoke'!H79,'CDO Bespoke'!$C$13,'CDO Bespoke'!$C$14,'CDO Bespoke'!$C$15,'CDO Bespoke'!$C$8,,,TRUE,TRUE,FALSE,'CDO Bespoke'!$C$29:'CDO Bespoke'!$C$31,'CDO Bespoke'!$C$33),{5})),"")</f>
        <v>-7.9345337659242201</v>
      </c>
      <c r="U54" s="493"/>
      <c r="V54" s="513">
        <f ca="1"/>
        <v>-1.1361302029917232E-5</v>
      </c>
      <c r="W54" s="572">
        <f ca="1"/>
        <v>2.2814620611981418E-3</v>
      </c>
      <c r="X54" s="572">
        <f ca="1"/>
        <v>2.3294790548952782E-3</v>
      </c>
      <c r="Y54" s="572">
        <f ca="1"/>
        <v>4.3444474329829008E-3</v>
      </c>
      <c r="Z54" s="572">
        <f ca="1"/>
        <v>5.9245328460147406E-3</v>
      </c>
      <c r="AA54" s="572">
        <f ca="1"/>
        <v>8.4467555210021583E-3</v>
      </c>
      <c r="AB54" s="572">
        <f ca="1"/>
        <v>1.0859586841993618E-2</v>
      </c>
      <c r="AC54" s="572">
        <f ca="1"/>
        <v>1.0453171132990269E-2</v>
      </c>
      <c r="AD54" s="572">
        <f ca="1"/>
        <v>8.6418515029412779E-3</v>
      </c>
      <c r="AE54" s="514">
        <f ca="1"/>
        <v>2.8156087790442985E-3</v>
      </c>
    </row>
    <row r="55" spans="6:31" s="281" customFormat="1" ht="12" thickBot="1">
      <c r="F55" s="501">
        <f ca="1">IF('CDO Bespoke'!O56&lt;&gt;"",'CDO Bespoke'!O56,"")</f>
        <v>1.19798021911191</v>
      </c>
      <c r="G55" s="502">
        <f ca="1">IF(F55&lt;&gt;"",ABS(MIN(-0.75*('CDO Bespoke'!Q56+'CDO Bespoke'!T56)+'CDO Bespoke'!T56,0)),"")</f>
        <v>1.1572849719865896</v>
      </c>
      <c r="H55" s="502">
        <f t="shared" ca="1" si="0"/>
        <v>4.0695247125320355E-2</v>
      </c>
      <c r="I55" s="502">
        <f t="shared" ca="1" si="3"/>
        <v>0</v>
      </c>
      <c r="J55" s="501">
        <f ca="1">IF('CDO Bespoke'!O56&lt;&gt;"",'CDO Bespoke'!O56,"")</f>
        <v>1.19798021911191</v>
      </c>
      <c r="K55" s="502">
        <f ca="1">IF(J55&lt;&gt;"",ABS(MIN(-0.75*('CDO Bespoke'!K56+'CDO Bespoke'!T56)+'CDO Bespoke'!T56,0)),"")</f>
        <v>0.24640850740474934</v>
      </c>
      <c r="L55" s="502">
        <f t="shared" ca="1" si="1"/>
        <v>0.95157171170716071</v>
      </c>
      <c r="M55" s="506">
        <f t="shared" ca="1" si="2"/>
        <v>0</v>
      </c>
      <c r="O55" s="511" t="str">
        <f ca="1">IF('CDO Bespoke'!C80&lt;&gt;"",'CDO Bespoke'!C80,"")</f>
        <v>EADS_MMR.EUR.SU</v>
      </c>
      <c r="P55" s="513" cm="1">
        <f t="array" aca="1" ref="P55" ca="1">IF($O55&lt;&gt;"",-TRANSPOSE(INDEX(getcds('CDO Bespoke'!$C80,P$13,'CDO Bespoke'!$G80/10000,'CDO Bespoke'!F80,'CDO Bespoke'!D80,'CDO Bespoke'!$C$13,'CDO Bespoke'!$C$14,'CDO Bespoke'!$C$15,'CDO Bespoke'!$C$8,,,TRUE,TRUE,FALSE,'CDO Bespoke'!$C$29:'CDO Bespoke'!$C$31,'CDO Bespoke'!$C$33),{5})),"")</f>
        <v>-0.478208826406473</v>
      </c>
      <c r="Q55" s="524" cm="1">
        <f t="array" aca="1" ref="Q55" ca="1">IF($O55&lt;&gt;"",-TRANSPOSE(INDEX(getcds('CDO Bespoke'!$C80,Q$13,'CDO Bespoke'!$G80/10000,'CDO Bespoke'!G80,'CDO Bespoke'!E80,'CDO Bespoke'!$C$13,'CDO Bespoke'!$C$14,'CDO Bespoke'!$C$15,'CDO Bespoke'!$C$8,,,TRUE,TRUE,FALSE,'CDO Bespoke'!$C$29:'CDO Bespoke'!$C$31,'CDO Bespoke'!$C$33),{5})),"")</f>
        <v>-0.96414187878826896</v>
      </c>
      <c r="R55" s="524" cm="1">
        <f t="array" aca="1" ref="R55" ca="1">IF($O55&lt;&gt;"",-TRANSPOSE(INDEX(getcds('CDO Bespoke'!$C80,R$13,'CDO Bespoke'!$G80/10000,'CDO Bespoke'!H80,'CDO Bespoke'!F80,'CDO Bespoke'!$C$13,'CDO Bespoke'!$C$14,'CDO Bespoke'!$C$15,'CDO Bespoke'!$C$8,,,TRUE,TRUE,FALSE,'CDO Bespoke'!$C$29:'CDO Bespoke'!$C$31,'CDO Bespoke'!$C$33),{5})),"")</f>
        <v>-2.8054961144241402</v>
      </c>
      <c r="S55" s="524" cm="1">
        <f t="array" aca="1" ref="S55" ca="1">IF($O55&lt;&gt;"",-TRANSPOSE(INDEX(getcds('CDO Bespoke'!$C80,S$13,'CDO Bespoke'!$G80/10000,'CDO Bespoke'!I80,'CDO Bespoke'!G80,'CDO Bespoke'!$C$13,'CDO Bespoke'!$C$14,'CDO Bespoke'!$C$15,'CDO Bespoke'!$C$8,,,TRUE,TRUE,FALSE,'CDO Bespoke'!$C$29:'CDO Bespoke'!$C$31,'CDO Bespoke'!$C$33),{5})),"")</f>
        <v>-4.47763768629859</v>
      </c>
      <c r="T55" s="514" cm="1">
        <f t="array" aca="1" ref="T55" ca="1">IF($O55&lt;&gt;"",-TRANSPOSE(INDEX(getcds('CDO Bespoke'!$C80,T$13,'CDO Bespoke'!$G80/10000,'CDO Bespoke'!J80,'CDO Bespoke'!H80,'CDO Bespoke'!$C$13,'CDO Bespoke'!$C$14,'CDO Bespoke'!$C$15,'CDO Bespoke'!$C$8,,,TRUE,TRUE,FALSE,'CDO Bespoke'!$C$29:'CDO Bespoke'!$C$31,'CDO Bespoke'!$C$33),{5})),"")</f>
        <v>-7.9312628163718104</v>
      </c>
      <c r="U55" s="493"/>
      <c r="V55" s="513">
        <f ca="1"/>
        <v>-1.3254246649871404E-5</v>
      </c>
      <c r="W55" s="572">
        <f ca="1"/>
        <v>2.2772951361032384E-3</v>
      </c>
      <c r="X55" s="572">
        <f ca="1"/>
        <v>2.3213569349048169E-3</v>
      </c>
      <c r="Y55" s="572">
        <f ca="1"/>
        <v>4.3989660779980566E-3</v>
      </c>
      <c r="Z55" s="572">
        <f ca="1"/>
        <v>5.9498834599838735E-3</v>
      </c>
      <c r="AA55" s="572">
        <f ca="1"/>
        <v>8.3882868149448564E-3</v>
      </c>
      <c r="AB55" s="572">
        <f ca="1"/>
        <v>1.0770974125037802E-2</v>
      </c>
      <c r="AC55" s="572">
        <f ca="1"/>
        <v>1.031936924404675E-2</v>
      </c>
      <c r="AD55" s="572">
        <f ca="1"/>
        <v>8.4769975110254858E-3</v>
      </c>
      <c r="AE55" s="514">
        <f ca="1"/>
        <v>2.6061469080018718E-3</v>
      </c>
    </row>
    <row r="56" spans="6:31" s="281" customFormat="1" ht="12" thickBot="1">
      <c r="F56" s="501">
        <f ca="1">IF('CDO Bespoke'!O57&lt;&gt;"",'CDO Bespoke'!O57,"")</f>
        <v>1.19855558008922</v>
      </c>
      <c r="G56" s="502">
        <f ca="1">IF(F56&lt;&gt;"",ABS(MIN(-0.75*('CDO Bespoke'!Q57+'CDO Bespoke'!T57)+'CDO Bespoke'!T57,0)),"")</f>
        <v>1.1538103302045977</v>
      </c>
      <c r="H56" s="502">
        <f t="shared" ca="1" si="0"/>
        <v>4.4745249884622362E-2</v>
      </c>
      <c r="I56" s="502">
        <f t="shared" ca="1" si="3"/>
        <v>0</v>
      </c>
      <c r="J56" s="501">
        <f ca="1">IF('CDO Bespoke'!O57&lt;&gt;"",'CDO Bespoke'!O57,"")</f>
        <v>1.19855558008922</v>
      </c>
      <c r="K56" s="502">
        <f ca="1">IF(J56&lt;&gt;"",ABS(MIN(-0.75*('CDO Bespoke'!K57+'CDO Bespoke'!T57)+'CDO Bespoke'!T57,0)),"")</f>
        <v>0.21809645415988377</v>
      </c>
      <c r="L56" s="502">
        <f t="shared" ca="1" si="1"/>
        <v>0.98045912592933626</v>
      </c>
      <c r="M56" s="506">
        <f t="shared" ca="1" si="2"/>
        <v>0</v>
      </c>
      <c r="O56" s="511" t="str">
        <f ca="1">IF('CDO Bespoke'!C81&lt;&gt;"",'CDO Bespoke'!C81,"")</f>
        <v>EDF_MMR.EUR.SU</v>
      </c>
      <c r="P56" s="513" cm="1">
        <f t="array" aca="1" ref="P56" ca="1">IF($O56&lt;&gt;"",-TRANSPOSE(INDEX(getcds('CDO Bespoke'!$C81,P$13,'CDO Bespoke'!$G81/10000,'CDO Bespoke'!F81,'CDO Bespoke'!D81,'CDO Bespoke'!$C$13,'CDO Bespoke'!$C$14,'CDO Bespoke'!$C$15,'CDO Bespoke'!$C$8,,,TRUE,TRUE,FALSE,'CDO Bespoke'!$C$29:'CDO Bespoke'!$C$31,'CDO Bespoke'!$C$33),{5})),"")</f>
        <v>-0.478266643413018</v>
      </c>
      <c r="Q56" s="524" cm="1">
        <f t="array" aca="1" ref="Q56" ca="1">IF($O56&lt;&gt;"",-TRANSPOSE(INDEX(getcds('CDO Bespoke'!$C81,Q$13,'CDO Bespoke'!$G81/10000,'CDO Bespoke'!G81,'CDO Bespoke'!E81,'CDO Bespoke'!$C$13,'CDO Bespoke'!$C$14,'CDO Bespoke'!$C$15,'CDO Bespoke'!$C$8,,,TRUE,TRUE,FALSE,'CDO Bespoke'!$C$29:'CDO Bespoke'!$C$31,'CDO Bespoke'!$C$33),{5})),"")</f>
        <v>-0.96436567502914905</v>
      </c>
      <c r="R56" s="524" cm="1">
        <f t="array" aca="1" ref="R56" ca="1">IF($O56&lt;&gt;"",-TRANSPOSE(INDEX(getcds('CDO Bespoke'!$C81,R$13,'CDO Bespoke'!$G81/10000,'CDO Bespoke'!H81,'CDO Bespoke'!F81,'CDO Bespoke'!$C$13,'CDO Bespoke'!$C$14,'CDO Bespoke'!$C$15,'CDO Bespoke'!$C$8,,,TRUE,TRUE,FALSE,'CDO Bespoke'!$C$29:'CDO Bespoke'!$C$31,'CDO Bespoke'!$C$33),{5})),"")</f>
        <v>-2.8067434282519201</v>
      </c>
      <c r="S56" s="524" cm="1">
        <f t="array" aca="1" ref="S56" ca="1">IF($O56&lt;&gt;"",-TRANSPOSE(INDEX(getcds('CDO Bespoke'!$C81,S$13,'CDO Bespoke'!$G81/10000,'CDO Bespoke'!I81,'CDO Bespoke'!G81,'CDO Bespoke'!$C$13,'CDO Bespoke'!$C$14,'CDO Bespoke'!$C$15,'CDO Bespoke'!$C$8,,,TRUE,TRUE,FALSE,'CDO Bespoke'!$C$29:'CDO Bespoke'!$C$31,'CDO Bespoke'!$C$33),{5})),"")</f>
        <v>-4.4846822998496396</v>
      </c>
      <c r="T56" s="514" cm="1">
        <f t="array" aca="1" ref="T56" ca="1">IF($O56&lt;&gt;"",-TRANSPOSE(INDEX(getcds('CDO Bespoke'!$C81,T$13,'CDO Bespoke'!$G81/10000,'CDO Bespoke'!J81,'CDO Bespoke'!H81,'CDO Bespoke'!$C$13,'CDO Bespoke'!$C$14,'CDO Bespoke'!$C$15,'CDO Bespoke'!$C$8,,,TRUE,TRUE,FALSE,'CDO Bespoke'!$C$29:'CDO Bespoke'!$C$31,'CDO Bespoke'!$C$33),{5})),"")</f>
        <v>-7.9963152147895604</v>
      </c>
      <c r="U56" s="493"/>
      <c r="V56" s="513">
        <f ca="1"/>
        <v>-7.5748937100584245E-6</v>
      </c>
      <c r="W56" s="572">
        <f ca="1"/>
        <v>2.2897980556015746E-3</v>
      </c>
      <c r="X56" s="572">
        <f ca="1"/>
        <v>2.3263347743995855E-3</v>
      </c>
      <c r="Y56" s="572">
        <f ca="1"/>
        <v>4.3964030069926219E-3</v>
      </c>
      <c r="Z56" s="572">
        <f ca="1"/>
        <v>6.1266708950222237E-3</v>
      </c>
      <c r="AA56" s="572">
        <f ca="1"/>
        <v>8.918905217980555E-3</v>
      </c>
      <c r="AB56" s="572">
        <f ca="1"/>
        <v>1.2798199841984603E-2</v>
      </c>
      <c r="AC56" s="572">
        <f ca="1"/>
        <v>1.3477075514883863E-2</v>
      </c>
      <c r="AD56" s="572">
        <f ca="1"/>
        <v>1.2534065241126546E-2</v>
      </c>
      <c r="AE56" s="514">
        <f ca="1"/>
        <v>8.0935487949129747E-3</v>
      </c>
    </row>
    <row r="57" spans="6:31" s="281" customFormat="1" ht="12" thickBot="1">
      <c r="F57" s="501">
        <f ca="1">IF('CDO Bespoke'!O58&lt;&gt;"",'CDO Bespoke'!O58,"")</f>
        <v>1.19737880939633</v>
      </c>
      <c r="G57" s="502">
        <f ca="1">IF(F57&lt;&gt;"",ABS(MIN(-0.75*('CDO Bespoke'!Q58+'CDO Bespoke'!T58)+'CDO Bespoke'!T58,0)),"")</f>
        <v>1.1602220146477549</v>
      </c>
      <c r="H57" s="502">
        <f t="shared" ca="1" si="0"/>
        <v>3.7156794748575139E-2</v>
      </c>
      <c r="I57" s="502">
        <f t="shared" ca="1" si="3"/>
        <v>0</v>
      </c>
      <c r="J57" s="501">
        <f ca="1">IF('CDO Bespoke'!O58&lt;&gt;"",'CDO Bespoke'!O58,"")</f>
        <v>1.19737880939633</v>
      </c>
      <c r="K57" s="502">
        <f ca="1">IF(J57&lt;&gt;"",ABS(MIN(-0.75*('CDO Bespoke'!K58+'CDO Bespoke'!T58)+'CDO Bespoke'!T58,0)),"")</f>
        <v>0.26973842253587726</v>
      </c>
      <c r="L57" s="502">
        <f t="shared" ca="1" si="1"/>
        <v>0.9276403868604528</v>
      </c>
      <c r="M57" s="506">
        <f t="shared" ca="1" si="2"/>
        <v>0</v>
      </c>
      <c r="O57" s="511" t="str">
        <f ca="1">IF('CDO Bespoke'!C82&lt;&gt;"",'CDO Bespoke'!C82,"")</f>
        <v>Edison_MMR.EUR.SU</v>
      </c>
      <c r="P57" s="513" cm="1">
        <f t="array" aca="1" ref="P57" ca="1">IF($O57&lt;&gt;"",-TRANSPOSE(INDEX(getcds('CDO Bespoke'!$C82,P$13,'CDO Bespoke'!$G82/10000,'CDO Bespoke'!F82,'CDO Bespoke'!D82,'CDO Bespoke'!$C$13,'CDO Bespoke'!$C$14,'CDO Bespoke'!$C$15,'CDO Bespoke'!$C$8,,,TRUE,TRUE,FALSE,'CDO Bespoke'!$C$29:'CDO Bespoke'!$C$31,'CDO Bespoke'!$C$33),{5})),"")</f>
        <v>-0.47822809770068903</v>
      </c>
      <c r="Q57" s="524" cm="1">
        <f t="array" aca="1" ref="Q57" ca="1">IF($O57&lt;&gt;"",-TRANSPOSE(INDEX(getcds('CDO Bespoke'!$C82,Q$13,'CDO Bespoke'!$G82/10000,'CDO Bespoke'!G82,'CDO Bespoke'!E82,'CDO Bespoke'!$C$13,'CDO Bespoke'!$C$14,'CDO Bespoke'!$C$15,'CDO Bespoke'!$C$8,,,TRUE,TRUE,FALSE,'CDO Bespoke'!$C$29:'CDO Bespoke'!$C$31,'CDO Bespoke'!$C$33),{5})),"")</f>
        <v>-0.96416921270026401</v>
      </c>
      <c r="R57" s="524" cm="1">
        <f t="array" aca="1" ref="R57" ca="1">IF($O57&lt;&gt;"",-TRANSPOSE(INDEX(getcds('CDO Bespoke'!$C82,R$13,'CDO Bespoke'!$G82/10000,'CDO Bespoke'!H82,'CDO Bespoke'!F82,'CDO Bespoke'!$C$13,'CDO Bespoke'!$C$14,'CDO Bespoke'!$C$15,'CDO Bespoke'!$C$8,,,TRUE,TRUE,FALSE,'CDO Bespoke'!$C$29:'CDO Bespoke'!$C$31,'CDO Bespoke'!$C$33),{5})),"")</f>
        <v>-2.8016517853468499</v>
      </c>
      <c r="S57" s="524" cm="1">
        <f t="array" aca="1" ref="S57" ca="1">IF($O57&lt;&gt;"",-TRANSPOSE(INDEX(getcds('CDO Bespoke'!$C82,S$13,'CDO Bespoke'!$G82/10000,'CDO Bespoke'!I82,'CDO Bespoke'!G82,'CDO Bespoke'!$C$13,'CDO Bespoke'!$C$14,'CDO Bespoke'!$C$15,'CDO Bespoke'!$C$8,,,TRUE,TRUE,FALSE,'CDO Bespoke'!$C$29:'CDO Bespoke'!$C$31,'CDO Bespoke'!$C$33),{5})),"")</f>
        <v>-4.46593859077558</v>
      </c>
      <c r="T57" s="514" cm="1">
        <f t="array" aca="1" ref="T57" ca="1">IF($O57&lt;&gt;"",-TRANSPOSE(INDEX(getcds('CDO Bespoke'!$C82,T$13,'CDO Bespoke'!$G82/10000,'CDO Bespoke'!J82,'CDO Bespoke'!H82,'CDO Bespoke'!$C$13,'CDO Bespoke'!$C$14,'CDO Bespoke'!$C$15,'CDO Bespoke'!$C$8,,,TRUE,TRUE,FALSE,'CDO Bespoke'!$C$29:'CDO Bespoke'!$C$31,'CDO Bespoke'!$C$33),{5})),"")</f>
        <v>-7.8956821386785698</v>
      </c>
      <c r="U57" s="493"/>
      <c r="V57" s="513">
        <f ca="1"/>
        <v>-1.1361302029917232E-5</v>
      </c>
      <c r="W57" s="572">
        <f ca="1"/>
        <v>2.2814620611981418E-3</v>
      </c>
      <c r="X57" s="572">
        <f ca="1"/>
        <v>2.2519304782031568E-3</v>
      </c>
      <c r="Y57" s="572">
        <f ca="1"/>
        <v>4.2077217530037125E-3</v>
      </c>
      <c r="Z57" s="572">
        <f ca="1"/>
        <v>5.6983341229985274E-3</v>
      </c>
      <c r="AA57" s="572">
        <f ca="1"/>
        <v>8.2546401040245465E-3</v>
      </c>
      <c r="AB57" s="572">
        <f ca="1"/>
        <v>1.0520134149996641E-2</v>
      </c>
      <c r="AC57" s="572">
        <f ca="1"/>
        <v>9.9500606619978837E-3</v>
      </c>
      <c r="AD57" s="572">
        <f ca="1"/>
        <v>8.0426313280035355E-3</v>
      </c>
      <c r="AE57" s="514">
        <f ca="1"/>
        <v>2.0910494930026502E-3</v>
      </c>
    </row>
    <row r="58" spans="6:31" s="281" customFormat="1" ht="12" thickBot="1">
      <c r="F58" s="501">
        <f ca="1">IF('CDO Bespoke'!O59&lt;&gt;"",'CDO Bespoke'!O59,"")</f>
        <v>1.1971654833287599</v>
      </c>
      <c r="G58" s="502">
        <f ca="1">IF(F58&lt;&gt;"",ABS(MIN(-0.75*('CDO Bespoke'!Q59+'CDO Bespoke'!T59)+'CDO Bespoke'!T59,0)),"")</f>
        <v>1.1611906681953819</v>
      </c>
      <c r="H58" s="502">
        <f t="shared" ca="1" si="0"/>
        <v>3.597481513337808E-2</v>
      </c>
      <c r="I58" s="502">
        <f t="shared" ca="1" si="3"/>
        <v>0</v>
      </c>
      <c r="J58" s="501">
        <f ca="1">IF('CDO Bespoke'!O59&lt;&gt;"",'CDO Bespoke'!O59,"")</f>
        <v>1.1971654833287599</v>
      </c>
      <c r="K58" s="502">
        <f ca="1">IF(J58&lt;&gt;"",ABS(MIN(-0.75*('CDO Bespoke'!K59+'CDO Bespoke'!T59)+'CDO Bespoke'!T59,0)),"")</f>
        <v>0.27689196783517056</v>
      </c>
      <c r="L58" s="502">
        <f t="shared" ca="1" si="1"/>
        <v>0.92027351549358938</v>
      </c>
      <c r="M58" s="506">
        <f t="shared" ca="1" si="2"/>
        <v>0</v>
      </c>
      <c r="O58" s="511" t="str">
        <f ca="1">IF('CDO Bespoke'!C83&lt;&gt;"",'CDO Bespoke'!C83,"")</f>
        <v>ElectricitedePortugal_MMR.EUR.SU</v>
      </c>
      <c r="P58" s="513" cm="1">
        <f t="array" aca="1" ref="P58" ca="1">IF($O58&lt;&gt;"",-TRANSPOSE(INDEX(getcds('CDO Bespoke'!$C83,P$13,'CDO Bespoke'!$G83/10000,'CDO Bespoke'!F83,'CDO Bespoke'!D83,'CDO Bespoke'!$C$13,'CDO Bespoke'!$C$14,'CDO Bespoke'!$C$15,'CDO Bespoke'!$C$8,,,TRUE,TRUE,FALSE,'CDO Bespoke'!$C$29:'CDO Bespoke'!$C$31,'CDO Bespoke'!$C$33),{5})),"")</f>
        <v>-0.47822809770068903</v>
      </c>
      <c r="Q58" s="524" cm="1">
        <f t="array" aca="1" ref="Q58" ca="1">IF($O58&lt;&gt;"",-TRANSPOSE(INDEX(getcds('CDO Bespoke'!$C83,Q$13,'CDO Bespoke'!$G83/10000,'CDO Bespoke'!G83,'CDO Bespoke'!E83,'CDO Bespoke'!$C$13,'CDO Bespoke'!$C$14,'CDO Bespoke'!$C$15,'CDO Bespoke'!$C$8,,,TRUE,TRUE,FALSE,'CDO Bespoke'!$C$29:'CDO Bespoke'!$C$31,'CDO Bespoke'!$C$33),{5})),"")</f>
        <v>-0.96413054115463703</v>
      </c>
      <c r="R58" s="524" cm="1">
        <f t="array" aca="1" ref="R58" ca="1">IF($O58&lt;&gt;"",-TRANSPOSE(INDEX(getcds('CDO Bespoke'!$C83,R$13,'CDO Bespoke'!$G83/10000,'CDO Bespoke'!H83,'CDO Bespoke'!F83,'CDO Bespoke'!$C$13,'CDO Bespoke'!$C$14,'CDO Bespoke'!$C$15,'CDO Bespoke'!$C$8,,,TRUE,TRUE,FALSE,'CDO Bespoke'!$C$29:'CDO Bespoke'!$C$31,'CDO Bespoke'!$C$33),{5})),"")</f>
        <v>-2.7999389938541501</v>
      </c>
      <c r="S58" s="524" cm="1">
        <f t="array" aca="1" ref="S58" ca="1">IF($O58&lt;&gt;"",-TRANSPOSE(INDEX(getcds('CDO Bespoke'!$C83,S$13,'CDO Bespoke'!$G83/10000,'CDO Bespoke'!I83,'CDO Bespoke'!G83,'CDO Bespoke'!$C$13,'CDO Bespoke'!$C$14,'CDO Bespoke'!$C$15,'CDO Bespoke'!$C$8,,,TRUE,TRUE,FALSE,'CDO Bespoke'!$C$29:'CDO Bespoke'!$C$31,'CDO Bespoke'!$C$33),{5})),"")</f>
        <v>-4.4620260358159101</v>
      </c>
      <c r="T58" s="514" cm="1">
        <f t="array" aca="1" ref="T58" ca="1">IF($O58&lt;&gt;"",-TRANSPOSE(INDEX(getcds('CDO Bespoke'!$C83,T$13,'CDO Bespoke'!$G83/10000,'CDO Bespoke'!J83,'CDO Bespoke'!H83,'CDO Bespoke'!$C$13,'CDO Bespoke'!$C$14,'CDO Bespoke'!$C$15,'CDO Bespoke'!$C$8,,,TRUE,TRUE,FALSE,'CDO Bespoke'!$C$29:'CDO Bespoke'!$C$31,'CDO Bespoke'!$C$33),{5})),"")</f>
        <v>-7.8833008143011103</v>
      </c>
      <c r="U58" s="493"/>
      <c r="V58" s="513">
        <f ca="1"/>
        <v>-1.1361302029917232E-5</v>
      </c>
      <c r="W58" s="572">
        <f ca="1"/>
        <v>2.2814620611981418E-3</v>
      </c>
      <c r="X58" s="572">
        <f ca="1"/>
        <v>2.1937928394895334E-3</v>
      </c>
      <c r="Y58" s="572">
        <f ca="1"/>
        <v>4.1585010920018595E-3</v>
      </c>
      <c r="Z58" s="572">
        <f ca="1"/>
        <v>5.6990300070086652E-3</v>
      </c>
      <c r="AA58" s="572">
        <f ca="1"/>
        <v>8.1721155570022019E-3</v>
      </c>
      <c r="AB58" s="572">
        <f ca="1"/>
        <v>1.0357533792026974E-2</v>
      </c>
      <c r="AC58" s="572">
        <f ca="1"/>
        <v>9.7045384130078904E-3</v>
      </c>
      <c r="AD58" s="572">
        <f ca="1"/>
        <v>7.7393163310651714E-3</v>
      </c>
      <c r="AE58" s="514">
        <f ca="1"/>
        <v>1.7047512739648552E-3</v>
      </c>
    </row>
    <row r="59" spans="6:31" s="281" customFormat="1" ht="12" thickBot="1">
      <c r="F59" s="501">
        <f ca="1">IF('CDO Bespoke'!O60&lt;&gt;"",'CDO Bespoke'!O60,"")</f>
        <v>1.1973656075727199</v>
      </c>
      <c r="G59" s="502">
        <f ca="1">IF(F59&lt;&gt;"",ABS(MIN(-0.75*('CDO Bespoke'!Q60+'CDO Bespoke'!T60)+'CDO Bespoke'!T60,0)),"")</f>
        <v>1.1607558460850027</v>
      </c>
      <c r="H59" s="502">
        <f t="shared" ca="1" si="0"/>
        <v>3.6609761487717218E-2</v>
      </c>
      <c r="I59" s="502">
        <f t="shared" ca="1" si="3"/>
        <v>0</v>
      </c>
      <c r="J59" s="501">
        <f ca="1">IF('CDO Bespoke'!O60&lt;&gt;"",'CDO Bespoke'!O60,"")</f>
        <v>1.1973656075727199</v>
      </c>
      <c r="K59" s="502">
        <f ca="1">IF(J59&lt;&gt;"",ABS(MIN(-0.75*('CDO Bespoke'!K60+'CDO Bespoke'!T60)+'CDO Bespoke'!T60,0)),"")</f>
        <v>0.27110121303533802</v>
      </c>
      <c r="L59" s="502">
        <f t="shared" ca="1" si="1"/>
        <v>0.92626439453738185</v>
      </c>
      <c r="M59" s="506">
        <f t="shared" ca="1" si="2"/>
        <v>0</v>
      </c>
      <c r="O59" s="511" t="str">
        <f ca="1">IF('CDO Bespoke'!C84&lt;&gt;"",'CDO Bespoke'!C84,"")</f>
        <v>Electrolux_MMR.EUR.SU</v>
      </c>
      <c r="P59" s="513" cm="1">
        <f t="array" aca="1" ref="P59" ca="1">IF($O59&lt;&gt;"",-TRANSPOSE(INDEX(getcds('CDO Bespoke'!$C84,P$13,'CDO Bespoke'!$G84/10000,'CDO Bespoke'!F84,'CDO Bespoke'!D84,'CDO Bespoke'!$C$13,'CDO Bespoke'!$C$14,'CDO Bespoke'!$C$15,'CDO Bespoke'!$C$8,,,TRUE,TRUE,FALSE,'CDO Bespoke'!$C$29:'CDO Bespoke'!$C$31,'CDO Bespoke'!$C$33),{5})),"")</f>
        <v>-0.47824737003613499</v>
      </c>
      <c r="Q59" s="524" cm="1">
        <f t="array" aca="1" ref="Q59" ca="1">IF($O59&lt;&gt;"",-TRANSPOSE(INDEX(getcds('CDO Bespoke'!$C84,Q$13,'CDO Bespoke'!$G84/10000,'CDO Bespoke'!G84,'CDO Bespoke'!E84,'CDO Bespoke'!$C$13,'CDO Bespoke'!$C$14,'CDO Bespoke'!$C$15,'CDO Bespoke'!$C$8,,,TRUE,TRUE,FALSE,'CDO Bespoke'!$C$29:'CDO Bespoke'!$C$31,'CDO Bespoke'!$C$33),{5})),"")</f>
        <v>-0.96427388331152697</v>
      </c>
      <c r="R59" s="524" cm="1">
        <f t="array" aca="1" ref="R59" ca="1">IF($O59&lt;&gt;"",-TRANSPOSE(INDEX(getcds('CDO Bespoke'!$C84,R$13,'CDO Bespoke'!$G84/10000,'CDO Bespoke'!H84,'CDO Bespoke'!F84,'CDO Bespoke'!$C$13,'CDO Bespoke'!$C$14,'CDO Bespoke'!$C$15,'CDO Bespoke'!$C$8,,,TRUE,TRUE,FALSE,'CDO Bespoke'!$C$29:'CDO Bespoke'!$C$31,'CDO Bespoke'!$C$33),{5})),"")</f>
        <v>-2.8039107704065001</v>
      </c>
      <c r="S59" s="524" cm="1">
        <f t="array" aca="1" ref="S59" ca="1">IF($O59&lt;&gt;"",-TRANSPOSE(INDEX(getcds('CDO Bespoke'!$C84,S$13,'CDO Bespoke'!$G84/10000,'CDO Bespoke'!I84,'CDO Bespoke'!G84,'CDO Bespoke'!$C$13,'CDO Bespoke'!$C$14,'CDO Bespoke'!$C$15,'CDO Bespoke'!$C$8,,,TRUE,TRUE,FALSE,'CDO Bespoke'!$C$29:'CDO Bespoke'!$C$31,'CDO Bespoke'!$C$33),{5})),"")</f>
        <v>-4.4691389185547798</v>
      </c>
      <c r="T59" s="514" cm="1">
        <f t="array" aca="1" ref="T59" ca="1">IF($O59&lt;&gt;"",-TRANSPOSE(INDEX(getcds('CDO Bespoke'!$C84,T$13,'CDO Bespoke'!$G84/10000,'CDO Bespoke'!J84,'CDO Bespoke'!H84,'CDO Bespoke'!$C$13,'CDO Bespoke'!$C$14,'CDO Bespoke'!$C$15,'CDO Bespoke'!$C$8,,,TRUE,TRUE,FALSE,'CDO Bespoke'!$C$29:'CDO Bespoke'!$C$31,'CDO Bespoke'!$C$33),{5})),"")</f>
        <v>-7.8901732265717204</v>
      </c>
      <c r="U59" s="493"/>
      <c r="V59" s="513">
        <f ca="1"/>
        <v>-9.4681843799699489E-6</v>
      </c>
      <c r="W59" s="572">
        <f ca="1"/>
        <v>2.2856297009991172E-3</v>
      </c>
      <c r="X59" s="572">
        <f ca="1"/>
        <v>2.2988189488960808E-3</v>
      </c>
      <c r="Y59" s="572">
        <f ca="1"/>
        <v>4.2924696919827143E-3</v>
      </c>
      <c r="Z59" s="572">
        <f ca="1"/>
        <v>5.7227611310189941E-3</v>
      </c>
      <c r="AA59" s="572">
        <f ca="1"/>
        <v>7.9781757950092569E-3</v>
      </c>
      <c r="AB59" s="572">
        <f ca="1"/>
        <v>9.9510077010422915E-3</v>
      </c>
      <c r="AC59" s="572">
        <f ca="1"/>
        <v>9.0753745990435064E-3</v>
      </c>
      <c r="AD59" s="572">
        <f ca="1"/>
        <v>6.9230405159992348E-3</v>
      </c>
      <c r="AE59" s="514">
        <f ca="1"/>
        <v>5.9924762998986303E-4</v>
      </c>
    </row>
    <row r="60" spans="6:31" s="281" customFormat="1" ht="12" thickBot="1">
      <c r="F60" s="501">
        <f ca="1">IF('CDO Bespoke'!O61&lt;&gt;"",'CDO Bespoke'!O61,"")</f>
        <v>1.1961560542832901</v>
      </c>
      <c r="G60" s="502">
        <f ca="1">IF(F60&lt;&gt;"",ABS(MIN(-0.75*('CDO Bespoke'!Q61+'CDO Bespoke'!T61)+'CDO Bespoke'!T61,0)),"")</f>
        <v>1.1654869565623094</v>
      </c>
      <c r="H60" s="502">
        <f t="shared" ca="1" si="0"/>
        <v>3.0669097720980698E-2</v>
      </c>
      <c r="I60" s="502">
        <f t="shared" ca="1" si="3"/>
        <v>0</v>
      </c>
      <c r="J60" s="501">
        <f ca="1">IF('CDO Bespoke'!O61&lt;&gt;"",'CDO Bespoke'!O61,"")</f>
        <v>1.1961560542832901</v>
      </c>
      <c r="K60" s="502">
        <f ca="1">IF(J60&lt;&gt;"",ABS(MIN(-0.75*('CDO Bespoke'!K61+'CDO Bespoke'!T61)+'CDO Bespoke'!T61,0)),"")</f>
        <v>0.3045817210757219</v>
      </c>
      <c r="L60" s="502">
        <f t="shared" ca="1" si="1"/>
        <v>0.89157433320756818</v>
      </c>
      <c r="M60" s="506">
        <f t="shared" ca="1" si="2"/>
        <v>0</v>
      </c>
      <c r="O60" s="511" t="str">
        <f ca="1">IF('CDO Bespoke'!C85&lt;&gt;"",'CDO Bespoke'!C85,"")</f>
        <v>Endesa_MMR.EUR.SU</v>
      </c>
      <c r="P60" s="513" cm="1">
        <f t="array" aca="1" ref="P60" ca="1">IF($O60&lt;&gt;"",-TRANSPOSE(INDEX(getcds('CDO Bespoke'!$C85,P$13,'CDO Bespoke'!$G85/10000,'CDO Bespoke'!F85,'CDO Bespoke'!D85,'CDO Bespoke'!$C$13,'CDO Bespoke'!$C$14,'CDO Bespoke'!$C$15,'CDO Bespoke'!$C$8,,,TRUE,TRUE,FALSE,'CDO Bespoke'!$C$29:'CDO Bespoke'!$C$31,'CDO Bespoke'!$C$33),{5})),"")</f>
        <v>-0.478112485546557</v>
      </c>
      <c r="Q60" s="524" cm="1">
        <f t="array" aca="1" ref="Q60" ca="1">IF($O60&lt;&gt;"",-TRANSPOSE(INDEX(getcds('CDO Bespoke'!$C85,Q$13,'CDO Bespoke'!$G85/10000,'CDO Bespoke'!G85,'CDO Bespoke'!E85,'CDO Bespoke'!$C$13,'CDO Bespoke'!$C$14,'CDO Bespoke'!$C$15,'CDO Bespoke'!$C$8,,,TRUE,TRUE,FALSE,'CDO Bespoke'!$C$29:'CDO Bespoke'!$C$31,'CDO Bespoke'!$C$33),{5})),"")</f>
        <v>-0.96369605025115901</v>
      </c>
      <c r="R60" s="524" cm="1">
        <f t="array" aca="1" ref="R60" ca="1">IF($O60&lt;&gt;"",-TRANSPOSE(INDEX(getcds('CDO Bespoke'!$C85,R$13,'CDO Bespoke'!$G85/10000,'CDO Bespoke'!H85,'CDO Bespoke'!F85,'CDO Bespoke'!$C$13,'CDO Bespoke'!$C$14,'CDO Bespoke'!$C$15,'CDO Bespoke'!$C$8,,,TRUE,TRUE,FALSE,'CDO Bespoke'!$C$29:'CDO Bespoke'!$C$31,'CDO Bespoke'!$C$33),{5})),"")</f>
        <v>-2.7956371261548298</v>
      </c>
      <c r="S60" s="524" cm="1">
        <f t="array" aca="1" ref="S60" ca="1">IF($O60&lt;&gt;"",-TRANSPOSE(INDEX(getcds('CDO Bespoke'!$C85,S$13,'CDO Bespoke'!$G85/10000,'CDO Bespoke'!I85,'CDO Bespoke'!G85,'CDO Bespoke'!$C$13,'CDO Bespoke'!$C$14,'CDO Bespoke'!$C$15,'CDO Bespoke'!$C$8,,,TRUE,TRUE,FALSE,'CDO Bespoke'!$C$29:'CDO Bespoke'!$C$31,'CDO Bespoke'!$C$33),{5})),"")</f>
        <v>-4.4481786697954799</v>
      </c>
      <c r="T60" s="514" cm="1">
        <f t="array" aca="1" ref="T60" ca="1">IF($O60&lt;&gt;"",-TRANSPOSE(INDEX(getcds('CDO Bespoke'!$C85,T$13,'CDO Bespoke'!$G85/10000,'CDO Bespoke'!J85,'CDO Bespoke'!H85,'CDO Bespoke'!$C$13,'CDO Bespoke'!$C$14,'CDO Bespoke'!$C$15,'CDO Bespoke'!$C$8,,,TRUE,TRUE,FALSE,'CDO Bespoke'!$C$29:'CDO Bespoke'!$C$31,'CDO Bespoke'!$C$33),{5})),"")</f>
        <v>-7.8313519240025196</v>
      </c>
      <c r="U60" s="493"/>
      <c r="V60" s="513">
        <f ca="1"/>
        <v>-2.2716375389910878E-5</v>
      </c>
      <c r="W60" s="572">
        <f ca="1"/>
        <v>2.2564712261977787E-3</v>
      </c>
      <c r="X60" s="572">
        <f ca="1"/>
        <v>2.2033118359052889E-3</v>
      </c>
      <c r="Y60" s="572">
        <f ca="1"/>
        <v>3.9682805779914232E-3</v>
      </c>
      <c r="Z60" s="572">
        <f ca="1"/>
        <v>5.4497023890126561E-3</v>
      </c>
      <c r="AA60" s="572">
        <f ca="1"/>
        <v>7.7430345429840841E-3</v>
      </c>
      <c r="AB60" s="572">
        <f ca="1"/>
        <v>9.2448531910024889E-3</v>
      </c>
      <c r="AC60" s="572">
        <f ca="1"/>
        <v>8.0217254379982839E-3</v>
      </c>
      <c r="AD60" s="572">
        <f ca="1"/>
        <v>5.6357600280304565E-3</v>
      </c>
      <c r="AE60" s="514">
        <f ca="1"/>
        <v>-1.0069561899583857E-3</v>
      </c>
    </row>
    <row r="61" spans="6:31" s="281" customFormat="1" ht="12" thickBot="1">
      <c r="F61" s="501">
        <f ca="1">IF('CDO Bespoke'!O62&lt;&gt;"",'CDO Bespoke'!O62,"")</f>
        <v>1.19699615269966</v>
      </c>
      <c r="G61" s="502">
        <f ca="1">IF(F61&lt;&gt;"",ABS(MIN(-0.75*('CDO Bespoke'!Q62+'CDO Bespoke'!T62)+'CDO Bespoke'!T62,0)),"")</f>
        <v>1.1621972236983937</v>
      </c>
      <c r="H61" s="502">
        <f t="shared" ca="1" si="0"/>
        <v>3.4798929001266243E-2</v>
      </c>
      <c r="I61" s="502">
        <f t="shared" ca="1" si="3"/>
        <v>0</v>
      </c>
      <c r="J61" s="501">
        <f ca="1">IF('CDO Bespoke'!O62&lt;&gt;"",'CDO Bespoke'!O62,"")</f>
        <v>1.19699615269966</v>
      </c>
      <c r="K61" s="502">
        <f ca="1">IF(J61&lt;&gt;"",ABS(MIN(-0.75*('CDO Bespoke'!K62+'CDO Bespoke'!T62)+'CDO Bespoke'!T62,0)),"")</f>
        <v>0.28344523161883278</v>
      </c>
      <c r="L61" s="502">
        <f t="shared" ca="1" si="1"/>
        <v>0.91355092108082725</v>
      </c>
      <c r="M61" s="506">
        <f t="shared" ca="1" si="2"/>
        <v>0</v>
      </c>
      <c r="O61" s="511" t="str">
        <f ca="1">IF('CDO Bespoke'!C86&lt;&gt;"",'CDO Bespoke'!C86,"")</f>
        <v>ENEL_MMR.EUR.SU</v>
      </c>
      <c r="P61" s="513" cm="1">
        <f t="array" aca="1" ref="P61" ca="1">IF($O61&lt;&gt;"",-TRANSPOSE(INDEX(getcds('CDO Bespoke'!$C86,P$13,'CDO Bespoke'!$G86/10000,'CDO Bespoke'!F86,'CDO Bespoke'!D86,'CDO Bespoke'!$C$13,'CDO Bespoke'!$C$14,'CDO Bespoke'!$C$15,'CDO Bespoke'!$C$8,,,TRUE,TRUE,FALSE,'CDO Bespoke'!$C$29:'CDO Bespoke'!$C$31,'CDO Bespoke'!$C$33),{5})),"")</f>
        <v>-0.47818955615327402</v>
      </c>
      <c r="Q61" s="524" cm="1">
        <f t="array" aca="1" ref="Q61" ca="1">IF($O61&lt;&gt;"",-TRANSPOSE(INDEX(getcds('CDO Bespoke'!$C86,Q$13,'CDO Bespoke'!$G86/10000,'CDO Bespoke'!G86,'CDO Bespoke'!E86,'CDO Bespoke'!$C$13,'CDO Bespoke'!$C$14,'CDO Bespoke'!$C$15,'CDO Bespoke'!$C$8,,,TRUE,TRUE,FALSE,'CDO Bespoke'!$C$29:'CDO Bespoke'!$C$31,'CDO Bespoke'!$C$33),{5})),"")</f>
        <v>-0.96401145737862104</v>
      </c>
      <c r="R61" s="524" cm="1">
        <f t="array" aca="1" ref="R61" ca="1">IF($O61&lt;&gt;"",-TRANSPOSE(INDEX(getcds('CDO Bespoke'!$C86,R$13,'CDO Bespoke'!$G86/10000,'CDO Bespoke'!H86,'CDO Bespoke'!F86,'CDO Bespoke'!$C$13,'CDO Bespoke'!$C$14,'CDO Bespoke'!$C$15,'CDO Bespoke'!$C$8,,,TRUE,TRUE,FALSE,'CDO Bespoke'!$C$29:'CDO Bespoke'!$C$31,'CDO Bespoke'!$C$33),{5})),"")</f>
        <v>-2.7989921503506299</v>
      </c>
      <c r="S61" s="524" cm="1">
        <f t="array" aca="1" ref="S61" ca="1">IF($O61&lt;&gt;"",-TRANSPOSE(INDEX(getcds('CDO Bespoke'!$C86,S$13,'CDO Bespoke'!$G86/10000,'CDO Bespoke'!I86,'CDO Bespoke'!G86,'CDO Bespoke'!$C$13,'CDO Bespoke'!$C$14,'CDO Bespoke'!$C$15,'CDO Bespoke'!$C$8,,,TRUE,TRUE,FALSE,'CDO Bespoke'!$C$29:'CDO Bespoke'!$C$31,'CDO Bespoke'!$C$33),{5})),"")</f>
        <v>-4.4588227077873901</v>
      </c>
      <c r="T61" s="514" cm="1">
        <f t="array" aca="1" ref="T61" ca="1">IF($O61&lt;&gt;"",-TRANSPOSE(INDEX(getcds('CDO Bespoke'!$C86,T$13,'CDO Bespoke'!$G86/10000,'CDO Bespoke'!J86,'CDO Bespoke'!H86,'CDO Bespoke'!$C$13,'CDO Bespoke'!$C$14,'CDO Bespoke'!$C$15,'CDO Bespoke'!$C$8,,,TRUE,TRUE,FALSE,'CDO Bespoke'!$C$29:'CDO Bespoke'!$C$31,'CDO Bespoke'!$C$33),{5})),"")</f>
        <v>-7.8720573033779599</v>
      </c>
      <c r="U61" s="493"/>
      <c r="V61" s="513">
        <f ca="1"/>
        <v>-1.5147018289705765E-5</v>
      </c>
      <c r="W61" s="572">
        <f ca="1"/>
        <v>2.2731289254021569E-3</v>
      </c>
      <c r="X61" s="572">
        <f ca="1"/>
        <v>2.2357134226921871E-3</v>
      </c>
      <c r="Y61" s="572">
        <f ca="1"/>
        <v>4.0688394390038518E-3</v>
      </c>
      <c r="Z61" s="572">
        <f ca="1"/>
        <v>5.6490545629825362E-3</v>
      </c>
      <c r="AA61" s="572">
        <f ca="1"/>
        <v>8.0892051090158956E-3</v>
      </c>
      <c r="AB61" s="572">
        <f ca="1"/>
        <v>9.8051412270039329E-3</v>
      </c>
      <c r="AC61" s="572">
        <f ca="1"/>
        <v>8.8564308090011146E-3</v>
      </c>
      <c r="AD61" s="572">
        <f ca="1"/>
        <v>6.6533138360497235E-3</v>
      </c>
      <c r="AE61" s="514">
        <f ca="1"/>
        <v>2.5833982994494242E-4</v>
      </c>
    </row>
    <row r="62" spans="6:31" s="281" customFormat="1" ht="12" thickBot="1">
      <c r="F62" s="501">
        <f ca="1">IF('CDO Bespoke'!O63&lt;&gt;"",'CDO Bespoke'!O63,"")</f>
        <v>1.19852775985628</v>
      </c>
      <c r="G62" s="502">
        <f ca="1">IF(F62&lt;&gt;"",ABS(MIN(-0.75*('CDO Bespoke'!Q63+'CDO Bespoke'!T63)+'CDO Bespoke'!T63,0)),"")</f>
        <v>1.154386558579005</v>
      </c>
      <c r="H62" s="502">
        <f t="shared" ca="1" si="0"/>
        <v>4.4141201277275055E-2</v>
      </c>
      <c r="I62" s="502">
        <f t="shared" ca="1" si="3"/>
        <v>0</v>
      </c>
      <c r="J62" s="501">
        <f ca="1">IF('CDO Bespoke'!O63&lt;&gt;"",'CDO Bespoke'!O63,"")</f>
        <v>1.19852775985628</v>
      </c>
      <c r="K62" s="502">
        <f ca="1">IF(J62&lt;&gt;"",ABS(MIN(-0.75*('CDO Bespoke'!K63+'CDO Bespoke'!T63)+'CDO Bespoke'!T63,0)),"")</f>
        <v>0.2243992748597376</v>
      </c>
      <c r="L62" s="502">
        <f t="shared" ca="1" si="1"/>
        <v>0.97412848499654237</v>
      </c>
      <c r="M62" s="506">
        <f t="shared" ca="1" si="2"/>
        <v>0</v>
      </c>
      <c r="O62" s="511" t="str">
        <f ca="1">IF('CDO Bespoke'!C87&lt;&gt;"",'CDO Bespoke'!C87,"")</f>
        <v>EnergieBadenWuerttemberg_MMR.EUR.SU</v>
      </c>
      <c r="P62" s="513" cm="1">
        <f t="array" aca="1" ref="P62" ca="1">IF($O62&lt;&gt;"",-TRANSPOSE(INDEX(getcds('CDO Bespoke'!$C87,P$13,'CDO Bespoke'!$G87/10000,'CDO Bespoke'!F87,'CDO Bespoke'!D87,'CDO Bespoke'!$C$13,'CDO Bespoke'!$C$14,'CDO Bespoke'!$C$15,'CDO Bespoke'!$C$8,,,TRUE,TRUE,FALSE,'CDO Bespoke'!$C$29:'CDO Bespoke'!$C$31,'CDO Bespoke'!$C$33),{5})),"")</f>
        <v>-0.47822809770068903</v>
      </c>
      <c r="Q62" s="524" cm="1">
        <f t="array" aca="1" ref="Q62" ca="1">IF($O62&lt;&gt;"",-TRANSPOSE(INDEX(getcds('CDO Bespoke'!$C87,Q$13,'CDO Bespoke'!$G87/10000,'CDO Bespoke'!G87,'CDO Bespoke'!E87,'CDO Bespoke'!$C$13,'CDO Bespoke'!$C$14,'CDO Bespoke'!$C$15,'CDO Bespoke'!$C$8,,,TRUE,TRUE,FALSE,'CDO Bespoke'!$C$29:'CDO Bespoke'!$C$31,'CDO Bespoke'!$C$33),{5})),"")</f>
        <v>-0.96419499038679102</v>
      </c>
      <c r="R62" s="524" cm="1">
        <f t="array" aca="1" ref="R62" ca="1">IF($O62&lt;&gt;"",-TRANSPOSE(INDEX(getcds('CDO Bespoke'!$C87,R$13,'CDO Bespoke'!$G87/10000,'CDO Bespoke'!H87,'CDO Bespoke'!F87,'CDO Bespoke'!$C$13,'CDO Bespoke'!$C$14,'CDO Bespoke'!$C$15,'CDO Bespoke'!$C$8,,,TRUE,TRUE,FALSE,'CDO Bespoke'!$C$29:'CDO Bespoke'!$C$31,'CDO Bespoke'!$C$33),{5})),"")</f>
        <v>-2.8047503038944002</v>
      </c>
      <c r="S62" s="524" cm="1">
        <f t="array" aca="1" ref="S62" ca="1">IF($O62&lt;&gt;"",-TRANSPOSE(INDEX(getcds('CDO Bespoke'!$C87,S$13,'CDO Bespoke'!$G87/10000,'CDO Bespoke'!I87,'CDO Bespoke'!G87,'CDO Bespoke'!$C$13,'CDO Bespoke'!$C$14,'CDO Bespoke'!$C$15,'CDO Bespoke'!$C$8,,,TRUE,TRUE,FALSE,'CDO Bespoke'!$C$29:'CDO Bespoke'!$C$31,'CDO Bespoke'!$C$33),{5})),"")</f>
        <v>-4.4805242967035701</v>
      </c>
      <c r="T62" s="514" cm="1">
        <f t="array" aca="1" ref="T62" ca="1">IF($O62&lt;&gt;"",-TRANSPOSE(INDEX(getcds('CDO Bespoke'!$C87,T$13,'CDO Bespoke'!$G87/10000,'CDO Bespoke'!J87,'CDO Bespoke'!H87,'CDO Bespoke'!$C$13,'CDO Bespoke'!$C$14,'CDO Bespoke'!$C$15,'CDO Bespoke'!$C$8,,,TRUE,TRUE,FALSE,'CDO Bespoke'!$C$29:'CDO Bespoke'!$C$31,'CDO Bespoke'!$C$33),{5})),"")</f>
        <v>-7.9826228309583902</v>
      </c>
      <c r="U62" s="493"/>
      <c r="V62" s="513">
        <f ca="1"/>
        <v>-1.1361302029917232E-5</v>
      </c>
      <c r="W62" s="572">
        <f ca="1"/>
        <v>2.2814620611981418E-3</v>
      </c>
      <c r="X62" s="572">
        <f ca="1"/>
        <v>2.2907002346014838E-3</v>
      </c>
      <c r="Y62" s="572">
        <f ca="1"/>
        <v>4.3469640349791394E-3</v>
      </c>
      <c r="Z62" s="572">
        <f ca="1"/>
        <v>6.0510830639931568E-3</v>
      </c>
      <c r="AA62" s="572">
        <f ca="1"/>
        <v>8.9944013299814163E-3</v>
      </c>
      <c r="AB62" s="572">
        <f ca="1"/>
        <v>1.2377517683986872E-2</v>
      </c>
      <c r="AC62" s="572">
        <f ca="1"/>
        <v>1.281089408805558E-2</v>
      </c>
      <c r="AD62" s="572">
        <f ca="1"/>
        <v>1.1663193574956709E-2</v>
      </c>
      <c r="AE62" s="514">
        <f ca="1"/>
        <v>6.8830426620813956E-3</v>
      </c>
    </row>
    <row r="63" spans="6:31" s="281" customFormat="1" ht="12" thickBot="1">
      <c r="F63" s="501">
        <f ca="1">IF('CDO Bespoke'!O64&lt;&gt;"",'CDO Bespoke'!O64,"")</f>
        <v>1.1983574387559099</v>
      </c>
      <c r="G63" s="502">
        <f ca="1">IF(F63&lt;&gt;"",ABS(MIN(-0.75*('CDO Bespoke'!Q64+'CDO Bespoke'!T64)+'CDO Bespoke'!T64,0)),"")</f>
        <v>1.1553825976689347</v>
      </c>
      <c r="H63" s="502">
        <f t="shared" ca="1" si="0"/>
        <v>4.2974841086975246E-2</v>
      </c>
      <c r="I63" s="502">
        <f t="shared" ca="1" si="3"/>
        <v>0</v>
      </c>
      <c r="J63" s="501">
        <f ca="1">IF('CDO Bespoke'!O64&lt;&gt;"",'CDO Bespoke'!O64,"")</f>
        <v>1.1983574387559099</v>
      </c>
      <c r="K63" s="502">
        <f ca="1">IF(J63&lt;&gt;"",ABS(MIN(-0.75*('CDO Bespoke'!K64+'CDO Bespoke'!T64)+'CDO Bespoke'!T64,0)),"")</f>
        <v>0.23339692877615786</v>
      </c>
      <c r="L63" s="502">
        <f t="shared" ca="1" si="1"/>
        <v>0.96496050997975202</v>
      </c>
      <c r="M63" s="506">
        <f t="shared" ca="1" si="2"/>
        <v>0</v>
      </c>
      <c r="O63" s="511" t="str">
        <f ca="1">IF('CDO Bespoke'!C88&lt;&gt;"",'CDO Bespoke'!C88,"")</f>
        <v>Eon_MMR.EUR.SU</v>
      </c>
      <c r="P63" s="513" cm="1">
        <f t="array" aca="1" ref="P63" ca="1">IF($O63&lt;&gt;"",-TRANSPOSE(INDEX(getcds('CDO Bespoke'!$C88,P$13,'CDO Bespoke'!$G88/10000,'CDO Bespoke'!F88,'CDO Bespoke'!D88,'CDO Bespoke'!$C$13,'CDO Bespoke'!$C$14,'CDO Bespoke'!$C$15,'CDO Bespoke'!$C$8,,,TRUE,TRUE,FALSE,'CDO Bespoke'!$C$29:'CDO Bespoke'!$C$31,'CDO Bespoke'!$C$33),{5})),"")</f>
        <v>-0.47818955615327402</v>
      </c>
      <c r="Q63" s="524" cm="1">
        <f t="array" aca="1" ref="Q63" ca="1">IF($O63&lt;&gt;"",-TRANSPOSE(INDEX(getcds('CDO Bespoke'!$C88,Q$13,'CDO Bespoke'!$G88/10000,'CDO Bespoke'!G88,'CDO Bespoke'!E88,'CDO Bespoke'!$C$13,'CDO Bespoke'!$C$14,'CDO Bespoke'!$C$15,'CDO Bespoke'!$C$8,,,TRUE,TRUE,FALSE,'CDO Bespoke'!$C$29:'CDO Bespoke'!$C$31,'CDO Bespoke'!$C$33),{5})),"")</f>
        <v>-0.96403723042834799</v>
      </c>
      <c r="R63" s="524" cm="1">
        <f t="array" aca="1" ref="R63" ca="1">IF($O63&lt;&gt;"",-TRANSPOSE(INDEX(getcds('CDO Bespoke'!$C88,R$13,'CDO Bespoke'!$G88/10000,'CDO Bespoke'!H88,'CDO Bespoke'!F88,'CDO Bespoke'!$C$13,'CDO Bespoke'!$C$14,'CDO Bespoke'!$C$15,'CDO Bespoke'!$C$8,,,TRUE,TRUE,FALSE,'CDO Bespoke'!$C$29:'CDO Bespoke'!$C$31,'CDO Bespoke'!$C$33),{5})),"")</f>
        <v>-2.80318477095576</v>
      </c>
      <c r="S63" s="524" cm="1">
        <f t="array" aca="1" ref="S63" ca="1">IF($O63&lt;&gt;"",-TRANSPOSE(INDEX(getcds('CDO Bespoke'!$C88,S$13,'CDO Bespoke'!$G88/10000,'CDO Bespoke'!I88,'CDO Bespoke'!G88,'CDO Bespoke'!$C$13,'CDO Bespoke'!$C$14,'CDO Bespoke'!$C$15,'CDO Bespoke'!$C$8,,,TRUE,TRUE,FALSE,'CDO Bespoke'!$C$29:'CDO Bespoke'!$C$31,'CDO Bespoke'!$C$33),{5})),"")</f>
        <v>-4.4773020281462603</v>
      </c>
      <c r="T63" s="514" cm="1">
        <f t="array" aca="1" ref="T63" ca="1">IF($O63&lt;&gt;"",-TRANSPOSE(INDEX(getcds('CDO Bespoke'!$C88,T$13,'CDO Bespoke'!$G88/10000,'CDO Bespoke'!J88,'CDO Bespoke'!H88,'CDO Bespoke'!$C$13,'CDO Bespoke'!$C$14,'CDO Bespoke'!$C$15,'CDO Bespoke'!$C$8,,,TRUE,TRUE,FALSE,'CDO Bespoke'!$C$29:'CDO Bespoke'!$C$31,'CDO Bespoke'!$C$33),{5})),"")</f>
        <v>-7.96893192795853</v>
      </c>
      <c r="U63" s="493"/>
      <c r="V63" s="513">
        <f ca="1"/>
        <v>-1.5147018289705765E-5</v>
      </c>
      <c r="W63" s="572">
        <f ca="1"/>
        <v>2.2731289254021569E-3</v>
      </c>
      <c r="X63" s="572">
        <f ca="1"/>
        <v>2.2744709447103384E-3</v>
      </c>
      <c r="Y63" s="572">
        <f ca="1"/>
        <v>4.2786261299915251E-3</v>
      </c>
      <c r="Z63" s="572">
        <f ca="1"/>
        <v>6.1271960200004472E-3</v>
      </c>
      <c r="AA63" s="572">
        <f ca="1"/>
        <v>8.8517413859845462E-3</v>
      </c>
      <c r="AB63" s="572">
        <f ca="1"/>
        <v>1.1959691723004151E-2</v>
      </c>
      <c r="AC63" s="572">
        <f ca="1"/>
        <v>1.2153666863051749E-2</v>
      </c>
      <c r="AD63" s="572">
        <f ca="1"/>
        <v>1.0809105009945696E-2</v>
      </c>
      <c r="AE63" s="514">
        <f ca="1"/>
        <v>5.7082777510375493E-3</v>
      </c>
    </row>
    <row r="64" spans="6:31" s="281" customFormat="1" ht="12" thickBot="1">
      <c r="F64" s="501">
        <f ca="1">IF('CDO Bespoke'!O65&lt;&gt;"",'CDO Bespoke'!O65,"")</f>
        <v>1.19818012007576</v>
      </c>
      <c r="G64" s="502">
        <f ca="1">IF(F64&lt;&gt;"",ABS(MIN(-0.75*('CDO Bespoke'!Q65+'CDO Bespoke'!T65)+'CDO Bespoke'!T65,0)),"")</f>
        <v>1.156903037963666</v>
      </c>
      <c r="H64" s="502">
        <f t="shared" ca="1" si="0"/>
        <v>4.1277082112094021E-2</v>
      </c>
      <c r="I64" s="502">
        <f t="shared" ca="1" si="3"/>
        <v>0</v>
      </c>
      <c r="J64" s="501">
        <f ca="1">IF('CDO Bespoke'!O65&lt;&gt;"",'CDO Bespoke'!O65,"")</f>
        <v>1.19818012007576</v>
      </c>
      <c r="K64" s="502">
        <f ca="1">IF(J64&lt;&gt;"",ABS(MIN(-0.75*('CDO Bespoke'!K65+'CDO Bespoke'!T65)+'CDO Bespoke'!T65,0)),"")</f>
        <v>0.24268689521249442</v>
      </c>
      <c r="L64" s="502">
        <f t="shared" ca="1" si="1"/>
        <v>0.9554932248632656</v>
      </c>
      <c r="M64" s="506">
        <f t="shared" ca="1" si="2"/>
        <v>0</v>
      </c>
      <c r="O64" s="511" t="str">
        <f ca="1">IF('CDO Bespoke'!C89&lt;&gt;"",'CDO Bespoke'!C89,"")</f>
        <v>FortumOyj_MMR.EUR.SU</v>
      </c>
      <c r="P64" s="513" cm="1">
        <f t="array" aca="1" ref="P64" ca="1">IF($O64&lt;&gt;"",-TRANSPOSE(INDEX(getcds('CDO Bespoke'!$C89,P$13,'CDO Bespoke'!$G89/10000,'CDO Bespoke'!F89,'CDO Bespoke'!D89,'CDO Bespoke'!$C$13,'CDO Bespoke'!$C$14,'CDO Bespoke'!$C$15,'CDO Bespoke'!$C$8,,,TRUE,TRUE,FALSE,'CDO Bespoke'!$C$29:'CDO Bespoke'!$C$31,'CDO Bespoke'!$C$33),{5})),"")</f>
        <v>-0.47824737003613499</v>
      </c>
      <c r="Q64" s="524" cm="1">
        <f t="array" aca="1" ref="Q64" ca="1">IF($O64&lt;&gt;"",-TRANSPOSE(INDEX(getcds('CDO Bespoke'!$C89,Q$13,'CDO Bespoke'!$G89/10000,'CDO Bespoke'!G89,'CDO Bespoke'!E89,'CDO Bespoke'!$C$13,'CDO Bespoke'!$C$14,'CDO Bespoke'!$C$15,'CDO Bespoke'!$C$8,,,TRUE,TRUE,FALSE,'CDO Bespoke'!$C$29:'CDO Bespoke'!$C$31,'CDO Bespoke'!$C$33),{5})),"")</f>
        <v>-0.96429966064517303</v>
      </c>
      <c r="R64" s="524" cm="1">
        <f t="array" aca="1" ref="R64" ca="1">IF($O64&lt;&gt;"",-TRANSPOSE(INDEX(getcds('CDO Bespoke'!$C89,R$13,'CDO Bespoke'!$G89/10000,'CDO Bespoke'!H89,'CDO Bespoke'!F89,'CDO Bespoke'!$C$13,'CDO Bespoke'!$C$14,'CDO Bespoke'!$C$15,'CDO Bespoke'!$C$8,,,TRUE,TRUE,FALSE,'CDO Bespoke'!$C$29:'CDO Bespoke'!$C$31,'CDO Bespoke'!$C$33),{5})),"")</f>
        <v>-2.80557705700785</v>
      </c>
      <c r="S64" s="524" cm="1">
        <f t="array" aca="1" ref="S64" ca="1">IF($O64&lt;&gt;"",-TRANSPOSE(INDEX(getcds('CDO Bespoke'!$C89,S$13,'CDO Bespoke'!$G89/10000,'CDO Bespoke'!I89,'CDO Bespoke'!G89,'CDO Bespoke'!$C$13,'CDO Bespoke'!$C$14,'CDO Bespoke'!$C$15,'CDO Bespoke'!$C$8,,,TRUE,TRUE,FALSE,'CDO Bespoke'!$C$29:'CDO Bespoke'!$C$31,'CDO Bespoke'!$C$33),{5})),"")</f>
        <v>-4.4782985415699503</v>
      </c>
      <c r="T64" s="514" cm="1">
        <f t="array" aca="1" ref="T64" ca="1">IF($O64&lt;&gt;"",-TRANSPOSE(INDEX(getcds('CDO Bespoke'!$C89,T$13,'CDO Bespoke'!$G89/10000,'CDO Bespoke'!J89,'CDO Bespoke'!H89,'CDO Bespoke'!$C$13,'CDO Bespoke'!$C$14,'CDO Bespoke'!$C$15,'CDO Bespoke'!$C$8,,,TRUE,TRUE,FALSE,'CDO Bespoke'!$C$29:'CDO Bespoke'!$C$31,'CDO Bespoke'!$C$33),{5})),"")</f>
        <v>-7.9477109414827698</v>
      </c>
      <c r="U64" s="493"/>
      <c r="V64" s="513">
        <f ca="1"/>
        <v>-9.4681843799699489E-6</v>
      </c>
      <c r="W64" s="572">
        <f ca="1"/>
        <v>2.2856297009991172E-3</v>
      </c>
      <c r="X64" s="572">
        <f ca="1"/>
        <v>2.3376038891034789E-3</v>
      </c>
      <c r="Y64" s="572">
        <f ca="1"/>
        <v>4.3254230119860182E-3</v>
      </c>
      <c r="Z64" s="572">
        <f ca="1"/>
        <v>6.0002408790171824E-3</v>
      </c>
      <c r="AA64" s="572">
        <f ca="1"/>
        <v>8.4888939769905969E-3</v>
      </c>
      <c r="AB64" s="572">
        <f ca="1"/>
        <v>1.1517810711986209E-2</v>
      </c>
      <c r="AC64" s="572">
        <f ca="1"/>
        <v>1.1477488415997938E-2</v>
      </c>
      <c r="AD64" s="572">
        <f ca="1"/>
        <v>9.9643803609661408E-3</v>
      </c>
      <c r="AE64" s="514">
        <f ca="1"/>
        <v>4.6082044770356934E-3</v>
      </c>
    </row>
    <row r="65" spans="6:31" s="281" customFormat="1" ht="12" thickBot="1">
      <c r="F65" s="501">
        <f ca="1">IF('CDO Bespoke'!O66&lt;&gt;"",'CDO Bespoke'!O66,"")</f>
        <v>1.19786588048085</v>
      </c>
      <c r="G65" s="502">
        <f ca="1">IF(F65&lt;&gt;"",ABS(MIN(-0.75*('CDO Bespoke'!Q66+'CDO Bespoke'!T66)+'CDO Bespoke'!T66,0)),"")</f>
        <v>1.1583688754423405</v>
      </c>
      <c r="H65" s="502">
        <f t="shared" ca="1" si="0"/>
        <v>3.9497005038509503E-2</v>
      </c>
      <c r="I65" s="502">
        <f t="shared" ca="1" si="3"/>
        <v>0</v>
      </c>
      <c r="J65" s="501">
        <f ca="1">IF('CDO Bespoke'!O66&lt;&gt;"",'CDO Bespoke'!O66,"")</f>
        <v>1.19786588048085</v>
      </c>
      <c r="K65" s="502">
        <f ca="1">IF(J65&lt;&gt;"",ABS(MIN(-0.75*('CDO Bespoke'!K66+'CDO Bespoke'!T66)+'CDO Bespoke'!T66,0)),"")</f>
        <v>0.25592197025201829</v>
      </c>
      <c r="L65" s="502">
        <f t="shared" ca="1" si="1"/>
        <v>0.94194391022883162</v>
      </c>
      <c r="M65" s="506">
        <f t="shared" ca="1" si="2"/>
        <v>0</v>
      </c>
      <c r="O65" s="511" t="str">
        <f ca="1">IF('CDO Bespoke'!C90&lt;&gt;"",'CDO Bespoke'!C90,"")</f>
        <v>FranceTelecom_MMR.EUR.SU</v>
      </c>
      <c r="P65" s="513" cm="1">
        <f t="array" aca="1" ref="P65" ca="1">IF($O65&lt;&gt;"",-TRANSPOSE(INDEX(getcds('CDO Bespoke'!$C90,P$13,'CDO Bespoke'!$G90/10000,'CDO Bespoke'!F90,'CDO Bespoke'!D90,'CDO Bespoke'!$C$13,'CDO Bespoke'!$C$14,'CDO Bespoke'!$C$15,'CDO Bespoke'!$C$8,,,TRUE,TRUE,FALSE,'CDO Bespoke'!$C$29:'CDO Bespoke'!$C$31,'CDO Bespoke'!$C$33),{5})),"")</f>
        <v>-0.47815101876911398</v>
      </c>
      <c r="Q65" s="524" cm="1">
        <f t="array" aca="1" ref="Q65" ca="1">IF($O65&lt;&gt;"",-TRANSPOSE(INDEX(getcds('CDO Bespoke'!$C90,Q$13,'CDO Bespoke'!$G90/10000,'CDO Bespoke'!G90,'CDO Bespoke'!E90,'CDO Bespoke'!$C$13,'CDO Bespoke'!$C$14,'CDO Bespoke'!$C$15,'CDO Bespoke'!$C$8,,,TRUE,TRUE,FALSE,'CDO Bespoke'!$C$29:'CDO Bespoke'!$C$31,'CDO Bespoke'!$C$33),{5})),"")</f>
        <v>-0.96389238818517198</v>
      </c>
      <c r="R65" s="524" cm="1">
        <f t="array" aca="1" ref="R65" ca="1">IF($O65&lt;&gt;"",-TRANSPOSE(INDEX(getcds('CDO Bespoke'!$C90,R$13,'CDO Bespoke'!$G90/10000,'CDO Bespoke'!H90,'CDO Bespoke'!F90,'CDO Bespoke'!$C$13,'CDO Bespoke'!$C$14,'CDO Bespoke'!$C$15,'CDO Bespoke'!$C$8,,,TRUE,TRUE,FALSE,'CDO Bespoke'!$C$29:'CDO Bespoke'!$C$31,'CDO Bespoke'!$C$33),{5})),"")</f>
        <v>-2.8026759566976498</v>
      </c>
      <c r="S65" s="524" cm="1">
        <f t="array" aca="1" ref="S65" ca="1">IF($O65&lt;&gt;"",-TRANSPOSE(INDEX(getcds('CDO Bespoke'!$C90,S$13,'CDO Bespoke'!$G90/10000,'CDO Bespoke'!I90,'CDO Bespoke'!G90,'CDO Bespoke'!$C$13,'CDO Bespoke'!$C$14,'CDO Bespoke'!$C$15,'CDO Bespoke'!$C$8,,,TRUE,TRUE,FALSE,'CDO Bespoke'!$C$29:'CDO Bespoke'!$C$31,'CDO Bespoke'!$C$33),{5})),"")</f>
        <v>-4.4709911425152802</v>
      </c>
      <c r="T65" s="514" cm="1">
        <f t="array" aca="1" ref="T65" ca="1">IF($O65&lt;&gt;"",-TRANSPOSE(INDEX(getcds('CDO Bespoke'!$C90,T$13,'CDO Bespoke'!$G90/10000,'CDO Bespoke'!J90,'CDO Bespoke'!H90,'CDO Bespoke'!$C$13,'CDO Bespoke'!$C$14,'CDO Bespoke'!$C$15,'CDO Bespoke'!$C$8,,,TRUE,TRUE,FALSE,'CDO Bespoke'!$C$29:'CDO Bespoke'!$C$31,'CDO Bespoke'!$C$33),{5})),"")</f>
        <v>-7.9228069147152</v>
      </c>
      <c r="U65" s="493"/>
      <c r="V65" s="513">
        <f ca="1"/>
        <v>-1.8932042670214734E-5</v>
      </c>
      <c r="W65" s="572">
        <f ca="1"/>
        <v>2.2647986473983001E-3</v>
      </c>
      <c r="X65" s="572">
        <f ca="1"/>
        <v>2.2776285455924916E-3</v>
      </c>
      <c r="Y65" s="572">
        <f ca="1"/>
        <v>4.3331110110081394E-3</v>
      </c>
      <c r="Z65" s="572">
        <f ca="1"/>
        <v>5.7738412419933161E-3</v>
      </c>
      <c r="AA65" s="572">
        <f ca="1"/>
        <v>8.4806523980088255E-3</v>
      </c>
      <c r="AB65" s="572">
        <f ca="1"/>
        <v>1.0543028024986856E-2</v>
      </c>
      <c r="AC65" s="572">
        <f ca="1"/>
        <v>9.9638833969684093E-3</v>
      </c>
      <c r="AD65" s="572">
        <f ca="1"/>
        <v>8.0126809479802441E-3</v>
      </c>
      <c r="AE65" s="514">
        <f ca="1"/>
        <v>1.9703678050264628E-3</v>
      </c>
    </row>
    <row r="66" spans="6:31" s="281" customFormat="1" ht="12" thickBot="1">
      <c r="F66" s="501">
        <f ca="1">IF('CDO Bespoke'!O67&lt;&gt;"",'CDO Bespoke'!O67,"")</f>
        <v>1.1985362697017301</v>
      </c>
      <c r="G66" s="502">
        <f ca="1">IF(F66&lt;&gt;"",ABS(MIN(-0.75*('CDO Bespoke'!Q67+'CDO Bespoke'!T67)+'CDO Bespoke'!T67,0)),"")</f>
        <v>1.1549367136967386</v>
      </c>
      <c r="H66" s="502">
        <f t="shared" ca="1" si="0"/>
        <v>4.3599556004991546E-2</v>
      </c>
      <c r="I66" s="502">
        <f t="shared" ca="1" si="3"/>
        <v>0</v>
      </c>
      <c r="J66" s="501">
        <f ca="1">IF('CDO Bespoke'!O67&lt;&gt;"",'CDO Bespoke'!O67,"")</f>
        <v>1.1985362697017301</v>
      </c>
      <c r="K66" s="502">
        <f ca="1">IF(J66&lt;&gt;"",ABS(MIN(-0.75*('CDO Bespoke'!K67+'CDO Bespoke'!T67)+'CDO Bespoke'!T67,0)),"")</f>
        <v>0.22617437820434177</v>
      </c>
      <c r="L66" s="502">
        <f t="shared" ca="1" si="1"/>
        <v>0.97236189149738839</v>
      </c>
      <c r="M66" s="506">
        <f t="shared" ca="1" si="2"/>
        <v>0</v>
      </c>
      <c r="O66" s="511" t="str">
        <f ca="1">IF('CDO Bespoke'!C91&lt;&gt;"",'CDO Bespoke'!C91,"")</f>
        <v>GallaherGroupPlc_MMR.EUR.SU</v>
      </c>
      <c r="P66" s="513" cm="1">
        <f t="array" aca="1" ref="P66" ca="1">IF($O66&lt;&gt;"",-TRANSPOSE(INDEX(getcds('CDO Bespoke'!$C91,P$13,'CDO Bespoke'!$G91/10000,'CDO Bespoke'!F91,'CDO Bespoke'!D91,'CDO Bespoke'!$C$13,'CDO Bespoke'!$C$14,'CDO Bespoke'!$C$15,'CDO Bespoke'!$C$8,,,TRUE,TRUE,FALSE,'CDO Bespoke'!$C$29:'CDO Bespoke'!$C$31,'CDO Bespoke'!$C$33),{5})),"")</f>
        <v>-0.47828591783154101</v>
      </c>
      <c r="Q66" s="524" cm="1">
        <f t="array" aca="1" ref="Q66" ca="1">IF($O66&lt;&gt;"",-TRANSPOSE(INDEX(getcds('CDO Bespoke'!$C91,Q$13,'CDO Bespoke'!$G91/10000,'CDO Bespoke'!G91,'CDO Bespoke'!E91,'CDO Bespoke'!$C$13,'CDO Bespoke'!$C$14,'CDO Bespoke'!$C$15,'CDO Bespoke'!$C$8,,,TRUE,TRUE,FALSE,'CDO Bespoke'!$C$29:'CDO Bespoke'!$C$31,'CDO Bespoke'!$C$33),{5})),"")</f>
        <v>-0.96444458638031605</v>
      </c>
      <c r="R66" s="524" cm="1">
        <f t="array" aca="1" ref="R66" ca="1">IF($O66&lt;&gt;"",-TRANSPOSE(INDEX(getcds('CDO Bespoke'!$C91,R$13,'CDO Bespoke'!$G91/10000,'CDO Bespoke'!H91,'CDO Bespoke'!F91,'CDO Bespoke'!$C$13,'CDO Bespoke'!$C$14,'CDO Bespoke'!$C$15,'CDO Bespoke'!$C$8,,,TRUE,TRUE,FALSE,'CDO Bespoke'!$C$29:'CDO Bespoke'!$C$31,'CDO Bespoke'!$C$33),{5})),"")</f>
        <v>-2.8068094179385699</v>
      </c>
      <c r="S66" s="524" cm="1">
        <f t="array" aca="1" ref="S66" ca="1">IF($O66&lt;&gt;"",-TRANSPOSE(INDEX(getcds('CDO Bespoke'!$C91,S$13,'CDO Bespoke'!$G91/10000,'CDO Bespoke'!I91,'CDO Bespoke'!G91,'CDO Bespoke'!$C$13,'CDO Bespoke'!$C$14,'CDO Bespoke'!$C$15,'CDO Bespoke'!$C$8,,,TRUE,TRUE,FALSE,'CDO Bespoke'!$C$29:'CDO Bespoke'!$C$31,'CDO Bespoke'!$C$33),{5})),"")</f>
        <v>-4.48297457676607</v>
      </c>
      <c r="T66" s="514" cm="1">
        <f t="array" aca="1" ref="T66" ca="1">IF($O66&lt;&gt;"",-TRANSPOSE(INDEX(getcds('CDO Bespoke'!$C91,T$13,'CDO Bespoke'!$G91/10000,'CDO Bespoke'!J91,'CDO Bespoke'!H91,'CDO Bespoke'!$C$13,'CDO Bespoke'!$C$14,'CDO Bespoke'!$C$15,'CDO Bespoke'!$C$8,,,TRUE,TRUE,FALSE,'CDO Bespoke'!$C$29:'CDO Bespoke'!$C$31,'CDO Bespoke'!$C$33),{5})),"")</f>
        <v>-7.9736356552615302</v>
      </c>
      <c r="U66" s="493"/>
      <c r="V66" s="513">
        <f ca="1"/>
        <v>-5.6814299600094383E-6</v>
      </c>
      <c r="W66" s="572">
        <f ca="1"/>
        <v>2.293967125205007E-3</v>
      </c>
      <c r="X66" s="572">
        <f ca="1"/>
        <v>2.3344619778063735E-3</v>
      </c>
      <c r="Y66" s="572">
        <f ca="1"/>
        <v>4.3773746510183953E-3</v>
      </c>
      <c r="Z66" s="572">
        <f ca="1"/>
        <v>6.0506407750099411E-3</v>
      </c>
      <c r="AA66" s="572">
        <f ca="1"/>
        <v>8.7748783220154003E-3</v>
      </c>
      <c r="AB66" s="572">
        <f ca="1"/>
        <v>1.2351406778049467E-2</v>
      </c>
      <c r="AC66" s="572">
        <f ca="1"/>
        <v>1.2785479295007729E-2</v>
      </c>
      <c r="AD66" s="572">
        <f ca="1"/>
        <v>1.1660187236028907E-2</v>
      </c>
      <c r="AE66" s="514">
        <f ca="1"/>
        <v>6.9316210619951857E-3</v>
      </c>
    </row>
    <row r="67" spans="6:31" s="281" customFormat="1" ht="12" thickBot="1">
      <c r="F67" s="501">
        <f ca="1">IF('CDO Bespoke'!O68&lt;&gt;"",'CDO Bespoke'!O68,"")</f>
        <v>1.19876567972153</v>
      </c>
      <c r="G67" s="502">
        <f ca="1">IF(F67&lt;&gt;"",ABS(MIN(-0.75*('CDO Bespoke'!Q68+'CDO Bespoke'!T68)+'CDO Bespoke'!T68,0)),"")</f>
        <v>1.1534333354039947</v>
      </c>
      <c r="H67" s="502">
        <f t="shared" ca="1" si="0"/>
        <v>4.53323443175353E-2</v>
      </c>
      <c r="I67" s="502">
        <f t="shared" ca="1" si="3"/>
        <v>0</v>
      </c>
      <c r="J67" s="501">
        <f ca="1">IF('CDO Bespoke'!O68&lt;&gt;"",'CDO Bespoke'!O68,"")</f>
        <v>1.19876567972153</v>
      </c>
      <c r="K67" s="502">
        <f ca="1">IF(J67&lt;&gt;"",ABS(MIN(-0.75*('CDO Bespoke'!K68+'CDO Bespoke'!T68)+'CDO Bespoke'!T68,0)),"")</f>
        <v>0.21323902939469258</v>
      </c>
      <c r="L67" s="502">
        <f t="shared" ca="1" si="1"/>
        <v>0.98552665032683739</v>
      </c>
      <c r="M67" s="506">
        <f t="shared" ca="1" si="2"/>
        <v>0</v>
      </c>
      <c r="O67" s="511" t="str">
        <f ca="1">IF('CDO Bespoke'!C92&lt;&gt;"",'CDO Bespoke'!C92,"")</f>
        <v>GasNaturalSdgSa_MMR.EUR.SU</v>
      </c>
      <c r="P67" s="513" cm="1">
        <f t="array" aca="1" ref="P67" ca="1">IF($O67&lt;&gt;"",-TRANSPOSE(INDEX(getcds('CDO Bespoke'!$C92,P$13,'CDO Bespoke'!$G92/10000,'CDO Bespoke'!F92,'CDO Bespoke'!D92,'CDO Bespoke'!$C$13,'CDO Bespoke'!$C$14,'CDO Bespoke'!$C$15,'CDO Bespoke'!$C$8,,,TRUE,TRUE,FALSE,'CDO Bespoke'!$C$29:'CDO Bespoke'!$C$31,'CDO Bespoke'!$C$33),{5})),"")</f>
        <v>-0.47828591783154101</v>
      </c>
      <c r="Q67" s="524" cm="1">
        <f t="array" aca="1" ref="Q67" ca="1">IF($O67&lt;&gt;"",-TRANSPOSE(INDEX(getcds('CDO Bespoke'!$C92,Q$13,'CDO Bespoke'!$G92/10000,'CDO Bespoke'!G92,'CDO Bespoke'!E92,'CDO Bespoke'!$C$13,'CDO Bespoke'!$C$14,'CDO Bespoke'!$C$15,'CDO Bespoke'!$C$8,,,TRUE,TRUE,FALSE,'CDO Bespoke'!$C$29:'CDO Bespoke'!$C$31,'CDO Bespoke'!$C$33),{5})),"")</f>
        <v>-0.96444458638031605</v>
      </c>
      <c r="R67" s="524" cm="1">
        <f t="array" aca="1" ref="R67" ca="1">IF($O67&lt;&gt;"",-TRANSPOSE(INDEX(getcds('CDO Bespoke'!$C92,R$13,'CDO Bespoke'!$G92/10000,'CDO Bespoke'!H92,'CDO Bespoke'!F92,'CDO Bespoke'!$C$13,'CDO Bespoke'!$C$14,'CDO Bespoke'!$C$15,'CDO Bespoke'!$C$8,,,TRUE,TRUE,FALSE,'CDO Bespoke'!$C$29:'CDO Bespoke'!$C$31,'CDO Bespoke'!$C$33),{5})),"")</f>
        <v>-2.8070944732477598</v>
      </c>
      <c r="S67" s="524" cm="1">
        <f t="array" aca="1" ref="S67" ca="1">IF($O67&lt;&gt;"",-TRANSPOSE(INDEX(getcds('CDO Bespoke'!$C92,S$13,'CDO Bespoke'!$G92/10000,'CDO Bespoke'!I92,'CDO Bespoke'!G92,'CDO Bespoke'!$C$13,'CDO Bespoke'!$C$14,'CDO Bespoke'!$C$15,'CDO Bespoke'!$C$8,,,TRUE,TRUE,FALSE,'CDO Bespoke'!$C$29:'CDO Bespoke'!$C$31,'CDO Bespoke'!$C$33),{5})),"")</f>
        <v>-4.4861719409174396</v>
      </c>
      <c r="T67" s="514" cm="1">
        <f t="array" aca="1" ref="T67" ca="1">IF($O67&lt;&gt;"",-TRANSPOSE(INDEX(getcds('CDO Bespoke'!$C92,T$13,'CDO Bespoke'!$G92/10000,'CDO Bespoke'!J92,'CDO Bespoke'!H92,'CDO Bespoke'!$C$13,'CDO Bespoke'!$C$14,'CDO Bespoke'!$C$15,'CDO Bespoke'!$C$8,,,TRUE,TRUE,FALSE,'CDO Bespoke'!$C$29:'CDO Bespoke'!$C$31,'CDO Bespoke'!$C$33),{5})),"")</f>
        <v>-7.9982771032899898</v>
      </c>
      <c r="U67" s="493"/>
      <c r="V67" s="513">
        <f ca="1"/>
        <v>-5.6814299600094383E-6</v>
      </c>
      <c r="W67" s="572">
        <f ca="1"/>
        <v>2.293967125205007E-3</v>
      </c>
      <c r="X67" s="572">
        <f ca="1"/>
        <v>2.3344619778063735E-3</v>
      </c>
      <c r="Y67" s="572">
        <f ca="1"/>
        <v>4.3773746510183953E-3</v>
      </c>
      <c r="Z67" s="572">
        <f ca="1"/>
        <v>6.2025248129954358E-3</v>
      </c>
      <c r="AA67" s="572">
        <f ca="1"/>
        <v>8.9615242789692351E-3</v>
      </c>
      <c r="AB67" s="572">
        <f ca="1"/>
        <v>1.279447408797374E-2</v>
      </c>
      <c r="AC67" s="572">
        <f ca="1"/>
        <v>1.3471684840032916E-2</v>
      </c>
      <c r="AD67" s="572">
        <f ca="1"/>
        <v>1.2527978722060018E-2</v>
      </c>
      <c r="AE67" s="514">
        <f ca="1"/>
        <v>8.0867714630228349E-3</v>
      </c>
    </row>
    <row r="68" spans="6:31" s="281" customFormat="1" ht="12" thickBot="1">
      <c r="F68" s="501">
        <f ca="1">IF('CDO Bespoke'!O69&lt;&gt;"",'CDO Bespoke'!O69,"")</f>
        <v>1.1986948104296899</v>
      </c>
      <c r="G68" s="502">
        <f ca="1">IF(F68&lt;&gt;"",ABS(MIN(-0.75*('CDO Bespoke'!Q69+'CDO Bespoke'!T69)+'CDO Bespoke'!T69,0)),"")</f>
        <v>1.1539439578708524</v>
      </c>
      <c r="H68" s="502">
        <f t="shared" ca="1" si="0"/>
        <v>4.4750852558837595E-2</v>
      </c>
      <c r="I68" s="502">
        <f t="shared" ca="1" si="3"/>
        <v>0</v>
      </c>
      <c r="J68" s="501">
        <f ca="1">IF('CDO Bespoke'!O69&lt;&gt;"",'CDO Bespoke'!O69,"")</f>
        <v>1.1986948104296899</v>
      </c>
      <c r="K68" s="502">
        <f ca="1">IF(J68&lt;&gt;"",ABS(MIN(-0.75*('CDO Bespoke'!K69+'CDO Bespoke'!T69)+'CDO Bespoke'!T69,0)),"")</f>
        <v>0.2178739416396295</v>
      </c>
      <c r="L68" s="502">
        <f t="shared" ca="1" si="1"/>
        <v>0.98082086879006047</v>
      </c>
      <c r="M68" s="506">
        <f t="shared" ca="1" si="2"/>
        <v>0</v>
      </c>
      <c r="O68" s="511" t="str">
        <f ca="1">IF('CDO Bespoke'!C93&lt;&gt;"",'CDO Bespoke'!C93,"")</f>
        <v>GazdeFrance_MMR.EUR.SU</v>
      </c>
      <c r="P68" s="513" cm="1">
        <f t="array" aca="1" ref="P68" ca="1">IF($O68&lt;&gt;"",-TRANSPOSE(INDEX(getcds('CDO Bespoke'!$C93,P$13,'CDO Bespoke'!$G93/10000,'CDO Bespoke'!F93,'CDO Bespoke'!D93,'CDO Bespoke'!$C$13,'CDO Bespoke'!$C$14,'CDO Bespoke'!$C$15,'CDO Bespoke'!$C$8,,,TRUE,TRUE,FALSE,'CDO Bespoke'!$C$29:'CDO Bespoke'!$C$31,'CDO Bespoke'!$C$33),{5})),"")</f>
        <v>-0.47830519329191601</v>
      </c>
      <c r="Q68" s="524" cm="1">
        <f t="array" aca="1" ref="Q68" ca="1">IF($O68&lt;&gt;"",-TRANSPOSE(INDEX(getcds('CDO Bespoke'!$C93,Q$13,'CDO Bespoke'!$G93/10000,'CDO Bespoke'!G93,'CDO Bespoke'!E93,'CDO Bespoke'!$C$13,'CDO Bespoke'!$C$14,'CDO Bespoke'!$C$15,'CDO Bespoke'!$C$8,,,TRUE,TRUE,FALSE,'CDO Bespoke'!$C$29:'CDO Bespoke'!$C$31,'CDO Bespoke'!$C$33),{5})),"")</f>
        <v>-0.96451061388668302</v>
      </c>
      <c r="R68" s="524" cm="1">
        <f t="array" aca="1" ref="R68" ca="1">IF($O68&lt;&gt;"",-TRANSPOSE(INDEX(getcds('CDO Bespoke'!$C93,R$13,'CDO Bespoke'!$G93/10000,'CDO Bespoke'!H93,'CDO Bespoke'!F93,'CDO Bespoke'!$C$13,'CDO Bespoke'!$C$14,'CDO Bespoke'!$C$15,'CDO Bespoke'!$C$8,,,TRUE,TRUE,FALSE,'CDO Bespoke'!$C$29:'CDO Bespoke'!$C$31,'CDO Bespoke'!$C$33),{5})),"")</f>
        <v>-2.8066829697534299</v>
      </c>
      <c r="S68" s="524" cm="1">
        <f t="array" aca="1" ref="S68" ca="1">IF($O68&lt;&gt;"",-TRANSPOSE(INDEX(getcds('CDO Bespoke'!$C93,S$13,'CDO Bespoke'!$G93/10000,'CDO Bespoke'!I93,'CDO Bespoke'!G93,'CDO Bespoke'!$C$13,'CDO Bespoke'!$C$14,'CDO Bespoke'!$C$15,'CDO Bespoke'!$C$8,,,TRUE,TRUE,FALSE,'CDO Bespoke'!$C$29:'CDO Bespoke'!$C$31,'CDO Bespoke'!$C$33),{5})),"")</f>
        <v>-4.48461626411944</v>
      </c>
      <c r="T68" s="514" cm="1">
        <f t="array" aca="1" ref="T68" ca="1">IF($O68&lt;&gt;"",-TRANSPOSE(INDEX(getcds('CDO Bespoke'!$C93,T$13,'CDO Bespoke'!$G93/10000,'CDO Bespoke'!J93,'CDO Bespoke'!H93,'CDO Bespoke'!$C$13,'CDO Bespoke'!$C$14,'CDO Bespoke'!$C$15,'CDO Bespoke'!$C$8,,,TRUE,TRUE,FALSE,'CDO Bespoke'!$C$29:'CDO Bespoke'!$C$31,'CDO Bespoke'!$C$33),{5})),"")</f>
        <v>-7.9923016733691403</v>
      </c>
      <c r="U68" s="493"/>
      <c r="V68" s="513">
        <f ca="1"/>
        <v>-3.7877931000074305E-6</v>
      </c>
      <c r="W68" s="572">
        <f ca="1"/>
        <v>2.2981369098961507E-3</v>
      </c>
      <c r="X68" s="572">
        <f ca="1"/>
        <v>2.3231913771036561E-3</v>
      </c>
      <c r="Y68" s="572">
        <f ca="1"/>
        <v>4.3418416219992428E-3</v>
      </c>
      <c r="Z68" s="572">
        <f ca="1"/>
        <v>6.1771491439988058E-3</v>
      </c>
      <c r="AA68" s="572">
        <f ca="1"/>
        <v>8.9189548110185646E-3</v>
      </c>
      <c r="AB68" s="572">
        <f ca="1"/>
        <v>1.2707358156005544E-2</v>
      </c>
      <c r="AC68" s="572">
        <f ca="1"/>
        <v>1.3336301970118258E-2</v>
      </c>
      <c r="AD68" s="572">
        <f ca="1"/>
        <v>1.2356059247015105E-2</v>
      </c>
      <c r="AE68" s="514">
        <f ca="1"/>
        <v>7.8564313510387507E-3</v>
      </c>
    </row>
    <row r="69" spans="6:31" s="281" customFormat="1" ht="12" thickBot="1">
      <c r="F69" s="501">
        <f ca="1">IF('CDO Bespoke'!O70&lt;&gt;"",'CDO Bespoke'!O70,"")</f>
        <v>1.1977705102023699</v>
      </c>
      <c r="G69" s="502">
        <f ca="1">IF(F69&lt;&gt;"",ABS(MIN(-0.75*('CDO Bespoke'!Q70+'CDO Bespoke'!T70)+'CDO Bespoke'!T70,0)),"")</f>
        <v>1.158876542834155</v>
      </c>
      <c r="H69" s="502">
        <f t="shared" ca="1" si="0"/>
        <v>3.8893967368214932E-2</v>
      </c>
      <c r="I69" s="502">
        <f t="shared" ca="1" si="3"/>
        <v>0</v>
      </c>
      <c r="J69" s="501">
        <f ca="1">IF('CDO Bespoke'!O70&lt;&gt;"",'CDO Bespoke'!O70,"")</f>
        <v>1.1977705102023699</v>
      </c>
      <c r="K69" s="502">
        <f ca="1">IF(J69&lt;&gt;"",ABS(MIN(-0.75*('CDO Bespoke'!K70+'CDO Bespoke'!T70)+'CDO Bespoke'!T70,0)),"")</f>
        <v>0.26045923543119692</v>
      </c>
      <c r="L69" s="502">
        <f t="shared" ca="1" si="1"/>
        <v>0.93731127477117293</v>
      </c>
      <c r="M69" s="506">
        <f t="shared" ca="1" si="2"/>
        <v>0</v>
      </c>
      <c r="O69" s="511" t="str">
        <f ca="1">IF('CDO Bespoke'!C94&lt;&gt;"",'CDO Bespoke'!C94,"")</f>
        <v>Generali_MMR.EUR.SU</v>
      </c>
      <c r="P69" s="513" cm="1">
        <f t="array" aca="1" ref="P69" ca="1">IF($O69&lt;&gt;"",-TRANSPOSE(INDEX(getcds('CDO Bespoke'!$C94,P$13,'CDO Bespoke'!$G94/10000,'CDO Bespoke'!F94,'CDO Bespoke'!D94,'CDO Bespoke'!$C$13,'CDO Bespoke'!$C$14,'CDO Bespoke'!$C$15,'CDO Bespoke'!$C$8,,,TRUE,TRUE,FALSE,'CDO Bespoke'!$C$29:'CDO Bespoke'!$C$31,'CDO Bespoke'!$C$33),{5})),"")</f>
        <v>-0.47817799450095899</v>
      </c>
      <c r="Q69" s="524" cm="1">
        <f t="array" aca="1" ref="Q69" ca="1">IF($O69&lt;&gt;"",-TRANSPOSE(INDEX(getcds('CDO Bespoke'!$C94,Q$13,'CDO Bespoke'!$G94/10000,'CDO Bespoke'!G94,'CDO Bespoke'!E94,'CDO Bespoke'!$C$13,'CDO Bespoke'!$C$14,'CDO Bespoke'!$C$15,'CDO Bespoke'!$C$8,,,TRUE,TRUE,FALSE,'CDO Bespoke'!$C$29:'CDO Bespoke'!$C$31,'CDO Bespoke'!$C$33),{5})),"")</f>
        <v>-0.96397186929058698</v>
      </c>
      <c r="R69" s="524" cm="1">
        <f t="array" aca="1" ref="R69" ca="1">IF($O69&lt;&gt;"",-TRANSPOSE(INDEX(getcds('CDO Bespoke'!$C94,R$13,'CDO Bespoke'!$G94/10000,'CDO Bespoke'!H94,'CDO Bespoke'!F94,'CDO Bespoke'!$C$13,'CDO Bespoke'!$C$14,'CDO Bespoke'!$C$15,'CDO Bespoke'!$C$8,,,TRUE,TRUE,FALSE,'CDO Bespoke'!$C$29:'CDO Bespoke'!$C$31,'CDO Bespoke'!$C$33),{5})),"")</f>
        <v>-2.8007206579563002</v>
      </c>
      <c r="S69" s="524" cm="1">
        <f t="array" aca="1" ref="S69" ca="1">IF($O69&lt;&gt;"",-TRANSPOSE(INDEX(getcds('CDO Bespoke'!$C94,S$13,'CDO Bespoke'!$G94/10000,'CDO Bespoke'!I94,'CDO Bespoke'!G94,'CDO Bespoke'!$C$13,'CDO Bespoke'!$C$14,'CDO Bespoke'!$C$15,'CDO Bespoke'!$C$8,,,TRUE,TRUE,FALSE,'CDO Bespoke'!$C$29:'CDO Bespoke'!$C$31,'CDO Bespoke'!$C$33),{5})),"")</f>
        <v>-4.4673735072924803</v>
      </c>
      <c r="T69" s="514" cm="1">
        <f t="array" aca="1" ref="T69" ca="1">IF($O69&lt;&gt;"",-TRANSPOSE(INDEX(getcds('CDO Bespoke'!$C94,T$13,'CDO Bespoke'!$G94/10000,'CDO Bespoke'!J94,'CDO Bespoke'!H94,'CDO Bespoke'!$C$13,'CDO Bespoke'!$C$14,'CDO Bespoke'!$C$15,'CDO Bespoke'!$C$8,,,TRUE,TRUE,FALSE,'CDO Bespoke'!$C$29:'CDO Bespoke'!$C$31,'CDO Bespoke'!$C$33),{5})),"")</f>
        <v>-7.9306410330748101</v>
      </c>
      <c r="U69" s="493"/>
      <c r="V69" s="513">
        <f ca="1"/>
        <v>-1.6282598240091421E-5</v>
      </c>
      <c r="W69" s="572">
        <f ca="1"/>
        <v>2.2706295420022587E-3</v>
      </c>
      <c r="X69" s="572">
        <f ca="1"/>
        <v>2.242475625104795E-3</v>
      </c>
      <c r="Y69" s="572">
        <f ca="1"/>
        <v>4.1820425500035951E-3</v>
      </c>
      <c r="Z69" s="572">
        <f ca="1"/>
        <v>5.8575808870031665E-3</v>
      </c>
      <c r="AA69" s="572">
        <f ca="1"/>
        <v>8.5040009220258006E-3</v>
      </c>
      <c r="AB69" s="572">
        <f ca="1"/>
        <v>1.1913604940003153E-2</v>
      </c>
      <c r="AC69" s="572">
        <f ca="1"/>
        <v>1.2113736550037335E-2</v>
      </c>
      <c r="AD69" s="572">
        <f ca="1"/>
        <v>1.0820821188112228E-2</v>
      </c>
      <c r="AE69" s="514">
        <f ca="1"/>
        <v>5.8348804550523159E-3</v>
      </c>
    </row>
    <row r="70" spans="6:31" s="281" customFormat="1" ht="12" thickBot="1">
      <c r="F70" s="501">
        <f ca="1">IF('CDO Bespoke'!O71&lt;&gt;"",'CDO Bespoke'!O71,"")</f>
        <v>1.19511586619512</v>
      </c>
      <c r="G70" s="502">
        <f ca="1">IF(F70&lt;&gt;"",ABS(MIN(-0.75*('CDO Bespoke'!Q71+'CDO Bespoke'!T71)+'CDO Bespoke'!T71,0)),"")</f>
        <v>1.1703194787494395</v>
      </c>
      <c r="H70" s="502">
        <f t="shared" ca="1" si="0"/>
        <v>2.4796387445680468E-2</v>
      </c>
      <c r="I70" s="502">
        <f t="shared" ca="1" si="3"/>
        <v>0</v>
      </c>
      <c r="J70" s="501">
        <f ca="1">IF('CDO Bespoke'!O71&lt;&gt;"",'CDO Bespoke'!O71,"")</f>
        <v>1.19511586619512</v>
      </c>
      <c r="K70" s="502">
        <f ca="1">IF(J70&lt;&gt;"",ABS(MIN(-0.75*('CDO Bespoke'!K71+'CDO Bespoke'!T71)+'CDO Bespoke'!T71,0)),"")</f>
        <v>0.32914035122127183</v>
      </c>
      <c r="L70" s="502">
        <f t="shared" ca="1" si="1"/>
        <v>0.86597551497384817</v>
      </c>
      <c r="M70" s="506">
        <f t="shared" ca="1" si="2"/>
        <v>0</v>
      </c>
      <c r="O70" s="511" t="str">
        <f ca="1">IF('CDO Bespoke'!C95&lt;&gt;"",'CDO Bespoke'!C95,"")</f>
        <v>GKN Holdings  Plc_MMR.EUR.SU</v>
      </c>
      <c r="P70" s="513" cm="1">
        <f t="array" aca="1" ref="P70" ca="1">IF($O70&lt;&gt;"",-TRANSPOSE(INDEX(getcds('CDO Bespoke'!$C95,P$13,'CDO Bespoke'!$G95/10000,'CDO Bespoke'!F95,'CDO Bespoke'!D95,'CDO Bespoke'!$C$13,'CDO Bespoke'!$C$14,'CDO Bespoke'!$C$15,'CDO Bespoke'!$C$8,,,TRUE,TRUE,FALSE,'CDO Bespoke'!$C$29:'CDO Bespoke'!$C$31,'CDO Bespoke'!$C$33),{5})),"")</f>
        <v>-0.47815101876911398</v>
      </c>
      <c r="Q70" s="524" cm="1">
        <f t="array" aca="1" ref="Q70" ca="1">IF($O70&lt;&gt;"",-TRANSPOSE(INDEX(getcds('CDO Bespoke'!$C95,Q$13,'CDO Bespoke'!$G95/10000,'CDO Bespoke'!G95,'CDO Bespoke'!E95,'CDO Bespoke'!$C$13,'CDO Bespoke'!$C$14,'CDO Bespoke'!$C$15,'CDO Bespoke'!$C$8,,,TRUE,TRUE,FALSE,'CDO Bespoke'!$C$29:'CDO Bespoke'!$C$31,'CDO Bespoke'!$C$33),{5})),"")</f>
        <v>-0.96381507892612095</v>
      </c>
      <c r="R70" s="524" cm="1">
        <f t="array" aca="1" ref="R70" ca="1">IF($O70&lt;&gt;"",-TRANSPOSE(INDEX(getcds('CDO Bespoke'!$C95,R$13,'CDO Bespoke'!$G95/10000,'CDO Bespoke'!H95,'CDO Bespoke'!F95,'CDO Bespoke'!$C$13,'CDO Bespoke'!$C$14,'CDO Bespoke'!$C$15,'CDO Bespoke'!$C$8,,,TRUE,TRUE,FALSE,'CDO Bespoke'!$C$29:'CDO Bespoke'!$C$31,'CDO Bespoke'!$C$33),{5})),"")</f>
        <v>-2.7963486417871599</v>
      </c>
      <c r="S70" s="524" cm="1">
        <f t="array" aca="1" ref="S70" ca="1">IF($O70&lt;&gt;"",-TRANSPOSE(INDEX(getcds('CDO Bespoke'!$C95,S$13,'CDO Bespoke'!$G95/10000,'CDO Bespoke'!I95,'CDO Bespoke'!G95,'CDO Bespoke'!$C$13,'CDO Bespoke'!$C$14,'CDO Bespoke'!$C$15,'CDO Bespoke'!$C$8,,,TRUE,TRUE,FALSE,'CDO Bespoke'!$C$29:'CDO Bespoke'!$C$31,'CDO Bespoke'!$C$33),{5})),"")</f>
        <v>-4.4417897224271403</v>
      </c>
      <c r="T70" s="514" cm="1">
        <f t="array" aca="1" ref="T70" ca="1">IF($O70&lt;&gt;"",-TRANSPOSE(INDEX(getcds('CDO Bespoke'!$C95,T$13,'CDO Bespoke'!$G95/10000,'CDO Bespoke'!J95,'CDO Bespoke'!H95,'CDO Bespoke'!$C$13,'CDO Bespoke'!$C$14,'CDO Bespoke'!$C$15,'CDO Bespoke'!$C$8,,,TRUE,TRUE,FALSE,'CDO Bespoke'!$C$29:'CDO Bespoke'!$C$31,'CDO Bespoke'!$C$33),{5})),"")</f>
        <v>-7.7470748487312697</v>
      </c>
      <c r="U70" s="493"/>
      <c r="V70" s="513">
        <f ca="1"/>
        <v>-1.8932042670214734E-5</v>
      </c>
      <c r="W70" s="572">
        <f ca="1"/>
        <v>2.2647986473983001E-3</v>
      </c>
      <c r="X70" s="572">
        <f ca="1"/>
        <v>2.1614062598995093E-3</v>
      </c>
      <c r="Y70" s="572">
        <f ca="1"/>
        <v>4.0931243759992353E-3</v>
      </c>
      <c r="Z70" s="572">
        <f ca="1"/>
        <v>5.1479418059982573E-3</v>
      </c>
      <c r="AA70" s="572">
        <f ca="1"/>
        <v>6.8697424629796111E-3</v>
      </c>
      <c r="AB70" s="572">
        <f ca="1"/>
        <v>6.9662866730019202E-3</v>
      </c>
      <c r="AC70" s="572">
        <f ca="1"/>
        <v>4.6720322079054494E-3</v>
      </c>
      <c r="AD70" s="572">
        <f ca="1"/>
        <v>1.5608413099998074E-3</v>
      </c>
      <c r="AE70" s="514">
        <f ca="1"/>
        <v>-6.020106820296342E-3</v>
      </c>
    </row>
    <row r="71" spans="6:31" s="281" customFormat="1" ht="12" thickBot="1">
      <c r="F71" s="501">
        <f ca="1">IF('CDO Bespoke'!O72&lt;&gt;"",'CDO Bespoke'!O72,"")</f>
        <v>1.19441939354674</v>
      </c>
      <c r="G71" s="502">
        <f ca="1">IF(F71&lt;&gt;"",ABS(MIN(-0.75*('CDO Bespoke'!Q72+'CDO Bespoke'!T72)+'CDO Bespoke'!T72,0)),"")</f>
        <v>1.1726154213294728</v>
      </c>
      <c r="H71" s="502">
        <f t="shared" ca="1" si="0"/>
        <v>2.1803972217267154E-2</v>
      </c>
      <c r="I71" s="502">
        <f t="shared" ca="1" si="3"/>
        <v>0</v>
      </c>
      <c r="J71" s="501">
        <f ca="1">IF('CDO Bespoke'!O72&lt;&gt;"",'CDO Bespoke'!O72,"")</f>
        <v>1.19441939354674</v>
      </c>
      <c r="K71" s="502">
        <f ca="1">IF(J71&lt;&gt;"",ABS(MIN(-0.75*('CDO Bespoke'!K72+'CDO Bespoke'!T72)+'CDO Bespoke'!T72,0)),"")</f>
        <v>0.34181919264659705</v>
      </c>
      <c r="L71" s="502">
        <f t="shared" ca="1" si="1"/>
        <v>0.85260020090014299</v>
      </c>
      <c r="M71" s="506">
        <f t="shared" ca="1" si="2"/>
        <v>0</v>
      </c>
      <c r="O71" s="511" t="str">
        <f ca="1">IF('CDO Bespoke'!C96&lt;&gt;"",'CDO Bespoke'!C96,"")</f>
        <v>GlencoreIntAG_MMR.EUR.SU</v>
      </c>
      <c r="P71" s="513" cm="1">
        <f t="array" aca="1" ref="P71" ca="1">IF($O71&lt;&gt;"",-TRANSPOSE(INDEX(getcds('CDO Bespoke'!$C96,P$13,'CDO Bespoke'!$G96/10000,'CDO Bespoke'!F96,'CDO Bespoke'!D96,'CDO Bespoke'!$C$13,'CDO Bespoke'!$C$14,'CDO Bespoke'!$C$15,'CDO Bespoke'!$C$8,,,TRUE,TRUE,FALSE,'CDO Bespoke'!$C$29:'CDO Bespoke'!$C$31,'CDO Bespoke'!$C$33),{5})),"")</f>
        <v>-0.47801617068631402</v>
      </c>
      <c r="Q71" s="524" cm="1">
        <f t="array" aca="1" ref="Q71" ca="1">IF($O71&lt;&gt;"",-TRANSPOSE(INDEX(getcds('CDO Bespoke'!$C96,Q$13,'CDO Bespoke'!$G96/10000,'CDO Bespoke'!G96,'CDO Bespoke'!E96,'CDO Bespoke'!$C$13,'CDO Bespoke'!$C$14,'CDO Bespoke'!$C$15,'CDO Bespoke'!$C$8,,,TRUE,TRUE,FALSE,'CDO Bespoke'!$C$29:'CDO Bespoke'!$C$31,'CDO Bespoke'!$C$33),{5})),"")</f>
        <v>-0.963314861740033</v>
      </c>
      <c r="R71" s="524" cm="1">
        <f t="array" aca="1" ref="R71" ca="1">IF($O71&lt;&gt;"",-TRANSPOSE(INDEX(getcds('CDO Bespoke'!$C96,R$13,'CDO Bespoke'!$G96/10000,'CDO Bespoke'!H96,'CDO Bespoke'!F96,'CDO Bespoke'!$C$13,'CDO Bespoke'!$C$14,'CDO Bespoke'!$C$15,'CDO Bespoke'!$C$8,,,TRUE,TRUE,FALSE,'CDO Bespoke'!$C$29:'CDO Bespoke'!$C$31,'CDO Bespoke'!$C$33),{5})),"")</f>
        <v>-2.79313011763958</v>
      </c>
      <c r="S71" s="524" cm="1">
        <f t="array" aca="1" ref="S71" ca="1">IF($O71&lt;&gt;"",-TRANSPOSE(INDEX(getcds('CDO Bespoke'!$C96,S$13,'CDO Bespoke'!$G96/10000,'CDO Bespoke'!I96,'CDO Bespoke'!G96,'CDO Bespoke'!$C$13,'CDO Bespoke'!$C$14,'CDO Bespoke'!$C$15,'CDO Bespoke'!$C$8,,,TRUE,TRUE,FALSE,'CDO Bespoke'!$C$29:'CDO Bespoke'!$C$31,'CDO Bespoke'!$C$33),{5})),"")</f>
        <v>-4.4319470450180098</v>
      </c>
      <c r="T71" s="514" cm="1">
        <f t="array" aca="1" ref="T71" ca="1">IF($O71&lt;&gt;"",-TRANSPOSE(INDEX(getcds('CDO Bespoke'!$C96,T$13,'CDO Bespoke'!$G96/10000,'CDO Bespoke'!J96,'CDO Bespoke'!H96,'CDO Bespoke'!$C$13,'CDO Bespoke'!$C$14,'CDO Bespoke'!$C$15,'CDO Bespoke'!$C$8,,,TRUE,TRUE,FALSE,'CDO Bespoke'!$C$29:'CDO Bespoke'!$C$31,'CDO Bespoke'!$C$33),{5})),"")</f>
        <v>-7.7081103897352499</v>
      </c>
      <c r="U71" s="493"/>
      <c r="V71" s="513">
        <f ca="1"/>
        <v>-3.2174182580321786E-5</v>
      </c>
      <c r="W71" s="572">
        <f ca="1"/>
        <v>2.2356651652004345E-3</v>
      </c>
      <c r="X71" s="572">
        <f ca="1"/>
        <v>2.1822209122016045E-3</v>
      </c>
      <c r="Y71" s="572">
        <f ca="1"/>
        <v>4.0090249110030785E-3</v>
      </c>
      <c r="Z71" s="572">
        <f ca="1"/>
        <v>4.8248044169987847E-3</v>
      </c>
      <c r="AA71" s="572">
        <f ca="1"/>
        <v>6.785544197987492E-3</v>
      </c>
      <c r="AB71" s="572">
        <f ca="1"/>
        <v>5.8446061560000345E-3</v>
      </c>
      <c r="AC71" s="572">
        <f ca="1"/>
        <v>3.0673372978986396E-3</v>
      </c>
      <c r="AD71" s="572">
        <f ca="1"/>
        <v>-3.5750283998783883E-4</v>
      </c>
      <c r="AE71" s="514">
        <f ca="1"/>
        <v>-8.3005851799974883E-3</v>
      </c>
    </row>
    <row r="72" spans="6:31" s="281" customFormat="1" ht="12" thickBot="1">
      <c r="F72" s="501">
        <f ca="1">IF('CDO Bespoke'!O73&lt;&gt;"",'CDO Bespoke'!O73,"")</f>
        <v>1.19754216098266</v>
      </c>
      <c r="G72" s="502">
        <f ca="1">IF(F72&lt;&gt;"",ABS(MIN(-0.75*('CDO Bespoke'!Q73+'CDO Bespoke'!T73)+'CDO Bespoke'!T73,0)),"")</f>
        <v>1.1609290008790512</v>
      </c>
      <c r="H72" s="502">
        <f t="shared" ca="1" si="0"/>
        <v>3.6613160103608822E-2</v>
      </c>
      <c r="I72" s="502">
        <f t="shared" ca="1" si="3"/>
        <v>0</v>
      </c>
      <c r="J72" s="501">
        <f ca="1">IF('CDO Bespoke'!O73&lt;&gt;"",'CDO Bespoke'!O73,"")</f>
        <v>1.19754216098266</v>
      </c>
      <c r="K72" s="502">
        <f ca="1">IF(J72&lt;&gt;"",ABS(MIN(-0.75*('CDO Bespoke'!K73+'CDO Bespoke'!T73)+'CDO Bespoke'!T73,0)),"")</f>
        <v>0.27132690616469818</v>
      </c>
      <c r="L72" s="502">
        <f t="shared" ca="1" si="1"/>
        <v>0.92621525481796185</v>
      </c>
      <c r="M72" s="506">
        <f t="shared" ca="1" si="2"/>
        <v>0</v>
      </c>
      <c r="O72" s="511" t="str">
        <f ca="1">IF('CDO Bespoke'!C97&lt;&gt;"",'CDO Bespoke'!C97,"")</f>
        <v>GreatUniversalStores_MMR.EUR.SU</v>
      </c>
      <c r="P72" s="513" cm="1">
        <f t="array" aca="1" ref="P72" ca="1">IF($O72&lt;&gt;"",-TRANSPOSE(INDEX(getcds('CDO Bespoke'!$C97,P$13,'CDO Bespoke'!$G97/10000,'CDO Bespoke'!F97,'CDO Bespoke'!D97,'CDO Bespoke'!$C$13,'CDO Bespoke'!$C$14,'CDO Bespoke'!$C$15,'CDO Bespoke'!$C$8,,,TRUE,TRUE,FALSE,'CDO Bespoke'!$C$29:'CDO Bespoke'!$C$31,'CDO Bespoke'!$C$33),{5})),"")</f>
        <v>-0.478266643413018</v>
      </c>
      <c r="Q72" s="524" cm="1">
        <f t="array" aca="1" ref="Q72" ca="1">IF($O72&lt;&gt;"",-TRANSPOSE(INDEX(getcds('CDO Bespoke'!$C97,Q$13,'CDO Bespoke'!$G97/10000,'CDO Bespoke'!G97,'CDO Bespoke'!E97,'CDO Bespoke'!$C$13,'CDO Bespoke'!$C$14,'CDO Bespoke'!$C$15,'CDO Bespoke'!$C$8,,,TRUE,TRUE,FALSE,'CDO Bespoke'!$C$29:'CDO Bespoke'!$C$31,'CDO Bespoke'!$C$33),{5})),"")</f>
        <v>-0.964327002543935</v>
      </c>
      <c r="R72" s="524" cm="1">
        <f t="array" aca="1" ref="R72" ca="1">IF($O72&lt;&gt;"",-TRANSPOSE(INDEX(getcds('CDO Bespoke'!$C97,R$13,'CDO Bespoke'!$G97/10000,'CDO Bespoke'!H97,'CDO Bespoke'!F97,'CDO Bespoke'!$C$13,'CDO Bespoke'!$C$14,'CDO Bespoke'!$C$15,'CDO Bespoke'!$C$8,,,TRUE,TRUE,FALSE,'CDO Bespoke'!$C$29:'CDO Bespoke'!$C$31,'CDO Bespoke'!$C$33),{5})),"")</f>
        <v>-2.8035009941126798</v>
      </c>
      <c r="S72" s="524" cm="1">
        <f t="array" aca="1" ref="S72" ca="1">IF($O72&lt;&gt;"",-TRANSPOSE(INDEX(getcds('CDO Bespoke'!$C97,S$13,'CDO Bespoke'!$G97/10000,'CDO Bespoke'!I97,'CDO Bespoke'!G97,'CDO Bespoke'!$C$13,'CDO Bespoke'!$C$14,'CDO Bespoke'!$C$15,'CDO Bespoke'!$C$8,,,TRUE,TRUE,FALSE,'CDO Bespoke'!$C$29:'CDO Bespoke'!$C$31,'CDO Bespoke'!$C$33),{5})),"")</f>
        <v>-4.4687558803155998</v>
      </c>
      <c r="T72" s="514" cm="1">
        <f t="array" aca="1" ref="T72" ca="1">IF($O72&lt;&gt;"",-TRANSPOSE(INDEX(getcds('CDO Bespoke'!$C97,T$13,'CDO Bespoke'!$G97/10000,'CDO Bespoke'!J97,'CDO Bespoke'!H97,'CDO Bespoke'!$C$13,'CDO Bespoke'!$C$14,'CDO Bespoke'!$C$15,'CDO Bespoke'!$C$8,,,TRUE,TRUE,FALSE,'CDO Bespoke'!$C$29:'CDO Bespoke'!$C$31,'CDO Bespoke'!$C$33),{5})),"")</f>
        <v>-7.8804251024705501</v>
      </c>
      <c r="U72" s="493"/>
      <c r="V72" s="513">
        <f ca="1"/>
        <v>-7.5748937100584245E-6</v>
      </c>
      <c r="W72" s="572">
        <f ca="1"/>
        <v>2.2897980556015746E-3</v>
      </c>
      <c r="X72" s="572">
        <f ca="1"/>
        <v>2.2681583819982032E-3</v>
      </c>
      <c r="Y72" s="572">
        <f ca="1"/>
        <v>4.2759842780112911E-3</v>
      </c>
      <c r="Z72" s="572">
        <f ca="1"/>
        <v>5.7733559680195334E-3</v>
      </c>
      <c r="AA72" s="572">
        <f ca="1"/>
        <v>7.9785491390038654E-3</v>
      </c>
      <c r="AB72" s="572">
        <f ca="1"/>
        <v>9.5461651440642559E-3</v>
      </c>
      <c r="AC72" s="572">
        <f ca="1"/>
        <v>8.4628837609956875E-3</v>
      </c>
      <c r="AD72" s="572">
        <f ca="1"/>
        <v>6.1548785160181474E-3</v>
      </c>
      <c r="AE72" s="514">
        <f ca="1"/>
        <v>-3.9423222998602458E-4</v>
      </c>
    </row>
    <row r="73" spans="6:31" s="281" customFormat="1" ht="12" thickBot="1">
      <c r="F73" s="501">
        <f ca="1">IF('CDO Bespoke'!O74&lt;&gt;"",'CDO Bespoke'!O74,"")</f>
        <v>1.19793449152293</v>
      </c>
      <c r="G73" s="502">
        <f ca="1">IF(F73&lt;&gt;"",ABS(MIN(-0.75*('CDO Bespoke'!Q74+'CDO Bespoke'!T74)+'CDO Bespoke'!T74,0)),"")</f>
        <v>1.1584610687297361</v>
      </c>
      <c r="H73" s="502">
        <f t="shared" ca="1" si="0"/>
        <v>3.947342279319388E-2</v>
      </c>
      <c r="I73" s="502">
        <f t="shared" ca="1" si="3"/>
        <v>0</v>
      </c>
      <c r="J73" s="501">
        <f ca="1">IF('CDO Bespoke'!O74&lt;&gt;"",'CDO Bespoke'!O74,"")</f>
        <v>1.19793449152293</v>
      </c>
      <c r="K73" s="502">
        <f ca="1">IF(J73&lt;&gt;"",ABS(MIN(-0.75*('CDO Bespoke'!K74+'CDO Bespoke'!T74)+'CDO Bespoke'!T74,0)),"")</f>
        <v>0.25723056232096481</v>
      </c>
      <c r="L73" s="502">
        <f t="shared" ca="1" si="1"/>
        <v>0.94070392920196522</v>
      </c>
      <c r="M73" s="506">
        <f t="shared" ca="1" si="2"/>
        <v>0</v>
      </c>
      <c r="O73" s="511" t="str">
        <f ca="1">IF('CDO Bespoke'!C98&lt;&gt;"",'CDO Bespoke'!C98,"")</f>
        <v>HannoverRueck_MMR.EUR.SU</v>
      </c>
      <c r="P73" s="513" cm="1">
        <f t="array" aca="1" ref="P73" ca="1">IF($O73&lt;&gt;"",-TRANSPOSE(INDEX(getcds('CDO Bespoke'!$C98,P$13,'CDO Bespoke'!$G98/10000,'CDO Bespoke'!F98,'CDO Bespoke'!D98,'CDO Bespoke'!$C$13,'CDO Bespoke'!$C$14,'CDO Bespoke'!$C$15,'CDO Bespoke'!$C$8,,,TRUE,TRUE,FALSE,'CDO Bespoke'!$C$29:'CDO Bespoke'!$C$31,'CDO Bespoke'!$C$33),{5})),"")</f>
        <v>-0.47812211846214198</v>
      </c>
      <c r="Q73" s="524" cm="1">
        <f t="array" aca="1" ref="Q73" ca="1">IF($O73&lt;&gt;"",-TRANSPOSE(INDEX(getcds('CDO Bespoke'!$C98,Q$13,'CDO Bespoke'!$G98/10000,'CDO Bespoke'!G98,'CDO Bespoke'!E98,'CDO Bespoke'!$C$13,'CDO Bespoke'!$C$14,'CDO Bespoke'!$C$15,'CDO Bespoke'!$C$8,,,TRUE,TRUE,FALSE,'CDO Bespoke'!$C$29:'CDO Bespoke'!$C$31,'CDO Bespoke'!$C$33),{5})),"")</f>
        <v>-0.96376252171210297</v>
      </c>
      <c r="R73" s="524" cm="1">
        <f t="array" aca="1" ref="R73" ca="1">IF($O73&lt;&gt;"",-TRANSPOSE(INDEX(getcds('CDO Bespoke'!$C98,R$13,'CDO Bespoke'!$G98/10000,'CDO Bespoke'!H98,'CDO Bespoke'!F98,'CDO Bespoke'!$C$13,'CDO Bespoke'!$C$14,'CDO Bespoke'!$C$15,'CDO Bespoke'!$C$8,,,TRUE,TRUE,FALSE,'CDO Bespoke'!$C$29:'CDO Bespoke'!$C$31,'CDO Bespoke'!$C$33),{5})),"")</f>
        <v>-2.8003001385003201</v>
      </c>
      <c r="S73" s="524" cm="1">
        <f t="array" aca="1" ref="S73" ca="1">IF($O73&lt;&gt;"",-TRANSPOSE(INDEX(getcds('CDO Bespoke'!$C98,S$13,'CDO Bespoke'!$G98/10000,'CDO Bespoke'!I98,'CDO Bespoke'!G98,'CDO Bespoke'!$C$13,'CDO Bespoke'!$C$14,'CDO Bespoke'!$C$15,'CDO Bespoke'!$C$8,,,TRUE,TRUE,FALSE,'CDO Bespoke'!$C$29:'CDO Bespoke'!$C$31,'CDO Bespoke'!$C$33),{5})),"")</f>
        <v>-4.46786886381346</v>
      </c>
      <c r="T73" s="514" cm="1">
        <f t="array" aca="1" ref="T73" ca="1">IF($O73&lt;&gt;"",-TRANSPOSE(INDEX(getcds('CDO Bespoke'!$C98,T$13,'CDO Bespoke'!$G98/10000,'CDO Bespoke'!J98,'CDO Bespoke'!H98,'CDO Bespoke'!$C$13,'CDO Bespoke'!$C$14,'CDO Bespoke'!$C$15,'CDO Bespoke'!$C$8,,,TRUE,TRUE,FALSE,'CDO Bespoke'!$C$29:'CDO Bespoke'!$C$31,'CDO Bespoke'!$C$33),{5})),"")</f>
        <v>-7.9359497273881301</v>
      </c>
      <c r="U73" s="493"/>
      <c r="V73" s="513">
        <f ca="1"/>
        <v>-2.1770357050291192E-5</v>
      </c>
      <c r="W73" s="572">
        <f ca="1"/>
        <v>2.2585528138951289E-3</v>
      </c>
      <c r="X73" s="572">
        <f ca="1"/>
        <v>2.2480328299920305E-3</v>
      </c>
      <c r="Y73" s="572">
        <f ca="1"/>
        <v>4.1980791679920026E-3</v>
      </c>
      <c r="Z73" s="572">
        <f ca="1"/>
        <v>5.9107517869777526E-3</v>
      </c>
      <c r="AA73" s="572">
        <f ca="1"/>
        <v>8.5757147960316416E-3</v>
      </c>
      <c r="AB73" s="572">
        <f ca="1"/>
        <v>1.1984488176991492E-2</v>
      </c>
      <c r="AC73" s="572">
        <f ca="1"/>
        <v>1.2221473211018741E-2</v>
      </c>
      <c r="AD73" s="572">
        <f ca="1"/>
        <v>1.0953548058995066E-2</v>
      </c>
      <c r="AE73" s="514">
        <f ca="1"/>
        <v>6.004728533987036E-3</v>
      </c>
    </row>
    <row r="74" spans="6:31" s="281" customFormat="1" ht="12" thickBot="1">
      <c r="F74" s="501">
        <f ca="1">IF('CDO Bespoke'!O75&lt;&gt;"",'CDO Bespoke'!O75,"")</f>
        <v>1.19620315597461</v>
      </c>
      <c r="G74" s="502">
        <f ca="1">IF(F74&lt;&gt;"",ABS(MIN(-0.75*('CDO Bespoke'!Q75+'CDO Bespoke'!T75)+'CDO Bespoke'!T75,0)),"")</f>
        <v>1.1666686690114316</v>
      </c>
      <c r="H74" s="502">
        <f t="shared" ca="1" si="0"/>
        <v>2.9534486963178397E-2</v>
      </c>
      <c r="I74" s="502">
        <f t="shared" ca="1" si="3"/>
        <v>0</v>
      </c>
      <c r="J74" s="501">
        <f ca="1">IF('CDO Bespoke'!O75&lt;&gt;"",'CDO Bespoke'!O75,"")</f>
        <v>1.19620315597461</v>
      </c>
      <c r="K74" s="502">
        <f ca="1">IF(J74&lt;&gt;"",ABS(MIN(-0.75*('CDO Bespoke'!K75+'CDO Bespoke'!T75)+'CDO Bespoke'!T75,0)),"")</f>
        <v>0.30843952788173146</v>
      </c>
      <c r="L74" s="502">
        <f t="shared" ca="1" si="1"/>
        <v>0.88776362809287857</v>
      </c>
      <c r="M74" s="506">
        <f t="shared" ca="1" si="2"/>
        <v>0</v>
      </c>
      <c r="O74" s="511" t="str">
        <f ca="1">IF('CDO Bespoke'!C99&lt;&gt;"",'CDO Bespoke'!C99,"")</f>
        <v>Hellenic Telcom_MMR.EUR.SU</v>
      </c>
      <c r="P74" s="513" cm="1">
        <f t="array" aca="1" ref="P74" ca="1">IF($O74&lt;&gt;"",-TRANSPOSE(INDEX(getcds('CDO Bespoke'!$C99,P$13,'CDO Bespoke'!$G99/10000,'CDO Bespoke'!F99,'CDO Bespoke'!D99,'CDO Bespoke'!$C$13,'CDO Bespoke'!$C$14,'CDO Bespoke'!$C$15,'CDO Bespoke'!$C$8,,,TRUE,TRUE,FALSE,'CDO Bespoke'!$C$29:'CDO Bespoke'!$C$31,'CDO Bespoke'!$C$33),{5})),"")</f>
        <v>-0.478208826406473</v>
      </c>
      <c r="Q74" s="524" cm="1">
        <f t="array" aca="1" ref="Q74" ca="1">IF($O74&lt;&gt;"",-TRANSPOSE(INDEX(getcds('CDO Bespoke'!$C99,Q$13,'CDO Bespoke'!$G99/10000,'CDO Bespoke'!G99,'CDO Bespoke'!E99,'CDO Bespoke'!$C$13,'CDO Bespoke'!$C$14,'CDO Bespoke'!$C$15,'CDO Bespoke'!$C$8,,,TRUE,TRUE,FALSE,'CDO Bespoke'!$C$29:'CDO Bespoke'!$C$31,'CDO Bespoke'!$C$33),{5})),"")</f>
        <v>-0.96409033072498795</v>
      </c>
      <c r="R74" s="524" cm="1">
        <f t="array" aca="1" ref="R74" ca="1">IF($O74&lt;&gt;"",-TRANSPOSE(INDEX(getcds('CDO Bespoke'!$C99,R$13,'CDO Bespoke'!$G99/10000,'CDO Bespoke'!H99,'CDO Bespoke'!F99,'CDO Bespoke'!$C$13,'CDO Bespoke'!$C$14,'CDO Bespoke'!$C$15,'CDO Bespoke'!$C$8,,,TRUE,TRUE,FALSE,'CDO Bespoke'!$C$29:'CDO Bespoke'!$C$31,'CDO Bespoke'!$C$33),{5})),"")</f>
        <v>-2.7984384994915001</v>
      </c>
      <c r="S74" s="524" cm="1">
        <f t="array" aca="1" ref="S74" ca="1">IF($O74&lt;&gt;"",-TRANSPOSE(INDEX(getcds('CDO Bespoke'!$C99,S$13,'CDO Bespoke'!$G99/10000,'CDO Bespoke'!I99,'CDO Bespoke'!G99,'CDO Bespoke'!$C$13,'CDO Bespoke'!$C$14,'CDO Bespoke'!$C$15,'CDO Bespoke'!$C$8,,,TRUE,TRUE,FALSE,'CDO Bespoke'!$C$29:'CDO Bespoke'!$C$31,'CDO Bespoke'!$C$33),{5})),"")</f>
        <v>-4.4512607607500998</v>
      </c>
      <c r="T74" s="514" cm="1">
        <f t="array" aca="1" ref="T74" ca="1">IF($O74&lt;&gt;"",-TRANSPOSE(INDEX(getcds('CDO Bespoke'!$C99,T$13,'CDO Bespoke'!$G99/10000,'CDO Bespoke'!J99,'CDO Bespoke'!H99,'CDO Bespoke'!$C$13,'CDO Bespoke'!$C$14,'CDO Bespoke'!$C$15,'CDO Bespoke'!$C$8,,,TRUE,TRUE,FALSE,'CDO Bespoke'!$C$29:'CDO Bespoke'!$C$31,'CDO Bespoke'!$C$33),{5})),"")</f>
        <v>-7.8084976324164499</v>
      </c>
      <c r="U74" s="493"/>
      <c r="V74" s="513">
        <f ca="1"/>
        <v>-1.3254246649871404E-5</v>
      </c>
      <c r="W74" s="572">
        <f ca="1"/>
        <v>2.2772951361032384E-3</v>
      </c>
      <c r="X74" s="572">
        <f ca="1"/>
        <v>2.2438205949000534E-3</v>
      </c>
      <c r="Y74" s="572">
        <f ca="1"/>
        <v>4.0144841160008604E-3</v>
      </c>
      <c r="Z74" s="572">
        <f ca="1"/>
        <v>5.4731686419812187E-3</v>
      </c>
      <c r="AA74" s="572">
        <f ca="1"/>
        <v>7.3684988939962115E-3</v>
      </c>
      <c r="AB74" s="572">
        <f ca="1"/>
        <v>7.7436550219994738E-3</v>
      </c>
      <c r="AC74" s="572">
        <f ca="1"/>
        <v>5.7887327719816084E-3</v>
      </c>
      <c r="AD74" s="572">
        <f ca="1"/>
        <v>2.8611561700073174E-3</v>
      </c>
      <c r="AE74" s="514">
        <f ca="1"/>
        <v>-4.5240439999934268E-3</v>
      </c>
    </row>
    <row r="75" spans="6:31" s="281" customFormat="1" ht="12" thickBot="1">
      <c r="F75" s="501">
        <f ca="1">IF('CDO Bespoke'!O76&lt;&gt;"",'CDO Bespoke'!O76,"")</f>
        <v>1.1985993566051001</v>
      </c>
      <c r="G75" s="502">
        <f ca="1">IF(F75&lt;&gt;"",ABS(MIN(-0.75*('CDO Bespoke'!Q76+'CDO Bespoke'!T76)+'CDO Bespoke'!T76,0)),"")</f>
        <v>1.1555663840398211</v>
      </c>
      <c r="H75" s="502">
        <f t="shared" ca="1" si="0"/>
        <v>4.3032972565278937E-2</v>
      </c>
      <c r="I75" s="502">
        <f t="shared" ca="1" si="3"/>
        <v>0</v>
      </c>
      <c r="J75" s="501">
        <f ca="1">IF('CDO Bespoke'!O76&lt;&gt;"",'CDO Bespoke'!O76,"")</f>
        <v>1.1985993566051001</v>
      </c>
      <c r="K75" s="502">
        <f ca="1">IF(J75&lt;&gt;"",ABS(MIN(-0.75*('CDO Bespoke'!K76+'CDO Bespoke'!T76)+'CDO Bespoke'!T76,0)),"")</f>
        <v>0.23031196551545968</v>
      </c>
      <c r="L75" s="502">
        <f t="shared" ca="1" si="1"/>
        <v>0.96828739108964035</v>
      </c>
      <c r="M75" s="506">
        <f t="shared" ca="1" si="2"/>
        <v>0</v>
      </c>
      <c r="O75" s="511" t="str">
        <f ca="1">IF('CDO Bespoke'!C100&lt;&gt;"",'CDO Bespoke'!C100,"")</f>
        <v>HenkelKG_MMR.EUR.SU</v>
      </c>
      <c r="P75" s="513" cm="1">
        <f t="array" aca="1" ref="P75" ca="1">IF($O75&lt;&gt;"",-TRANSPOSE(INDEX(getcds('CDO Bespoke'!$C100,P$13,'CDO Bespoke'!$G100/10000,'CDO Bespoke'!F100,'CDO Bespoke'!D100,'CDO Bespoke'!$C$13,'CDO Bespoke'!$C$14,'CDO Bespoke'!$C$15,'CDO Bespoke'!$C$8,,,TRUE,TRUE,FALSE,'CDO Bespoke'!$C$29:'CDO Bespoke'!$C$31,'CDO Bespoke'!$C$33),{5})),"")</f>
        <v>-0.478266643413018</v>
      </c>
      <c r="Q75" s="524" cm="1">
        <f t="array" aca="1" ref="Q75" ca="1">IF($O75&lt;&gt;"",-TRANSPOSE(INDEX(getcds('CDO Bespoke'!$C100,Q$13,'CDO Bespoke'!$G100/10000,'CDO Bespoke'!G100,'CDO Bespoke'!E100,'CDO Bespoke'!$C$13,'CDO Bespoke'!$C$14,'CDO Bespoke'!$C$15,'CDO Bespoke'!$C$8,,,TRUE,TRUE,FALSE,'CDO Bespoke'!$C$29:'CDO Bespoke'!$C$31,'CDO Bespoke'!$C$33),{5})),"")</f>
        <v>-0.96436567502914905</v>
      </c>
      <c r="R75" s="524" cm="1">
        <f t="array" aca="1" ref="R75" ca="1">IF($O75&lt;&gt;"",-TRANSPOSE(INDEX(getcds('CDO Bespoke'!$C100,R$13,'CDO Bespoke'!$G100/10000,'CDO Bespoke'!H100,'CDO Bespoke'!F100,'CDO Bespoke'!$C$13,'CDO Bespoke'!$C$14,'CDO Bespoke'!$C$15,'CDO Bespoke'!$C$8,,,TRUE,TRUE,FALSE,'CDO Bespoke'!$C$29:'CDO Bespoke'!$C$31,'CDO Bespoke'!$C$33),{5})),"")</f>
        <v>-2.8064074273902602</v>
      </c>
      <c r="S75" s="524" cm="1">
        <f t="array" aca="1" ref="S75" ca="1">IF($O75&lt;&gt;"",-TRANSPOSE(INDEX(getcds('CDO Bespoke'!$C100,S$13,'CDO Bespoke'!$G100/10000,'CDO Bespoke'!I100,'CDO Bespoke'!G100,'CDO Bespoke'!$C$13,'CDO Bespoke'!$C$14,'CDO Bespoke'!$C$15,'CDO Bespoke'!$C$8,,,TRUE,TRUE,FALSE,'CDO Bespoke'!$C$29:'CDO Bespoke'!$C$31,'CDO Bespoke'!$C$33),{5})),"")</f>
        <v>-4.4825697208645598</v>
      </c>
      <c r="T75" s="514" cm="1">
        <f t="array" aca="1" ref="T75" ca="1">IF($O75&lt;&gt;"",-TRANSPOSE(INDEX(getcds('CDO Bespoke'!$C100,T$13,'CDO Bespoke'!$G100/10000,'CDO Bespoke'!J100,'CDO Bespoke'!H100,'CDO Bespoke'!$C$13,'CDO Bespoke'!$C$14,'CDO Bespoke'!$C$15,'CDO Bespoke'!$C$8,,,TRUE,TRUE,FALSE,'CDO Bespoke'!$C$29:'CDO Bespoke'!$C$31,'CDO Bespoke'!$C$33),{5})),"")</f>
        <v>-7.9539497481302401</v>
      </c>
      <c r="U75" s="493"/>
      <c r="V75" s="513">
        <f ca="1"/>
        <v>-7.5748937100584245E-6</v>
      </c>
      <c r="W75" s="572">
        <f ca="1"/>
        <v>2.2897980556015746E-3</v>
      </c>
      <c r="X75" s="572">
        <f ca="1"/>
        <v>2.3263347743995855E-3</v>
      </c>
      <c r="Y75" s="572">
        <f ca="1"/>
        <v>4.3608939919934087E-3</v>
      </c>
      <c r="Z75" s="572">
        <f ca="1"/>
        <v>6.1772836310036716E-3</v>
      </c>
      <c r="AA75" s="572">
        <f ca="1"/>
        <v>8.6158692379906254E-3</v>
      </c>
      <c r="AB75" s="572">
        <f ca="1"/>
        <v>1.1107397166962296E-2</v>
      </c>
      <c r="AC75" s="572">
        <f ca="1"/>
        <v>1.082942619703986E-2</v>
      </c>
      <c r="AD75" s="572">
        <f ca="1"/>
        <v>9.1092862590513857E-3</v>
      </c>
      <c r="AE75" s="514">
        <f ca="1"/>
        <v>3.4168722649885463E-3</v>
      </c>
    </row>
    <row r="76" spans="6:31" s="281" customFormat="1" ht="12" thickBot="1">
      <c r="F76" s="501">
        <f ca="1">IF('CDO Bespoke'!O77&lt;&gt;"",'CDO Bespoke'!O77,"")</f>
        <v>1.1976277901176799</v>
      </c>
      <c r="G76" s="502">
        <f ca="1">IF(F76&lt;&gt;"",ABS(MIN(-0.75*('CDO Bespoke'!Q77+'CDO Bespoke'!T77)+'CDO Bespoke'!T77,0)),"")</f>
        <v>1.1604723100953303</v>
      </c>
      <c r="H76" s="502">
        <f t="shared" ca="1" si="0"/>
        <v>3.7155480022349696E-2</v>
      </c>
      <c r="I76" s="502">
        <f t="shared" ca="1" si="3"/>
        <v>0</v>
      </c>
      <c r="J76" s="501">
        <f ca="1">IF('CDO Bespoke'!O77&lt;&gt;"",'CDO Bespoke'!O77,"")</f>
        <v>1.1976277901176799</v>
      </c>
      <c r="K76" s="502">
        <f ca="1">IF(J76&lt;&gt;"",ABS(MIN(-0.75*('CDO Bespoke'!K77+'CDO Bespoke'!T77)+'CDO Bespoke'!T77,0)),"")</f>
        <v>0.27021302597765656</v>
      </c>
      <c r="L76" s="502">
        <f t="shared" ca="1" si="1"/>
        <v>0.92741476414002344</v>
      </c>
      <c r="M76" s="506">
        <f t="shared" ca="1" si="2"/>
        <v>0</v>
      </c>
      <c r="O76" s="511" t="str">
        <f ca="1">IF('CDO Bespoke'!C101&lt;&gt;"",'CDO Bespoke'!C101,"")</f>
        <v>Iberdrola_MMR.EUR.SU</v>
      </c>
      <c r="P76" s="513" cm="1">
        <f t="array" aca="1" ref="P76" ca="1">IF($O76&lt;&gt;"",-TRANSPOSE(INDEX(getcds('CDO Bespoke'!$C101,P$13,'CDO Bespoke'!$G101/10000,'CDO Bespoke'!F101,'CDO Bespoke'!D101,'CDO Bespoke'!$C$13,'CDO Bespoke'!$C$14,'CDO Bespoke'!$C$15,'CDO Bespoke'!$C$8,,,TRUE,TRUE,FALSE,'CDO Bespoke'!$C$29:'CDO Bespoke'!$C$31,'CDO Bespoke'!$C$33),{5})),"")</f>
        <v>-0.47822809770068903</v>
      </c>
      <c r="Q76" s="524" cm="1">
        <f t="array" aca="1" ref="Q76" ca="1">IF($O76&lt;&gt;"",-TRANSPOSE(INDEX(getcds('CDO Bespoke'!$C101,Q$13,'CDO Bespoke'!$G101/10000,'CDO Bespoke'!G101,'CDO Bespoke'!E101,'CDO Bespoke'!$C$13,'CDO Bespoke'!$C$14,'CDO Bespoke'!$C$15,'CDO Bespoke'!$C$8,,,TRUE,TRUE,FALSE,'CDO Bespoke'!$C$29:'CDO Bespoke'!$C$31,'CDO Bespoke'!$C$33),{5})),"")</f>
        <v>-0.96416921270026401</v>
      </c>
      <c r="R76" s="524" cm="1">
        <f t="array" aca="1" ref="R76" ca="1">IF($O76&lt;&gt;"",-TRANSPOSE(INDEX(getcds('CDO Bespoke'!$C101,R$13,'CDO Bespoke'!$G101/10000,'CDO Bespoke'!H101,'CDO Bespoke'!F101,'CDO Bespoke'!$C$13,'CDO Bespoke'!$C$14,'CDO Bespoke'!$C$15,'CDO Bespoke'!$C$8,,,TRUE,TRUE,FALSE,'CDO Bespoke'!$C$29:'CDO Bespoke'!$C$31,'CDO Bespoke'!$C$33),{5})),"")</f>
        <v>-2.80083916689268</v>
      </c>
      <c r="S76" s="524" cm="1">
        <f t="array" aca="1" ref="S76" ca="1">IF($O76&lt;&gt;"",-TRANSPOSE(INDEX(getcds('CDO Bespoke'!$C101,S$13,'CDO Bespoke'!$G101/10000,'CDO Bespoke'!I101,'CDO Bespoke'!G101,'CDO Bespoke'!$C$13,'CDO Bespoke'!$C$14,'CDO Bespoke'!$C$15,'CDO Bespoke'!$C$8,,,TRUE,TRUE,FALSE,'CDO Bespoke'!$C$29:'CDO Bespoke'!$C$31,'CDO Bespoke'!$C$33),{5})),"")</f>
        <v>-4.46461216360085</v>
      </c>
      <c r="T76" s="514" cm="1">
        <f t="array" aca="1" ref="T76" ca="1">IF($O76&lt;&gt;"",-TRANSPOSE(INDEX(getcds('CDO Bespoke'!$C101,T$13,'CDO Bespoke'!$G101/10000,'CDO Bespoke'!J101,'CDO Bespoke'!H101,'CDO Bespoke'!$C$13,'CDO Bespoke'!$C$14,'CDO Bespoke'!$C$15,'CDO Bespoke'!$C$8,,,TRUE,TRUE,FALSE,'CDO Bespoke'!$C$29:'CDO Bespoke'!$C$31,'CDO Bespoke'!$C$33),{5})),"")</f>
        <v>-7.8985443639131496</v>
      </c>
      <c r="U76" s="493"/>
      <c r="V76" s="513">
        <f ca="1"/>
        <v>-1.1361302029917232E-5</v>
      </c>
      <c r="W76" s="572">
        <f ca="1"/>
        <v>2.2814620611981418E-3</v>
      </c>
      <c r="X76" s="572">
        <f ca="1"/>
        <v>2.2519304782031568E-3</v>
      </c>
      <c r="Y76" s="572">
        <f ca="1"/>
        <v>4.1369178360034509E-3</v>
      </c>
      <c r="Z76" s="572">
        <f ca="1"/>
        <v>5.7238191749839351E-3</v>
      </c>
      <c r="AA76" s="572">
        <f ca="1"/>
        <v>8.313471112977866E-3</v>
      </c>
      <c r="AB76" s="572">
        <f ca="1"/>
        <v>1.0608437664982873E-2</v>
      </c>
      <c r="AC76" s="572">
        <f ca="1"/>
        <v>1.0083087682022374E-2</v>
      </c>
      <c r="AD76" s="572">
        <f ca="1"/>
        <v>8.2060764599461988E-3</v>
      </c>
      <c r="AE76" s="514">
        <f ca="1"/>
        <v>2.2977640290466894E-3</v>
      </c>
    </row>
    <row r="77" spans="6:31" s="281" customFormat="1" ht="12" thickBot="1">
      <c r="F77" s="501">
        <f ca="1">IF('CDO Bespoke'!O78&lt;&gt;"",'CDO Bespoke'!O78,"")</f>
        <v>1.1993823162245001</v>
      </c>
      <c r="G77" s="502">
        <f ca="1">IF(F77&lt;&gt;"",ABS(MIN(-0.75*('CDO Bespoke'!Q78+'CDO Bespoke'!T78)+'CDO Bespoke'!T78,0)),"")</f>
        <v>1.1500071176392295</v>
      </c>
      <c r="H77" s="502">
        <f t="shared" ca="1" si="0"/>
        <v>4.9375198585270619E-2</v>
      </c>
      <c r="I77" s="502">
        <f t="shared" ca="1" si="3"/>
        <v>0</v>
      </c>
      <c r="J77" s="501">
        <f ca="1">IF('CDO Bespoke'!O78&lt;&gt;"",'CDO Bespoke'!O78,"")</f>
        <v>1.1993823162245001</v>
      </c>
      <c r="K77" s="502">
        <f ca="1">IF(J77&lt;&gt;"",ABS(MIN(-0.75*('CDO Bespoke'!K78+'CDO Bespoke'!T78)+'CDO Bespoke'!T78,0)),"")</f>
        <v>0.17604886736758552</v>
      </c>
      <c r="L77" s="502">
        <f t="shared" ca="1" si="1"/>
        <v>1.0233334488569146</v>
      </c>
      <c r="M77" s="506">
        <f t="shared" ca="1" si="2"/>
        <v>0</v>
      </c>
      <c r="O77" s="511" t="str">
        <f ca="1">IF('CDO Bespoke'!C102&lt;&gt;"",'CDO Bespoke'!C102,"")</f>
        <v>ICI_MMR.EUR.SU</v>
      </c>
      <c r="P77" s="513" cm="1">
        <f t="array" aca="1" ref="P77" ca="1">IF($O77&lt;&gt;"",-TRANSPOSE(INDEX(getcds('CDO Bespoke'!$C102,P$13,'CDO Bespoke'!$G102/10000,'CDO Bespoke'!F102,'CDO Bespoke'!D102,'CDO Bespoke'!$C$13,'CDO Bespoke'!$C$14,'CDO Bespoke'!$C$15,'CDO Bespoke'!$C$8,,,TRUE,TRUE,FALSE,'CDO Bespoke'!$C$29:'CDO Bespoke'!$C$31,'CDO Bespoke'!$C$33),{5})),"")</f>
        <v>-0.47830519329191601</v>
      </c>
      <c r="Q77" s="524" cm="1">
        <f t="array" aca="1" ref="Q77" ca="1">IF($O77&lt;&gt;"",-TRANSPOSE(INDEX(getcds('CDO Bespoke'!$C102,Q$13,'CDO Bespoke'!$G102/10000,'CDO Bespoke'!G102,'CDO Bespoke'!E102,'CDO Bespoke'!$C$13,'CDO Bespoke'!$C$14,'CDO Bespoke'!$C$15,'CDO Bespoke'!$C$8,,,TRUE,TRUE,FALSE,'CDO Bespoke'!$C$29:'CDO Bespoke'!$C$31,'CDO Bespoke'!$C$33),{5})),"")</f>
        <v>-0.96453639818049597</v>
      </c>
      <c r="R77" s="524" cm="1">
        <f t="array" aca="1" ref="R77" ca="1">IF($O77&lt;&gt;"",-TRANSPOSE(INDEX(getcds('CDO Bespoke'!$C102,R$13,'CDO Bespoke'!$G102/10000,'CDO Bespoke'!H102,'CDO Bespoke'!F102,'CDO Bespoke'!$C$13,'CDO Bespoke'!$C$14,'CDO Bespoke'!$C$15,'CDO Bespoke'!$C$8,,,TRUE,TRUE,FALSE,'CDO Bespoke'!$C$29:'CDO Bespoke'!$C$31,'CDO Bespoke'!$C$33),{5})),"")</f>
        <v>-2.8093600455323799</v>
      </c>
      <c r="S77" s="524" cm="1">
        <f t="array" aca="1" ref="S77" ca="1">IF($O77&lt;&gt;"",-TRANSPOSE(INDEX(getcds('CDO Bespoke'!$C102,S$13,'CDO Bespoke'!$G102/10000,'CDO Bespoke'!I102,'CDO Bespoke'!G102,'CDO Bespoke'!$C$13,'CDO Bespoke'!$C$14,'CDO Bespoke'!$C$15,'CDO Bespoke'!$C$8,,,TRUE,TRUE,FALSE,'CDO Bespoke'!$C$29:'CDO Bespoke'!$C$31,'CDO Bespoke'!$C$33),{5})),"")</f>
        <v>-4.4947647507246096</v>
      </c>
      <c r="T77" s="514" cm="1">
        <f t="array" aca="1" ref="T77" ca="1">IF($O77&lt;&gt;"",-TRANSPOSE(INDEX(getcds('CDO Bespoke'!$C102,T$13,'CDO Bespoke'!$G102/10000,'CDO Bespoke'!J102,'CDO Bespoke'!H102,'CDO Bespoke'!$C$13,'CDO Bespoke'!$C$14,'CDO Bespoke'!$C$15,'CDO Bespoke'!$C$8,,,TRUE,TRUE,FALSE,'CDO Bespoke'!$C$29:'CDO Bespoke'!$C$31,'CDO Bespoke'!$C$33),{5})),"")</f>
        <v>-8.0310057957598602</v>
      </c>
      <c r="U77" s="493"/>
      <c r="V77" s="513">
        <f ca="1"/>
        <v>-3.7877931000074305E-6</v>
      </c>
      <c r="W77" s="572">
        <f ca="1"/>
        <v>2.2981369098961507E-3</v>
      </c>
      <c r="X77" s="572">
        <f ca="1"/>
        <v>2.3619946837999395E-3</v>
      </c>
      <c r="Y77" s="572">
        <f ca="1"/>
        <v>4.4814969750103795E-3</v>
      </c>
      <c r="Z77" s="572">
        <f ca="1"/>
        <v>6.3039613979951059E-3</v>
      </c>
      <c r="AA77" s="572">
        <f ca="1"/>
        <v>9.4373806450165354E-3</v>
      </c>
      <c r="AB77" s="572">
        <f ca="1"/>
        <v>1.2823043806994838E-2</v>
      </c>
      <c r="AC77" s="572">
        <f ca="1"/>
        <v>1.3487614829027494E-2</v>
      </c>
      <c r="AD77" s="572">
        <f ca="1"/>
        <v>1.2494018552106079E-2</v>
      </c>
      <c r="AE77" s="514">
        <f ca="1"/>
        <v>7.9430196360530392E-3</v>
      </c>
    </row>
    <row r="78" spans="6:31" s="281" customFormat="1" ht="12" thickBot="1">
      <c r="F78" s="501">
        <f ca="1">IF('CDO Bespoke'!O79&lt;&gt;"",'CDO Bespoke'!O79,"")</f>
        <v>1.1979866810234101</v>
      </c>
      <c r="G78" s="502">
        <f ca="1">IF(F78&lt;&gt;"",ABS(MIN(-0.75*('CDO Bespoke'!Q79+'CDO Bespoke'!T79)+'CDO Bespoke'!T79,0)),"")</f>
        <v>1.1585189444491899</v>
      </c>
      <c r="H78" s="502">
        <f t="shared" ca="1" si="0"/>
        <v>3.9467736574220202E-2</v>
      </c>
      <c r="I78" s="502">
        <f t="shared" ca="1" si="3"/>
        <v>0</v>
      </c>
      <c r="J78" s="501">
        <f ca="1">IF('CDO Bespoke'!O79&lt;&gt;"",'CDO Bespoke'!O79,"")</f>
        <v>1.1979866810234101</v>
      </c>
      <c r="K78" s="502">
        <f ca="1">IF(J78&lt;&gt;"",ABS(MIN(-0.75*('CDO Bespoke'!K79+'CDO Bespoke'!T79)+'CDO Bespoke'!T79,0)),"")</f>
        <v>0.25748241702867486</v>
      </c>
      <c r="L78" s="502">
        <f t="shared" ca="1" si="1"/>
        <v>0.94050426399473519</v>
      </c>
      <c r="M78" s="506">
        <f t="shared" ca="1" si="2"/>
        <v>0</v>
      </c>
      <c r="O78" s="511" t="str">
        <f ca="1">IF('CDO Bespoke'!C103&lt;&gt;"",'CDO Bespoke'!C103,"")</f>
        <v>Intesa_MMR.EUR.SU</v>
      </c>
      <c r="P78" s="513" cm="1">
        <f t="array" aca="1" ref="P78" ca="1">IF($O78&lt;&gt;"",-TRANSPOSE(INDEX(getcds('CDO Bespoke'!$C103,P$13,'CDO Bespoke'!$G103/10000,'CDO Bespoke'!F103,'CDO Bespoke'!D103,'CDO Bespoke'!$C$13,'CDO Bespoke'!$C$14,'CDO Bespoke'!$C$15,'CDO Bespoke'!$C$8,,,TRUE,TRUE,FALSE,'CDO Bespoke'!$C$29:'CDO Bespoke'!$C$31,'CDO Bespoke'!$C$33),{5})),"")</f>
        <v>-0.478166433223293</v>
      </c>
      <c r="Q78" s="524" cm="1">
        <f t="array" aca="1" ref="Q78" ca="1">IF($O78&lt;&gt;"",-TRANSPOSE(INDEX(getcds('CDO Bespoke'!$C103,Q$13,'CDO Bespoke'!$G103/10000,'CDO Bespoke'!G103,'CDO Bespoke'!E103,'CDO Bespoke'!$C$13,'CDO Bespoke'!$C$14,'CDO Bespoke'!$C$15,'CDO Bespoke'!$C$8,,,TRUE,TRUE,FALSE,'CDO Bespoke'!$C$29:'CDO Bespoke'!$C$31,'CDO Bespoke'!$C$33),{5})),"")</f>
        <v>-0.96392068646177398</v>
      </c>
      <c r="R78" s="524" cm="1">
        <f t="array" aca="1" ref="R78" ca="1">IF($O78&lt;&gt;"",-TRANSPOSE(INDEX(getcds('CDO Bespoke'!$C103,R$13,'CDO Bespoke'!$G103/10000,'CDO Bespoke'!H103,'CDO Bespoke'!F103,'CDO Bespoke'!$C$13,'CDO Bespoke'!$C$14,'CDO Bespoke'!$C$15,'CDO Bespoke'!$C$8,,,TRUE,TRUE,FALSE,'CDO Bespoke'!$C$29:'CDO Bespoke'!$C$31,'CDO Bespoke'!$C$33),{5})),"")</f>
        <v>-2.8001048935813899</v>
      </c>
      <c r="S78" s="524" cm="1">
        <f t="array" aca="1" ref="S78" ca="1">IF($O78&lt;&gt;"",-TRANSPOSE(INDEX(getcds('CDO Bespoke'!$C103,S$13,'CDO Bespoke'!$G103/10000,'CDO Bespoke'!I103,'CDO Bespoke'!G103,'CDO Bespoke'!$C$13,'CDO Bespoke'!$C$14,'CDO Bespoke'!$C$15,'CDO Bespoke'!$C$8,,,TRUE,TRUE,FALSE,'CDO Bespoke'!$C$29:'CDO Bespoke'!$C$31,'CDO Bespoke'!$C$33),{5})),"")</f>
        <v>-4.4669448891151902</v>
      </c>
      <c r="T78" s="514" cm="1">
        <f t="array" aca="1" ref="T78" ca="1">IF($O78&lt;&gt;"",-TRANSPOSE(INDEX(getcds('CDO Bespoke'!$C103,T$13,'CDO Bespoke'!$G103/10000,'CDO Bespoke'!J103,'CDO Bespoke'!H103,'CDO Bespoke'!$C$13,'CDO Bespoke'!$C$14,'CDO Bespoke'!$C$15,'CDO Bespoke'!$C$8,,,TRUE,TRUE,FALSE,'CDO Bespoke'!$C$29:'CDO Bespoke'!$C$31,'CDO Bespoke'!$C$33),{5})),"")</f>
        <v>-7.94037750559158</v>
      </c>
      <c r="U78" s="493"/>
      <c r="V78" s="513">
        <f ca="1"/>
        <v>-1.7418115939925143E-5</v>
      </c>
      <c r="W78" s="572">
        <f ca="1"/>
        <v>2.2681304157924631E-3</v>
      </c>
      <c r="X78" s="572">
        <f ca="1"/>
        <v>2.2318003443065615E-3</v>
      </c>
      <c r="Y78" s="572">
        <f ca="1"/>
        <v>4.1637606099965974E-3</v>
      </c>
      <c r="Z78" s="572">
        <f ca="1"/>
        <v>5.8477099590045767E-3</v>
      </c>
      <c r="AA78" s="572">
        <f ca="1"/>
        <v>8.6515661010255762E-3</v>
      </c>
      <c r="AB78" s="572">
        <f ca="1"/>
        <v>1.2350766186025597E-2</v>
      </c>
      <c r="AC78" s="572">
        <f ca="1"/>
        <v>1.2803296937091702E-2</v>
      </c>
      <c r="AD78" s="572">
        <f ca="1"/>
        <v>1.1719081308009249E-2</v>
      </c>
      <c r="AE78" s="514">
        <f ca="1"/>
        <v>7.0757614700767135E-3</v>
      </c>
    </row>
    <row r="79" spans="6:31" s="281" customFormat="1" ht="12" thickBot="1">
      <c r="F79" s="501">
        <f ca="1">IF('CDO Bespoke'!O80&lt;&gt;"",'CDO Bespoke'!O80,"")</f>
        <v>1.1877039607296001</v>
      </c>
      <c r="G79" s="502">
        <f ca="1">IF(F79&lt;&gt;"",ABS(MIN(-0.75*('CDO Bespoke'!Q80+'CDO Bespoke'!T80)+'CDO Bespoke'!T80,0)),"")</f>
        <v>1.1917965432652615</v>
      </c>
      <c r="H79" s="502">
        <f t="shared" ref="H79:H142" ca="1" si="4">IF(F79&lt;&gt;"",IF($G$8,MAX(F79-G79,0),F79),"")</f>
        <v>0</v>
      </c>
      <c r="I79" s="502">
        <f t="shared" ca="1" si="3"/>
        <v>0</v>
      </c>
      <c r="J79" s="501">
        <f ca="1">IF('CDO Bespoke'!O80&lt;&gt;"",'CDO Bespoke'!O80,"")</f>
        <v>1.1877039607296001</v>
      </c>
      <c r="K79" s="502">
        <f ca="1">IF(J79&lt;&gt;"",ABS(MIN(-0.75*('CDO Bespoke'!K80+'CDO Bespoke'!T80)+'CDO Bespoke'!T80,0)),"")</f>
        <v>0.42104621429787464</v>
      </c>
      <c r="L79" s="502">
        <f t="shared" ref="L79:L142" ca="1" si="5">IF(J79&lt;&gt;"",IF($G$8,MAX(J79-K79,0),J79),"")</f>
        <v>0.76665774643172546</v>
      </c>
      <c r="M79" s="506">
        <f t="shared" ref="M79:M142" ca="1" si="6">IF(J79&lt;&gt;"",IF($G$8,0,K79),"")</f>
        <v>0</v>
      </c>
      <c r="O79" s="511" t="str">
        <f ca="1">IF('CDO Bespoke'!C104&lt;&gt;"",'CDO Bespoke'!C104,"")</f>
        <v>Kingfisher_MMR.EUR.SU</v>
      </c>
      <c r="P79" s="513" cm="1">
        <f t="array" aca="1" ref="P79" ca="1">IF($O79&lt;&gt;"",-TRANSPOSE(INDEX(getcds('CDO Bespoke'!$C104,P$13,'CDO Bespoke'!$G104/10000,'CDO Bespoke'!F104,'CDO Bespoke'!D104,'CDO Bespoke'!$C$13,'CDO Bespoke'!$C$14,'CDO Bespoke'!$C$15,'CDO Bespoke'!$C$8,,,TRUE,TRUE,FALSE,'CDO Bespoke'!$C$29:'CDO Bespoke'!$C$31,'CDO Bespoke'!$C$33),{5})),"")</f>
        <v>-0.47788137351219101</v>
      </c>
      <c r="Q79" s="524" cm="1">
        <f t="array" aca="1" ref="Q79" ca="1">IF($O79&lt;&gt;"",-TRANSPOSE(INDEX(getcds('CDO Bespoke'!$C104,Q$13,'CDO Bespoke'!$G104/10000,'CDO Bespoke'!G104,'CDO Bespoke'!E104,'CDO Bespoke'!$C$13,'CDO Bespoke'!$C$14,'CDO Bespoke'!$C$15,'CDO Bespoke'!$C$8,,,TRUE,TRUE,FALSE,'CDO Bespoke'!$C$29:'CDO Bespoke'!$C$31,'CDO Bespoke'!$C$33),{5})),"")</f>
        <v>-0.96271204705078905</v>
      </c>
      <c r="R79" s="524" cm="1">
        <f t="array" aca="1" ref="R79" ca="1">IF($O79&lt;&gt;"",-TRANSPOSE(INDEX(getcds('CDO Bespoke'!$C104,R$13,'CDO Bespoke'!$G104/10000,'CDO Bespoke'!H104,'CDO Bespoke'!F104,'CDO Bespoke'!$C$13,'CDO Bespoke'!$C$14,'CDO Bespoke'!$C$15,'CDO Bespoke'!$C$8,,,TRUE,TRUE,FALSE,'CDO Bespoke'!$C$29:'CDO Bespoke'!$C$31,'CDO Bespoke'!$C$33),{5})),"")</f>
        <v>-2.7812090980059199</v>
      </c>
      <c r="S79" s="524" cm="1">
        <f t="array" aca="1" ref="S79" ca="1">IF($O79&lt;&gt;"",-TRANSPOSE(INDEX(getcds('CDO Bespoke'!$C104,S$13,'CDO Bespoke'!$G104/10000,'CDO Bespoke'!I104,'CDO Bespoke'!G104,'CDO Bespoke'!$C$13,'CDO Bespoke'!$C$14,'CDO Bespoke'!$C$15,'CDO Bespoke'!$C$8,,,TRUE,TRUE,FALSE,'CDO Bespoke'!$C$29:'CDO Bespoke'!$C$31,'CDO Bespoke'!$C$33),{5})),"")</f>
        <v>-4.3829278112587602</v>
      </c>
      <c r="T79" s="514" cm="1">
        <f t="array" aca="1" ref="T79" ca="1">IF($O79&lt;&gt;"",-TRANSPOSE(INDEX(getcds('CDO Bespoke'!$C104,T$13,'CDO Bespoke'!$G104/10000,'CDO Bespoke'!J104,'CDO Bespoke'!H104,'CDO Bespoke'!$C$13,'CDO Bespoke'!$C$14,'CDO Bespoke'!$C$15,'CDO Bespoke'!$C$8,,,TRUE,TRUE,FALSE,'CDO Bespoke'!$C$29:'CDO Bespoke'!$C$31,'CDO Bespoke'!$C$33),{5})),"")</f>
        <v>-7.4590710815293804</v>
      </c>
      <c r="U79" s="493"/>
      <c r="V79" s="513">
        <f ca="1"/>
        <v>-4.5407858399997697E-5</v>
      </c>
      <c r="W79" s="572">
        <f ca="1"/>
        <v>2.2065666359025182E-3</v>
      </c>
      <c r="X79" s="572">
        <f ca="1"/>
        <v>2.0483941536985489E-3</v>
      </c>
      <c r="Y79" s="572">
        <f ca="1"/>
        <v>3.5147699229895468E-3</v>
      </c>
      <c r="Z79" s="572">
        <f ca="1"/>
        <v>4.1167208980012054E-3</v>
      </c>
      <c r="AA79" s="572">
        <f ca="1"/>
        <v>3.9820235000001536E-3</v>
      </c>
      <c r="AB79" s="572">
        <f ca="1"/>
        <v>2.1327343839583346E-3</v>
      </c>
      <c r="AC79" s="572">
        <f ca="1"/>
        <v>-2.0202075450004298E-3</v>
      </c>
      <c r="AD79" s="572">
        <f ca="1"/>
        <v>-6.1049098400156598E-3</v>
      </c>
      <c r="AE79" s="514">
        <f ca="1"/>
        <v>-1.4531787470017932E-2</v>
      </c>
    </row>
    <row r="80" spans="6:31" s="281" customFormat="1" ht="12" thickBot="1">
      <c r="F80" s="501">
        <f ca="1">IF('CDO Bespoke'!O81&lt;&gt;"",'CDO Bespoke'!O81,"")</f>
        <v>1.1971282752988099</v>
      </c>
      <c r="G80" s="502">
        <f ca="1">IF(F80&lt;&gt;"",ABS(MIN(-0.75*('CDO Bespoke'!Q81+'CDO Bespoke'!T81)+'CDO Bespoke'!T81,0)),"")</f>
        <v>1.1634694727527521</v>
      </c>
      <c r="H80" s="502">
        <f t="shared" ca="1" si="4"/>
        <v>3.3658802546057798E-2</v>
      </c>
      <c r="I80" s="502">
        <f t="shared" ref="I80:I143" ca="1" si="7">IF(F80&lt;&gt;"",IF($G$8,0,G80),"")</f>
        <v>0</v>
      </c>
      <c r="J80" s="501">
        <f ca="1">IF('CDO Bespoke'!O81&lt;&gt;"",'CDO Bespoke'!O81,"")</f>
        <v>1.1971282752988099</v>
      </c>
      <c r="K80" s="502">
        <f ca="1">IF(J80&lt;&gt;"",ABS(MIN(-0.75*('CDO Bespoke'!K81+'CDO Bespoke'!T81)+'CDO Bespoke'!T81,0)),"")</f>
        <v>0.28851086947514848</v>
      </c>
      <c r="L80" s="502">
        <f t="shared" ca="1" si="5"/>
        <v>0.90861740582366146</v>
      </c>
      <c r="M80" s="506">
        <f t="shared" ca="1" si="6"/>
        <v>0</v>
      </c>
      <c r="O80" s="511" t="str">
        <f ca="1">IF('CDO Bespoke'!C105&lt;&gt;"",'CDO Bespoke'!C105,"")</f>
        <v>Kpn_MMR.EUR.SU</v>
      </c>
      <c r="P80" s="513" cm="1">
        <f t="array" aca="1" ref="P80" ca="1">IF($O80&lt;&gt;"",-TRANSPOSE(INDEX(getcds('CDO Bespoke'!$C105,P$13,'CDO Bespoke'!$G105/10000,'CDO Bespoke'!F105,'CDO Bespoke'!D105,'CDO Bespoke'!$C$13,'CDO Bespoke'!$C$14,'CDO Bespoke'!$C$15,'CDO Bespoke'!$C$8,,,TRUE,TRUE,FALSE,'CDO Bespoke'!$C$29:'CDO Bespoke'!$C$31,'CDO Bespoke'!$C$33),{5})),"")</f>
        <v>-0.47822809770068903</v>
      </c>
      <c r="Q80" s="524" cm="1">
        <f t="array" aca="1" ref="Q80" ca="1">IF($O80&lt;&gt;"",-TRANSPOSE(INDEX(getcds('CDO Bespoke'!$C105,Q$13,'CDO Bespoke'!$G105/10000,'CDO Bespoke'!G105,'CDO Bespoke'!E105,'CDO Bespoke'!$C$13,'CDO Bespoke'!$C$14,'CDO Bespoke'!$C$15,'CDO Bespoke'!$C$8,,,TRUE,TRUE,FALSE,'CDO Bespoke'!$C$29:'CDO Bespoke'!$C$31,'CDO Bespoke'!$C$33),{5})),"")</f>
        <v>-0.96416921270026401</v>
      </c>
      <c r="R80" s="524" cm="1">
        <f t="array" aca="1" ref="R80" ca="1">IF($O80&lt;&gt;"",-TRANSPOSE(INDEX(getcds('CDO Bespoke'!$C105,R$13,'CDO Bespoke'!$G105/10000,'CDO Bespoke'!H105,'CDO Bespoke'!F105,'CDO Bespoke'!$C$13,'CDO Bespoke'!$C$14,'CDO Bespoke'!$C$15,'CDO Bespoke'!$C$8,,,TRUE,TRUE,FALSE,'CDO Bespoke'!$C$29:'CDO Bespoke'!$C$31,'CDO Bespoke'!$C$33),{5})),"")</f>
        <v>-2.8002196218122202</v>
      </c>
      <c r="S80" s="524" cm="1">
        <f t="array" aca="1" ref="S80" ca="1">IF($O80&lt;&gt;"",-TRANSPOSE(INDEX(getcds('CDO Bespoke'!$C105,S$13,'CDO Bespoke'!$G105/10000,'CDO Bespoke'!I105,'CDO Bespoke'!G105,'CDO Bespoke'!$C$13,'CDO Bespoke'!$C$14,'CDO Bespoke'!$C$15,'CDO Bespoke'!$C$8,,,TRUE,TRUE,FALSE,'CDO Bespoke'!$C$29:'CDO Bespoke'!$C$31,'CDO Bespoke'!$C$33),{5})),"")</f>
        <v>-4.4593324118834303</v>
      </c>
      <c r="T80" s="514" cm="1">
        <f t="array" aca="1" ref="T80" ca="1">IF($O80&lt;&gt;"",-TRANSPOSE(INDEX(getcds('CDO Bespoke'!$C105,T$13,'CDO Bespoke'!$G105/10000,'CDO Bespoke'!J105,'CDO Bespoke'!H105,'CDO Bespoke'!$C$13,'CDO Bespoke'!$C$14,'CDO Bespoke'!$C$15,'CDO Bespoke'!$C$8,,,TRUE,TRUE,FALSE,'CDO Bespoke'!$C$29:'CDO Bespoke'!$C$31,'CDO Bespoke'!$C$33),{5})),"")</f>
        <v>-7.8542775121206097</v>
      </c>
      <c r="U80" s="493"/>
      <c r="V80" s="513">
        <f ca="1"/>
        <v>-1.1361302029917232E-5</v>
      </c>
      <c r="W80" s="572">
        <f ca="1"/>
        <v>2.2814620611981418E-3</v>
      </c>
      <c r="X80" s="572">
        <f ca="1"/>
        <v>2.2519304782031568E-3</v>
      </c>
      <c r="Y80" s="572">
        <f ca="1"/>
        <v>4.1015359300046461E-3</v>
      </c>
      <c r="Z80" s="572">
        <f ca="1"/>
        <v>5.6232805500239236E-3</v>
      </c>
      <c r="AA80" s="572">
        <f ca="1"/>
        <v>7.8305815780221888E-3</v>
      </c>
      <c r="AB80" s="572">
        <f ca="1"/>
        <v>8.8441656000137758E-3</v>
      </c>
      <c r="AC80" s="572">
        <f ca="1"/>
        <v>7.407905068985976E-3</v>
      </c>
      <c r="AD80" s="572">
        <f ca="1"/>
        <v>4.8344524130120026E-3</v>
      </c>
      <c r="AE80" s="514">
        <f ca="1"/>
        <v>-2.0908599599953059E-3</v>
      </c>
    </row>
    <row r="81" spans="6:31" s="281" customFormat="1" ht="12" thickBot="1">
      <c r="F81" s="501">
        <f ca="1">IF('CDO Bespoke'!O82&lt;&gt;"",'CDO Bespoke'!O82,"")</f>
        <v>1.1958860394083499</v>
      </c>
      <c r="G81" s="502">
        <f ca="1">IF(F81&lt;&gt;"",ABS(MIN(-0.75*('CDO Bespoke'!Q82+'CDO Bespoke'!T82)+'CDO Bespoke'!T82,0)),"")</f>
        <v>1.1687005023655483</v>
      </c>
      <c r="H81" s="502">
        <f t="shared" ca="1" si="4"/>
        <v>2.7185537042801577E-2</v>
      </c>
      <c r="I81" s="502">
        <f t="shared" ca="1" si="7"/>
        <v>0</v>
      </c>
      <c r="J81" s="501">
        <f ca="1">IF('CDO Bespoke'!O82&lt;&gt;"",'CDO Bespoke'!O82,"")</f>
        <v>1.1958860394083499</v>
      </c>
      <c r="K81" s="502">
        <f ca="1">IF(J81&lt;&gt;"",ABS(MIN(-0.75*('CDO Bespoke'!K82+'CDO Bespoke'!T82)+'CDO Bespoke'!T82,0)),"")</f>
        <v>0.31856171881829459</v>
      </c>
      <c r="L81" s="502">
        <f t="shared" ca="1" si="5"/>
        <v>0.87732432059005538</v>
      </c>
      <c r="M81" s="506">
        <f t="shared" ca="1" si="6"/>
        <v>0</v>
      </c>
      <c r="O81" s="511" t="str">
        <f ca="1">IF('CDO Bespoke'!C106&lt;&gt;"",'CDO Bespoke'!C106,"")</f>
        <v>Lafarge_MMR.EUR.SU</v>
      </c>
      <c r="P81" s="513" cm="1">
        <f t="array" aca="1" ref="P81" ca="1">IF($O81&lt;&gt;"",-TRANSPOSE(INDEX(getcds('CDO Bespoke'!$C106,P$13,'CDO Bespoke'!$G106/10000,'CDO Bespoke'!F106,'CDO Bespoke'!D106,'CDO Bespoke'!$C$13,'CDO Bespoke'!$C$14,'CDO Bespoke'!$C$15,'CDO Bespoke'!$C$8,,,TRUE,TRUE,FALSE,'CDO Bespoke'!$C$29:'CDO Bespoke'!$C$31,'CDO Bespoke'!$C$33),{5})),"")</f>
        <v>-0.47815101876911398</v>
      </c>
      <c r="Q81" s="524" cm="1">
        <f t="array" aca="1" ref="Q81" ca="1">IF($O81&lt;&gt;"",-TRANSPOSE(INDEX(getcds('CDO Bespoke'!$C106,Q$13,'CDO Bespoke'!$G106/10000,'CDO Bespoke'!G106,'CDO Bespoke'!E106,'CDO Bespoke'!$C$13,'CDO Bespoke'!$C$14,'CDO Bespoke'!$C$15,'CDO Bespoke'!$C$8,,,TRUE,TRUE,FALSE,'CDO Bespoke'!$C$29:'CDO Bespoke'!$C$31,'CDO Bespoke'!$C$33),{5})),"")</f>
        <v>-0.96386662110801502</v>
      </c>
      <c r="R81" s="524" cm="1">
        <f t="array" aca="1" ref="R81" ca="1">IF($O81&lt;&gt;"",-TRANSPOSE(INDEX(getcds('CDO Bespoke'!$C106,R$13,'CDO Bespoke'!$G106/10000,'CDO Bespoke'!H106,'CDO Bespoke'!F106,'CDO Bespoke'!$C$13,'CDO Bespoke'!$C$14,'CDO Bespoke'!$C$15,'CDO Bespoke'!$C$8,,,TRUE,TRUE,FALSE,'CDO Bespoke'!$C$29:'CDO Bespoke'!$C$31,'CDO Bespoke'!$C$33),{5})),"")</f>
        <v>-2.7984838265404499</v>
      </c>
      <c r="S81" s="524" cm="1">
        <f t="array" aca="1" ref="S81" ca="1">IF($O81&lt;&gt;"",-TRANSPOSE(INDEX(getcds('CDO Bespoke'!$C106,S$13,'CDO Bespoke'!$G106/10000,'CDO Bespoke'!I106,'CDO Bespoke'!G106,'CDO Bespoke'!$C$13,'CDO Bespoke'!$C$14,'CDO Bespoke'!$C$15,'CDO Bespoke'!$C$8,,,TRUE,TRUE,FALSE,'CDO Bespoke'!$C$29:'CDO Bespoke'!$C$31,'CDO Bespoke'!$C$33),{5})),"")</f>
        <v>-4.4483805617463004</v>
      </c>
      <c r="T81" s="514" cm="1">
        <f t="array" aca="1" ref="T81" ca="1">IF($O81&lt;&gt;"",-TRANSPOSE(INDEX(getcds('CDO Bespoke'!$C106,T$13,'CDO Bespoke'!$G106/10000,'CDO Bespoke'!J106,'CDO Bespoke'!H106,'CDO Bespoke'!$C$13,'CDO Bespoke'!$C$14,'CDO Bespoke'!$C$15,'CDO Bespoke'!$C$8,,,TRUE,TRUE,FALSE,'CDO Bespoke'!$C$29:'CDO Bespoke'!$C$31,'CDO Bespoke'!$C$33),{5})),"")</f>
        <v>-7.7797082991768098</v>
      </c>
      <c r="U81" s="493"/>
      <c r="V81" s="513">
        <f ca="1"/>
        <v>-1.8932042670214734E-5</v>
      </c>
      <c r="W81" s="572">
        <f ca="1"/>
        <v>2.2647986473983001E-3</v>
      </c>
      <c r="X81" s="572">
        <f ca="1"/>
        <v>2.2388787239077668E-3</v>
      </c>
      <c r="Y81" s="572">
        <f ca="1"/>
        <v>4.1232348539990693E-3</v>
      </c>
      <c r="Z81" s="572">
        <f ca="1"/>
        <v>5.2971908940172008E-3</v>
      </c>
      <c r="AA81" s="572">
        <f ca="1"/>
        <v>7.0308094870033533E-3</v>
      </c>
      <c r="AB81" s="572">
        <f ca="1"/>
        <v>7.6547498859685925E-3</v>
      </c>
      <c r="AC81" s="572">
        <f ca="1"/>
        <v>5.6701075550058544E-3</v>
      </c>
      <c r="AD81" s="572">
        <f ca="1"/>
        <v>2.7573541300056348E-3</v>
      </c>
      <c r="AE81" s="514">
        <f ca="1"/>
        <v>-4.5845098098004633E-3</v>
      </c>
    </row>
    <row r="82" spans="6:31" s="281" customFormat="1" ht="12" thickBot="1">
      <c r="F82" s="501">
        <f ca="1">IF('CDO Bespoke'!O83&lt;&gt;"",'CDO Bespoke'!O83,"")</f>
        <v>1.1984965330642801</v>
      </c>
      <c r="G82" s="502">
        <f ca="1">IF(F82&lt;&gt;"",ABS(MIN(-0.75*('CDO Bespoke'!Q83+'CDO Bespoke'!T83)+'CDO Bespoke'!T83,0)),"")</f>
        <v>1.1572058293166276</v>
      </c>
      <c r="H82" s="502">
        <f t="shared" ca="1" si="4"/>
        <v>4.1290703747652424E-2</v>
      </c>
      <c r="I82" s="502">
        <f t="shared" ca="1" si="7"/>
        <v>0</v>
      </c>
      <c r="J82" s="501">
        <f ca="1">IF('CDO Bespoke'!O83&lt;&gt;"",'CDO Bespoke'!O83,"")</f>
        <v>1.1984965330642801</v>
      </c>
      <c r="K82" s="502">
        <f ca="1">IF(J82&lt;&gt;"",ABS(MIN(-0.75*('CDO Bespoke'!K83+'CDO Bespoke'!T83)+'CDO Bespoke'!T83,0)),"")</f>
        <v>0.24226804136520491</v>
      </c>
      <c r="L82" s="502">
        <f t="shared" ca="1" si="5"/>
        <v>0.95622849169907509</v>
      </c>
      <c r="M82" s="506">
        <f t="shared" ca="1" si="6"/>
        <v>0</v>
      </c>
      <c r="O82" s="511" t="str">
        <f ca="1">IF('CDO Bespoke'!C107&lt;&gt;"",'CDO Bespoke'!C107,"")</f>
        <v>Linde_MMR.EUR.SU</v>
      </c>
      <c r="P82" s="513" cm="1">
        <f t="array" aca="1" ref="P82" ca="1">IF($O82&lt;&gt;"",-TRANSPOSE(INDEX(getcds('CDO Bespoke'!$C107,P$13,'CDO Bespoke'!$G107/10000,'CDO Bespoke'!F107,'CDO Bespoke'!D107,'CDO Bespoke'!$C$13,'CDO Bespoke'!$C$14,'CDO Bespoke'!$C$15,'CDO Bespoke'!$C$8,,,TRUE,TRUE,FALSE,'CDO Bespoke'!$C$29:'CDO Bespoke'!$C$31,'CDO Bespoke'!$C$33),{5})),"")</f>
        <v>-0.47824737003613499</v>
      </c>
      <c r="Q82" s="524" cm="1">
        <f t="array" aca="1" ref="Q82" ca="1">IF($O82&lt;&gt;"",-TRANSPOSE(INDEX(getcds('CDO Bespoke'!$C107,Q$13,'CDO Bespoke'!$G107/10000,'CDO Bespoke'!G107,'CDO Bespoke'!E107,'CDO Bespoke'!$C$13,'CDO Bespoke'!$C$14,'CDO Bespoke'!$C$15,'CDO Bespoke'!$C$8,,,TRUE,TRUE,FALSE,'CDO Bespoke'!$C$29:'CDO Bespoke'!$C$31,'CDO Bespoke'!$C$33),{5})),"")</f>
        <v>-0.96431254831084001</v>
      </c>
      <c r="R82" s="524" cm="1">
        <f t="array" aca="1" ref="R82" ca="1">IF($O82&lt;&gt;"",-TRANSPOSE(INDEX(getcds('CDO Bespoke'!$C107,R$13,'CDO Bespoke'!$G107/10000,'CDO Bespoke'!H107,'CDO Bespoke'!F107,'CDO Bespoke'!$C$13,'CDO Bespoke'!$C$14,'CDO Bespoke'!$C$15,'CDO Bespoke'!$C$8,,,TRUE,TRUE,FALSE,'CDO Bespoke'!$C$29:'CDO Bespoke'!$C$31,'CDO Bespoke'!$C$33),{5})),"")</f>
        <v>-2.8062476004540899</v>
      </c>
      <c r="S82" s="524" cm="1">
        <f t="array" aca="1" ref="S82" ca="1">IF($O82&lt;&gt;"",-TRANSPOSE(INDEX(getcds('CDO Bespoke'!$C107,S$13,'CDO Bespoke'!$G107/10000,'CDO Bespoke'!I107,'CDO Bespoke'!G107,'CDO Bespoke'!$C$13,'CDO Bespoke'!$C$14,'CDO Bespoke'!$C$15,'CDO Bespoke'!$C$8,,,TRUE,TRUE,FALSE,'CDO Bespoke'!$C$29:'CDO Bespoke'!$C$31,'CDO Bespoke'!$C$33),{5})),"")</f>
        <v>-4.4783603764918203</v>
      </c>
      <c r="T82" s="514" cm="1">
        <f t="array" aca="1" ref="T82" ca="1">IF($O82&lt;&gt;"",-TRANSPOSE(INDEX(getcds('CDO Bespoke'!$C107,T$13,'CDO Bespoke'!$G107/10000,'CDO Bespoke'!J107,'CDO Bespoke'!H107,'CDO Bespoke'!$C$13,'CDO Bespoke'!$C$14,'CDO Bespoke'!$C$15,'CDO Bespoke'!$C$8,,,TRUE,TRUE,FALSE,'CDO Bespoke'!$C$29:'CDO Bespoke'!$C$31,'CDO Bespoke'!$C$33),{5})),"")</f>
        <v>-7.9348272339460797</v>
      </c>
      <c r="U82" s="493"/>
      <c r="V82" s="513">
        <f ca="1"/>
        <v>-9.4681843799699489E-6</v>
      </c>
      <c r="W82" s="572">
        <f ca="1"/>
        <v>2.2856297009991172E-3</v>
      </c>
      <c r="X82" s="572">
        <f ca="1"/>
        <v>2.3569997587014058E-3</v>
      </c>
      <c r="Y82" s="572">
        <f ca="1"/>
        <v>4.3774216439834701E-3</v>
      </c>
      <c r="Z82" s="572">
        <f ca="1"/>
        <v>5.8231698839977808E-3</v>
      </c>
      <c r="AA82" s="572">
        <f ca="1"/>
        <v>8.5466009009521615E-3</v>
      </c>
      <c r="AB82" s="572">
        <f ca="1"/>
        <v>1.0613405306975077E-2</v>
      </c>
      <c r="AC82" s="572">
        <f ca="1"/>
        <v>1.0070898490976976E-2</v>
      </c>
      <c r="AD82" s="572">
        <f ca="1"/>
        <v>8.1466681100400562E-3</v>
      </c>
      <c r="AE82" s="514">
        <f ca="1"/>
        <v>2.1440848220477537E-3</v>
      </c>
    </row>
    <row r="83" spans="6:31" s="281" customFormat="1" ht="12" thickBot="1">
      <c r="F83" s="501">
        <f ca="1">IF('CDO Bespoke'!O84&lt;&gt;"",'CDO Bespoke'!O84,"")</f>
        <v>1.1968720514040001</v>
      </c>
      <c r="G83" s="502">
        <f ca="1">IF(F83&lt;&gt;"",ABS(MIN(-0.75*('CDO Bespoke'!Q84+'CDO Bespoke'!T84)+'CDO Bespoke'!T84,0)),"")</f>
        <v>1.1649615226584413</v>
      </c>
      <c r="H83" s="502">
        <f t="shared" ca="1" si="4"/>
        <v>3.1910528745558775E-2</v>
      </c>
      <c r="I83" s="502">
        <f t="shared" ca="1" si="7"/>
        <v>0</v>
      </c>
      <c r="J83" s="501">
        <f ca="1">IF('CDO Bespoke'!O84&lt;&gt;"",'CDO Bespoke'!O84,"")</f>
        <v>1.1968720514040001</v>
      </c>
      <c r="K83" s="502">
        <f ca="1">IF(J83&lt;&gt;"",ABS(MIN(-0.75*('CDO Bespoke'!K84+'CDO Bespoke'!T84)+'CDO Bespoke'!T84,0)),"")</f>
        <v>0.2966320317892982</v>
      </c>
      <c r="L83" s="502">
        <f t="shared" ca="1" si="5"/>
        <v>0.9002400196147019</v>
      </c>
      <c r="M83" s="506">
        <f t="shared" ca="1" si="6"/>
        <v>0</v>
      </c>
      <c r="O83" s="511" t="str">
        <f ca="1">IF('CDO Bespoke'!C108&lt;&gt;"",'CDO Bespoke'!C108,"")</f>
        <v>Lufthansa_MMR.EUR.SU</v>
      </c>
      <c r="P83" s="513" cm="1">
        <f t="array" aca="1" ref="P83" ca="1">IF($O83&lt;&gt;"",-TRANSPOSE(INDEX(getcds('CDO Bespoke'!$C108,P$13,'CDO Bespoke'!$G108/10000,'CDO Bespoke'!F108,'CDO Bespoke'!D108,'CDO Bespoke'!$C$13,'CDO Bespoke'!$C$14,'CDO Bespoke'!$C$15,'CDO Bespoke'!$C$8,,,TRUE,TRUE,FALSE,'CDO Bespoke'!$C$29:'CDO Bespoke'!$C$31,'CDO Bespoke'!$C$33),{5})),"")</f>
        <v>-0.47815101876911398</v>
      </c>
      <c r="Q83" s="524" cm="1">
        <f t="array" aca="1" ref="Q83" ca="1">IF($O83&lt;&gt;"",-TRANSPOSE(INDEX(getcds('CDO Bespoke'!$C108,Q$13,'CDO Bespoke'!$G108/10000,'CDO Bespoke'!G108,'CDO Bespoke'!E108,'CDO Bespoke'!$C$13,'CDO Bespoke'!$C$14,'CDO Bespoke'!$C$15,'CDO Bespoke'!$C$8,,,TRUE,TRUE,FALSE,'CDO Bespoke'!$C$29:'CDO Bespoke'!$C$31,'CDO Bespoke'!$C$33),{5})),"")</f>
        <v>-0.96391815258978197</v>
      </c>
      <c r="R83" s="524" cm="1">
        <f t="array" aca="1" ref="R83" ca="1">IF($O83&lt;&gt;"",-TRANSPOSE(INDEX(getcds('CDO Bespoke'!$C108,R$13,'CDO Bespoke'!$G108/10000,'CDO Bespoke'!H108,'CDO Bespoke'!F108,'CDO Bespoke'!$C$13,'CDO Bespoke'!$C$14,'CDO Bespoke'!$C$15,'CDO Bespoke'!$C$8,,,TRUE,TRUE,FALSE,'CDO Bespoke'!$C$29:'CDO Bespoke'!$C$31,'CDO Bespoke'!$C$33),{5})),"")</f>
        <v>-2.8009560330258099</v>
      </c>
      <c r="S83" s="524" cm="1">
        <f t="array" aca="1" ref="S83" ca="1">IF($O83&lt;&gt;"",-TRANSPOSE(INDEX(getcds('CDO Bespoke'!$C108,S$13,'CDO Bespoke'!$G108/10000,'CDO Bespoke'!I108,'CDO Bespoke'!G108,'CDO Bespoke'!$C$13,'CDO Bespoke'!$C$14,'CDO Bespoke'!$C$15,'CDO Bespoke'!$C$8,,,TRUE,TRUE,FALSE,'CDO Bespoke'!$C$29:'CDO Bespoke'!$C$31,'CDO Bespoke'!$C$33),{5})),"")</f>
        <v>-4.45767993536586</v>
      </c>
      <c r="T83" s="514" cm="1">
        <f t="array" aca="1" ref="T83" ca="1">IF($O83&lt;&gt;"",-TRANSPOSE(INDEX(getcds('CDO Bespoke'!$C108,T$13,'CDO Bespoke'!$G108/10000,'CDO Bespoke'!J108,'CDO Bespoke'!H108,'CDO Bespoke'!$C$13,'CDO Bespoke'!$C$14,'CDO Bespoke'!$C$15,'CDO Bespoke'!$C$8,,,TRUE,TRUE,FALSE,'CDO Bespoke'!$C$29:'CDO Bespoke'!$C$31,'CDO Bespoke'!$C$33),{5})),"")</f>
        <v>-7.8241808269616904</v>
      </c>
      <c r="U83" s="493"/>
      <c r="V83" s="513">
        <f ca="1"/>
        <v>-1.8932042670214734E-5</v>
      </c>
      <c r="W83" s="572">
        <f ca="1"/>
        <v>2.2647986473983001E-3</v>
      </c>
      <c r="X83" s="572">
        <f ca="1"/>
        <v>2.3163874269920004E-3</v>
      </c>
      <c r="Y83" s="572">
        <f ca="1"/>
        <v>4.1888373570123094E-3</v>
      </c>
      <c r="Z83" s="572">
        <f ca="1"/>
        <v>5.3963860159947363E-3</v>
      </c>
      <c r="AA83" s="572">
        <f ca="1"/>
        <v>7.5893071090071818E-3</v>
      </c>
      <c r="AB83" s="572">
        <f ca="1"/>
        <v>7.8885309909987322E-3</v>
      </c>
      <c r="AC83" s="572">
        <f ca="1"/>
        <v>5.9992039780007445E-3</v>
      </c>
      <c r="AD83" s="572">
        <f ca="1"/>
        <v>3.1123239100164235E-3</v>
      </c>
      <c r="AE83" s="514">
        <f ca="1"/>
        <v>-4.2240664399964545E-3</v>
      </c>
    </row>
    <row r="84" spans="6:31" s="281" customFormat="1" ht="12" thickBot="1">
      <c r="F84" s="501">
        <f ca="1">IF('CDO Bespoke'!O85&lt;&gt;"",'CDO Bespoke'!O85,"")</f>
        <v>1.1984210039844101</v>
      </c>
      <c r="G84" s="502">
        <f ca="1">IF(F84&lt;&gt;"",ABS(MIN(-0.75*('CDO Bespoke'!Q85+'CDO Bespoke'!T85)+'CDO Bespoke'!T85,0)),"")</f>
        <v>1.1577189029755512</v>
      </c>
      <c r="H84" s="502">
        <f t="shared" ca="1" si="4"/>
        <v>4.0702101008858849E-2</v>
      </c>
      <c r="I84" s="502">
        <f t="shared" ca="1" si="7"/>
        <v>0</v>
      </c>
      <c r="J84" s="501">
        <f ca="1">IF('CDO Bespoke'!O85&lt;&gt;"",'CDO Bespoke'!O85,"")</f>
        <v>1.1984210039844101</v>
      </c>
      <c r="K84" s="502">
        <f ca="1">IF(J84&lt;&gt;"",ABS(MIN(-0.75*('CDO Bespoke'!K85+'CDO Bespoke'!T85)+'CDO Bespoke'!T85,0)),"")</f>
        <v>0.24705375001975488</v>
      </c>
      <c r="L84" s="502">
        <f t="shared" ca="1" si="5"/>
        <v>0.95136725396465516</v>
      </c>
      <c r="M84" s="506">
        <f t="shared" ca="1" si="6"/>
        <v>0</v>
      </c>
      <c r="O84" s="511" t="str">
        <f ca="1">IF('CDO Bespoke'!C109&lt;&gt;"",'CDO Bespoke'!C109,"")</f>
        <v>LVMH_MMR.EUR.SU</v>
      </c>
      <c r="P84" s="513" cm="1">
        <f t="array" aca="1" ref="P84" ca="1">IF($O84&lt;&gt;"",-TRANSPOSE(INDEX(getcds('CDO Bespoke'!$C109,P$13,'CDO Bespoke'!$G109/10000,'CDO Bespoke'!F109,'CDO Bespoke'!D109,'CDO Bespoke'!$C$13,'CDO Bespoke'!$C$14,'CDO Bespoke'!$C$15,'CDO Bespoke'!$C$8,,,TRUE,TRUE,FALSE,'CDO Bespoke'!$C$29:'CDO Bespoke'!$C$31,'CDO Bespoke'!$C$33),{5})),"")</f>
        <v>-0.478266643413018</v>
      </c>
      <c r="Q84" s="524" cm="1">
        <f t="array" aca="1" ref="Q84" ca="1">IF($O84&lt;&gt;"",-TRANSPOSE(INDEX(getcds('CDO Bespoke'!$C109,Q$13,'CDO Bespoke'!$G109/10000,'CDO Bespoke'!G109,'CDO Bespoke'!E109,'CDO Bespoke'!$C$13,'CDO Bespoke'!$C$14,'CDO Bespoke'!$C$15,'CDO Bespoke'!$C$8,,,TRUE,TRUE,FALSE,'CDO Bespoke'!$C$29:'CDO Bespoke'!$C$31,'CDO Bespoke'!$C$33),{5})),"")</f>
        <v>-0.964327002543935</v>
      </c>
      <c r="R84" s="524" cm="1">
        <f t="array" aca="1" ref="R84" ca="1">IF($O84&lt;&gt;"",-TRANSPOSE(INDEX(getcds('CDO Bespoke'!$C109,R$13,'CDO Bespoke'!$G109/10000,'CDO Bespoke'!H109,'CDO Bespoke'!F109,'CDO Bespoke'!$C$13,'CDO Bespoke'!$C$14,'CDO Bespoke'!$C$15,'CDO Bespoke'!$C$8,,,TRUE,TRUE,FALSE,'CDO Bespoke'!$C$29:'CDO Bespoke'!$C$31,'CDO Bespoke'!$C$33),{5})),"")</f>
        <v>-2.8047418341216601</v>
      </c>
      <c r="S84" s="524" cm="1">
        <f t="array" aca="1" ref="S84" ca="1">IF($O84&lt;&gt;"",-TRANSPOSE(INDEX(getcds('CDO Bespoke'!$C109,S$13,'CDO Bespoke'!$G109/10000,'CDO Bespoke'!I109,'CDO Bespoke'!G109,'CDO Bespoke'!$C$13,'CDO Bespoke'!$C$14,'CDO Bespoke'!$C$15,'CDO Bespoke'!$C$8,,,TRUE,TRUE,FALSE,'CDO Bespoke'!$C$29:'CDO Bespoke'!$C$31,'CDO Bespoke'!$C$33),{5})),"")</f>
        <v>-4.4763601716124697</v>
      </c>
      <c r="T84" s="514" cm="1">
        <f t="array" aca="1" ref="T84" ca="1">IF($O84&lt;&gt;"",-TRANSPOSE(INDEX(getcds('CDO Bespoke'!$C109,T$13,'CDO Bespoke'!$G109/10000,'CDO Bespoke'!J109,'CDO Bespoke'!H109,'CDO Bespoke'!$C$13,'CDO Bespoke'!$C$14,'CDO Bespoke'!$C$15,'CDO Bespoke'!$C$8,,,TRUE,TRUE,FALSE,'CDO Bespoke'!$C$29:'CDO Bespoke'!$C$31,'CDO Bespoke'!$C$33),{5})),"")</f>
        <v>-7.93586596048464</v>
      </c>
      <c r="U84" s="493"/>
      <c r="V84" s="513">
        <f ca="1"/>
        <v>-7.5748937100584245E-6</v>
      </c>
      <c r="W84" s="572">
        <f ca="1"/>
        <v>2.2897980556015746E-3</v>
      </c>
      <c r="X84" s="572">
        <f ca="1"/>
        <v>2.2681583819982032E-3</v>
      </c>
      <c r="Y84" s="572">
        <f ca="1"/>
        <v>4.3469193580086829E-3</v>
      </c>
      <c r="Z84" s="572">
        <f ca="1"/>
        <v>5.9751890640197258E-3</v>
      </c>
      <c r="AA84" s="572">
        <f ca="1"/>
        <v>8.4471658769874614E-3</v>
      </c>
      <c r="AB84" s="572">
        <f ca="1"/>
        <v>1.110286897997026E-2</v>
      </c>
      <c r="AC84" s="572">
        <f ca="1"/>
        <v>1.0833277437963251E-2</v>
      </c>
      <c r="AD84" s="572">
        <f ca="1"/>
        <v>9.1372001550377169E-3</v>
      </c>
      <c r="AE84" s="514">
        <f ca="1"/>
        <v>3.4937763719600223E-3</v>
      </c>
    </row>
    <row r="85" spans="6:31" s="281" customFormat="1" ht="12" thickBot="1">
      <c r="F85" s="501">
        <f ca="1">IF('CDO Bespoke'!O86&lt;&gt;"",'CDO Bespoke'!O86,"")</f>
        <v>1.1972344532230501</v>
      </c>
      <c r="G85" s="502">
        <f ca="1">IF(F85&lt;&gt;"",ABS(MIN(-0.75*('CDO Bespoke'!Q86+'CDO Bespoke'!T86)+'CDO Bespoke'!T86,0)),"")</f>
        <v>1.163554419572985</v>
      </c>
      <c r="H85" s="502">
        <f t="shared" ca="1" si="4"/>
        <v>3.3680033650065111E-2</v>
      </c>
      <c r="I85" s="502">
        <f t="shared" ca="1" si="7"/>
        <v>0</v>
      </c>
      <c r="J85" s="501">
        <f ca="1">IF('CDO Bespoke'!O86&lt;&gt;"",'CDO Bespoke'!O86,"")</f>
        <v>1.1972344532230501</v>
      </c>
      <c r="K85" s="502">
        <f ca="1">IF(J85&lt;&gt;"",ABS(MIN(-0.75*('CDO Bespoke'!K86+'CDO Bespoke'!T86)+'CDO Bespoke'!T86,0)),"")</f>
        <v>0.28784528698883183</v>
      </c>
      <c r="L85" s="502">
        <f t="shared" ca="1" si="5"/>
        <v>0.90938916623421828</v>
      </c>
      <c r="M85" s="506">
        <f t="shared" ca="1" si="6"/>
        <v>0</v>
      </c>
      <c r="O85" s="511" t="str">
        <f ca="1">IF('CDO Bespoke'!C110&lt;&gt;"",'CDO Bespoke'!C110,"")</f>
        <v>MarksandSpencerPLC_MMR.EUR.SU</v>
      </c>
      <c r="P85" s="513" cm="1">
        <f t="array" aca="1" ref="P85" ca="1">IF($O85&lt;&gt;"",-TRANSPOSE(INDEX(getcds('CDO Bespoke'!$C110,P$13,'CDO Bespoke'!$G110/10000,'CDO Bespoke'!F110,'CDO Bespoke'!D110,'CDO Bespoke'!$C$13,'CDO Bespoke'!$C$14,'CDO Bespoke'!$C$15,'CDO Bespoke'!$C$8,,,TRUE,TRUE,FALSE,'CDO Bespoke'!$C$29:'CDO Bespoke'!$C$31,'CDO Bespoke'!$C$33),{5})),"")</f>
        <v>-0.47822809770068903</v>
      </c>
      <c r="Q85" s="524" cm="1">
        <f t="array" aca="1" ref="Q85" ca="1">IF($O85&lt;&gt;"",-TRANSPOSE(INDEX(getcds('CDO Bespoke'!$C110,Q$13,'CDO Bespoke'!$G110/10000,'CDO Bespoke'!G110,'CDO Bespoke'!E110,'CDO Bespoke'!$C$13,'CDO Bespoke'!$C$14,'CDO Bespoke'!$C$15,'CDO Bespoke'!$C$8,,,TRUE,TRUE,FALSE,'CDO Bespoke'!$C$29:'CDO Bespoke'!$C$31,'CDO Bespoke'!$C$33),{5})),"")</f>
        <v>-0.96414343233903899</v>
      </c>
      <c r="R85" s="524" cm="1">
        <f t="array" aca="1" ref="R85" ca="1">IF($O85&lt;&gt;"",-TRANSPOSE(INDEX(getcds('CDO Bespoke'!$C110,R$13,'CDO Bespoke'!$G110/10000,'CDO Bespoke'!H110,'CDO Bespoke'!F110,'CDO Bespoke'!$C$13,'CDO Bespoke'!$C$14,'CDO Bespoke'!$C$15,'CDO Bespoke'!$C$8,,,TRUE,TRUE,FALSE,'CDO Bespoke'!$C$29:'CDO Bespoke'!$C$31,'CDO Bespoke'!$C$33),{5})),"")</f>
        <v>-2.80103451678819</v>
      </c>
      <c r="S85" s="524" cm="1">
        <f t="array" aca="1" ref="S85" ca="1">IF($O85&lt;&gt;"",-TRANSPOSE(INDEX(getcds('CDO Bespoke'!$C110,S$13,'CDO Bespoke'!$G110/10000,'CDO Bespoke'!I110,'CDO Bespoke'!G110,'CDO Bespoke'!$C$13,'CDO Bespoke'!$C$14,'CDO Bespoke'!$C$15,'CDO Bespoke'!$C$8,,,TRUE,TRUE,FALSE,'CDO Bespoke'!$C$29:'CDO Bespoke'!$C$31,'CDO Bespoke'!$C$33),{5})),"")</f>
        <v>-4.4617911035155302</v>
      </c>
      <c r="T85" s="514" cm="1">
        <f t="array" aca="1" ref="T85" ca="1">IF($O85&lt;&gt;"",-TRANSPOSE(INDEX(getcds('CDO Bespoke'!$C110,T$13,'CDO Bespoke'!$G110/10000,'CDO Bespoke'!J110,'CDO Bespoke'!H110,'CDO Bespoke'!$C$13,'CDO Bespoke'!$C$14,'CDO Bespoke'!$C$15,'CDO Bespoke'!$C$8,,,TRUE,TRUE,FALSE,'CDO Bespoke'!$C$29:'CDO Bespoke'!$C$31,'CDO Bespoke'!$C$33),{5})),"")</f>
        <v>-7.84790955481777</v>
      </c>
      <c r="U85" s="493"/>
      <c r="V85" s="513">
        <f ca="1"/>
        <v>-1.1361302029917232E-5</v>
      </c>
      <c r="W85" s="572">
        <f ca="1"/>
        <v>2.2814620611981418E-3</v>
      </c>
      <c r="X85" s="572">
        <f ca="1"/>
        <v>2.2131697862901034E-3</v>
      </c>
      <c r="Y85" s="572">
        <f ca="1"/>
        <v>4.21029627800662E-3</v>
      </c>
      <c r="Z85" s="572">
        <f ca="1"/>
        <v>5.7490208460117542E-3</v>
      </c>
      <c r="AA85" s="572">
        <f ca="1"/>
        <v>7.6558806400006674E-3</v>
      </c>
      <c r="AB85" s="572">
        <f ca="1"/>
        <v>9.0621602429757919E-3</v>
      </c>
      <c r="AC85" s="572">
        <f ca="1"/>
        <v>7.7447061560056984E-3</v>
      </c>
      <c r="AD85" s="572">
        <f ca="1"/>
        <v>5.2831730639954499E-3</v>
      </c>
      <c r="AE85" s="514">
        <f ca="1"/>
        <v>-1.4700345399992765E-3</v>
      </c>
    </row>
    <row r="86" spans="6:31" s="281" customFormat="1" ht="12" thickBot="1">
      <c r="F86" s="501">
        <f ca="1">IF('CDO Bespoke'!O87&lt;&gt;"",'CDO Bespoke'!O87,"")</f>
        <v>1.1981596477087</v>
      </c>
      <c r="G86" s="502">
        <f ca="1">IF(F86&lt;&gt;"",ABS(MIN(-0.75*('CDO Bespoke'!Q87+'CDO Bespoke'!T87)+'CDO Bespoke'!T87,0)),"")</f>
        <v>1.1592187613162126</v>
      </c>
      <c r="H86" s="502">
        <f t="shared" ca="1" si="4"/>
        <v>3.8940886392487384E-2</v>
      </c>
      <c r="I86" s="502">
        <f t="shared" ca="1" si="7"/>
        <v>0</v>
      </c>
      <c r="J86" s="501">
        <f ca="1">IF('CDO Bespoke'!O87&lt;&gt;"",'CDO Bespoke'!O87,"")</f>
        <v>1.1981596477087</v>
      </c>
      <c r="K86" s="502">
        <f ca="1">IF(J86&lt;&gt;"",ABS(MIN(-0.75*('CDO Bespoke'!K87+'CDO Bespoke'!T87)+'CDO Bespoke'!T87,0)),"")</f>
        <v>0.25850748728486056</v>
      </c>
      <c r="L86" s="502">
        <f t="shared" ca="1" si="5"/>
        <v>0.93965216042383948</v>
      </c>
      <c r="M86" s="506">
        <f t="shared" ca="1" si="6"/>
        <v>0</v>
      </c>
      <c r="O86" s="511" t="str">
        <f ca="1">IF('CDO Bespoke'!C111&lt;&gt;"",'CDO Bespoke'!C111,"")</f>
        <v>Metro_MMR.EUR.SU</v>
      </c>
      <c r="P86" s="513" cm="1">
        <f t="array" aca="1" ref="P86" ca="1">IF($O86&lt;&gt;"",-TRANSPOSE(INDEX(getcds('CDO Bespoke'!$C111,P$13,'CDO Bespoke'!$G111/10000,'CDO Bespoke'!F111,'CDO Bespoke'!D111,'CDO Bespoke'!$C$13,'CDO Bespoke'!$C$14,'CDO Bespoke'!$C$15,'CDO Bespoke'!$C$8,,,TRUE,TRUE,FALSE,'CDO Bespoke'!$C$29:'CDO Bespoke'!$C$31,'CDO Bespoke'!$C$33),{5})),"")</f>
        <v>-0.47828591783154101</v>
      </c>
      <c r="Q86" s="524" cm="1">
        <f t="array" aca="1" ref="Q86" ca="1">IF($O86&lt;&gt;"",-TRANSPOSE(INDEX(getcds('CDO Bespoke'!$C111,Q$13,'CDO Bespoke'!$G111/10000,'CDO Bespoke'!G111,'CDO Bespoke'!E111,'CDO Bespoke'!$C$13,'CDO Bespoke'!$C$14,'CDO Bespoke'!$C$15,'CDO Bespoke'!$C$8,,,TRUE,TRUE,FALSE,'CDO Bespoke'!$C$29:'CDO Bespoke'!$C$31,'CDO Bespoke'!$C$33),{5})),"")</f>
        <v>-0.96439301709083303</v>
      </c>
      <c r="R86" s="524" cm="1">
        <f t="array" aca="1" ref="R86" ca="1">IF($O86&lt;&gt;"",-TRANSPOSE(INDEX(getcds('CDO Bespoke'!$C111,R$13,'CDO Bespoke'!$G111/10000,'CDO Bespoke'!H111,'CDO Bespoke'!F111,'CDO Bespoke'!$C$13,'CDO Bespoke'!$C$14,'CDO Bespoke'!$C$15,'CDO Bespoke'!$C$8,,,TRUE,TRUE,FALSE,'CDO Bespoke'!$C$29:'CDO Bespoke'!$C$31,'CDO Bespoke'!$C$33),{5})),"")</f>
        <v>-2.8035679413175298</v>
      </c>
      <c r="S86" s="524" cm="1">
        <f t="array" aca="1" ref="S86" ca="1">IF($O86&lt;&gt;"",-TRANSPOSE(INDEX(getcds('CDO Bespoke'!$C111,S$13,'CDO Bespoke'!$G111/10000,'CDO Bespoke'!I111,'CDO Bespoke'!G111,'CDO Bespoke'!$C$13,'CDO Bespoke'!$C$14,'CDO Bespoke'!$C$15,'CDO Bespoke'!$C$8,,,TRUE,TRUE,FALSE,'CDO Bespoke'!$C$29:'CDO Bespoke'!$C$31,'CDO Bespoke'!$C$33),{5})),"")</f>
        <v>-4.4712039676997</v>
      </c>
      <c r="T86" s="514" cm="1">
        <f t="array" aca="1" ref="T86" ca="1">IF($O86&lt;&gt;"",-TRANSPOSE(INDEX(getcds('CDO Bespoke'!$C111,T$13,'CDO Bespoke'!$G111/10000,'CDO Bespoke'!J111,'CDO Bespoke'!H111,'CDO Bespoke'!$C$13,'CDO Bespoke'!$C$14,'CDO Bespoke'!$C$15,'CDO Bespoke'!$C$8,,,TRUE,TRUE,FALSE,'CDO Bespoke'!$C$29:'CDO Bespoke'!$C$31,'CDO Bespoke'!$C$33),{5})),"")</f>
        <v>-7.9048645682114103</v>
      </c>
      <c r="U86" s="493"/>
      <c r="V86" s="513">
        <f ca="1"/>
        <v>-5.6814299600094383E-6</v>
      </c>
      <c r="W86" s="572">
        <f ca="1"/>
        <v>2.293967125205007E-3</v>
      </c>
      <c r="X86" s="572">
        <f ca="1"/>
        <v>2.2568857457015701E-3</v>
      </c>
      <c r="Y86" s="572">
        <f ca="1"/>
        <v>4.2759596409827627E-3</v>
      </c>
      <c r="Z86" s="572">
        <f ca="1"/>
        <v>5.7733158280101615E-3</v>
      </c>
      <c r="AA86" s="572">
        <f ca="1"/>
        <v>8.379434074008707E-3</v>
      </c>
      <c r="AB86" s="572">
        <f ca="1"/>
        <v>9.9583343320108764E-3</v>
      </c>
      <c r="AC86" s="572">
        <f ca="1"/>
        <v>9.0773113750608481E-3</v>
      </c>
      <c r="AD86" s="572">
        <f ca="1"/>
        <v>6.9034854739691287E-3</v>
      </c>
      <c r="AE86" s="514">
        <f ca="1"/>
        <v>5.3655769702287692E-4</v>
      </c>
    </row>
    <row r="87" spans="6:31" s="281" customFormat="1" ht="12" thickBot="1">
      <c r="F87" s="501">
        <f ca="1">IF('CDO Bespoke'!O88&lt;&gt;"",'CDO Bespoke'!O88,"")</f>
        <v>1.1972611744766699</v>
      </c>
      <c r="G87" s="502">
        <f ca="1">IF(F87&lt;&gt;"",ABS(MIN(-0.75*('CDO Bespoke'!Q88+'CDO Bespoke'!T88)+'CDO Bespoke'!T88,0)),"")</f>
        <v>1.1635800808320138</v>
      </c>
      <c r="H87" s="502">
        <f t="shared" ca="1" si="4"/>
        <v>3.3681093644656102E-2</v>
      </c>
      <c r="I87" s="502">
        <f t="shared" ca="1" si="7"/>
        <v>0</v>
      </c>
      <c r="J87" s="501">
        <f ca="1">IF('CDO Bespoke'!O88&lt;&gt;"",'CDO Bespoke'!O88,"")</f>
        <v>1.1972611744766699</v>
      </c>
      <c r="K87" s="502">
        <f ca="1">IF(J87&lt;&gt;"",ABS(MIN(-0.75*('CDO Bespoke'!K88+'CDO Bespoke'!T88)+'CDO Bespoke'!T88,0)),"")</f>
        <v>0.28786716415068631</v>
      </c>
      <c r="L87" s="502">
        <f t="shared" ca="1" si="5"/>
        <v>0.90939401032598366</v>
      </c>
      <c r="M87" s="506">
        <f t="shared" ca="1" si="6"/>
        <v>0</v>
      </c>
      <c r="O87" s="511" t="str">
        <f ca="1">IF('CDO Bespoke'!C112&lt;&gt;"",'CDO Bespoke'!C112,"")</f>
        <v>Michelin_MMR.EUR.SU</v>
      </c>
      <c r="P87" s="513" cm="1">
        <f t="array" aca="1" ref="P87" ca="1">IF($O87&lt;&gt;"",-TRANSPOSE(INDEX(getcds('CDO Bespoke'!$C112,P$13,'CDO Bespoke'!$G112/10000,'CDO Bespoke'!F112,'CDO Bespoke'!D112,'CDO Bespoke'!$C$13,'CDO Bespoke'!$C$14,'CDO Bespoke'!$C$15,'CDO Bespoke'!$C$8,,,TRUE,TRUE,FALSE,'CDO Bespoke'!$C$29:'CDO Bespoke'!$C$31,'CDO Bespoke'!$C$33),{5})),"")</f>
        <v>-0.47815101876911398</v>
      </c>
      <c r="Q87" s="524" cm="1">
        <f t="array" aca="1" ref="Q87" ca="1">IF($O87&lt;&gt;"",-TRANSPOSE(INDEX(getcds('CDO Bespoke'!$C112,Q$13,'CDO Bespoke'!$G112/10000,'CDO Bespoke'!G112,'CDO Bespoke'!E112,'CDO Bespoke'!$C$13,'CDO Bespoke'!$C$14,'CDO Bespoke'!$C$15,'CDO Bespoke'!$C$8,,,TRUE,TRUE,FALSE,'CDO Bespoke'!$C$29:'CDO Bespoke'!$C$31,'CDO Bespoke'!$C$33),{5})),"")</f>
        <v>-0.96390527072138998</v>
      </c>
      <c r="R87" s="524" cm="1">
        <f t="array" aca="1" ref="R87" ca="1">IF($O87&lt;&gt;"",-TRANSPOSE(INDEX(getcds('CDO Bespoke'!$C112,R$13,'CDO Bespoke'!$G112/10000,'CDO Bespoke'!H112,'CDO Bespoke'!F112,'CDO Bespoke'!$C$13,'CDO Bespoke'!$C$14,'CDO Bespoke'!$C$15,'CDO Bespoke'!$C$8,,,TRUE,TRUE,FALSE,'CDO Bespoke'!$C$29:'CDO Bespoke'!$C$31,'CDO Bespoke'!$C$33),{5})),"")</f>
        <v>-2.8010491859333899</v>
      </c>
      <c r="S87" s="524" cm="1">
        <f t="array" aca="1" ref="S87" ca="1">IF($O87&lt;&gt;"",-TRANSPOSE(INDEX(getcds('CDO Bespoke'!$C112,S$13,'CDO Bespoke'!$G112/10000,'CDO Bespoke'!I112,'CDO Bespoke'!G112,'CDO Bespoke'!$C$13,'CDO Bespoke'!$C$14,'CDO Bespoke'!$C$15,'CDO Bespoke'!$C$8,,,TRUE,TRUE,FALSE,'CDO Bespoke'!$C$29:'CDO Bespoke'!$C$31,'CDO Bespoke'!$C$33),{5})),"")</f>
        <v>-4.4618053738241601</v>
      </c>
      <c r="T87" s="514" cm="1">
        <f t="array" aca="1" ref="T87" ca="1">IF($O87&lt;&gt;"",-TRANSPOSE(INDEX(getcds('CDO Bespoke'!$C112,T$13,'CDO Bespoke'!$G112/10000,'CDO Bespoke'!J112,'CDO Bespoke'!H112,'CDO Bespoke'!$C$13,'CDO Bespoke'!$C$14,'CDO Bespoke'!$C$15,'CDO Bespoke'!$C$8,,,TRUE,TRUE,FALSE,'CDO Bespoke'!$C$29:'CDO Bespoke'!$C$31,'CDO Bespoke'!$C$33),{5})),"")</f>
        <v>-7.8601206415710196</v>
      </c>
      <c r="U87" s="493"/>
      <c r="V87" s="513">
        <f ca="1"/>
        <v>-1.8932042670214734E-5</v>
      </c>
      <c r="W87" s="572">
        <f ca="1"/>
        <v>2.2647986473983001E-3</v>
      </c>
      <c r="X87" s="572">
        <f ca="1"/>
        <v>2.2970068538907817E-3</v>
      </c>
      <c r="Y87" s="572">
        <f ca="1"/>
        <v>4.1724208829987952E-3</v>
      </c>
      <c r="Z87" s="572">
        <f ca="1"/>
        <v>5.7490191509787514E-3</v>
      </c>
      <c r="AA87" s="572">
        <f ca="1"/>
        <v>7.6558735830067892E-3</v>
      </c>
      <c r="AB87" s="572">
        <f ca="1"/>
        <v>1.0331191465026701E-2</v>
      </c>
      <c r="AC87" s="572">
        <f ca="1"/>
        <v>9.6861569320177976E-3</v>
      </c>
      <c r="AD87" s="572">
        <f ca="1"/>
        <v>7.7650359140563063E-3</v>
      </c>
      <c r="AE87" s="514">
        <f ca="1"/>
        <v>1.822546626950583E-3</v>
      </c>
    </row>
    <row r="88" spans="6:31" s="281" customFormat="1" ht="12" thickBot="1">
      <c r="F88" s="501">
        <f ca="1">IF('CDO Bespoke'!O89&lt;&gt;"",'CDO Bespoke'!O89,"")</f>
        <v>1.1974349194326901</v>
      </c>
      <c r="G88" s="502">
        <f ca="1">IF(F88&lt;&gt;"",ABS(MIN(-0.75*('CDO Bespoke'!Q89+'CDO Bespoke'!T89)+'CDO Bespoke'!T89,0)),"")</f>
        <v>1.1620761982372725</v>
      </c>
      <c r="H88" s="502">
        <f t="shared" ca="1" si="4"/>
        <v>3.5358721195417608E-2</v>
      </c>
      <c r="I88" s="502">
        <f t="shared" ca="1" si="7"/>
        <v>0</v>
      </c>
      <c r="J88" s="501">
        <f ca="1">IF('CDO Bespoke'!O89&lt;&gt;"",'CDO Bespoke'!O89,"")</f>
        <v>1.1974349194326901</v>
      </c>
      <c r="K88" s="502">
        <f ca="1">IF(J88&lt;&gt;"",ABS(MIN(-0.75*('CDO Bespoke'!K89+'CDO Bespoke'!T89)+'CDO Bespoke'!T89,0)),"")</f>
        <v>0.28183478127375844</v>
      </c>
      <c r="L88" s="502">
        <f t="shared" ca="1" si="5"/>
        <v>0.9156001381589316</v>
      </c>
      <c r="M88" s="506">
        <f t="shared" ca="1" si="6"/>
        <v>0</v>
      </c>
      <c r="O88" s="511" t="str">
        <f ca="1">IF('CDO Bespoke'!C113&lt;&gt;"",'CDO Bespoke'!C113,"")</f>
        <v>MonteDeiPaschi_MMR.EUR.SU</v>
      </c>
      <c r="P88" s="513" cm="1">
        <f t="array" aca="1" ref="P88" ca="1">IF($O88&lt;&gt;"",-TRANSPOSE(INDEX(getcds('CDO Bespoke'!$C113,P$13,'CDO Bespoke'!$G113/10000,'CDO Bespoke'!F113,'CDO Bespoke'!D113,'CDO Bespoke'!$C$13,'CDO Bespoke'!$C$14,'CDO Bespoke'!$C$15,'CDO Bespoke'!$C$8,,,TRUE,TRUE,FALSE,'CDO Bespoke'!$C$29:'CDO Bespoke'!$C$31,'CDO Bespoke'!$C$33),{5})),"")</f>
        <v>-0.47800461464903199</v>
      </c>
      <c r="Q88" s="524" cm="1">
        <f t="array" aca="1" ref="Q88" ca="1">IF($O88&lt;&gt;"",-TRANSPOSE(INDEX(getcds('CDO Bespoke'!$C113,Q$13,'CDO Bespoke'!$G113/10000,'CDO Bespoke'!G113,'CDO Bespoke'!E113,'CDO Bespoke'!$C$13,'CDO Bespoke'!$C$14,'CDO Bespoke'!$C$15,'CDO Bespoke'!$C$8,,,TRUE,TRUE,FALSE,'CDO Bespoke'!$C$29:'CDO Bespoke'!$C$31,'CDO Bespoke'!$C$33),{5})),"")</f>
        <v>-0.96327660034665596</v>
      </c>
      <c r="R88" s="524" cm="1">
        <f t="array" aca="1" ref="R88" ca="1">IF($O88&lt;&gt;"",-TRANSPOSE(INDEX(getcds('CDO Bespoke'!$C113,R$13,'CDO Bespoke'!$G113/10000,'CDO Bespoke'!H113,'CDO Bespoke'!F113,'CDO Bespoke'!$C$13,'CDO Bespoke'!$C$14,'CDO Bespoke'!$C$15,'CDO Bespoke'!$C$8,,,TRUE,TRUE,FALSE,'CDO Bespoke'!$C$29:'CDO Bespoke'!$C$31,'CDO Bespoke'!$C$33),{5})),"")</f>
        <v>-2.7955176498717398</v>
      </c>
      <c r="S88" s="524" cm="1">
        <f t="array" aca="1" ref="S88" ca="1">IF($O88&lt;&gt;"",-TRANSPOSE(INDEX(getcds('CDO Bespoke'!$C113,S$13,'CDO Bespoke'!$G113/10000,'CDO Bespoke'!I113,'CDO Bespoke'!G113,'CDO Bespoke'!$C$13,'CDO Bespoke'!$C$14,'CDO Bespoke'!$C$15,'CDO Bespoke'!$C$8,,,TRUE,TRUE,FALSE,'CDO Bespoke'!$C$29:'CDO Bespoke'!$C$31,'CDO Bespoke'!$C$33),{5})),"")</f>
        <v>-4.4550907985840098</v>
      </c>
      <c r="T88" s="514" cm="1">
        <f t="array" aca="1" ref="T88" ca="1">IF($O88&lt;&gt;"",-TRANSPOSE(INDEX(getcds('CDO Bespoke'!$C113,T$13,'CDO Bespoke'!$G113/10000,'CDO Bespoke'!J113,'CDO Bespoke'!H113,'CDO Bespoke'!$C$13,'CDO Bespoke'!$C$14,'CDO Bespoke'!$C$15,'CDO Bespoke'!$C$8,,,TRUE,TRUE,FALSE,'CDO Bespoke'!$C$29:'CDO Bespoke'!$C$31,'CDO Bespoke'!$C$33),{5})),"")</f>
        <v>-7.89829818068426</v>
      </c>
      <c r="U88" s="493"/>
      <c r="V88" s="513">
        <f ca="1"/>
        <v>-3.3308829170330609E-5</v>
      </c>
      <c r="W88" s="572">
        <f ca="1"/>
        <v>2.2331696364992146E-3</v>
      </c>
      <c r="X88" s="572">
        <f ca="1"/>
        <v>2.1909158553004571E-3</v>
      </c>
      <c r="Y88" s="572">
        <f ca="1"/>
        <v>4.0671276359954822E-3</v>
      </c>
      <c r="Z88" s="572">
        <f ca="1"/>
        <v>5.7162038909902568E-3</v>
      </c>
      <c r="AA88" s="572">
        <f ca="1"/>
        <v>8.3080809320026927E-3</v>
      </c>
      <c r="AB88" s="572">
        <f ca="1"/>
        <v>1.1758879607942641E-2</v>
      </c>
      <c r="AC88" s="572">
        <f ca="1"/>
        <v>1.188882414598913E-2</v>
      </c>
      <c r="AD88" s="572">
        <f ca="1"/>
        <v>1.0564327685980146E-2</v>
      </c>
      <c r="AE88" s="514">
        <f ca="1"/>
        <v>5.5445290719768892E-3</v>
      </c>
    </row>
    <row r="89" spans="6:31" s="281" customFormat="1" ht="12" thickBot="1">
      <c r="F89" s="501">
        <f ca="1">IF('CDO Bespoke'!O90&lt;&gt;"",'CDO Bespoke'!O90,"")</f>
        <v>1.19829963485206</v>
      </c>
      <c r="G89" s="502">
        <f ca="1">IF(F89&lt;&gt;"",ABS(MIN(-0.75*('CDO Bespoke'!Q90+'CDO Bespoke'!T90)+'CDO Bespoke'!T90,0)),"")</f>
        <v>1.1582408661881551</v>
      </c>
      <c r="H89" s="502">
        <f t="shared" ca="1" si="4"/>
        <v>4.0058768663904898E-2</v>
      </c>
      <c r="I89" s="502">
        <f t="shared" ca="1" si="7"/>
        <v>0</v>
      </c>
      <c r="J89" s="501">
        <f ca="1">IF('CDO Bespoke'!O90&lt;&gt;"",'CDO Bespoke'!O90,"")</f>
        <v>1.19829963485206</v>
      </c>
      <c r="K89" s="502">
        <f ca="1">IF(J89&lt;&gt;"",ABS(MIN(-0.75*('CDO Bespoke'!K90+'CDO Bespoke'!T90)+'CDO Bespoke'!T90,0)),"")</f>
        <v>0.25392798188040311</v>
      </c>
      <c r="L89" s="502">
        <f t="shared" ca="1" si="5"/>
        <v>0.94437165297165693</v>
      </c>
      <c r="M89" s="506">
        <f t="shared" ca="1" si="6"/>
        <v>0</v>
      </c>
      <c r="O89" s="511" t="str">
        <f ca="1">IF('CDO Bespoke'!C114&lt;&gt;"",'CDO Bespoke'!C114,"")</f>
        <v>MunichRe_MMR.EUR.SU</v>
      </c>
      <c r="P89" s="513" cm="1">
        <f t="array" aca="1" ref="P89" ca="1">IF($O89&lt;&gt;"",-TRANSPOSE(INDEX(getcds('CDO Bespoke'!$C114,P$13,'CDO Bespoke'!$G114/10000,'CDO Bespoke'!F114,'CDO Bespoke'!D114,'CDO Bespoke'!$C$13,'CDO Bespoke'!$C$14,'CDO Bespoke'!$C$15,'CDO Bespoke'!$C$8,,,TRUE,TRUE,FALSE,'CDO Bespoke'!$C$29:'CDO Bespoke'!$C$31,'CDO Bespoke'!$C$33),{5})),"")</f>
        <v>-0.47812019185822002</v>
      </c>
      <c r="Q89" s="524" cm="1">
        <f t="array" aca="1" ref="Q89" ca="1">IF($O89&lt;&gt;"",-TRANSPOSE(INDEX(getcds('CDO Bespoke'!$C114,Q$13,'CDO Bespoke'!$G114/10000,'CDO Bespoke'!G114,'CDO Bespoke'!E114,'CDO Bespoke'!$C$13,'CDO Bespoke'!$C$14,'CDO Bespoke'!$C$15,'CDO Bespoke'!$C$8,,,TRUE,TRUE,FALSE,'CDO Bespoke'!$C$29:'CDO Bespoke'!$C$31,'CDO Bespoke'!$C$33),{5})),"")</f>
        <v>-0.96374690853623302</v>
      </c>
      <c r="R89" s="524" cm="1">
        <f t="array" aca="1" ref="R89" ca="1">IF($O89&lt;&gt;"",-TRANSPOSE(INDEX(getcds('CDO Bespoke'!$C114,R$13,'CDO Bespoke'!$G114/10000,'CDO Bespoke'!H114,'CDO Bespoke'!F114,'CDO Bespoke'!$C$13,'CDO Bespoke'!$C$14,'CDO Bespoke'!$C$15,'CDO Bespoke'!$C$8,,,TRUE,TRUE,FALSE,'CDO Bespoke'!$C$29:'CDO Bespoke'!$C$31,'CDO Bespoke'!$C$33),{5})),"")</f>
        <v>-2.8000993668472498</v>
      </c>
      <c r="S89" s="524" cm="1">
        <f t="array" aca="1" ref="S89" ca="1">IF($O89&lt;&gt;"",-TRANSPOSE(INDEX(getcds('CDO Bespoke'!$C114,S$13,'CDO Bespoke'!$G114/10000,'CDO Bespoke'!I114,'CDO Bespoke'!G114,'CDO Bespoke'!$C$13,'CDO Bespoke'!$C$14,'CDO Bespoke'!$C$15,'CDO Bespoke'!$C$8,,,TRUE,TRUE,FALSE,'CDO Bespoke'!$C$29:'CDO Bespoke'!$C$31,'CDO Bespoke'!$C$33),{5})),"")</f>
        <v>-4.4681665475069696</v>
      </c>
      <c r="T89" s="514" cm="1">
        <f t="array" aca="1" ref="T89" ca="1">IF($O89&lt;&gt;"",-TRANSPOSE(INDEX(getcds('CDO Bespoke'!$C114,T$13,'CDO Bespoke'!$G114/10000,'CDO Bespoke'!J114,'CDO Bespoke'!H114,'CDO Bespoke'!$C$13,'CDO Bespoke'!$C$14,'CDO Bespoke'!$C$15,'CDO Bespoke'!$C$8,,,TRUE,TRUE,FALSE,'CDO Bespoke'!$C$29:'CDO Bespoke'!$C$31,'CDO Bespoke'!$C$33),{5})),"")</f>
        <v>-7.9434604981968597</v>
      </c>
      <c r="U89" s="493"/>
      <c r="V89" s="513">
        <f ca="1"/>
        <v>-2.1959564180072666E-5</v>
      </c>
      <c r="W89" s="572">
        <f ca="1"/>
        <v>2.2581364819002081E-3</v>
      </c>
      <c r="X89" s="572">
        <f ca="1"/>
        <v>2.2356008281924911E-3</v>
      </c>
      <c r="Y89" s="572">
        <f ca="1"/>
        <v>4.2042939570052784E-3</v>
      </c>
      <c r="Z89" s="572">
        <f ca="1"/>
        <v>5.9057836849715772E-3</v>
      </c>
      <c r="AA89" s="572">
        <f ca="1"/>
        <v>8.6880927959928633E-3</v>
      </c>
      <c r="AB89" s="572">
        <f ca="1"/>
        <v>1.2254009594953041E-2</v>
      </c>
      <c r="AC89" s="572">
        <f ca="1"/>
        <v>1.2645350881967943E-2</v>
      </c>
      <c r="AD89" s="572">
        <f ca="1"/>
        <v>1.1503519395106299E-2</v>
      </c>
      <c r="AE89" s="514">
        <f ca="1"/>
        <v>6.7604121939401907E-3</v>
      </c>
    </row>
    <row r="90" spans="6:31" s="281" customFormat="1" ht="12" thickBot="1">
      <c r="F90" s="501">
        <f ca="1">IF('CDO Bespoke'!O91&lt;&gt;"",'CDO Bespoke'!O91,"")</f>
        <v>1.19803198107824</v>
      </c>
      <c r="G90" s="502">
        <f ca="1">IF(F90&lt;&gt;"",ABS(MIN(-0.75*('CDO Bespoke'!Q91+'CDO Bespoke'!T91)+'CDO Bespoke'!T91,0)),"")</f>
        <v>1.1602469295379454</v>
      </c>
      <c r="H90" s="502">
        <f t="shared" ca="1" si="4"/>
        <v>3.7785051540294656E-2</v>
      </c>
      <c r="I90" s="502">
        <f t="shared" ca="1" si="7"/>
        <v>0</v>
      </c>
      <c r="J90" s="501">
        <f ca="1">IF('CDO Bespoke'!O91&lt;&gt;"",'CDO Bespoke'!O91,"")</f>
        <v>1.19803198107824</v>
      </c>
      <c r="K90" s="502">
        <f ca="1">IF(J90&lt;&gt;"",ABS(MIN(-0.75*('CDO Bespoke'!K91+'CDO Bespoke'!T91)+'CDO Bespoke'!T91,0)),"")</f>
        <v>0.2653737593174475</v>
      </c>
      <c r="L90" s="502">
        <f t="shared" ca="1" si="5"/>
        <v>0.93265822176079261</v>
      </c>
      <c r="M90" s="506">
        <f t="shared" ca="1" si="6"/>
        <v>0</v>
      </c>
      <c r="O90" s="511" t="str">
        <f ca="1">IF('CDO Bespoke'!C115&lt;&gt;"",'CDO Bespoke'!C115,"")</f>
        <v>NationalGridTranscoPlc_MMR.EUR.SU</v>
      </c>
      <c r="P90" s="513" cm="1">
        <f t="array" aca="1" ref="P90" ca="1">IF($O90&lt;&gt;"",-TRANSPOSE(INDEX(getcds('CDO Bespoke'!$C115,P$13,'CDO Bespoke'!$G115/10000,'CDO Bespoke'!F115,'CDO Bespoke'!D115,'CDO Bespoke'!$C$13,'CDO Bespoke'!$C$14,'CDO Bespoke'!$C$15,'CDO Bespoke'!$C$8,,,TRUE,TRUE,FALSE,'CDO Bespoke'!$C$29:'CDO Bespoke'!$C$31,'CDO Bespoke'!$C$33),{5})),"")</f>
        <v>-0.478208826406473</v>
      </c>
      <c r="Q90" s="524" cm="1">
        <f t="array" aca="1" ref="Q90" ca="1">IF($O90&lt;&gt;"",-TRANSPOSE(INDEX(getcds('CDO Bespoke'!$C115,Q$13,'CDO Bespoke'!$G115/10000,'CDO Bespoke'!G115,'CDO Bespoke'!E115,'CDO Bespoke'!$C$13,'CDO Bespoke'!$C$14,'CDO Bespoke'!$C$15,'CDO Bespoke'!$C$8,,,TRUE,TRUE,FALSE,'CDO Bespoke'!$C$29:'CDO Bespoke'!$C$31,'CDO Bespoke'!$C$33),{5})),"")</f>
        <v>-0.96411610609293197</v>
      </c>
      <c r="R90" s="524" cm="1">
        <f t="array" aca="1" ref="R90" ca="1">IF($O90&lt;&gt;"",-TRANSPOSE(INDEX(getcds('CDO Bespoke'!$C115,R$13,'CDO Bespoke'!$G115/10000,'CDO Bespoke'!H115,'CDO Bespoke'!F115,'CDO Bespoke'!$C$13,'CDO Bespoke'!$C$14,'CDO Bespoke'!$C$15,'CDO Bespoke'!$C$8,,,TRUE,TRUE,FALSE,'CDO Bespoke'!$C$29:'CDO Bespoke'!$C$31,'CDO Bespoke'!$C$33),{5})),"")</f>
        <v>-2.80296593561614</v>
      </c>
      <c r="S90" s="524" cm="1">
        <f t="array" aca="1" ref="S90" ca="1">IF($O90&lt;&gt;"",-TRANSPOSE(INDEX(getcds('CDO Bespoke'!$C115,S$13,'CDO Bespoke'!$G115/10000,'CDO Bespoke'!I115,'CDO Bespoke'!G115,'CDO Bespoke'!$C$13,'CDO Bespoke'!$C$14,'CDO Bespoke'!$C$15,'CDO Bespoke'!$C$8,,,TRUE,TRUE,FALSE,'CDO Bespoke'!$C$29:'CDO Bespoke'!$C$31,'CDO Bespoke'!$C$33),{5})),"")</f>
        <v>-4.4700215120209599</v>
      </c>
      <c r="T90" s="514" cm="1">
        <f t="array" aca="1" ref="T90" ca="1">IF($O90&lt;&gt;"",-TRANSPOSE(INDEX(getcds('CDO Bespoke'!$C115,T$13,'CDO Bespoke'!$G115/10000,'CDO Bespoke'!J115,'CDO Bespoke'!H115,'CDO Bespoke'!$C$13,'CDO Bespoke'!$C$14,'CDO Bespoke'!$C$15,'CDO Bespoke'!$C$8,,,TRUE,TRUE,FALSE,'CDO Bespoke'!$C$29:'CDO Bespoke'!$C$31,'CDO Bespoke'!$C$33),{5})),"")</f>
        <v>-7.9074677376487896</v>
      </c>
      <c r="U90" s="493"/>
      <c r="V90" s="513">
        <f ca="1"/>
        <v>-1.3254246649871404E-5</v>
      </c>
      <c r="W90" s="572">
        <f ca="1"/>
        <v>2.2772951361032384E-3</v>
      </c>
      <c r="X90" s="572">
        <f ca="1"/>
        <v>2.2825842335011393E-3</v>
      </c>
      <c r="Y90" s="572">
        <f ca="1"/>
        <v>4.2596080180104523E-3</v>
      </c>
      <c r="Z90" s="572">
        <f ca="1"/>
        <v>5.8997991449899478E-3</v>
      </c>
      <c r="AA90" s="572">
        <f ca="1"/>
        <v>8.121163532978648E-3</v>
      </c>
      <c r="AB90" s="572">
        <f ca="1"/>
        <v>1.0684882805964135E-2</v>
      </c>
      <c r="AC90" s="572">
        <f ca="1"/>
        <v>1.0199201831012639E-2</v>
      </c>
      <c r="AD90" s="572">
        <f ca="1"/>
        <v>8.3507602349763843E-3</v>
      </c>
      <c r="AE90" s="514">
        <f ca="1"/>
        <v>2.4844036870114161E-3</v>
      </c>
    </row>
    <row r="91" spans="6:31" s="281" customFormat="1" ht="12" thickBot="1">
      <c r="F91" s="501">
        <f ca="1">IF('CDO Bespoke'!O92&lt;&gt;"",'CDO Bespoke'!O92,"")</f>
        <v>1.1948393032618301</v>
      </c>
      <c r="G91" s="502">
        <f ca="1">IF(F91&lt;&gt;"",ABS(MIN(-0.75*('CDO Bespoke'!Q92+'CDO Bespoke'!T92)+'CDO Bespoke'!T92,0)),"")</f>
        <v>1.1730047160397101</v>
      </c>
      <c r="H91" s="502">
        <f t="shared" ca="1" si="4"/>
        <v>2.183458722211995E-2</v>
      </c>
      <c r="I91" s="502">
        <f t="shared" ca="1" si="7"/>
        <v>0</v>
      </c>
      <c r="J91" s="501">
        <f ca="1">IF('CDO Bespoke'!O92&lt;&gt;"",'CDO Bespoke'!O92,"")</f>
        <v>1.1948393032618301</v>
      </c>
      <c r="K91" s="502">
        <f ca="1">IF(J91&lt;&gt;"",ABS(MIN(-0.75*('CDO Bespoke'!K92+'CDO Bespoke'!T92)+'CDO Bespoke'!T92,0)),"")</f>
        <v>0.34094916219529059</v>
      </c>
      <c r="L91" s="502">
        <f t="shared" ca="1" si="5"/>
        <v>0.85389014106653949</v>
      </c>
      <c r="M91" s="506">
        <f t="shared" ca="1" si="6"/>
        <v>0</v>
      </c>
      <c r="O91" s="511" t="str">
        <f ca="1">IF('CDO Bespoke'!C116&lt;&gt;"",'CDO Bespoke'!C116,"")</f>
        <v>NextPlc_MMR.EUR.SU</v>
      </c>
      <c r="P91" s="513" cm="1">
        <f t="array" aca="1" ref="P91" ca="1">IF($O91&lt;&gt;"",-TRANSPOSE(INDEX(getcds('CDO Bespoke'!$C116,P$13,'CDO Bespoke'!$G116/10000,'CDO Bespoke'!F116,'CDO Bespoke'!D116,'CDO Bespoke'!$C$13,'CDO Bespoke'!$C$14,'CDO Bespoke'!$C$15,'CDO Bespoke'!$C$8,,,TRUE,TRUE,FALSE,'CDO Bespoke'!$C$29:'CDO Bespoke'!$C$31,'CDO Bespoke'!$C$33),{5})),"")</f>
        <v>-0.47801617068631402</v>
      </c>
      <c r="Q91" s="524" cm="1">
        <f t="array" aca="1" ref="Q91" ca="1">IF($O91&lt;&gt;"",-TRANSPOSE(INDEX(getcds('CDO Bespoke'!$C116,Q$13,'CDO Bespoke'!$G116/10000,'CDO Bespoke'!G116,'CDO Bespoke'!E116,'CDO Bespoke'!$C$13,'CDO Bespoke'!$C$14,'CDO Bespoke'!$C$15,'CDO Bespoke'!$C$8,,,TRUE,TRUE,FALSE,'CDO Bespoke'!$C$29:'CDO Bespoke'!$C$31,'CDO Bespoke'!$C$33),{5})),"")</f>
        <v>-0.96335348703165202</v>
      </c>
      <c r="R91" s="524" cm="1">
        <f t="array" aca="1" ref="R91" ca="1">IF($O91&lt;&gt;"",-TRANSPOSE(INDEX(getcds('CDO Bespoke'!$C116,R$13,'CDO Bespoke'!$G116/10000,'CDO Bespoke'!H116,'CDO Bespoke'!F116,'CDO Bespoke'!$C$13,'CDO Bespoke'!$C$14,'CDO Bespoke'!$C$15,'CDO Bespoke'!$C$8,,,TRUE,TRUE,FALSE,'CDO Bespoke'!$C$29:'CDO Bespoke'!$C$31,'CDO Bespoke'!$C$33),{5})),"")</f>
        <v>-2.7949296452550501</v>
      </c>
      <c r="S91" s="524" cm="1">
        <f t="array" aca="1" ref="S91" ca="1">IF($O91&lt;&gt;"",-TRANSPOSE(INDEX(getcds('CDO Bespoke'!$C116,S$13,'CDO Bespoke'!$G116/10000,'CDO Bespoke'!I116,'CDO Bespoke'!G116,'CDO Bespoke'!$C$13,'CDO Bespoke'!$C$14,'CDO Bespoke'!$C$15,'CDO Bespoke'!$C$8,,,TRUE,TRUE,FALSE,'CDO Bespoke'!$C$29:'CDO Bespoke'!$C$31,'CDO Bespoke'!$C$33),{5})),"")</f>
        <v>-4.4363981003974802</v>
      </c>
      <c r="T91" s="514" cm="1">
        <f t="array" aca="1" ref="T91" ca="1">IF($O91&lt;&gt;"",-TRANSPOSE(INDEX(getcds('CDO Bespoke'!$C116,T$13,'CDO Bespoke'!$G116/10000,'CDO Bespoke'!J116,'CDO Bespoke'!H116,'CDO Bespoke'!$C$13,'CDO Bespoke'!$C$14,'CDO Bespoke'!$C$15,'CDO Bespoke'!$C$8,,,TRUE,TRUE,FALSE,'CDO Bespoke'!$C$29:'CDO Bespoke'!$C$31,'CDO Bespoke'!$C$33),{5})),"")</f>
        <v>-7.7261951984137696</v>
      </c>
      <c r="U91" s="493"/>
      <c r="V91" s="513">
        <f ca="1"/>
        <v>-3.2174182580321786E-5</v>
      </c>
      <c r="W91" s="572">
        <f ca="1"/>
        <v>2.2356651652004345E-3</v>
      </c>
      <c r="X91" s="572">
        <f ca="1"/>
        <v>2.2402848784061624E-3</v>
      </c>
      <c r="Y91" s="572">
        <f ca="1"/>
        <v>4.0226878589982862E-3</v>
      </c>
      <c r="Z91" s="572">
        <f ca="1"/>
        <v>5.0988283580022387E-3</v>
      </c>
      <c r="AA91" s="572">
        <f ca="1"/>
        <v>6.4957956940128736E-3</v>
      </c>
      <c r="AB91" s="572">
        <f ca="1"/>
        <v>6.5210770571096088E-3</v>
      </c>
      <c r="AC91" s="572">
        <f ca="1"/>
        <v>4.0312988371104825E-3</v>
      </c>
      <c r="AD91" s="572">
        <f ca="1"/>
        <v>7.9272624990342488E-4</v>
      </c>
      <c r="AE91" s="514">
        <f ca="1"/>
        <v>-6.9386257199946511E-3</v>
      </c>
    </row>
    <row r="92" spans="6:31" s="281" customFormat="1" ht="12" thickBot="1">
      <c r="F92" s="501">
        <f ca="1">IF('CDO Bespoke'!O93&lt;&gt;"",'CDO Bespoke'!O93,"")</f>
        <v>1.1979978070337101</v>
      </c>
      <c r="G92" s="502">
        <f ca="1">IF(F92&lt;&gt;"",ABS(MIN(-0.75*('CDO Bespoke'!Q93+'CDO Bespoke'!T93)+'CDO Bespoke'!T93,0)),"")</f>
        <v>1.1607888572357203</v>
      </c>
      <c r="H92" s="502">
        <f t="shared" ca="1" si="4"/>
        <v>3.7208949797989721E-2</v>
      </c>
      <c r="I92" s="502">
        <f t="shared" ca="1" si="7"/>
        <v>0</v>
      </c>
      <c r="J92" s="501">
        <f ca="1">IF('CDO Bespoke'!O93&lt;&gt;"",'CDO Bespoke'!O93,"")</f>
        <v>1.1979978070337101</v>
      </c>
      <c r="K92" s="502">
        <f ca="1">IF(J92&lt;&gt;"",ABS(MIN(-0.75*('CDO Bespoke'!K93+'CDO Bespoke'!T93)+'CDO Bespoke'!T93,0)),"")</f>
        <v>0.26798032474570471</v>
      </c>
      <c r="L92" s="502">
        <f t="shared" ca="1" si="5"/>
        <v>0.9300174822880054</v>
      </c>
      <c r="M92" s="506">
        <f t="shared" ca="1" si="6"/>
        <v>0</v>
      </c>
      <c r="O92" s="511" t="str">
        <f ca="1">IF('CDO Bespoke'!C117&lt;&gt;"",'CDO Bespoke'!C117,"")</f>
        <v>Pearson_MMR.EUR.SU</v>
      </c>
      <c r="P92" s="513" cm="1">
        <f t="array" aca="1" ref="P92" ca="1">IF($O92&lt;&gt;"",-TRANSPOSE(INDEX(getcds('CDO Bespoke'!$C117,P$13,'CDO Bespoke'!$G117/10000,'CDO Bespoke'!F117,'CDO Bespoke'!D117,'CDO Bespoke'!$C$13,'CDO Bespoke'!$C$14,'CDO Bespoke'!$C$15,'CDO Bespoke'!$C$8,,,TRUE,TRUE,FALSE,'CDO Bespoke'!$C$29:'CDO Bespoke'!$C$31,'CDO Bespoke'!$C$33),{5})),"")</f>
        <v>-0.478266643413018</v>
      </c>
      <c r="Q92" s="524" cm="1">
        <f t="array" aca="1" ref="Q92" ca="1">IF($O92&lt;&gt;"",-TRANSPOSE(INDEX(getcds('CDO Bespoke'!$C117,Q$13,'CDO Bespoke'!$G117/10000,'CDO Bespoke'!G117,'CDO Bespoke'!E117,'CDO Bespoke'!$C$13,'CDO Bespoke'!$C$14,'CDO Bespoke'!$C$15,'CDO Bespoke'!$C$8,,,TRUE,TRUE,FALSE,'CDO Bespoke'!$C$29:'CDO Bespoke'!$C$31,'CDO Bespoke'!$C$33),{5})),"")</f>
        <v>-0.96435278486870502</v>
      </c>
      <c r="R92" s="524" cm="1">
        <f t="array" aca="1" ref="R92" ca="1">IF($O92&lt;&gt;"",-TRANSPOSE(INDEX(getcds('CDO Bespoke'!$C117,R$13,'CDO Bespoke'!$G117/10000,'CDO Bespoke'!H117,'CDO Bespoke'!F117,'CDO Bespoke'!$C$13,'CDO Bespoke'!$C$14,'CDO Bespoke'!$C$15,'CDO Bespoke'!$C$8,,,TRUE,TRUE,FALSE,'CDO Bespoke'!$C$29:'CDO Bespoke'!$C$31,'CDO Bespoke'!$C$33),{5})),"")</f>
        <v>-2.80378343825913</v>
      </c>
      <c r="S92" s="524" cm="1">
        <f t="array" aca="1" ref="S92" ca="1">IF($O92&lt;&gt;"",-TRANSPOSE(INDEX(getcds('CDO Bespoke'!$C117,S$13,'CDO Bespoke'!$G117/10000,'CDO Bespoke'!I117,'CDO Bespoke'!G117,'CDO Bespoke'!$C$13,'CDO Bespoke'!$C$14,'CDO Bespoke'!$C$15,'CDO Bespoke'!$C$8,,,TRUE,TRUE,FALSE,'CDO Bespoke'!$C$29:'CDO Bespoke'!$C$31,'CDO Bespoke'!$C$33),{5})),"")</f>
        <v>-4.4696095589645202</v>
      </c>
      <c r="T92" s="514" cm="1">
        <f t="array" aca="1" ref="T92" ca="1">IF($O92&lt;&gt;"",-TRANSPOSE(INDEX(getcds('CDO Bespoke'!$C117,T$13,'CDO Bespoke'!$G117/10000,'CDO Bespoke'!J117,'CDO Bespoke'!H117,'CDO Bespoke'!$C$13,'CDO Bespoke'!$C$14,'CDO Bespoke'!$C$15,'CDO Bespoke'!$C$8,,,TRUE,TRUE,FALSE,'CDO Bespoke'!$C$29:'CDO Bespoke'!$C$31,'CDO Bespoke'!$C$33),{5})),"")</f>
        <v>-7.8901853082228497</v>
      </c>
      <c r="U92" s="493"/>
      <c r="V92" s="513">
        <f ca="1"/>
        <v>-7.5748937100584245E-6</v>
      </c>
      <c r="W92" s="572">
        <f ca="1"/>
        <v>2.2897980556015746E-3</v>
      </c>
      <c r="X92" s="572">
        <f ca="1"/>
        <v>2.3069403769920838E-3</v>
      </c>
      <c r="Y92" s="572">
        <f ca="1"/>
        <v>4.2379884840001991E-3</v>
      </c>
      <c r="Z92" s="572">
        <f ca="1"/>
        <v>5.7731931230042832E-3</v>
      </c>
      <c r="AA92" s="572">
        <f ca="1"/>
        <v>8.0783845810006305E-3</v>
      </c>
      <c r="AB92" s="572">
        <f ca="1"/>
        <v>9.3211117049851744E-3</v>
      </c>
      <c r="AC92" s="572">
        <f ca="1"/>
        <v>8.1124827640277619E-3</v>
      </c>
      <c r="AD92" s="572">
        <f ca="1"/>
        <v>5.6866558539869771E-3</v>
      </c>
      <c r="AE92" s="514">
        <f ca="1"/>
        <v>-1.046386660027987E-3</v>
      </c>
    </row>
    <row r="93" spans="6:31" s="281" customFormat="1" ht="12" thickBot="1">
      <c r="F93" s="501">
        <f ca="1">IF('CDO Bespoke'!O94&lt;&gt;"",'CDO Bespoke'!O94,"")</f>
        <v>1.1976906038234301</v>
      </c>
      <c r="G93" s="502">
        <f ca="1">IF(F93&lt;&gt;"",ABS(MIN(-0.75*('CDO Bespoke'!Q94+'CDO Bespoke'!T94)+'CDO Bespoke'!T94,0)),"")</f>
        <v>1.162240666210814</v>
      </c>
      <c r="H93" s="502">
        <f t="shared" ca="1" si="4"/>
        <v>3.5449937612616056E-2</v>
      </c>
      <c r="I93" s="502">
        <f t="shared" ca="1" si="7"/>
        <v>0</v>
      </c>
      <c r="J93" s="501">
        <f ca="1">IF('CDO Bespoke'!O94&lt;&gt;"",'CDO Bespoke'!O94,"")</f>
        <v>1.1976906038234301</v>
      </c>
      <c r="K93" s="502">
        <f ca="1">IF(J93&lt;&gt;"",ABS(MIN(-0.75*('CDO Bespoke'!K94+'CDO Bespoke'!T94)+'CDO Bespoke'!T94,0)),"")</f>
        <v>0.27833409963857825</v>
      </c>
      <c r="L93" s="502">
        <f t="shared" ca="1" si="5"/>
        <v>0.91935650418485182</v>
      </c>
      <c r="M93" s="506">
        <f t="shared" ca="1" si="6"/>
        <v>0</v>
      </c>
      <c r="O93" s="511" t="str">
        <f ca="1">IF('CDO Bespoke'!C118&lt;&gt;"",'CDO Bespoke'!C118,"")</f>
        <v>Peugeot_MMR.EUR.SU</v>
      </c>
      <c r="P93" s="513" cm="1">
        <f t="array" aca="1" ref="P93" ca="1">IF($O93&lt;&gt;"",-TRANSPOSE(INDEX(getcds('CDO Bespoke'!$C118,P$13,'CDO Bespoke'!$G118/10000,'CDO Bespoke'!F118,'CDO Bespoke'!D118,'CDO Bespoke'!$C$13,'CDO Bespoke'!$C$14,'CDO Bespoke'!$C$15,'CDO Bespoke'!$C$8,,,TRUE,TRUE,FALSE,'CDO Bespoke'!$C$29:'CDO Bespoke'!$C$31,'CDO Bespoke'!$C$33),{5})),"")</f>
        <v>-0.47813175163773902</v>
      </c>
      <c r="Q93" s="524" cm="1">
        <f t="array" aca="1" ref="Q93" ca="1">IF($O93&lt;&gt;"",-TRANSPOSE(INDEX(getcds('CDO Bespoke'!$C118,Q$13,'CDO Bespoke'!$G118/10000,'CDO Bespoke'!G118,'CDO Bespoke'!E118,'CDO Bespoke'!$C$13,'CDO Bespoke'!$C$14,'CDO Bespoke'!$C$15,'CDO Bespoke'!$C$8,,,TRUE,TRUE,FALSE,'CDO Bespoke'!$C$29:'CDO Bespoke'!$C$31,'CDO Bespoke'!$C$33),{5})),"")</f>
        <v>-0.96383929932721302</v>
      </c>
      <c r="R93" s="524" cm="1">
        <f t="array" aca="1" ref="R93" ca="1">IF($O93&lt;&gt;"",-TRANSPOSE(INDEX(getcds('CDO Bespoke'!$C118,R$13,'CDO Bespoke'!$G118/10000,'CDO Bespoke'!H118,'CDO Bespoke'!F118,'CDO Bespoke'!$C$13,'CDO Bespoke'!$C$14,'CDO Bespoke'!$C$15,'CDO Bespoke'!$C$8,,,TRUE,TRUE,FALSE,'CDO Bespoke'!$C$29:'CDO Bespoke'!$C$31,'CDO Bespoke'!$C$33),{5})),"")</f>
        <v>-2.8022725619795601</v>
      </c>
      <c r="S93" s="524" cm="1">
        <f t="array" aca="1" ref="S93" ca="1">IF($O93&lt;&gt;"",-TRANSPOSE(INDEX(getcds('CDO Bespoke'!$C118,S$13,'CDO Bespoke'!$G118/10000,'CDO Bespoke'!I118,'CDO Bespoke'!G118,'CDO Bespoke'!$C$13,'CDO Bespoke'!$C$14,'CDO Bespoke'!$C$15,'CDO Bespoke'!$C$8,,,TRUE,TRUE,FALSE,'CDO Bespoke'!$C$29:'CDO Bespoke'!$C$31,'CDO Bespoke'!$C$33),{5})),"")</f>
        <v>-4.4658700294172498</v>
      </c>
      <c r="T93" s="514" cm="1">
        <f t="array" aca="1" ref="T93" ca="1">IF($O93&lt;&gt;"",-TRANSPOSE(INDEX(getcds('CDO Bespoke'!$C118,T$13,'CDO Bespoke'!$G118/10000,'CDO Bespoke'!J118,'CDO Bespoke'!H118,'CDO Bespoke'!$C$13,'CDO Bespoke'!$C$14,'CDO Bespoke'!$C$15,'CDO Bespoke'!$C$8,,,TRUE,TRUE,FALSE,'CDO Bespoke'!$C$29:'CDO Bespoke'!$C$31,'CDO Bespoke'!$C$33),{5})),"")</f>
        <v>-7.8844455316444604</v>
      </c>
      <c r="U93" s="493"/>
      <c r="V93" s="513">
        <f ca="1"/>
        <v>-2.0824295480278282E-5</v>
      </c>
      <c r="W93" s="572">
        <f ca="1"/>
        <v>2.2606345798006217E-3</v>
      </c>
      <c r="X93" s="572">
        <f ca="1"/>
        <v>2.3082731000038936E-3</v>
      </c>
      <c r="Y93" s="572">
        <f ca="1"/>
        <v>4.278696629014811E-3</v>
      </c>
      <c r="Z93" s="572">
        <f ca="1"/>
        <v>5.7486879670096136E-3</v>
      </c>
      <c r="AA93" s="572">
        <f ca="1"/>
        <v>7.8378665690007066E-3</v>
      </c>
      <c r="AB93" s="572">
        <f ca="1"/>
        <v>9.7236641900116938E-3</v>
      </c>
      <c r="AC93" s="572">
        <f ca="1"/>
        <v>8.7264815409882068E-3</v>
      </c>
      <c r="AD93" s="572">
        <f ca="1"/>
        <v>6.474000548012393E-3</v>
      </c>
      <c r="AE93" s="514">
        <f ca="1"/>
        <v>-1.2182599373744551E-6</v>
      </c>
    </row>
    <row r="94" spans="6:31" s="281" customFormat="1" ht="12" thickBot="1">
      <c r="F94" s="501">
        <f ca="1">IF('CDO Bespoke'!O95&lt;&gt;"",'CDO Bespoke'!O95,"")</f>
        <v>1.1986740389102699</v>
      </c>
      <c r="G94" s="502">
        <f ca="1">IF(F94&lt;&gt;"",ABS(MIN(-0.75*('CDO Bespoke'!Q95+'CDO Bespoke'!T95)+'CDO Bespoke'!T95,0)),"")</f>
        <v>1.1573783035840866</v>
      </c>
      <c r="H94" s="502">
        <f t="shared" ca="1" si="4"/>
        <v>4.1295735326183358E-2</v>
      </c>
      <c r="I94" s="502">
        <f t="shared" ca="1" si="7"/>
        <v>0</v>
      </c>
      <c r="J94" s="501">
        <f ca="1">IF('CDO Bespoke'!O95&lt;&gt;"",'CDO Bespoke'!O95,"")</f>
        <v>1.1986740389102699</v>
      </c>
      <c r="K94" s="502">
        <f ca="1">IF(J94&lt;&gt;"",ABS(MIN(-0.75*('CDO Bespoke'!K95+'CDO Bespoke'!T95)+'CDO Bespoke'!T95,0)),"")</f>
        <v>0.24291602570911264</v>
      </c>
      <c r="L94" s="502">
        <f t="shared" ca="1" si="5"/>
        <v>0.95575801320115727</v>
      </c>
      <c r="M94" s="506">
        <f t="shared" ca="1" si="6"/>
        <v>0</v>
      </c>
      <c r="O94" s="511" t="str">
        <f ca="1">IF('CDO Bespoke'!C119&lt;&gt;"",'CDO Bespoke'!C119,"")</f>
        <v>PhilipsElec_MMR.EUR.SU</v>
      </c>
      <c r="P94" s="513" cm="1">
        <f t="array" aca="1" ref="P94" ca="1">IF($O94&lt;&gt;"",-TRANSPOSE(INDEX(getcds('CDO Bespoke'!$C119,P$13,'CDO Bespoke'!$G119/10000,'CDO Bespoke'!F119,'CDO Bespoke'!D119,'CDO Bespoke'!$C$13,'CDO Bespoke'!$C$14,'CDO Bespoke'!$C$15,'CDO Bespoke'!$C$8,,,TRUE,TRUE,FALSE,'CDO Bespoke'!$C$29:'CDO Bespoke'!$C$31,'CDO Bespoke'!$C$33),{5})),"")</f>
        <v>-0.47822809770068903</v>
      </c>
      <c r="Q94" s="524" cm="1">
        <f t="array" aca="1" ref="Q94" ca="1">IF($O94&lt;&gt;"",-TRANSPOSE(INDEX(getcds('CDO Bespoke'!$C119,Q$13,'CDO Bespoke'!$G119/10000,'CDO Bespoke'!G119,'CDO Bespoke'!E119,'CDO Bespoke'!$C$13,'CDO Bespoke'!$C$14,'CDO Bespoke'!$C$15,'CDO Bespoke'!$C$8,,,TRUE,TRUE,FALSE,'CDO Bespoke'!$C$29:'CDO Bespoke'!$C$31,'CDO Bespoke'!$C$33),{5})),"")</f>
        <v>-0.96422076540110302</v>
      </c>
      <c r="R94" s="524" cm="1">
        <f t="array" aca="1" ref="R94" ca="1">IF($O94&lt;&gt;"",-TRANSPOSE(INDEX(getcds('CDO Bespoke'!$C119,R$13,'CDO Bespoke'!$G119/10000,'CDO Bespoke'!H119,'CDO Bespoke'!F119,'CDO Bespoke'!$C$13,'CDO Bespoke'!$C$14,'CDO Bespoke'!$C$15,'CDO Bespoke'!$C$8,,,TRUE,TRUE,FALSE,'CDO Bespoke'!$C$29:'CDO Bespoke'!$C$31,'CDO Bespoke'!$C$33),{5})),"")</f>
        <v>-2.8053686973454202</v>
      </c>
      <c r="S94" s="524" cm="1">
        <f t="array" aca="1" ref="S94" ca="1">IF($O94&lt;&gt;"",-TRANSPOSE(INDEX(getcds('CDO Bespoke'!$C119,S$13,'CDO Bespoke'!$G119/10000,'CDO Bespoke'!I119,'CDO Bespoke'!G119,'CDO Bespoke'!$C$13,'CDO Bespoke'!$C$14,'CDO Bespoke'!$C$15,'CDO Bespoke'!$C$8,,,TRUE,TRUE,FALSE,'CDO Bespoke'!$C$29:'CDO Bespoke'!$C$31,'CDO Bespoke'!$C$33),{5})),"")</f>
        <v>-4.4781090094476399</v>
      </c>
      <c r="T94" s="514" cm="1">
        <f t="array" aca="1" ref="T94" ca="1">IF($O94&lt;&gt;"",-TRANSPOSE(INDEX(getcds('CDO Bespoke'!$C119,T$13,'CDO Bespoke'!$G119/10000,'CDO Bespoke'!J119,'CDO Bespoke'!H119,'CDO Bespoke'!$C$13,'CDO Bespoke'!$C$14,'CDO Bespoke'!$C$15,'CDO Bespoke'!$C$8,,,TRUE,TRUE,FALSE,'CDO Bespoke'!$C$29:'CDO Bespoke'!$C$31,'CDO Bespoke'!$C$33),{5})),"")</f>
        <v>-7.9329463534054199</v>
      </c>
      <c r="U94" s="493"/>
      <c r="V94" s="513">
        <f ca="1"/>
        <v>-1.1361302029917232E-5</v>
      </c>
      <c r="W94" s="572">
        <f ca="1"/>
        <v>2.2814620611981418E-3</v>
      </c>
      <c r="X94" s="572">
        <f ca="1"/>
        <v>2.3294790548952782E-3</v>
      </c>
      <c r="Y94" s="572">
        <f ca="1"/>
        <v>4.3444474329829008E-3</v>
      </c>
      <c r="Z94" s="572">
        <f ca="1"/>
        <v>6.0003522050003366E-3</v>
      </c>
      <c r="AA94" s="572">
        <f ca="1"/>
        <v>8.4890710710244788E-3</v>
      </c>
      <c r="AB94" s="572">
        <f ca="1"/>
        <v>1.0372124418997486E-2</v>
      </c>
      <c r="AC94" s="572">
        <f ca="1"/>
        <v>9.697687957041512E-3</v>
      </c>
      <c r="AD94" s="572">
        <f ca="1"/>
        <v>7.6642643850183267E-3</v>
      </c>
      <c r="AE94" s="514">
        <f ca="1"/>
        <v>1.4929810259606269E-3</v>
      </c>
    </row>
    <row r="95" spans="6:31" s="281" customFormat="1" ht="12" thickBot="1">
      <c r="F95" s="501">
        <f ca="1">IF('CDO Bespoke'!O96&lt;&gt;"",'CDO Bespoke'!O96,"")</f>
        <v>1.1937560583000399</v>
      </c>
      <c r="G95" s="502">
        <f ca="1">IF(F95&lt;&gt;"",ABS(MIN(-0.75*('CDO Bespoke'!Q96+'CDO Bespoke'!T96)+'CDO Bespoke'!T96,0)),"")</f>
        <v>1.1767081796236059</v>
      </c>
      <c r="H95" s="502">
        <f t="shared" ca="1" si="4"/>
        <v>1.7047878676434092E-2</v>
      </c>
      <c r="I95" s="502">
        <f t="shared" ca="1" si="7"/>
        <v>0</v>
      </c>
      <c r="J95" s="501">
        <f ca="1">IF('CDO Bespoke'!O96&lt;&gt;"",'CDO Bespoke'!O96,"")</f>
        <v>1.1937560583000399</v>
      </c>
      <c r="K95" s="502">
        <f ca="1">IF(J95&lt;&gt;"",ABS(MIN(-0.75*('CDO Bespoke'!K96+'CDO Bespoke'!T96)+'CDO Bespoke'!T96,0)),"")</f>
        <v>0.35903747383225365</v>
      </c>
      <c r="L95" s="502">
        <f t="shared" ca="1" si="5"/>
        <v>0.83471858446778624</v>
      </c>
      <c r="M95" s="506">
        <f t="shared" ca="1" si="6"/>
        <v>0</v>
      </c>
      <c r="O95" s="511" t="str">
        <f ca="1">IF('CDO Bespoke'!C120&lt;&gt;"",'CDO Bespoke'!C120,"")</f>
        <v>PinaultPrintemps_MMR.EUR.SU</v>
      </c>
      <c r="P95" s="513" cm="1">
        <f t="array" aca="1" ref="P95" ca="1">IF($O95&lt;&gt;"",-TRANSPOSE(INDEX(getcds('CDO Bespoke'!$C120,P$13,'CDO Bespoke'!$G120/10000,'CDO Bespoke'!F120,'CDO Bespoke'!D120,'CDO Bespoke'!$C$13,'CDO Bespoke'!$C$14,'CDO Bespoke'!$C$15,'CDO Bespoke'!$C$8,,,TRUE,TRUE,FALSE,'CDO Bespoke'!$C$29:'CDO Bespoke'!$C$31,'CDO Bespoke'!$C$33),{5})),"")</f>
        <v>-0.47817028694088998</v>
      </c>
      <c r="Q95" s="524" cm="1">
        <f t="array" aca="1" ref="Q95" ca="1">IF($O95&lt;&gt;"",-TRANSPOSE(INDEX(getcds('CDO Bespoke'!$C120,Q$13,'CDO Bespoke'!$G120/10000,'CDO Bespoke'!G120,'CDO Bespoke'!E120,'CDO Bespoke'!$C$13,'CDO Bespoke'!$C$14,'CDO Bespoke'!$C$15,'CDO Bespoke'!$C$8,,,TRUE,TRUE,FALSE,'CDO Bespoke'!$C$29:'CDO Bespoke'!$C$31,'CDO Bespoke'!$C$33),{5})),"")</f>
        <v>-0.96380369881231898</v>
      </c>
      <c r="R95" s="524" cm="1">
        <f t="array" aca="1" ref="R95" ca="1">IF($O95&lt;&gt;"",-TRANSPOSE(INDEX(getcds('CDO Bespoke'!$C120,R$13,'CDO Bespoke'!$G120/10000,'CDO Bespoke'!H120,'CDO Bespoke'!F120,'CDO Bespoke'!$C$13,'CDO Bespoke'!$C$14,'CDO Bespoke'!$C$15,'CDO Bespoke'!$C$8,,,TRUE,TRUE,FALSE,'CDO Bespoke'!$C$29:'CDO Bespoke'!$C$31,'CDO Bespoke'!$C$33),{5})),"")</f>
        <v>-2.7910971246937799</v>
      </c>
      <c r="S95" s="524" cm="1">
        <f t="array" aca="1" ref="S95" ca="1">IF($O95&lt;&gt;"",-TRANSPOSE(INDEX(getcds('CDO Bespoke'!$C120,S$13,'CDO Bespoke'!$G120/10000,'CDO Bespoke'!I120,'CDO Bespoke'!G120,'CDO Bespoke'!$C$13,'CDO Bespoke'!$C$14,'CDO Bespoke'!$C$15,'CDO Bespoke'!$C$8,,,TRUE,TRUE,FALSE,'CDO Bespoke'!$C$29:'CDO Bespoke'!$C$31,'CDO Bespoke'!$C$33),{5})),"")</f>
        <v>-4.4247567996202699</v>
      </c>
      <c r="T95" s="514" cm="1">
        <f t="array" aca="1" ref="T95" ca="1">IF($O95&lt;&gt;"",-TRANSPOSE(INDEX(getcds('CDO Bespoke'!$C120,T$13,'CDO Bespoke'!$G120/10000,'CDO Bespoke'!J120,'CDO Bespoke'!H120,'CDO Bespoke'!$C$13,'CDO Bespoke'!$C$14,'CDO Bespoke'!$C$15,'CDO Bespoke'!$C$8,,,TRUE,TRUE,FALSE,'CDO Bespoke'!$C$29:'CDO Bespoke'!$C$31,'CDO Bespoke'!$C$33),{5})),"")</f>
        <v>-7.6703349727723298</v>
      </c>
      <c r="U95" s="493"/>
      <c r="V95" s="513">
        <f ca="1"/>
        <v>-1.7039616939662494E-5</v>
      </c>
      <c r="W95" s="572">
        <f ca="1"/>
        <v>2.2689634291989808E-3</v>
      </c>
      <c r="X95" s="572">
        <f ca="1"/>
        <v>2.0339878479061491E-3</v>
      </c>
      <c r="Y95" s="572">
        <f ca="1"/>
        <v>3.8542548989883851E-3</v>
      </c>
      <c r="Z95" s="572">
        <f ca="1"/>
        <v>5.0519768250018027E-3</v>
      </c>
      <c r="AA95" s="572">
        <f ca="1"/>
        <v>6.0641851329888696E-3</v>
      </c>
      <c r="AB95" s="572">
        <f ca="1"/>
        <v>5.3399825479505912E-3</v>
      </c>
      <c r="AC95" s="572">
        <f ca="1"/>
        <v>2.358261859004146E-3</v>
      </c>
      <c r="AD95" s="572">
        <f ca="1"/>
        <v>-1.1743267900113374E-3</v>
      </c>
      <c r="AE95" s="514">
        <f ca="1"/>
        <v>-9.2178050200078521E-3</v>
      </c>
    </row>
    <row r="96" spans="6:31" s="281" customFormat="1" ht="12" thickBot="1">
      <c r="F96" s="501">
        <f ca="1">IF('CDO Bespoke'!O97&lt;&gt;"",'CDO Bespoke'!O97,"")</f>
        <v>1.19653347962228</v>
      </c>
      <c r="G96" s="502">
        <f ca="1">IF(F96&lt;&gt;"",ABS(MIN(-0.75*('CDO Bespoke'!Q97+'CDO Bespoke'!T97)+'CDO Bespoke'!T97,0)),"")</f>
        <v>1.167558760765403</v>
      </c>
      <c r="H96" s="502">
        <f t="shared" ca="1" si="4"/>
        <v>2.8974718856876969E-2</v>
      </c>
      <c r="I96" s="502">
        <f t="shared" ca="1" si="7"/>
        <v>0</v>
      </c>
      <c r="J96" s="501">
        <f ca="1">IF('CDO Bespoke'!O97&lt;&gt;"",'CDO Bespoke'!O97,"")</f>
        <v>1.19653347962228</v>
      </c>
      <c r="K96" s="502">
        <f ca="1">IF(J96&lt;&gt;"",ABS(MIN(-0.75*('CDO Bespoke'!K97+'CDO Bespoke'!T97)+'CDO Bespoke'!T97,0)),"")</f>
        <v>0.31013171679603646</v>
      </c>
      <c r="L96" s="502">
        <f t="shared" ca="1" si="5"/>
        <v>0.8864017628262435</v>
      </c>
      <c r="M96" s="506">
        <f t="shared" ca="1" si="6"/>
        <v>0</v>
      </c>
      <c r="O96" s="511" t="str">
        <f ca="1">IF('CDO Bespoke'!C121&lt;&gt;"",'CDO Bespoke'!C121,"")</f>
        <v>PortugalTelecom_MMR.EUR.SU</v>
      </c>
      <c r="P96" s="513" cm="1">
        <f t="array" aca="1" ref="P96" ca="1">IF($O96&lt;&gt;"",-TRANSPOSE(INDEX(getcds('CDO Bespoke'!$C121,P$13,'CDO Bespoke'!$G121/10000,'CDO Bespoke'!F121,'CDO Bespoke'!D121,'CDO Bespoke'!$C$13,'CDO Bespoke'!$C$14,'CDO Bespoke'!$C$15,'CDO Bespoke'!$C$8,,,TRUE,TRUE,FALSE,'CDO Bespoke'!$C$29:'CDO Bespoke'!$C$31,'CDO Bespoke'!$C$33),{5})),"")</f>
        <v>-0.478208826406473</v>
      </c>
      <c r="Q96" s="524" cm="1">
        <f t="array" aca="1" ref="Q96" ca="1">IF($O96&lt;&gt;"",-TRANSPOSE(INDEX(getcds('CDO Bespoke'!$C121,Q$13,'CDO Bespoke'!$G121/10000,'CDO Bespoke'!G121,'CDO Bespoke'!E121,'CDO Bespoke'!$C$13,'CDO Bespoke'!$C$14,'CDO Bespoke'!$C$15,'CDO Bespoke'!$C$8,,,TRUE,TRUE,FALSE,'CDO Bespoke'!$C$29:'CDO Bespoke'!$C$31,'CDO Bespoke'!$C$33),{5})),"")</f>
        <v>-0.96411610609293197</v>
      </c>
      <c r="R96" s="524" cm="1">
        <f t="array" aca="1" ref="R96" ca="1">IF($O96&lt;&gt;"",-TRANSPOSE(INDEX(getcds('CDO Bespoke'!$C121,R$13,'CDO Bespoke'!$G121/10000,'CDO Bespoke'!H121,'CDO Bespoke'!F121,'CDO Bespoke'!$C$13,'CDO Bespoke'!$C$14,'CDO Bespoke'!$C$15,'CDO Bespoke'!$C$8,,,TRUE,TRUE,FALSE,'CDO Bespoke'!$C$29:'CDO Bespoke'!$C$31,'CDO Bespoke'!$C$33),{5})),"")</f>
        <v>-2.8002019035305001</v>
      </c>
      <c r="S96" s="524" cm="1">
        <f t="array" aca="1" ref="S96" ca="1">IF($O96&lt;&gt;"",-TRANSPOSE(INDEX(getcds('CDO Bespoke'!$C121,S$13,'CDO Bespoke'!$G121/10000,'CDO Bespoke'!I121,'CDO Bespoke'!G121,'CDO Bespoke'!$C$13,'CDO Bespoke'!$C$14,'CDO Bespoke'!$C$15,'CDO Bespoke'!$C$8,,,TRUE,TRUE,FALSE,'CDO Bespoke'!$C$29:'CDO Bespoke'!$C$31,'CDO Bespoke'!$C$33),{5})),"")</f>
        <v>-4.4528686632566199</v>
      </c>
      <c r="T96" s="514" cm="1">
        <f t="array" aca="1" ref="T96" ca="1">IF($O96&lt;&gt;"",-TRANSPOSE(INDEX(getcds('CDO Bespoke'!$C121,T$13,'CDO Bespoke'!$G121/10000,'CDO Bespoke'!J121,'CDO Bespoke'!H121,'CDO Bespoke'!$C$13,'CDO Bespoke'!$C$14,'CDO Bespoke'!$C$15,'CDO Bespoke'!$C$8,,,TRUE,TRUE,FALSE,'CDO Bespoke'!$C$29:'CDO Bespoke'!$C$31,'CDO Bespoke'!$C$33),{5})),"")</f>
        <v>-7.79910711693178</v>
      </c>
      <c r="U96" s="493"/>
      <c r="V96" s="513">
        <f ca="1"/>
        <v>-1.3254246649871404E-5</v>
      </c>
      <c r="W96" s="572">
        <f ca="1"/>
        <v>2.2772951361032384E-3</v>
      </c>
      <c r="X96" s="572">
        <f ca="1"/>
        <v>2.2825842335011393E-3</v>
      </c>
      <c r="Y96" s="572">
        <f ca="1"/>
        <v>4.1179584779962863E-3</v>
      </c>
      <c r="Z96" s="572">
        <f ca="1"/>
        <v>5.3464113580065087E-3</v>
      </c>
      <c r="AA96" s="572">
        <f ca="1"/>
        <v>7.2099492679986166E-3</v>
      </c>
      <c r="AB96" s="572">
        <f ca="1"/>
        <v>7.7321796389945296E-3</v>
      </c>
      <c r="AC96" s="572">
        <f ca="1"/>
        <v>5.7773817119938231E-3</v>
      </c>
      <c r="AD96" s="572">
        <f ca="1"/>
        <v>2.8667474200050336E-3</v>
      </c>
      <c r="AE96" s="514">
        <f ca="1"/>
        <v>-4.4851939001895602E-3</v>
      </c>
    </row>
    <row r="97" spans="6:31" s="281" customFormat="1" ht="12" thickBot="1">
      <c r="F97" s="501">
        <f ca="1">IF('CDO Bespoke'!O98&lt;&gt;"",'CDO Bespoke'!O98,"")</f>
        <v>1.1984772240638599</v>
      </c>
      <c r="G97" s="502">
        <f ca="1">IF(F97&lt;&gt;"",ABS(MIN(-0.75*('CDO Bespoke'!Q98+'CDO Bespoke'!T98)+'CDO Bespoke'!T98,0)),"")</f>
        <v>1.1589268094683278</v>
      </c>
      <c r="H97" s="502">
        <f t="shared" ca="1" si="4"/>
        <v>3.9550414595532102E-2</v>
      </c>
      <c r="I97" s="502">
        <f t="shared" ca="1" si="7"/>
        <v>0</v>
      </c>
      <c r="J97" s="501">
        <f ca="1">IF('CDO Bespoke'!O98&lt;&gt;"",'CDO Bespoke'!O98,"")</f>
        <v>1.1984772240638599</v>
      </c>
      <c r="K97" s="502">
        <f ca="1">IF(J97&lt;&gt;"",ABS(MIN(-0.75*('CDO Bespoke'!K98+'CDO Bespoke'!T98)+'CDO Bespoke'!T98,0)),"")</f>
        <v>0.25407195434143759</v>
      </c>
      <c r="L97" s="502">
        <f t="shared" ca="1" si="5"/>
        <v>0.94440526972242234</v>
      </c>
      <c r="M97" s="506">
        <f t="shared" ca="1" si="6"/>
        <v>0</v>
      </c>
      <c r="O97" s="511" t="str">
        <f ca="1">IF('CDO Bespoke'!C122&lt;&gt;"",'CDO Bespoke'!C122,"")</f>
        <v>ReedElsevier_MMR.EUR.SU</v>
      </c>
      <c r="P97" s="513" cm="1">
        <f t="array" aca="1" ref="P97" ca="1">IF($O97&lt;&gt;"",-TRANSPOSE(INDEX(getcds('CDO Bespoke'!$C122,P$13,'CDO Bespoke'!$G122/10000,'CDO Bespoke'!F122,'CDO Bespoke'!D122,'CDO Bespoke'!$C$13,'CDO Bespoke'!$C$14,'CDO Bespoke'!$C$15,'CDO Bespoke'!$C$8,,,TRUE,TRUE,FALSE,'CDO Bespoke'!$C$29:'CDO Bespoke'!$C$31,'CDO Bespoke'!$C$33),{5})),"")</f>
        <v>-0.47824737003613499</v>
      </c>
      <c r="Q97" s="524" cm="1">
        <f t="array" aca="1" ref="Q97" ca="1">IF($O97&lt;&gt;"",-TRANSPOSE(INDEX(getcds('CDO Bespoke'!$C122,Q$13,'CDO Bespoke'!$G122/10000,'CDO Bespoke'!G122,'CDO Bespoke'!E122,'CDO Bespoke'!$C$13,'CDO Bespoke'!$C$14,'CDO Bespoke'!$C$15,'CDO Bespoke'!$C$8,,,TRUE,TRUE,FALSE,'CDO Bespoke'!$C$29:'CDO Bespoke'!$C$31,'CDO Bespoke'!$C$33),{5})),"")</f>
        <v>-0.96429966064517303</v>
      </c>
      <c r="R97" s="524" cm="1">
        <f t="array" aca="1" ref="R97" ca="1">IF($O97&lt;&gt;"",-TRANSPOSE(INDEX(getcds('CDO Bespoke'!$C122,R$13,'CDO Bespoke'!$G122/10000,'CDO Bespoke'!H122,'CDO Bespoke'!F122,'CDO Bespoke'!$C$13,'CDO Bespoke'!$C$14,'CDO Bespoke'!$C$15,'CDO Bespoke'!$C$8,,,TRUE,TRUE,FALSE,'CDO Bespoke'!$C$29:'CDO Bespoke'!$C$31,'CDO Bespoke'!$C$33),{5})),"")</f>
        <v>-2.8046206052449101</v>
      </c>
      <c r="S97" s="524" cm="1">
        <f t="array" aca="1" ref="S97" ca="1">IF($O97&lt;&gt;"",-TRANSPOSE(INDEX(getcds('CDO Bespoke'!$C122,S$13,'CDO Bespoke'!$G122/10000,'CDO Bespoke'!I122,'CDO Bespoke'!G122,'CDO Bespoke'!$C$13,'CDO Bespoke'!$C$14,'CDO Bespoke'!$C$15,'CDO Bespoke'!$C$8,,,TRUE,TRUE,FALSE,'CDO Bespoke'!$C$29:'CDO Bespoke'!$C$31,'CDO Bespoke'!$C$33),{5})),"")</f>
        <v>-4.4744754829409601</v>
      </c>
      <c r="T97" s="514" cm="1">
        <f t="array" aca="1" ref="T97" ca="1">IF($O97&lt;&gt;"",-TRANSPOSE(INDEX(getcds('CDO Bespoke'!$C122,T$13,'CDO Bespoke'!$G122/10000,'CDO Bespoke'!J122,'CDO Bespoke'!H122,'CDO Bespoke'!$C$13,'CDO Bespoke'!$C$14,'CDO Bespoke'!$C$15,'CDO Bespoke'!$C$8,,,TRUE,TRUE,FALSE,'CDO Bespoke'!$C$29:'CDO Bespoke'!$C$31,'CDO Bespoke'!$C$33),{5})),"")</f>
        <v>-7.9143634001395302</v>
      </c>
      <c r="U97" s="493"/>
      <c r="V97" s="513">
        <f ca="1"/>
        <v>-9.4681843799699489E-6</v>
      </c>
      <c r="W97" s="572">
        <f ca="1"/>
        <v>2.2856297009991172E-3</v>
      </c>
      <c r="X97" s="572">
        <f ca="1"/>
        <v>2.3376038891034789E-3</v>
      </c>
      <c r="Y97" s="572">
        <f ca="1"/>
        <v>4.254474208001402E-3</v>
      </c>
      <c r="Z97" s="572">
        <f ca="1"/>
        <v>5.9497872460095858E-3</v>
      </c>
      <c r="AA97" s="572">
        <f ca="1"/>
        <v>8.3043865420004415E-3</v>
      </c>
      <c r="AB97" s="572">
        <f ca="1"/>
        <v>9.8862183370296286E-3</v>
      </c>
      <c r="AC97" s="572">
        <f ca="1"/>
        <v>8.9608747190494942E-3</v>
      </c>
      <c r="AD97" s="572">
        <f ca="1"/>
        <v>6.7397854639633659E-3</v>
      </c>
      <c r="AE97" s="514">
        <f ca="1"/>
        <v>2.9481043599399737E-4</v>
      </c>
    </row>
    <row r="98" spans="6:31" s="281" customFormat="1" ht="12" thickBot="1">
      <c r="F98" s="501">
        <f ca="1">IF('CDO Bespoke'!O99&lt;&gt;"",'CDO Bespoke'!O99,"")</f>
        <v>1.1977868152040101</v>
      </c>
      <c r="G98" s="502">
        <f ca="1">IF(F98&lt;&gt;"",ABS(MIN(-0.75*('CDO Bespoke'!Q99+'CDO Bespoke'!T99)+'CDO Bespoke'!T99,0)),"")</f>
        <v>1.1623353722331862</v>
      </c>
      <c r="H98" s="502">
        <f t="shared" ca="1" si="4"/>
        <v>3.5451442970823921E-2</v>
      </c>
      <c r="I98" s="502">
        <f t="shared" ca="1" si="7"/>
        <v>0</v>
      </c>
      <c r="J98" s="501">
        <f ca="1">IF('CDO Bespoke'!O99&lt;&gt;"",'CDO Bespoke'!O99,"")</f>
        <v>1.1977868152040101</v>
      </c>
      <c r="K98" s="502">
        <f ca="1">IF(J98&lt;&gt;"",ABS(MIN(-0.75*('CDO Bespoke'!K99+'CDO Bespoke'!T99)+'CDO Bespoke'!T99,0)),"")</f>
        <v>0.27840854388860248</v>
      </c>
      <c r="L98" s="502">
        <f t="shared" ca="1" si="5"/>
        <v>0.91937827131540761</v>
      </c>
      <c r="M98" s="506">
        <f t="shared" ca="1" si="6"/>
        <v>0</v>
      </c>
      <c r="O98" s="511" t="str">
        <f ca="1">IF('CDO Bespoke'!C123&lt;&gt;"",'CDO Bespoke'!C123,"")</f>
        <v>Renault_MMR.EUR.SU</v>
      </c>
      <c r="P98" s="513" cm="1">
        <f t="array" aca="1" ref="P98" ca="1">IF($O98&lt;&gt;"",-TRANSPOSE(INDEX(getcds('CDO Bespoke'!$C123,P$13,'CDO Bespoke'!$G123/10000,'CDO Bespoke'!F123,'CDO Bespoke'!D123,'CDO Bespoke'!$C$13,'CDO Bespoke'!$C$14,'CDO Bespoke'!$C$15,'CDO Bespoke'!$C$8,,,TRUE,TRUE,FALSE,'CDO Bespoke'!$C$29:'CDO Bespoke'!$C$31,'CDO Bespoke'!$C$33),{5})),"")</f>
        <v>-0.47817028694088998</v>
      </c>
      <c r="Q98" s="524" cm="1">
        <f t="array" aca="1" ref="Q98" ca="1">IF($O98&lt;&gt;"",-TRANSPOSE(INDEX(getcds('CDO Bespoke'!$C123,Q$13,'CDO Bespoke'!$G123/10000,'CDO Bespoke'!G123,'CDO Bespoke'!E123,'CDO Bespoke'!$C$13,'CDO Bespoke'!$C$14,'CDO Bespoke'!$C$15,'CDO Bespoke'!$C$8,,,TRUE,TRUE,FALSE,'CDO Bespoke'!$C$29:'CDO Bespoke'!$C$31,'CDO Bespoke'!$C$33),{5})),"")</f>
        <v>-0.963997014477467</v>
      </c>
      <c r="R98" s="524" cm="1">
        <f t="array" aca="1" ref="R98" ca="1">IF($O98&lt;&gt;"",-TRANSPOSE(INDEX(getcds('CDO Bespoke'!$C123,R$13,'CDO Bespoke'!$G123/10000,'CDO Bespoke'!H123,'CDO Bespoke'!F123,'CDO Bespoke'!$C$13,'CDO Bespoke'!$C$14,'CDO Bespoke'!$C$15,'CDO Bespoke'!$C$8,,,TRUE,TRUE,FALSE,'CDO Bespoke'!$C$29:'CDO Bespoke'!$C$31,'CDO Bespoke'!$C$33),{5})),"")</f>
        <v>-2.8020178645168801</v>
      </c>
      <c r="S98" s="524" cm="1">
        <f t="array" aca="1" ref="S98" ca="1">IF($O98&lt;&gt;"",-TRANSPOSE(INDEX(getcds('CDO Bespoke'!$C123,S$13,'CDO Bespoke'!$G123/10000,'CDO Bespoke'!I123,'CDO Bespoke'!G123,'CDO Bespoke'!$C$13,'CDO Bespoke'!$C$14,'CDO Bespoke'!$C$15,'CDO Bespoke'!$C$8,,,TRUE,TRUE,FALSE,'CDO Bespoke'!$C$29:'CDO Bespoke'!$C$31,'CDO Bespoke'!$C$33),{5})),"")</f>
        <v>-4.4656174761477603</v>
      </c>
      <c r="T98" s="514" cm="1">
        <f t="array" aca="1" ref="T98" ca="1">IF($O98&lt;&gt;"",-TRANSPOSE(INDEX(getcds('CDO Bespoke'!$C123,T$13,'CDO Bespoke'!$G123/10000,'CDO Bespoke'!J123,'CDO Bespoke'!H123,'CDO Bespoke'!$C$13,'CDO Bespoke'!$C$14,'CDO Bespoke'!$C$15,'CDO Bespoke'!$C$8,,,TRUE,TRUE,FALSE,'CDO Bespoke'!$C$29:'CDO Bespoke'!$C$31,'CDO Bespoke'!$C$33),{5})),"")</f>
        <v>-7.8859028646892302</v>
      </c>
      <c r="U98" s="493"/>
      <c r="V98" s="513">
        <f ca="1"/>
        <v>-1.7039616939662494E-5</v>
      </c>
      <c r="W98" s="572">
        <f ca="1"/>
        <v>2.2689634291989808E-3</v>
      </c>
      <c r="X98" s="572">
        <f ca="1"/>
        <v>2.3245044664110814E-3</v>
      </c>
      <c r="Y98" s="572">
        <f ca="1"/>
        <v>4.1698224689974694E-3</v>
      </c>
      <c r="Z98" s="572">
        <f ca="1"/>
        <v>5.8495330160224235E-3</v>
      </c>
      <c r="AA98" s="572">
        <f ca="1"/>
        <v>7.8381103920180384E-3</v>
      </c>
      <c r="AB98" s="572">
        <f ca="1"/>
        <v>9.9598439499970493E-3</v>
      </c>
      <c r="AC98" s="572">
        <f ca="1"/>
        <v>9.0880524290098963E-3</v>
      </c>
      <c r="AD98" s="572">
        <f ca="1"/>
        <v>6.9372324940086827E-3</v>
      </c>
      <c r="AE98" s="514">
        <f ca="1"/>
        <v>6.1472075700563789E-4</v>
      </c>
    </row>
    <row r="99" spans="6:31" s="281" customFormat="1" ht="12" thickBot="1">
      <c r="F99" s="501">
        <f ca="1">IF('CDO Bespoke'!O100&lt;&gt;"",'CDO Bespoke'!O100,"")</f>
        <v>1.1964938854895999</v>
      </c>
      <c r="G99" s="502">
        <f ca="1">IF(F99&lt;&gt;"",ABS(MIN(-0.75*('CDO Bespoke'!Q100+'CDO Bespoke'!T100)+'CDO Bespoke'!T100,0)),"")</f>
        <v>1.1675575884266565</v>
      </c>
      <c r="H99" s="502">
        <f t="shared" ca="1" si="4"/>
        <v>2.8936297062943428E-2</v>
      </c>
      <c r="I99" s="502">
        <f t="shared" ca="1" si="7"/>
        <v>0</v>
      </c>
      <c r="J99" s="501">
        <f ca="1">IF('CDO Bespoke'!O100&lt;&gt;"",'CDO Bespoke'!O100,"")</f>
        <v>1.1964938854895999</v>
      </c>
      <c r="K99" s="502">
        <f ca="1">IF(J99&lt;&gt;"",ABS(MIN(-0.75*('CDO Bespoke'!K100+'CDO Bespoke'!T100)+'CDO Bespoke'!T100,0)),"")</f>
        <v>0.31203564242002862</v>
      </c>
      <c r="L99" s="502">
        <f t="shared" ca="1" si="5"/>
        <v>0.88445824306957133</v>
      </c>
      <c r="M99" s="506">
        <f t="shared" ca="1" si="6"/>
        <v>0</v>
      </c>
      <c r="O99" s="511" t="str">
        <f ca="1">IF('CDO Bespoke'!C124&lt;&gt;"",'CDO Bespoke'!C124,"")</f>
        <v>Repsol_MMR.EUR.SU</v>
      </c>
      <c r="P99" s="513" cm="1">
        <f t="array" aca="1" ref="P99" ca="1">IF($O99&lt;&gt;"",-TRANSPOSE(INDEX(getcds('CDO Bespoke'!$C124,P$13,'CDO Bespoke'!$G124/10000,'CDO Bespoke'!F124,'CDO Bespoke'!D124,'CDO Bespoke'!$C$13,'CDO Bespoke'!$C$14,'CDO Bespoke'!$C$15,'CDO Bespoke'!$C$8,,,TRUE,TRUE,FALSE,'CDO Bespoke'!$C$29:'CDO Bespoke'!$C$31,'CDO Bespoke'!$C$33),{5})),"")</f>
        <v>-0.478208826406473</v>
      </c>
      <c r="Q99" s="524" cm="1">
        <f t="array" aca="1" ref="Q99" ca="1">IF($O99&lt;&gt;"",-TRANSPOSE(INDEX(getcds('CDO Bespoke'!$C124,Q$13,'CDO Bespoke'!$G124/10000,'CDO Bespoke'!G124,'CDO Bespoke'!E124,'CDO Bespoke'!$C$13,'CDO Bespoke'!$C$14,'CDO Bespoke'!$C$15,'CDO Bespoke'!$C$8,,,TRUE,TRUE,FALSE,'CDO Bespoke'!$C$29:'CDO Bespoke'!$C$31,'CDO Bespoke'!$C$33),{5})),"")</f>
        <v>-0.96402588059615002</v>
      </c>
      <c r="R99" s="524" cm="1">
        <f t="array" aca="1" ref="R99" ca="1">IF($O99&lt;&gt;"",-TRANSPOSE(INDEX(getcds('CDO Bespoke'!$C124,R$13,'CDO Bespoke'!$G124/10000,'CDO Bespoke'!H124,'CDO Bespoke'!F124,'CDO Bespoke'!$C$13,'CDO Bespoke'!$C$14,'CDO Bespoke'!$C$15,'CDO Bespoke'!$C$8,,,TRUE,TRUE,FALSE,'CDO Bespoke'!$C$29:'CDO Bespoke'!$C$31,'CDO Bespoke'!$C$33),{5})),"")</f>
        <v>-2.7963047868781299</v>
      </c>
      <c r="S99" s="524" cm="1">
        <f t="array" aca="1" ref="S99" ca="1">IF($O99&lt;&gt;"",-TRANSPOSE(INDEX(getcds('CDO Bespoke'!$C124,S$13,'CDO Bespoke'!$G124/10000,'CDO Bespoke'!I124,'CDO Bespoke'!G124,'CDO Bespoke'!$C$13,'CDO Bespoke'!$C$14,'CDO Bespoke'!$C$15,'CDO Bespoke'!$C$8,,,TRUE,TRUE,FALSE,'CDO Bespoke'!$C$29:'CDO Bespoke'!$C$31,'CDO Bespoke'!$C$33),{5})),"")</f>
        <v>-4.4470112120985101</v>
      </c>
      <c r="T99" s="514" cm="1">
        <f t="array" aca="1" ref="T99" ca="1">IF($O99&lt;&gt;"",-TRANSPOSE(INDEX(getcds('CDO Bespoke'!$C124,T$13,'CDO Bespoke'!$G124/10000,'CDO Bespoke'!J124,'CDO Bespoke'!H124,'CDO Bespoke'!$C$13,'CDO Bespoke'!$C$14,'CDO Bespoke'!$C$15,'CDO Bespoke'!$C$8,,,TRUE,TRUE,FALSE,'CDO Bespoke'!$C$29:'CDO Bespoke'!$C$31,'CDO Bespoke'!$C$33),{5})),"")</f>
        <v>-7.80725067174901</v>
      </c>
      <c r="U99" s="493"/>
      <c r="V99" s="513">
        <f ca="1"/>
        <v>-1.3254246649871404E-5</v>
      </c>
      <c r="W99" s="572">
        <f ca="1"/>
        <v>2.2772951361032384E-3</v>
      </c>
      <c r="X99" s="572">
        <f ca="1"/>
        <v>2.1469511502988925E-3</v>
      </c>
      <c r="Y99" s="572">
        <f ca="1"/>
        <v>4.0034269360028629E-3</v>
      </c>
      <c r="Z99" s="572">
        <f ca="1"/>
        <v>5.3990427680006281E-3</v>
      </c>
      <c r="AA99" s="572">
        <f ca="1"/>
        <v>7.4450133250025807E-3</v>
      </c>
      <c r="AB99" s="572">
        <f ca="1"/>
        <v>8.6034773650114915E-3</v>
      </c>
      <c r="AC99" s="572">
        <f ca="1"/>
        <v>7.0671597579910483E-3</v>
      </c>
      <c r="AD99" s="572">
        <f ca="1"/>
        <v>4.4629790479921994E-3</v>
      </c>
      <c r="AE99" s="514">
        <f ca="1"/>
        <v>-2.4761533700193294E-3</v>
      </c>
    </row>
    <row r="100" spans="6:31" s="281" customFormat="1" ht="12" thickBot="1">
      <c r="F100" s="501">
        <f ca="1">IF('CDO Bespoke'!O101&lt;&gt;"",'CDO Bespoke'!O101,"")</f>
        <v>1.1992900058448199</v>
      </c>
      <c r="G100" s="502">
        <f ca="1">IF(F100&lt;&gt;"",ABS(MIN(-0.75*('CDO Bespoke'!Q101+'CDO Bespoke'!T101)+'CDO Bespoke'!T101,0)),"")</f>
        <v>1.1545006305585399</v>
      </c>
      <c r="H100" s="502">
        <f t="shared" ca="1" si="4"/>
        <v>4.478937528628002E-2</v>
      </c>
      <c r="I100" s="502">
        <f t="shared" ca="1" si="7"/>
        <v>0</v>
      </c>
      <c r="J100" s="501">
        <f ca="1">IF('CDO Bespoke'!O101&lt;&gt;"",'CDO Bespoke'!O101,"")</f>
        <v>1.1992900058448199</v>
      </c>
      <c r="K100" s="502">
        <f ca="1">IF(J100&lt;&gt;"",ABS(MIN(-0.75*('CDO Bespoke'!K101+'CDO Bespoke'!T101)+'CDO Bespoke'!T101,0)),"")</f>
        <v>0.21713835941566828</v>
      </c>
      <c r="L100" s="502">
        <f t="shared" ca="1" si="5"/>
        <v>0.98215164642915165</v>
      </c>
      <c r="M100" s="506">
        <f t="shared" ca="1" si="6"/>
        <v>0</v>
      </c>
      <c r="O100" s="511" t="str">
        <f ca="1">IF('CDO Bespoke'!C125&lt;&gt;"",'CDO Bespoke'!C125,"")</f>
        <v>Reuters_MMR.EUR.SU</v>
      </c>
      <c r="P100" s="513" cm="1">
        <f t="array" aca="1" ref="P100" ca="1">IF($O100&lt;&gt;"",-TRANSPOSE(INDEX(getcds('CDO Bespoke'!$C125,P$13,'CDO Bespoke'!$G125/10000,'CDO Bespoke'!F125,'CDO Bespoke'!D125,'CDO Bespoke'!$C$13,'CDO Bespoke'!$C$14,'CDO Bespoke'!$C$15,'CDO Bespoke'!$C$8,,,TRUE,TRUE,FALSE,'CDO Bespoke'!$C$29:'CDO Bespoke'!$C$31,'CDO Bespoke'!$C$33),{5})),"")</f>
        <v>-0.47828591783154101</v>
      </c>
      <c r="Q100" s="524" cm="1">
        <f t="array" aca="1" ref="Q100" ca="1">IF($O100&lt;&gt;"",-TRANSPOSE(INDEX(getcds('CDO Bespoke'!$C125,Q$13,'CDO Bespoke'!$G125/10000,'CDO Bespoke'!G125,'CDO Bespoke'!E125,'CDO Bespoke'!$C$13,'CDO Bespoke'!$C$14,'CDO Bespoke'!$C$15,'CDO Bespoke'!$C$8,,,TRUE,TRUE,FALSE,'CDO Bespoke'!$C$29:'CDO Bespoke'!$C$31,'CDO Bespoke'!$C$33),{5})),"")</f>
        <v>-0.96444458638031605</v>
      </c>
      <c r="R100" s="524" cm="1">
        <f t="array" aca="1" ref="R100" ca="1">IF($O100&lt;&gt;"",-TRANSPOSE(INDEX(getcds('CDO Bespoke'!$C125,R$13,'CDO Bespoke'!$G125/10000,'CDO Bespoke'!H125,'CDO Bespoke'!F125,'CDO Bespoke'!$C$13,'CDO Bespoke'!$C$14,'CDO Bespoke'!$C$15,'CDO Bespoke'!$C$8,,,TRUE,TRUE,FALSE,'CDO Bespoke'!$C$29:'CDO Bespoke'!$C$31,'CDO Bespoke'!$C$33),{5})),"")</f>
        <v>-2.8074305787741101</v>
      </c>
      <c r="S100" s="524" cm="1">
        <f t="array" aca="1" ref="S100" ca="1">IF($O100&lt;&gt;"",-TRANSPOSE(INDEX(getcds('CDO Bespoke'!$C125,S$13,'CDO Bespoke'!$G125/10000,'CDO Bespoke'!I125,'CDO Bespoke'!G125,'CDO Bespoke'!$C$13,'CDO Bespoke'!$C$14,'CDO Bespoke'!$C$15,'CDO Bespoke'!$C$8,,,TRUE,TRUE,FALSE,'CDO Bespoke'!$C$29:'CDO Bespoke'!$C$31,'CDO Bespoke'!$C$33),{5})),"")</f>
        <v>-4.4858901743371904</v>
      </c>
      <c r="T100" s="514" cm="1">
        <f t="array" aca="1" ref="T100" ca="1">IF($O100&lt;&gt;"",-TRANSPOSE(INDEX(getcds('CDO Bespoke'!$C125,T$13,'CDO Bespoke'!$G125/10000,'CDO Bespoke'!J125,'CDO Bespoke'!H125,'CDO Bespoke'!$C$13,'CDO Bespoke'!$C$14,'CDO Bespoke'!$C$15,'CDO Bespoke'!$C$8,,,TRUE,TRUE,FALSE,'CDO Bespoke'!$C$29:'CDO Bespoke'!$C$31,'CDO Bespoke'!$C$33),{5})),"")</f>
        <v>-7.9820083539815299</v>
      </c>
      <c r="U100" s="493"/>
      <c r="V100" s="513">
        <f ca="1"/>
        <v>-5.6814299600094383E-6</v>
      </c>
      <c r="W100" s="572">
        <f ca="1"/>
        <v>2.293967125205007E-3</v>
      </c>
      <c r="X100" s="572">
        <f ca="1"/>
        <v>2.3344619778063735E-3</v>
      </c>
      <c r="Y100" s="572">
        <f ca="1"/>
        <v>4.4128964219944389E-3</v>
      </c>
      <c r="Z100" s="572">
        <f ca="1"/>
        <v>6.1519023220046876E-3</v>
      </c>
      <c r="AA100" s="572">
        <f ca="1"/>
        <v>8.8599626719976232E-3</v>
      </c>
      <c r="AB100" s="572">
        <f ca="1"/>
        <v>1.2031540787965644E-2</v>
      </c>
      <c r="AC100" s="572">
        <f ca="1"/>
        <v>1.2265427700997034E-2</v>
      </c>
      <c r="AD100" s="572">
        <f ca="1"/>
        <v>1.095213958801633E-2</v>
      </c>
      <c r="AE100" s="514">
        <f ca="1"/>
        <v>5.9009448361013739E-3</v>
      </c>
    </row>
    <row r="101" spans="6:31" s="281" customFormat="1" ht="12" thickBot="1">
      <c r="F101" s="501">
        <f ca="1">IF('CDO Bespoke'!O102&lt;&gt;"",'CDO Bespoke'!O102,"")</f>
        <v>1.1970866928450199</v>
      </c>
      <c r="G101" s="502">
        <f ca="1">IF(F101&lt;&gt;"",ABS(MIN(-0.75*('CDO Bespoke'!Q102+'CDO Bespoke'!T102)+'CDO Bespoke'!T102,0)),"")</f>
        <v>1.1646681060827797</v>
      </c>
      <c r="H101" s="502">
        <f t="shared" ca="1" si="4"/>
        <v>3.2418586762240187E-2</v>
      </c>
      <c r="I101" s="502">
        <f t="shared" ca="1" si="7"/>
        <v>0</v>
      </c>
      <c r="J101" s="501">
        <f ca="1">IF('CDO Bespoke'!O102&lt;&gt;"",'CDO Bespoke'!O102,"")</f>
        <v>1.1970866928450199</v>
      </c>
      <c r="K101" s="502">
        <f ca="1">IF(J101&lt;&gt;"",ABS(MIN(-0.75*('CDO Bespoke'!K102+'CDO Bespoke'!T102)+'CDO Bespoke'!T102,0)),"")</f>
        <v>0.29726217224523216</v>
      </c>
      <c r="L101" s="502">
        <f t="shared" ca="1" si="5"/>
        <v>0.89982452059978768</v>
      </c>
      <c r="M101" s="506">
        <f t="shared" ca="1" si="6"/>
        <v>0</v>
      </c>
      <c r="O101" s="511" t="str">
        <f ca="1">IF('CDO Bespoke'!C126&lt;&gt;"",'CDO Bespoke'!C126,"")</f>
        <v>RoyalBankScotland_MMR.EUR.SU</v>
      </c>
      <c r="P101" s="513" cm="1">
        <f t="array" aca="1" ref="P101" ca="1">IF($O101&lt;&gt;"",-TRANSPOSE(INDEX(getcds('CDO Bespoke'!$C126,P$13,'CDO Bespoke'!$G126/10000,'CDO Bespoke'!F126,'CDO Bespoke'!D126,'CDO Bespoke'!$C$13,'CDO Bespoke'!$C$14,'CDO Bespoke'!$C$15,'CDO Bespoke'!$C$8,,,TRUE,TRUE,FALSE,'CDO Bespoke'!$C$29:'CDO Bespoke'!$C$31,'CDO Bespoke'!$C$33),{5})),"")</f>
        <v>-0.478025801003091</v>
      </c>
      <c r="Q101" s="524" cm="1">
        <f t="array" aca="1" ref="Q101" ca="1">IF($O101&lt;&gt;"",-TRANSPOSE(INDEX(getcds('CDO Bespoke'!$C126,Q$13,'CDO Bespoke'!$G126/10000,'CDO Bespoke'!G126,'CDO Bespoke'!E126,'CDO Bespoke'!$C$13,'CDO Bespoke'!$C$14,'CDO Bespoke'!$C$15,'CDO Bespoke'!$C$8,,,TRUE,TRUE,FALSE,'CDO Bespoke'!$C$29:'CDO Bespoke'!$C$31,'CDO Bespoke'!$C$33),{5})),"")</f>
        <v>-0.96329244334083197</v>
      </c>
      <c r="R101" s="524" cm="1">
        <f t="array" aca="1" ref="R101" ca="1">IF($O101&lt;&gt;"",-TRANSPOSE(INDEX(getcds('CDO Bespoke'!$C126,R$13,'CDO Bespoke'!$G126/10000,'CDO Bespoke'!H126,'CDO Bespoke'!F126,'CDO Bespoke'!$C$13,'CDO Bespoke'!$C$14,'CDO Bespoke'!$C$15,'CDO Bespoke'!$C$8,,,TRUE,TRUE,FALSE,'CDO Bespoke'!$C$29:'CDO Bespoke'!$C$31,'CDO Bespoke'!$C$33),{5})),"")</f>
        <v>-2.79267816272852</v>
      </c>
      <c r="S101" s="524" cm="1">
        <f t="array" aca="1" ref="S101" ca="1">IF($O101&lt;&gt;"",-TRANSPOSE(INDEX(getcds('CDO Bespoke'!$C126,S$13,'CDO Bespoke'!$G126/10000,'CDO Bespoke'!I126,'CDO Bespoke'!G126,'CDO Bespoke'!$C$13,'CDO Bespoke'!$C$14,'CDO Bespoke'!$C$15,'CDO Bespoke'!$C$8,,,TRUE,TRUE,FALSE,'CDO Bespoke'!$C$29:'CDO Bespoke'!$C$31,'CDO Bespoke'!$C$33),{5})),"")</f>
        <v>-4.4470102268840996</v>
      </c>
      <c r="T101" s="514" cm="1">
        <f t="array" aca="1" ref="T101" ca="1">IF($O101&lt;&gt;"",-TRANSPOSE(INDEX(getcds('CDO Bespoke'!$C126,T$13,'CDO Bespoke'!$G126/10000,'CDO Bespoke'!J126,'CDO Bespoke'!H126,'CDO Bespoke'!$C$13,'CDO Bespoke'!$C$14,'CDO Bespoke'!$C$15,'CDO Bespoke'!$C$8,,,TRUE,TRUE,FALSE,'CDO Bespoke'!$C$29:'CDO Bespoke'!$C$31,'CDO Bespoke'!$C$33),{5})),"")</f>
        <v>-7.8659292061773103</v>
      </c>
      <c r="U101" s="493"/>
      <c r="V101" s="513">
        <f ca="1"/>
        <v>-3.1228596230215705E-5</v>
      </c>
      <c r="W101" s="572">
        <f ca="1"/>
        <v>2.2377449686002485E-3</v>
      </c>
      <c r="X101" s="572">
        <f ca="1"/>
        <v>2.0933961914024884E-3</v>
      </c>
      <c r="Y101" s="572">
        <f ca="1"/>
        <v>3.9742253750071899E-3</v>
      </c>
      <c r="Z101" s="572">
        <f ca="1"/>
        <v>5.6372702100099259E-3</v>
      </c>
      <c r="AA101" s="572">
        <f ca="1"/>
        <v>8.0668896539765056E-3</v>
      </c>
      <c r="AB101" s="572">
        <f ca="1"/>
        <v>1.1178547488013835E-2</v>
      </c>
      <c r="AC101" s="572">
        <f ca="1"/>
        <v>1.0992439749002436E-2</v>
      </c>
      <c r="AD101" s="572">
        <f ca="1"/>
        <v>9.4279743560049534E-3</v>
      </c>
      <c r="AE101" s="514">
        <f ca="1"/>
        <v>4.0345332229241304E-3</v>
      </c>
    </row>
    <row r="102" spans="6:31" s="281" customFormat="1" ht="12" thickBot="1">
      <c r="F102" s="501">
        <f ca="1">IF('CDO Bespoke'!O103&lt;&gt;"",'CDO Bespoke'!O103,"")</f>
        <v>1.1992909061235</v>
      </c>
      <c r="G102" s="502">
        <f ca="1">IF(F102&lt;&gt;"",ABS(MIN(-0.75*('CDO Bespoke'!Q103+'CDO Bespoke'!T103)+'CDO Bespoke'!T103,0)),"")</f>
        <v>1.1545200170105778</v>
      </c>
      <c r="H102" s="502">
        <f t="shared" ca="1" si="4"/>
        <v>4.4770889112922152E-2</v>
      </c>
      <c r="I102" s="502">
        <f t="shared" ca="1" si="7"/>
        <v>0</v>
      </c>
      <c r="J102" s="501">
        <f ca="1">IF('CDO Bespoke'!O103&lt;&gt;"",'CDO Bespoke'!O103,"")</f>
        <v>1.1992909061235</v>
      </c>
      <c r="K102" s="502">
        <f ca="1">IF(J102&lt;&gt;"",ABS(MIN(-0.75*('CDO Bespoke'!K103+'CDO Bespoke'!T103)+'CDO Bespoke'!T103,0)),"")</f>
        <v>0.21876014532629418</v>
      </c>
      <c r="L102" s="502">
        <f t="shared" ca="1" si="5"/>
        <v>0.9805307607972058</v>
      </c>
      <c r="M102" s="506">
        <f t="shared" ca="1" si="6"/>
        <v>0</v>
      </c>
      <c r="O102" s="511" t="str">
        <f ca="1">IF('CDO Bespoke'!C127&lt;&gt;"",'CDO Bespoke'!C127,"")</f>
        <v>Rwe_MMR.EUR.SU</v>
      </c>
      <c r="P102" s="513" cm="1">
        <f t="array" aca="1" ref="P102" ca="1">IF($O102&lt;&gt;"",-TRANSPOSE(INDEX(getcds('CDO Bespoke'!$C127,P$13,'CDO Bespoke'!$G127/10000,'CDO Bespoke'!F127,'CDO Bespoke'!D127,'CDO Bespoke'!$C$13,'CDO Bespoke'!$C$14,'CDO Bespoke'!$C$15,'CDO Bespoke'!$C$8,,,TRUE,TRUE,FALSE,'CDO Bespoke'!$C$29:'CDO Bespoke'!$C$31,'CDO Bespoke'!$C$33),{5})),"")</f>
        <v>-0.478266643413018</v>
      </c>
      <c r="Q102" s="524" cm="1">
        <f t="array" aca="1" ref="Q102" ca="1">IF($O102&lt;&gt;"",-TRANSPOSE(INDEX(getcds('CDO Bespoke'!$C127,Q$13,'CDO Bespoke'!$G127/10000,'CDO Bespoke'!G127,'CDO Bespoke'!E127,'CDO Bespoke'!$C$13,'CDO Bespoke'!$C$14,'CDO Bespoke'!$C$15,'CDO Bespoke'!$C$8,,,TRUE,TRUE,FALSE,'CDO Bespoke'!$C$29:'CDO Bespoke'!$C$31,'CDO Bespoke'!$C$33),{5})),"")</f>
        <v>-0.96435278486870502</v>
      </c>
      <c r="R102" s="524" cm="1">
        <f t="array" aca="1" ref="R102" ca="1">IF($O102&lt;&gt;"",-TRANSPOSE(INDEX(getcds('CDO Bespoke'!$C127,R$13,'CDO Bespoke'!$G127/10000,'CDO Bespoke'!H127,'CDO Bespoke'!F127,'CDO Bespoke'!$C$13,'CDO Bespoke'!$C$14,'CDO Bespoke'!$C$15,'CDO Bespoke'!$C$8,,,TRUE,TRUE,FALSE,'CDO Bespoke'!$C$29:'CDO Bespoke'!$C$31,'CDO Bespoke'!$C$33),{5})),"")</f>
        <v>-2.8059300555412099</v>
      </c>
      <c r="S102" s="524" cm="1">
        <f t="array" aca="1" ref="S102" ca="1">IF($O102&lt;&gt;"",-TRANSPOSE(INDEX(getcds('CDO Bespoke'!$C127,S$13,'CDO Bespoke'!$G127/10000,'CDO Bespoke'!I127,'CDO Bespoke'!G127,'CDO Bespoke'!$C$13,'CDO Bespoke'!$C$14,'CDO Bespoke'!$C$15,'CDO Bespoke'!$C$8,,,TRUE,TRUE,FALSE,'CDO Bespoke'!$C$29:'CDO Bespoke'!$C$31,'CDO Bespoke'!$C$33),{5})),"")</f>
        <v>-4.4839196334605997</v>
      </c>
      <c r="T102" s="514" cm="1">
        <f t="array" aca="1" ref="T102" ca="1">IF($O102&lt;&gt;"",-TRANSPOSE(INDEX(getcds('CDO Bespoke'!$C127,T$13,'CDO Bespoke'!$G127/10000,'CDO Bespoke'!J127,'CDO Bespoke'!H127,'CDO Bespoke'!$C$13,'CDO Bespoke'!$C$14,'CDO Bespoke'!$C$15,'CDO Bespoke'!$C$8,,,TRUE,TRUE,FALSE,'CDO Bespoke'!$C$29:'CDO Bespoke'!$C$31,'CDO Bespoke'!$C$33),{5})),"")</f>
        <v>-7.9917517825551103</v>
      </c>
      <c r="U102" s="493"/>
      <c r="V102" s="513">
        <f ca="1"/>
        <v>-7.5748937100584245E-6</v>
      </c>
      <c r="W102" s="572">
        <f ca="1"/>
        <v>2.2897980556015746E-3</v>
      </c>
      <c r="X102" s="572">
        <f ca="1"/>
        <v>2.3069403769920838E-3</v>
      </c>
      <c r="Y102" s="572">
        <f ca="1"/>
        <v>4.3444004409892711E-3</v>
      </c>
      <c r="Z102" s="572">
        <f ca="1"/>
        <v>6.2279638630285961E-3</v>
      </c>
      <c r="AA102" s="572">
        <f ca="1"/>
        <v>8.9195535920433278E-3</v>
      </c>
      <c r="AB102" s="572">
        <f ca="1"/>
        <v>1.2708395761978908E-2</v>
      </c>
      <c r="AC102" s="572">
        <f ca="1"/>
        <v>1.3337803988072716E-2</v>
      </c>
      <c r="AD102" s="572">
        <f ca="1"/>
        <v>1.2357756815906118E-2</v>
      </c>
      <c r="AE102" s="514">
        <f ca="1"/>
        <v>7.8583247960228864E-3</v>
      </c>
    </row>
    <row r="103" spans="6:31" s="281" customFormat="1" ht="12" thickBot="1">
      <c r="F103" s="501">
        <f ca="1">IF('CDO Bespoke'!O104&lt;&gt;"",'CDO Bespoke'!O104,"")</f>
        <v>1.1960093705661401</v>
      </c>
      <c r="G103" s="502">
        <f ca="1">IF(F103&lt;&gt;"",ABS(MIN(-0.75*('CDO Bespoke'!Q104+'CDO Bespoke'!T104)+'CDO Bespoke'!T104,0)),"")</f>
        <v>1.1699979092126482</v>
      </c>
      <c r="H103" s="502">
        <f t="shared" ca="1" si="4"/>
        <v>2.601146135349186E-2</v>
      </c>
      <c r="I103" s="502">
        <f t="shared" ca="1" si="7"/>
        <v>0</v>
      </c>
      <c r="J103" s="501">
        <f ca="1">IF('CDO Bespoke'!O104&lt;&gt;"",'CDO Bespoke'!O104,"")</f>
        <v>1.1960093705661401</v>
      </c>
      <c r="K103" s="502">
        <f ca="1">IF(J103&lt;&gt;"",ABS(MIN(-0.75*('CDO Bespoke'!K104+'CDO Bespoke'!T104)+'CDO Bespoke'!T104,0)),"")</f>
        <v>0.3234883411874962</v>
      </c>
      <c r="L103" s="502">
        <f t="shared" ca="1" si="5"/>
        <v>0.87252102937864384</v>
      </c>
      <c r="M103" s="506">
        <f t="shared" ca="1" si="6"/>
        <v>0</v>
      </c>
      <c r="O103" s="511" t="str">
        <f ca="1">IF('CDO Bespoke'!C128&lt;&gt;"",'CDO Bespoke'!C128,"")</f>
        <v>SafewayPlc_MMR.EUR.SU</v>
      </c>
      <c r="P103" s="513" cm="1">
        <f t="array" aca="1" ref="P103" ca="1">IF($O103&lt;&gt;"",-TRANSPOSE(INDEX(getcds('CDO Bespoke'!$C128,P$13,'CDO Bespoke'!$G128/10000,'CDO Bespoke'!F128,'CDO Bespoke'!D128,'CDO Bespoke'!$C$13,'CDO Bespoke'!$C$14,'CDO Bespoke'!$C$15,'CDO Bespoke'!$C$8,,,TRUE,TRUE,FALSE,'CDO Bespoke'!$C$29:'CDO Bespoke'!$C$31,'CDO Bespoke'!$C$33),{5})),"")</f>
        <v>-0.47822809770068903</v>
      </c>
      <c r="Q103" s="524" cm="1">
        <f t="array" aca="1" ref="Q103" ca="1">IF($O103&lt;&gt;"",-TRANSPOSE(INDEX(getcds('CDO Bespoke'!$C128,Q$13,'CDO Bespoke'!$G128/10000,'CDO Bespoke'!G128,'CDO Bespoke'!E128,'CDO Bespoke'!$C$13,'CDO Bespoke'!$C$14,'CDO Bespoke'!$C$15,'CDO Bespoke'!$C$8,,,TRUE,TRUE,FALSE,'CDO Bespoke'!$C$29:'CDO Bespoke'!$C$31,'CDO Bespoke'!$C$33),{5})),"")</f>
        <v>-0.96411764930062704</v>
      </c>
      <c r="R103" s="524" cm="1">
        <f t="array" aca="1" ref="R103" ca="1">IF($O103&lt;&gt;"",-TRANSPOSE(INDEX(getcds('CDO Bespoke'!$C128,R$13,'CDO Bespoke'!$G128/10000,'CDO Bespoke'!H128,'CDO Bespoke'!F128,'CDO Bespoke'!$C$13,'CDO Bespoke'!$C$14,'CDO Bespoke'!$C$15,'CDO Bespoke'!$C$8,,,TRUE,TRUE,FALSE,'CDO Bespoke'!$C$29:'CDO Bespoke'!$C$31,'CDO Bespoke'!$C$33),{5})),"")</f>
        <v>-2.7981331460595298</v>
      </c>
      <c r="S103" s="524" cm="1">
        <f t="array" aca="1" ref="S103" ca="1">IF($O103&lt;&gt;"",-TRANSPOSE(INDEX(getcds('CDO Bespoke'!$C128,S$13,'CDO Bespoke'!$G128/10000,'CDO Bespoke'!I128,'CDO Bespoke'!G128,'CDO Bespoke'!$C$13,'CDO Bespoke'!$C$14,'CDO Bespoke'!$C$15,'CDO Bespoke'!$C$8,,,TRUE,TRUE,FALSE,'CDO Bespoke'!$C$29:'CDO Bespoke'!$C$31,'CDO Bespoke'!$C$33),{5})),"")</f>
        <v>-4.4462996100088796</v>
      </c>
      <c r="T103" s="514" cm="1">
        <f t="array" aca="1" ref="T103" ca="1">IF($O103&lt;&gt;"",-TRANSPOSE(INDEX(getcds('CDO Bespoke'!$C128,T$13,'CDO Bespoke'!$G128/10000,'CDO Bespoke'!J128,'CDO Bespoke'!H128,'CDO Bespoke'!$C$13,'CDO Bespoke'!$C$14,'CDO Bespoke'!$C$15,'CDO Bespoke'!$C$8,,,TRUE,TRUE,FALSE,'CDO Bespoke'!$C$29:'CDO Bespoke'!$C$31,'CDO Bespoke'!$C$33),{5})),"")</f>
        <v>-7.7601746204939897</v>
      </c>
      <c r="U103" s="493"/>
      <c r="V103" s="513">
        <f ca="1"/>
        <v>-1.1361302029917232E-5</v>
      </c>
      <c r="W103" s="572">
        <f ca="1"/>
        <v>2.2814620611981418E-3</v>
      </c>
      <c r="X103" s="572">
        <f ca="1"/>
        <v>2.1744181588970179E-3</v>
      </c>
      <c r="Y103" s="572">
        <f ca="1"/>
        <v>4.1067529559998817E-3</v>
      </c>
      <c r="Z103" s="572">
        <f ca="1"/>
        <v>5.2722634250046418E-3</v>
      </c>
      <c r="AA103" s="572">
        <f ca="1"/>
        <v>6.8917139759913648E-3</v>
      </c>
      <c r="AB103" s="572">
        <f ca="1"/>
        <v>6.7331708160020542E-3</v>
      </c>
      <c r="AC103" s="572">
        <f ca="1"/>
        <v>4.3311134731958967E-3</v>
      </c>
      <c r="AD103" s="572">
        <f ca="1"/>
        <v>1.1281747500099608E-3</v>
      </c>
      <c r="AE103" s="514">
        <f ca="1"/>
        <v>-6.576928459900433E-3</v>
      </c>
    </row>
    <row r="104" spans="6:31" s="281" customFormat="1" ht="12" thickBot="1">
      <c r="F104" s="501">
        <f ca="1">IF('CDO Bespoke'!O105&lt;&gt;"",'CDO Bespoke'!O105,"")</f>
        <v>1.19942148273893</v>
      </c>
      <c r="G104" s="502">
        <f ca="1">IF(F104&lt;&gt;"",ABS(MIN(-0.75*('CDO Bespoke'!Q105+'CDO Bespoke'!T105)+'CDO Bespoke'!T105,0)),"")</f>
        <v>1.154050395624588</v>
      </c>
      <c r="H104" s="502">
        <f t="shared" ca="1" si="4"/>
        <v>4.5371087114342012E-2</v>
      </c>
      <c r="I104" s="502">
        <f t="shared" ca="1" si="7"/>
        <v>0</v>
      </c>
      <c r="J104" s="501">
        <f ca="1">IF('CDO Bespoke'!O105&lt;&gt;"",'CDO Bespoke'!O105,"")</f>
        <v>1.19942148273893</v>
      </c>
      <c r="K104" s="502">
        <f ca="1">IF(J104&lt;&gt;"",ABS(MIN(-0.75*('CDO Bespoke'!K105+'CDO Bespoke'!T105)+'CDO Bespoke'!T105,0)),"")</f>
        <v>0.21269794075062073</v>
      </c>
      <c r="L104" s="502">
        <f t="shared" ca="1" si="5"/>
        <v>0.98672354198830925</v>
      </c>
      <c r="M104" s="506">
        <f t="shared" ca="1" si="6"/>
        <v>0</v>
      </c>
      <c r="O104" s="511" t="str">
        <f ca="1">IF('CDO Bespoke'!C129&lt;&gt;"",'CDO Bespoke'!C129,"")</f>
        <v>SanofiAventis_MMR.EUR.SU</v>
      </c>
      <c r="P104" s="513" cm="1">
        <f t="array" aca="1" ref="P104" ca="1">IF($O104&lt;&gt;"",-TRANSPOSE(INDEX(getcds('CDO Bespoke'!$C129,P$13,'CDO Bespoke'!$G129/10000,'CDO Bespoke'!F129,'CDO Bespoke'!D129,'CDO Bespoke'!$C$13,'CDO Bespoke'!$C$14,'CDO Bespoke'!$C$15,'CDO Bespoke'!$C$8,,,TRUE,TRUE,FALSE,'CDO Bespoke'!$C$29:'CDO Bespoke'!$C$31,'CDO Bespoke'!$C$33),{5})),"")</f>
        <v>-0.478266643413018</v>
      </c>
      <c r="Q104" s="524" cm="1">
        <f t="array" aca="1" ref="Q104" ca="1">IF($O104&lt;&gt;"",-TRANSPOSE(INDEX(getcds('CDO Bespoke'!$C129,Q$13,'CDO Bespoke'!$G129/10000,'CDO Bespoke'!G129,'CDO Bespoke'!E129,'CDO Bespoke'!$C$13,'CDO Bespoke'!$C$14,'CDO Bespoke'!$C$15,'CDO Bespoke'!$C$8,,,TRUE,TRUE,FALSE,'CDO Bespoke'!$C$29:'CDO Bespoke'!$C$31,'CDO Bespoke'!$C$33),{5})),"")</f>
        <v>-0.96437856452204795</v>
      </c>
      <c r="R104" s="524" cm="1">
        <f t="array" aca="1" ref="R104" ca="1">IF($O104&lt;&gt;"",-TRANSPOSE(INDEX(getcds('CDO Bespoke'!$C129,R$13,'CDO Bespoke'!$G129/10000,'CDO Bespoke'!H129,'CDO Bespoke'!F129,'CDO Bespoke'!$C$13,'CDO Bespoke'!$C$14,'CDO Bespoke'!$C$15,'CDO Bespoke'!$C$8,,,TRUE,TRUE,FALSE,'CDO Bespoke'!$C$29:'CDO Bespoke'!$C$31,'CDO Bespoke'!$C$33),{5})),"")</f>
        <v>-2.8075060399042502</v>
      </c>
      <c r="S104" s="524" cm="1">
        <f t="array" aca="1" ref="S104" ca="1">IF($O104&lt;&gt;"",-TRANSPOSE(INDEX(getcds('CDO Bespoke'!$C129,S$13,'CDO Bespoke'!$G129/10000,'CDO Bespoke'!I129,'CDO Bespoke'!G129,'CDO Bespoke'!$C$13,'CDO Bespoke'!$C$14,'CDO Bespoke'!$C$15,'CDO Bespoke'!$C$8,,,TRUE,TRUE,FALSE,'CDO Bespoke'!$C$29:'CDO Bespoke'!$C$31,'CDO Bespoke'!$C$33),{5})),"")</f>
        <v>-4.4871292566767504</v>
      </c>
      <c r="T104" s="514" cm="1">
        <f t="array" aca="1" ref="T104" ca="1">IF($O104&lt;&gt;"",-TRANSPOSE(INDEX(getcds('CDO Bespoke'!$C129,T$13,'CDO Bespoke'!$G129/10000,'CDO Bespoke'!J129,'CDO Bespoke'!H129,'CDO Bespoke'!$C$13,'CDO Bespoke'!$C$14,'CDO Bespoke'!$C$15,'CDO Bespoke'!$C$8,,,TRUE,TRUE,FALSE,'CDO Bespoke'!$C$29:'CDO Bespoke'!$C$31,'CDO Bespoke'!$C$33),{5})),"")</f>
        <v>-7.9899823202265203</v>
      </c>
      <c r="U104" s="493"/>
      <c r="V104" s="513">
        <f ca="1"/>
        <v>-7.5748937100584245E-6</v>
      </c>
      <c r="W104" s="572">
        <f ca="1"/>
        <v>2.2897980556015746E-3</v>
      </c>
      <c r="X104" s="572">
        <f ca="1"/>
        <v>2.3457314383100447E-3</v>
      </c>
      <c r="Y104" s="572">
        <f ca="1"/>
        <v>4.412918764018503E-3</v>
      </c>
      <c r="Z104" s="572">
        <f ca="1"/>
        <v>6.227924087970349E-3</v>
      </c>
      <c r="AA104" s="572">
        <f ca="1"/>
        <v>8.902792359016809E-3</v>
      </c>
      <c r="AB104" s="572">
        <f ca="1"/>
        <v>1.1961876463031929E-2</v>
      </c>
      <c r="AC104" s="572">
        <f ca="1"/>
        <v>1.2145288576931312E-2</v>
      </c>
      <c r="AD104" s="572">
        <f ca="1"/>
        <v>1.0774906408078655E-2</v>
      </c>
      <c r="AE104" s="514">
        <f ca="1"/>
        <v>5.6209698380549344E-3</v>
      </c>
    </row>
    <row r="105" spans="6:31" s="281" customFormat="1" ht="12" thickBot="1">
      <c r="F105" s="501">
        <f ca="1">IF('CDO Bespoke'!O106&lt;&gt;"",'CDO Bespoke'!O106,"")</f>
        <v>1.19941994722283</v>
      </c>
      <c r="G105" s="502">
        <f ca="1">IF(F105&lt;&gt;"",ABS(MIN(-0.75*('CDO Bespoke'!Q106+'CDO Bespoke'!T106)+'CDO Bespoke'!T106,0)),"")</f>
        <v>1.1540561526168278</v>
      </c>
      <c r="H105" s="502">
        <f t="shared" ca="1" si="4"/>
        <v>4.536379460600215E-2</v>
      </c>
      <c r="I105" s="502">
        <f t="shared" ca="1" si="7"/>
        <v>0</v>
      </c>
      <c r="J105" s="501">
        <f ca="1">IF('CDO Bespoke'!O106&lt;&gt;"",'CDO Bespoke'!O106,"")</f>
        <v>1.19941994722283</v>
      </c>
      <c r="K105" s="502">
        <f ca="1">IF(J105&lt;&gt;"",ABS(MIN(-0.75*('CDO Bespoke'!K106+'CDO Bespoke'!T106)+'CDO Bespoke'!T106,0)),"")</f>
        <v>0.21316606183285053</v>
      </c>
      <c r="L105" s="502">
        <f t="shared" ca="1" si="5"/>
        <v>0.98625388538997938</v>
      </c>
      <c r="M105" s="506">
        <f t="shared" ca="1" si="6"/>
        <v>0</v>
      </c>
      <c r="O105" s="511" t="str">
        <f ca="1">IF('CDO Bespoke'!C130&lt;&gt;"",'CDO Bespoke'!C130,"")</f>
        <v>Siemens_MMR.EUR.SU</v>
      </c>
      <c r="P105" s="513" cm="1">
        <f t="array" aca="1" ref="P105" ca="1">IF($O105&lt;&gt;"",-TRANSPOSE(INDEX(getcds('CDO Bespoke'!$C130,P$13,'CDO Bespoke'!$G130/10000,'CDO Bespoke'!F130,'CDO Bespoke'!D130,'CDO Bespoke'!$C$13,'CDO Bespoke'!$C$14,'CDO Bespoke'!$C$15,'CDO Bespoke'!$C$8,,,TRUE,TRUE,FALSE,'CDO Bespoke'!$C$29:'CDO Bespoke'!$C$31,'CDO Bespoke'!$C$33),{5})),"")</f>
        <v>-0.47824737003613499</v>
      </c>
      <c r="Q105" s="524" cm="1">
        <f t="array" aca="1" ref="Q105" ca="1">IF($O105&lt;&gt;"",-TRANSPOSE(INDEX(getcds('CDO Bespoke'!$C130,Q$13,'CDO Bespoke'!$G130/10000,'CDO Bespoke'!G130,'CDO Bespoke'!E130,'CDO Bespoke'!$C$13,'CDO Bespoke'!$C$14,'CDO Bespoke'!$C$15,'CDO Bespoke'!$C$8,,,TRUE,TRUE,FALSE,'CDO Bespoke'!$C$29:'CDO Bespoke'!$C$31,'CDO Bespoke'!$C$33),{5})),"")</f>
        <v>-0.96431254831084001</v>
      </c>
      <c r="R105" s="524" cm="1">
        <f t="array" aca="1" ref="R105" ca="1">IF($O105&lt;&gt;"",-TRANSPOSE(INDEX(getcds('CDO Bespoke'!$C130,R$13,'CDO Bespoke'!$G130/10000,'CDO Bespoke'!H130,'CDO Bespoke'!F130,'CDO Bespoke'!$C$13,'CDO Bespoke'!$C$14,'CDO Bespoke'!$C$15,'CDO Bespoke'!$C$8,,,TRUE,TRUE,FALSE,'CDO Bespoke'!$C$29:'CDO Bespoke'!$C$31,'CDO Bespoke'!$C$33),{5})),"")</f>
        <v>-2.8072964184734701</v>
      </c>
      <c r="S105" s="524" cm="1">
        <f t="array" aca="1" ref="S105" ca="1">IF($O105&lt;&gt;"",-TRANSPOSE(INDEX(getcds('CDO Bespoke'!$C130,S$13,'CDO Bespoke'!$G130/10000,'CDO Bespoke'!I130,'CDO Bespoke'!G130,'CDO Bespoke'!$C$13,'CDO Bespoke'!$C$14,'CDO Bespoke'!$C$15,'CDO Bespoke'!$C$8,,,TRUE,TRUE,FALSE,'CDO Bespoke'!$C$29:'CDO Bespoke'!$C$31,'CDO Bespoke'!$C$33),{5})),"")</f>
        <v>-4.4863670859603504</v>
      </c>
      <c r="T105" s="514" cm="1">
        <f t="array" aca="1" ref="T105" ca="1">IF($O105&lt;&gt;"",-TRANSPOSE(INDEX(getcds('CDO Bespoke'!$C130,T$13,'CDO Bespoke'!$G130/10000,'CDO Bespoke'!J130,'CDO Bespoke'!H130,'CDO Bespoke'!$C$13,'CDO Bespoke'!$C$14,'CDO Bespoke'!$C$15,'CDO Bespoke'!$C$8,,,TRUE,TRUE,FALSE,'CDO Bespoke'!$C$29:'CDO Bespoke'!$C$31,'CDO Bespoke'!$C$33),{5})),"")</f>
        <v>-7.9978669243954803</v>
      </c>
      <c r="U105" s="493"/>
      <c r="V105" s="513">
        <f ca="1"/>
        <v>-9.4681843799699489E-6</v>
      </c>
      <c r="W105" s="572">
        <f ca="1"/>
        <v>2.2856297009991172E-3</v>
      </c>
      <c r="X105" s="572">
        <f ca="1"/>
        <v>2.3569997587014058E-3</v>
      </c>
      <c r="Y105" s="572">
        <f ca="1"/>
        <v>4.4129411089915971E-3</v>
      </c>
      <c r="Z105" s="572">
        <f ca="1"/>
        <v>6.1519725070083298E-3</v>
      </c>
      <c r="AA105" s="572">
        <f ca="1"/>
        <v>8.9613639699809289E-3</v>
      </c>
      <c r="AB105" s="572">
        <f ca="1"/>
        <v>1.3199155746018709E-2</v>
      </c>
      <c r="AC105" s="572">
        <f ca="1"/>
        <v>1.4133231187873907E-2</v>
      </c>
      <c r="AD105" s="572">
        <f ca="1"/>
        <v>1.3427611968985786E-2</v>
      </c>
      <c r="AE105" s="514">
        <f ca="1"/>
        <v>9.4032813699462814E-3</v>
      </c>
    </row>
    <row r="106" spans="6:31" s="281" customFormat="1" ht="12" thickBot="1">
      <c r="F106" s="501">
        <f ca="1">IF('CDO Bespoke'!O107&lt;&gt;"",'CDO Bespoke'!O107,"")</f>
        <v>1.1986609948910001</v>
      </c>
      <c r="G106" s="502">
        <f ca="1">IF(F106&lt;&gt;"",ABS(MIN(-0.75*('CDO Bespoke'!Q107+'CDO Bespoke'!T107)+'CDO Bespoke'!T107,0)),"")</f>
        <v>1.1585420337407581</v>
      </c>
      <c r="H106" s="502">
        <f t="shared" ca="1" si="4"/>
        <v>4.0118961150241939E-2</v>
      </c>
      <c r="I106" s="502">
        <f t="shared" ca="1" si="7"/>
        <v>0</v>
      </c>
      <c r="J106" s="501">
        <f ca="1">IF('CDO Bespoke'!O107&lt;&gt;"",'CDO Bespoke'!O107,"")</f>
        <v>1.1986609948910001</v>
      </c>
      <c r="K106" s="502">
        <f ca="1">IF(J106&lt;&gt;"",ABS(MIN(-0.75*('CDO Bespoke'!K107+'CDO Bespoke'!T107)+'CDO Bespoke'!T107,0)),"")</f>
        <v>0.25152383833547193</v>
      </c>
      <c r="L106" s="502">
        <f t="shared" ca="1" si="5"/>
        <v>0.94713715655552821</v>
      </c>
      <c r="M106" s="506">
        <f t="shared" ca="1" si="6"/>
        <v>0</v>
      </c>
      <c r="O106" s="511" t="str">
        <f ca="1">IF('CDO Bespoke'!C131&lt;&gt;"",'CDO Bespoke'!C131,"")</f>
        <v>SodexhoAlliance_MMR.EUR.SU</v>
      </c>
      <c r="P106" s="513" cm="1">
        <f t="array" aca="1" ref="P106" ca="1">IF($O106&lt;&gt;"",-TRANSPOSE(INDEX(getcds('CDO Bespoke'!$C131,P$13,'CDO Bespoke'!$G131/10000,'CDO Bespoke'!F131,'CDO Bespoke'!D131,'CDO Bespoke'!$C$13,'CDO Bespoke'!$C$14,'CDO Bespoke'!$C$15,'CDO Bespoke'!$C$8,,,TRUE,TRUE,FALSE,'CDO Bespoke'!$C$29:'CDO Bespoke'!$C$31,'CDO Bespoke'!$C$33),{5})),"")</f>
        <v>-0.47828591783154101</v>
      </c>
      <c r="Q106" s="524" cm="1">
        <f t="array" aca="1" ref="Q106" ca="1">IF($O106&lt;&gt;"",-TRANSPOSE(INDEX(getcds('CDO Bespoke'!$C131,Q$13,'CDO Bespoke'!$G131/10000,'CDO Bespoke'!G131,'CDO Bespoke'!E131,'CDO Bespoke'!$C$13,'CDO Bespoke'!$C$14,'CDO Bespoke'!$C$15,'CDO Bespoke'!$C$8,,,TRUE,TRUE,FALSE,'CDO Bespoke'!$C$29:'CDO Bespoke'!$C$31,'CDO Bespoke'!$C$33),{5})),"")</f>
        <v>-0.96436722843519396</v>
      </c>
      <c r="R106" s="524" cm="1">
        <f t="array" aca="1" ref="R106" ca="1">IF($O106&lt;&gt;"",-TRANSPOSE(INDEX(getcds('CDO Bespoke'!$C131,R$13,'CDO Bespoke'!$G131/10000,'CDO Bespoke'!H131,'CDO Bespoke'!F131,'CDO Bespoke'!$C$13,'CDO Bespoke'!$C$14,'CDO Bespoke'!$C$15,'CDO Bespoke'!$C$8,,,TRUE,TRUE,FALSE,'CDO Bespoke'!$C$29:'CDO Bespoke'!$C$31,'CDO Bespoke'!$C$33),{5})),"")</f>
        <v>-2.80357024744103</v>
      </c>
      <c r="S106" s="524" cm="1">
        <f t="array" aca="1" ref="S106" ca="1">IF($O106&lt;&gt;"",-TRANSPOSE(INDEX(getcds('CDO Bespoke'!$C131,S$13,'CDO Bespoke'!$G131/10000,'CDO Bespoke'!I131,'CDO Bespoke'!G131,'CDO Bespoke'!$C$13,'CDO Bespoke'!$C$14,'CDO Bespoke'!$C$15,'CDO Bespoke'!$C$8,,,TRUE,TRUE,FALSE,'CDO Bespoke'!$C$29:'CDO Bespoke'!$C$31,'CDO Bespoke'!$C$33),{5})),"")</f>
        <v>-4.4735373446211701</v>
      </c>
      <c r="T106" s="514" cm="1">
        <f t="array" aca="1" ref="T106" ca="1">IF($O106&lt;&gt;"",-TRANSPOSE(INDEX(getcds('CDO Bespoke'!$C131,T$13,'CDO Bespoke'!$G131/10000,'CDO Bespoke'!J131,'CDO Bespoke'!H131,'CDO Bespoke'!$C$13,'CDO Bespoke'!$C$14,'CDO Bespoke'!$C$15,'CDO Bespoke'!$C$8,,,TRUE,TRUE,FALSE,'CDO Bespoke'!$C$29:'CDO Bespoke'!$C$31,'CDO Bespoke'!$C$33),{5})),"")</f>
        <v>-7.9272620678296901</v>
      </c>
      <c r="U106" s="493"/>
      <c r="V106" s="513">
        <f ca="1"/>
        <v>-5.6814299600094383E-6</v>
      </c>
      <c r="W106" s="572">
        <f ca="1"/>
        <v>2.293967125205007E-3</v>
      </c>
      <c r="X106" s="572">
        <f ca="1"/>
        <v>2.2181112311996098E-3</v>
      </c>
      <c r="Y106" s="572">
        <f ca="1"/>
        <v>4.3139609079770325E-3</v>
      </c>
      <c r="Z106" s="572">
        <f ca="1"/>
        <v>5.9248945119896868E-3</v>
      </c>
      <c r="AA106" s="572">
        <f ca="1"/>
        <v>8.4640059039992055E-3</v>
      </c>
      <c r="AB106" s="572">
        <f ca="1"/>
        <v>1.0779035113026025E-2</v>
      </c>
      <c r="AC106" s="572">
        <f ca="1"/>
        <v>1.0330986811996068E-2</v>
      </c>
      <c r="AD106" s="572">
        <f ca="1"/>
        <v>8.4900829810247158E-3</v>
      </c>
      <c r="AE106" s="514">
        <f ca="1"/>
        <v>2.6205957430469606E-3</v>
      </c>
    </row>
    <row r="107" spans="6:31" s="281" customFormat="1" ht="12" thickBot="1">
      <c r="F107" s="501">
        <f ca="1">IF('CDO Bespoke'!O108&lt;&gt;"",'CDO Bespoke'!O108,"")</f>
        <v>1.1993720800123799</v>
      </c>
      <c r="G107" s="502">
        <f ca="1">IF(F107&lt;&gt;"",ABS(MIN(-0.75*('CDO Bespoke'!Q108+'CDO Bespoke'!T108)+'CDO Bespoke'!T108,0)),"")</f>
        <v>1.15457904050146</v>
      </c>
      <c r="H107" s="502">
        <f t="shared" ca="1" si="4"/>
        <v>4.4793039510919952E-2</v>
      </c>
      <c r="I107" s="502">
        <f t="shared" ca="1" si="7"/>
        <v>0</v>
      </c>
      <c r="J107" s="501">
        <f ca="1">IF('CDO Bespoke'!O108&lt;&gt;"",'CDO Bespoke'!O108,"")</f>
        <v>1.1993720800123799</v>
      </c>
      <c r="K107" s="502">
        <f ca="1">IF(J107&lt;&gt;"",ABS(MIN(-0.75*('CDO Bespoke'!K108+'CDO Bespoke'!T108)+'CDO Bespoke'!T108,0)),"")</f>
        <v>0.21713835941566828</v>
      </c>
      <c r="L107" s="502">
        <f t="shared" ca="1" si="5"/>
        <v>0.98223372059671166</v>
      </c>
      <c r="M107" s="506">
        <f t="shared" ca="1" si="6"/>
        <v>0</v>
      </c>
      <c r="O107" s="511" t="str">
        <f ca="1">IF('CDO Bespoke'!C132&lt;&gt;"",'CDO Bespoke'!C132,"")</f>
        <v>Solvay_MMR.EUR.SU</v>
      </c>
      <c r="P107" s="513" cm="1">
        <f t="array" aca="1" ref="P107" ca="1">IF($O107&lt;&gt;"",-TRANSPOSE(INDEX(getcds('CDO Bespoke'!$C132,P$13,'CDO Bespoke'!$G132/10000,'CDO Bespoke'!F132,'CDO Bespoke'!D132,'CDO Bespoke'!$C$13,'CDO Bespoke'!$C$14,'CDO Bespoke'!$C$15,'CDO Bespoke'!$C$8,,,TRUE,TRUE,FALSE,'CDO Bespoke'!$C$29:'CDO Bespoke'!$C$31,'CDO Bespoke'!$C$33),{5})),"")</f>
        <v>-0.47828591783154101</v>
      </c>
      <c r="Q107" s="524" cm="1">
        <f t="array" aca="1" ref="Q107" ca="1">IF($O107&lt;&gt;"",-TRANSPOSE(INDEX(getcds('CDO Bespoke'!$C132,Q$13,'CDO Bespoke'!$G132/10000,'CDO Bespoke'!G132,'CDO Bespoke'!E132,'CDO Bespoke'!$C$13,'CDO Bespoke'!$C$14,'CDO Bespoke'!$C$15,'CDO Bespoke'!$C$8,,,TRUE,TRUE,FALSE,'CDO Bespoke'!$C$29:'CDO Bespoke'!$C$31,'CDO Bespoke'!$C$33),{5})),"")</f>
        <v>-0.96444458638031605</v>
      </c>
      <c r="R107" s="524" cm="1">
        <f t="array" aca="1" ref="R107" ca="1">IF($O107&lt;&gt;"",-TRANSPOSE(INDEX(getcds('CDO Bespoke'!$C132,R$13,'CDO Bespoke'!$G132/10000,'CDO Bespoke'!H132,'CDO Bespoke'!F132,'CDO Bespoke'!$C$13,'CDO Bespoke'!$C$14,'CDO Bespoke'!$C$15,'CDO Bespoke'!$C$8,,,TRUE,TRUE,FALSE,'CDO Bespoke'!$C$29:'CDO Bespoke'!$C$31,'CDO Bespoke'!$C$33),{5})),"")</f>
        <v>-2.8074305787741101</v>
      </c>
      <c r="S107" s="524" cm="1">
        <f t="array" aca="1" ref="S107" ca="1">IF($O107&lt;&gt;"",-TRANSPOSE(INDEX(getcds('CDO Bespoke'!$C132,S$13,'CDO Bespoke'!$G132/10000,'CDO Bespoke'!I132,'CDO Bespoke'!G132,'CDO Bespoke'!$C$13,'CDO Bespoke'!$C$14,'CDO Bespoke'!$C$15,'CDO Bespoke'!$C$8,,,TRUE,TRUE,FALSE,'CDO Bespoke'!$C$29:'CDO Bespoke'!$C$31,'CDO Bespoke'!$C$33),{5})),"")</f>
        <v>-4.4858901743371904</v>
      </c>
      <c r="T107" s="514" cm="1">
        <f t="array" aca="1" ref="T107" ca="1">IF($O107&lt;&gt;"",-TRANSPOSE(INDEX(getcds('CDO Bespoke'!$C132,T$13,'CDO Bespoke'!$G132/10000,'CDO Bespoke'!J132,'CDO Bespoke'!H132,'CDO Bespoke'!$C$13,'CDO Bespoke'!$C$14,'CDO Bespoke'!$C$15,'CDO Bespoke'!$C$8,,,TRUE,TRUE,FALSE,'CDO Bespoke'!$C$29:'CDO Bespoke'!$C$31,'CDO Bespoke'!$C$33),{5})),"")</f>
        <v>-7.9820083539815299</v>
      </c>
      <c r="U107" s="493"/>
      <c r="V107" s="513">
        <f ca="1"/>
        <v>-5.6814299600094383E-6</v>
      </c>
      <c r="W107" s="572">
        <f ca="1"/>
        <v>2.293967125205007E-3</v>
      </c>
      <c r="X107" s="572">
        <f ca="1"/>
        <v>2.3344619778063735E-3</v>
      </c>
      <c r="Y107" s="572">
        <f ca="1"/>
        <v>4.4128964219944389E-3</v>
      </c>
      <c r="Z107" s="572">
        <f ca="1"/>
        <v>6.1519023220046876E-3</v>
      </c>
      <c r="AA107" s="572">
        <f ca="1"/>
        <v>8.8599626719976232E-3</v>
      </c>
      <c r="AB107" s="572">
        <f ca="1"/>
        <v>1.2031540787965644E-2</v>
      </c>
      <c r="AC107" s="572">
        <f ca="1"/>
        <v>1.2265427700997034E-2</v>
      </c>
      <c r="AD107" s="572">
        <f ca="1"/>
        <v>1.095213958801633E-2</v>
      </c>
      <c r="AE107" s="514">
        <f ca="1"/>
        <v>5.9009448361013739E-3</v>
      </c>
    </row>
    <row r="108" spans="6:31" s="281" customFormat="1" ht="12" thickBot="1">
      <c r="F108" s="501">
        <f ca="1">IF('CDO Bespoke'!O109&lt;&gt;"",'CDO Bespoke'!O109,"")</f>
        <v>1.19728502622956</v>
      </c>
      <c r="G108" s="502">
        <f ca="1">IF(F108&lt;&gt;"",ABS(MIN(-0.75*('CDO Bespoke'!Q109+'CDO Bespoke'!T109)+'CDO Bespoke'!T109,0)),"")</f>
        <v>1.1653458041300546</v>
      </c>
      <c r="H108" s="502">
        <f t="shared" ca="1" si="4"/>
        <v>3.1939222099505393E-2</v>
      </c>
      <c r="I108" s="502">
        <f t="shared" ca="1" si="7"/>
        <v>0</v>
      </c>
      <c r="J108" s="501">
        <f ca="1">IF('CDO Bespoke'!O109&lt;&gt;"",'CDO Bespoke'!O109,"")</f>
        <v>1.19728502622956</v>
      </c>
      <c r="K108" s="502">
        <f ca="1">IF(J108&lt;&gt;"",ABS(MIN(-0.75*('CDO Bespoke'!K109+'CDO Bespoke'!T109)+'CDO Bespoke'!T109,0)),"")</f>
        <v>0.29595051563535196</v>
      </c>
      <c r="L108" s="502">
        <f t="shared" ca="1" si="5"/>
        <v>0.9013345105942081</v>
      </c>
      <c r="M108" s="506">
        <f t="shared" ca="1" si="6"/>
        <v>0</v>
      </c>
      <c r="O108" s="511" t="str">
        <f ca="1">IF('CDO Bespoke'!C133&lt;&gt;"",'CDO Bespoke'!C133,"")</f>
        <v>StGobain_MMR.EUR.SU</v>
      </c>
      <c r="P108" s="513" cm="1">
        <f t="array" aca="1" ref="P108" ca="1">IF($O108&lt;&gt;"",-TRANSPOSE(INDEX(getcds('CDO Bespoke'!$C133,P$13,'CDO Bespoke'!$G133/10000,'CDO Bespoke'!F133,'CDO Bespoke'!D133,'CDO Bespoke'!$C$13,'CDO Bespoke'!$C$14,'CDO Bespoke'!$C$15,'CDO Bespoke'!$C$8,,,TRUE,TRUE,FALSE,'CDO Bespoke'!$C$29:'CDO Bespoke'!$C$31,'CDO Bespoke'!$C$33),{5})),"")</f>
        <v>-0.47817028694088998</v>
      </c>
      <c r="Q108" s="524" cm="1">
        <f t="array" aca="1" ref="Q108" ca="1">IF($O108&lt;&gt;"",-TRANSPOSE(INDEX(getcds('CDO Bespoke'!$C133,Q$13,'CDO Bespoke'!$G133/10000,'CDO Bespoke'!G133,'CDO Bespoke'!E133,'CDO Bespoke'!$C$13,'CDO Bespoke'!$C$14,'CDO Bespoke'!$C$15,'CDO Bespoke'!$C$8,,,TRUE,TRUE,FALSE,'CDO Bespoke'!$C$29:'CDO Bespoke'!$C$31,'CDO Bespoke'!$C$33),{5})),"")</f>
        <v>-0.963997014477467</v>
      </c>
      <c r="R108" s="524" cm="1">
        <f t="array" aca="1" ref="R108" ca="1">IF($O108&lt;&gt;"",-TRANSPOSE(INDEX(getcds('CDO Bespoke'!$C133,R$13,'CDO Bespoke'!$G133/10000,'CDO Bespoke'!H133,'CDO Bespoke'!F133,'CDO Bespoke'!$C$13,'CDO Bespoke'!$C$14,'CDO Bespoke'!$C$15,'CDO Bespoke'!$C$8,,,TRUE,TRUE,FALSE,'CDO Bespoke'!$C$29:'CDO Bespoke'!$C$31,'CDO Bespoke'!$C$33),{5})),"")</f>
        <v>-2.80159095793808</v>
      </c>
      <c r="S108" s="524" cm="1">
        <f t="array" aca="1" ref="S108" ca="1">IF($O108&lt;&gt;"",-TRANSPOSE(INDEX(getcds('CDO Bespoke'!$C133,S$13,'CDO Bespoke'!$G133/10000,'CDO Bespoke'!I133,'CDO Bespoke'!G133,'CDO Bespoke'!$C$13,'CDO Bespoke'!$C$14,'CDO Bespoke'!$C$15,'CDO Bespoke'!$C$8,,,TRUE,TRUE,FALSE,'CDO Bespoke'!$C$29:'CDO Bespoke'!$C$31,'CDO Bespoke'!$C$33),{5})),"")</f>
        <v>-4.4599526491455102</v>
      </c>
      <c r="T108" s="514" cm="1">
        <f t="array" aca="1" ref="T108" ca="1">IF($O108&lt;&gt;"",-TRANSPOSE(INDEX(getcds('CDO Bespoke'!$C133,T$13,'CDO Bespoke'!$G133/10000,'CDO Bespoke'!J133,'CDO Bespoke'!H133,'CDO Bespoke'!$C$13,'CDO Bespoke'!$C$14,'CDO Bespoke'!$C$15,'CDO Bespoke'!$C$8,,,TRUE,TRUE,FALSE,'CDO Bespoke'!$C$29:'CDO Bespoke'!$C$31,'CDO Bespoke'!$C$33),{5})),"")</f>
        <v>-7.8342750750791801</v>
      </c>
      <c r="U108" s="493"/>
      <c r="V108" s="513">
        <f ca="1"/>
        <v>-1.7039616939662494E-5</v>
      </c>
      <c r="W108" s="572">
        <f ca="1"/>
        <v>2.2689634291989808E-3</v>
      </c>
      <c r="X108" s="572">
        <f ca="1"/>
        <v>2.3245044664110814E-3</v>
      </c>
      <c r="Y108" s="572">
        <f ca="1"/>
        <v>4.1698224689974694E-3</v>
      </c>
      <c r="Z108" s="572">
        <f ca="1"/>
        <v>5.6227257320268231E-3</v>
      </c>
      <c r="AA108" s="572">
        <f ca="1"/>
        <v>7.4149285560209943E-3</v>
      </c>
      <c r="AB108" s="572">
        <f ca="1"/>
        <v>9.056637177984328E-3</v>
      </c>
      <c r="AC108" s="572">
        <f ca="1"/>
        <v>7.7442364270277619E-3</v>
      </c>
      <c r="AD108" s="572">
        <f ca="1"/>
        <v>5.3033690389919785E-3</v>
      </c>
      <c r="AE108" s="514">
        <f ca="1"/>
        <v>-1.4094149599838679E-3</v>
      </c>
    </row>
    <row r="109" spans="6:31" s="281" customFormat="1" ht="12" thickBot="1">
      <c r="F109" s="501">
        <f ca="1">IF('CDO Bespoke'!O110&lt;&gt;"",'CDO Bespoke'!O110,"")</f>
        <v>1.19899648050718</v>
      </c>
      <c r="G109" s="502">
        <f ca="1">IF(F109&lt;&gt;"",ABS(MIN(-0.75*('CDO Bespoke'!Q110+'CDO Bespoke'!T110)+'CDO Bespoke'!T110,0)),"")</f>
        <v>1.1571044431137829</v>
      </c>
      <c r="H109" s="502">
        <f t="shared" ca="1" si="4"/>
        <v>4.1892037393397086E-2</v>
      </c>
      <c r="I109" s="502">
        <f t="shared" ca="1" si="7"/>
        <v>0</v>
      </c>
      <c r="J109" s="501">
        <f ca="1">IF('CDO Bespoke'!O110&lt;&gt;"",'CDO Bespoke'!O110,"")</f>
        <v>1.19899648050718</v>
      </c>
      <c r="K109" s="502">
        <f ca="1">IF(J109&lt;&gt;"",ABS(MIN(-0.75*('CDO Bespoke'!K110+'CDO Bespoke'!T110)+'CDO Bespoke'!T110,0)),"")</f>
        <v>0.23837210983935797</v>
      </c>
      <c r="L109" s="502">
        <f t="shared" ca="1" si="5"/>
        <v>0.96062437066782203</v>
      </c>
      <c r="M109" s="506">
        <f t="shared" ca="1" si="6"/>
        <v>0</v>
      </c>
      <c r="O109" s="511" t="str">
        <f ca="1">IF('CDO Bespoke'!C134&lt;&gt;"",'CDO Bespoke'!C134,"")</f>
        <v>StMicro_MMR.EUR.SU</v>
      </c>
      <c r="P109" s="513" cm="1">
        <f t="array" aca="1" ref="P109" ca="1">IF($O109&lt;&gt;"",-TRANSPOSE(INDEX(getcds('CDO Bespoke'!$C134,P$13,'CDO Bespoke'!$G134/10000,'CDO Bespoke'!F134,'CDO Bespoke'!D134,'CDO Bespoke'!$C$13,'CDO Bespoke'!$C$14,'CDO Bespoke'!$C$15,'CDO Bespoke'!$C$8,,,TRUE,TRUE,FALSE,'CDO Bespoke'!$C$29:'CDO Bespoke'!$C$31,'CDO Bespoke'!$C$33),{5})),"")</f>
        <v>-0.47828591783154101</v>
      </c>
      <c r="Q109" s="524" cm="1">
        <f t="array" aca="1" ref="Q109" ca="1">IF($O109&lt;&gt;"",-TRANSPOSE(INDEX(getcds('CDO Bespoke'!$C134,Q$13,'CDO Bespoke'!$G134/10000,'CDO Bespoke'!G134,'CDO Bespoke'!E134,'CDO Bespoke'!$C$13,'CDO Bespoke'!$C$14,'CDO Bespoke'!$C$15,'CDO Bespoke'!$C$8,,,TRUE,TRUE,FALSE,'CDO Bespoke'!$C$29:'CDO Bespoke'!$C$31,'CDO Bespoke'!$C$33),{5})),"")</f>
        <v>-0.96444458638031605</v>
      </c>
      <c r="R109" s="524" cm="1">
        <f t="array" aca="1" ref="R109" ca="1">IF($O109&lt;&gt;"",-TRANSPOSE(INDEX(getcds('CDO Bespoke'!$C134,R$13,'CDO Bespoke'!$G134/10000,'CDO Bespoke'!H134,'CDO Bespoke'!F134,'CDO Bespoke'!$C$13,'CDO Bespoke'!$C$14,'CDO Bespoke'!$C$15,'CDO Bespoke'!$C$8,,,TRUE,TRUE,FALSE,'CDO Bespoke'!$C$29:'CDO Bespoke'!$C$31,'CDO Bespoke'!$C$33),{5})),"")</f>
        <v>-2.8059949623314</v>
      </c>
      <c r="S109" s="524" cm="1">
        <f t="array" aca="1" ref="S109" ca="1">IF($O109&lt;&gt;"",-TRANSPOSE(INDEX(getcds('CDO Bespoke'!$C134,S$13,'CDO Bespoke'!$G134/10000,'CDO Bespoke'!I134,'CDO Bespoke'!G134,'CDO Bespoke'!$C$13,'CDO Bespoke'!$C$14,'CDO Bespoke'!$C$15,'CDO Bespoke'!$C$8,,,TRUE,TRUE,FALSE,'CDO Bespoke'!$C$29:'CDO Bespoke'!$C$31,'CDO Bespoke'!$C$33),{5})),"")</f>
        <v>-4.4798464528270099</v>
      </c>
      <c r="T109" s="514" cm="1">
        <f t="array" aca="1" ref="T109" ca="1">IF($O109&lt;&gt;"",-TRANSPOSE(INDEX(getcds('CDO Bespoke'!$C134,T$13,'CDO Bespoke'!$G134/10000,'CDO Bespoke'!J134,'CDO Bespoke'!H134,'CDO Bespoke'!$C$13,'CDO Bespoke'!$C$14,'CDO Bespoke'!$C$15,'CDO Bespoke'!$C$8,,,TRUE,TRUE,FALSE,'CDO Bespoke'!$C$29:'CDO Bespoke'!$C$31,'CDO Bespoke'!$C$33),{5})),"")</f>
        <v>-7.9406991370748496</v>
      </c>
      <c r="U109" s="493"/>
      <c r="V109" s="513">
        <f ca="1"/>
        <v>-5.6814299600094383E-6</v>
      </c>
      <c r="W109" s="572">
        <f ca="1"/>
        <v>2.293967125205007E-3</v>
      </c>
      <c r="X109" s="572">
        <f ca="1"/>
        <v>2.3344619778063735E-3</v>
      </c>
      <c r="Y109" s="572">
        <f ca="1"/>
        <v>4.3063712719740299E-3</v>
      </c>
      <c r="Z109" s="572">
        <f ca="1"/>
        <v>6.0759603090140835E-3</v>
      </c>
      <c r="AA109" s="572">
        <f ca="1"/>
        <v>8.5310369279945064E-3</v>
      </c>
      <c r="AB109" s="572">
        <f ca="1"/>
        <v>1.0696642675014911E-2</v>
      </c>
      <c r="AC109" s="572">
        <f ca="1"/>
        <v>1.0196577514970384E-2</v>
      </c>
      <c r="AD109" s="572">
        <f ca="1"/>
        <v>8.30188223804873E-3</v>
      </c>
      <c r="AE109" s="514">
        <f ca="1"/>
        <v>2.3416990010266536E-3</v>
      </c>
    </row>
    <row r="110" spans="6:31" s="281" customFormat="1" ht="12" thickBot="1">
      <c r="F110" s="501">
        <f ca="1">IF('CDO Bespoke'!O111&lt;&gt;"",'CDO Bespoke'!O111,"")</f>
        <v>1.1966196063201</v>
      </c>
      <c r="G110" s="502">
        <f ca="1">IF(F110&lt;&gt;"",ABS(MIN(-0.75*('CDO Bespoke'!Q111+'CDO Bespoke'!T111)+'CDO Bespoke'!T111,0)),"")</f>
        <v>1.1682193191426213</v>
      </c>
      <c r="H110" s="502">
        <f t="shared" ca="1" si="4"/>
        <v>2.8400287177478667E-2</v>
      </c>
      <c r="I110" s="502">
        <f t="shared" ca="1" si="7"/>
        <v>0</v>
      </c>
      <c r="J110" s="501">
        <f ca="1">IF('CDO Bespoke'!O111&lt;&gt;"",'CDO Bespoke'!O111,"")</f>
        <v>1.1966196063201</v>
      </c>
      <c r="K110" s="502">
        <f ca="1">IF(J110&lt;&gt;"",ABS(MIN(-0.75*('CDO Bespoke'!K111+'CDO Bespoke'!T111)+'CDO Bespoke'!T111,0)),"")</f>
        <v>0.31239551859081932</v>
      </c>
      <c r="L110" s="502">
        <f t="shared" ca="1" si="5"/>
        <v>0.88422408772928063</v>
      </c>
      <c r="M110" s="506">
        <f t="shared" ca="1" si="6"/>
        <v>0</v>
      </c>
      <c r="O110" s="511" t="str">
        <f ca="1">IF('CDO Bespoke'!C135&lt;&gt;"",'CDO Bespoke'!C135,"")</f>
        <v>SuedzuckerAg_MMR.EUR.SU</v>
      </c>
      <c r="P110" s="513" cm="1">
        <f t="array" aca="1" ref="P110" ca="1">IF($O110&lt;&gt;"",-TRANSPOSE(INDEX(getcds('CDO Bespoke'!$C135,P$13,'CDO Bespoke'!$G135/10000,'CDO Bespoke'!F135,'CDO Bespoke'!D135,'CDO Bespoke'!$C$13,'CDO Bespoke'!$C$14,'CDO Bespoke'!$C$15,'CDO Bespoke'!$C$8,,,TRUE,TRUE,FALSE,'CDO Bespoke'!$C$29:'CDO Bespoke'!$C$31,'CDO Bespoke'!$C$33),{5})),"")</f>
        <v>-0.478208826406473</v>
      </c>
      <c r="Q110" s="524" cm="1">
        <f t="array" aca="1" ref="Q110" ca="1">IF($O110&lt;&gt;"",-TRANSPOSE(INDEX(getcds('CDO Bespoke'!$C135,Q$13,'CDO Bespoke'!$G135/10000,'CDO Bespoke'!G135,'CDO Bespoke'!E135,'CDO Bespoke'!$C$13,'CDO Bespoke'!$C$14,'CDO Bespoke'!$C$15,'CDO Bespoke'!$C$8,,,TRUE,TRUE,FALSE,'CDO Bespoke'!$C$29:'CDO Bespoke'!$C$31,'CDO Bespoke'!$C$33),{5})),"")</f>
        <v>-0.96410321874319005</v>
      </c>
      <c r="R110" s="524" cm="1">
        <f t="array" aca="1" ref="R110" ca="1">IF($O110&lt;&gt;"",-TRANSPOSE(INDEX(getcds('CDO Bespoke'!$C135,R$13,'CDO Bespoke'!$G135/10000,'CDO Bespoke'!H135,'CDO Bespoke'!F135,'CDO Bespoke'!$C$13,'CDO Bespoke'!$C$14,'CDO Bespoke'!$C$15,'CDO Bespoke'!$C$8,,,TRUE,TRUE,FALSE,'CDO Bespoke'!$C$29:'CDO Bespoke'!$C$31,'CDO Bespoke'!$C$33),{5})),"")</f>
        <v>-2.8003455533859101</v>
      </c>
      <c r="S110" s="524" cm="1">
        <f t="array" aca="1" ref="S110" ca="1">IF($O110&lt;&gt;"",-TRANSPOSE(INDEX(getcds('CDO Bespoke'!$C135,S$13,'CDO Bespoke'!$G135/10000,'CDO Bespoke'!I135,'CDO Bespoke'!G135,'CDO Bespoke'!$C$13,'CDO Bespoke'!$C$14,'CDO Bespoke'!$C$15,'CDO Bespoke'!$C$8,,,TRUE,TRUE,FALSE,'CDO Bespoke'!$C$29:'CDO Bespoke'!$C$31,'CDO Bespoke'!$C$33),{5})),"")</f>
        <v>-4.4535322602850096</v>
      </c>
      <c r="T110" s="514" cm="1">
        <f t="array" aca="1" ref="T110" ca="1">IF($O110&lt;&gt;"",-TRANSPOSE(INDEX(getcds('CDO Bespoke'!$C135,T$13,'CDO Bespoke'!$G135/10000,'CDO Bespoke'!J135,'CDO Bespoke'!H135,'CDO Bespoke'!$C$13,'CDO Bespoke'!$C$14,'CDO Bespoke'!$C$15,'CDO Bespoke'!$C$8,,,TRUE,TRUE,FALSE,'CDO Bespoke'!$C$29:'CDO Bespoke'!$C$31,'CDO Bespoke'!$C$33),{5})),"")</f>
        <v>-7.7983500709909599</v>
      </c>
      <c r="U110" s="493"/>
      <c r="V110" s="513">
        <f ca="1"/>
        <v>-1.3254246649871404E-5</v>
      </c>
      <c r="W110" s="572">
        <f ca="1"/>
        <v>2.2772951361032384E-3</v>
      </c>
      <c r="X110" s="572">
        <f ca="1"/>
        <v>2.2632012811052427E-3</v>
      </c>
      <c r="Y110" s="572">
        <f ca="1"/>
        <v>4.136945921991847E-3</v>
      </c>
      <c r="Z110" s="572">
        <f ca="1"/>
        <v>5.4973384009879278E-3</v>
      </c>
      <c r="AA110" s="572">
        <f ca="1"/>
        <v>6.9953546980028314E-3</v>
      </c>
      <c r="AB110" s="572">
        <f ca="1"/>
        <v>8.1166296799980997E-3</v>
      </c>
      <c r="AC110" s="572">
        <f ca="1"/>
        <v>6.3479759130138924E-3</v>
      </c>
      <c r="AD110" s="572">
        <f ca="1"/>
        <v>3.5835640600084817E-3</v>
      </c>
      <c r="AE110" s="514">
        <f ca="1"/>
        <v>-3.5670774699986252E-3</v>
      </c>
    </row>
    <row r="111" spans="6:31" s="281" customFormat="1" ht="12" thickBot="1">
      <c r="F111" s="501">
        <f ca="1">IF('CDO Bespoke'!O112&lt;&gt;"",'CDO Bespoke'!O112,"")</f>
        <v>1.1990768355194701</v>
      </c>
      <c r="G111" s="502">
        <f ca="1">IF(F111&lt;&gt;"",ABS(MIN(-0.75*('CDO Bespoke'!Q112+'CDO Bespoke'!T112)+'CDO Bespoke'!T112,0)),"")</f>
        <v>1.1566261417579657</v>
      </c>
      <c r="H111" s="502">
        <f t="shared" ca="1" si="4"/>
        <v>4.2450693761504343E-2</v>
      </c>
      <c r="I111" s="502">
        <f t="shared" ca="1" si="7"/>
        <v>0</v>
      </c>
      <c r="J111" s="501">
        <f ca="1">IF('CDO Bespoke'!O112&lt;&gt;"",'CDO Bespoke'!O112,"")</f>
        <v>1.1990768355194701</v>
      </c>
      <c r="K111" s="502">
        <f ca="1">IF(J111&lt;&gt;"",ABS(MIN(-0.75*('CDO Bespoke'!K112+'CDO Bespoke'!T112)+'CDO Bespoke'!T112,0)),"")</f>
        <v>0.23611375347686386</v>
      </c>
      <c r="L111" s="502">
        <f t="shared" ca="1" si="5"/>
        <v>0.96296308204260628</v>
      </c>
      <c r="M111" s="506">
        <f t="shared" ca="1" si="6"/>
        <v>0</v>
      </c>
      <c r="O111" s="511" t="str">
        <f ca="1">IF('CDO Bespoke'!C136&lt;&gt;"",'CDO Bespoke'!C136,"")</f>
        <v>SuezLyonnaise_MMR.EUR.SU</v>
      </c>
      <c r="P111" s="513" cm="1">
        <f t="array" aca="1" ref="P111" ca="1">IF($O111&lt;&gt;"",-TRANSPOSE(INDEX(getcds('CDO Bespoke'!$C136,P$13,'CDO Bespoke'!$G136/10000,'CDO Bespoke'!F136,'CDO Bespoke'!D136,'CDO Bespoke'!$C$13,'CDO Bespoke'!$C$14,'CDO Bespoke'!$C$15,'CDO Bespoke'!$C$8,,,TRUE,TRUE,FALSE,'CDO Bespoke'!$C$29:'CDO Bespoke'!$C$31,'CDO Bespoke'!$C$33),{5})),"")</f>
        <v>-0.478266643413018</v>
      </c>
      <c r="Q111" s="524" cm="1">
        <f t="array" aca="1" ref="Q111" ca="1">IF($O111&lt;&gt;"",-TRANSPOSE(INDEX(getcds('CDO Bespoke'!$C136,Q$13,'CDO Bespoke'!$G136/10000,'CDO Bespoke'!G136,'CDO Bespoke'!E136,'CDO Bespoke'!$C$13,'CDO Bespoke'!$C$14,'CDO Bespoke'!$C$15,'CDO Bespoke'!$C$8,,,TRUE,TRUE,FALSE,'CDO Bespoke'!$C$29:'CDO Bespoke'!$C$31,'CDO Bespoke'!$C$33),{5})),"")</f>
        <v>-0.964327002543935</v>
      </c>
      <c r="R111" s="524" cm="1">
        <f t="array" aca="1" ref="R111" ca="1">IF($O111&lt;&gt;"",-TRANSPOSE(INDEX(getcds('CDO Bespoke'!$C136,R$13,'CDO Bespoke'!$G136/10000,'CDO Bespoke'!H136,'CDO Bespoke'!F136,'CDO Bespoke'!$C$13,'CDO Bespoke'!$C$14,'CDO Bespoke'!$C$15,'CDO Bespoke'!$C$8,,,TRUE,TRUE,FALSE,'CDO Bespoke'!$C$29:'CDO Bespoke'!$C$31,'CDO Bespoke'!$C$33),{5})),"")</f>
        <v>-2.8045485372504899</v>
      </c>
      <c r="S111" s="524" cm="1">
        <f t="array" aca="1" ref="S111" ca="1">IF($O111&lt;&gt;"",-TRANSPOSE(INDEX(getcds('CDO Bespoke'!$C136,S$13,'CDO Bespoke'!$G136/10000,'CDO Bespoke'!I136,'CDO Bespoke'!G136,'CDO Bespoke'!$C$13,'CDO Bespoke'!$C$14,'CDO Bespoke'!$C$15,'CDO Bespoke'!$C$8,,,TRUE,TRUE,FALSE,'CDO Bespoke'!$C$29:'CDO Bespoke'!$C$31,'CDO Bespoke'!$C$33),{5})),"")</f>
        <v>-4.4785363997879202</v>
      </c>
      <c r="T111" s="514" cm="1">
        <f t="array" aca="1" ref="T111" ca="1">IF($O111&lt;&gt;"",-TRANSPOSE(INDEX(getcds('CDO Bespoke'!$C136,T$13,'CDO Bespoke'!$G136/10000,'CDO Bespoke'!J136,'CDO Bespoke'!H136,'CDO Bespoke'!$C$13,'CDO Bespoke'!$C$14,'CDO Bespoke'!$C$15,'CDO Bespoke'!$C$8,,,TRUE,TRUE,FALSE,'CDO Bespoke'!$C$29:'CDO Bespoke'!$C$31,'CDO Bespoke'!$C$33),{5})),"")</f>
        <v>-7.9685773996343796</v>
      </c>
      <c r="U111" s="493"/>
      <c r="V111" s="513">
        <f ca="1"/>
        <v>-7.5748937100584245E-6</v>
      </c>
      <c r="W111" s="572">
        <f ca="1"/>
        <v>2.2897980556015746E-3</v>
      </c>
      <c r="X111" s="572">
        <f ca="1"/>
        <v>2.2681583819982032E-3</v>
      </c>
      <c r="Y111" s="572">
        <f ca="1"/>
        <v>4.3114451289683053E-3</v>
      </c>
      <c r="Z111" s="572">
        <f ca="1"/>
        <v>6.1016011929787561E-3</v>
      </c>
      <c r="AA111" s="572">
        <f ca="1"/>
        <v>8.6913808049898789E-3</v>
      </c>
      <c r="AB111" s="572">
        <f ca="1"/>
        <v>1.2361004560965116E-2</v>
      </c>
      <c r="AC111" s="572">
        <f ca="1"/>
        <v>1.279933295100788E-2</v>
      </c>
      <c r="AD111" s="572">
        <f ca="1"/>
        <v>1.1675769839986083E-2</v>
      </c>
      <c r="AE111" s="514">
        <f ca="1"/>
        <v>6.948841766024616E-3</v>
      </c>
    </row>
    <row r="112" spans="6:31" s="281" customFormat="1" ht="12" thickBot="1">
      <c r="F112" s="501">
        <f ca="1">IF('CDO Bespoke'!O113&lt;&gt;"",'CDO Bespoke'!O113,"")</f>
        <v>1.19747848133766</v>
      </c>
      <c r="G112" s="502">
        <f ca="1">IF(F112&lt;&gt;"",ABS(MIN(-0.75*('CDO Bespoke'!Q113+'CDO Bespoke'!T113)+'CDO Bespoke'!T113,0)),"")</f>
        <v>1.164933497899058</v>
      </c>
      <c r="H112" s="502">
        <f t="shared" ca="1" si="4"/>
        <v>3.2544983438602015E-2</v>
      </c>
      <c r="I112" s="502">
        <f t="shared" ca="1" si="7"/>
        <v>0</v>
      </c>
      <c r="J112" s="501">
        <f ca="1">IF('CDO Bespoke'!O113&lt;&gt;"",'CDO Bespoke'!O113,"")</f>
        <v>1.19747848133766</v>
      </c>
      <c r="K112" s="502">
        <f ca="1">IF(J112&lt;&gt;"",ABS(MIN(-0.75*('CDO Bespoke'!K113+'CDO Bespoke'!T113)+'CDO Bespoke'!T113,0)),"")</f>
        <v>0.29230709327943932</v>
      </c>
      <c r="L112" s="502">
        <f t="shared" ca="1" si="5"/>
        <v>0.90517138805822062</v>
      </c>
      <c r="M112" s="506">
        <f t="shared" ca="1" si="6"/>
        <v>0</v>
      </c>
      <c r="O112" s="511" t="str">
        <f ca="1">IF('CDO Bespoke'!C137&lt;&gt;"",'CDO Bespoke'!C137,"")</f>
        <v>SvenskaCellulosaAB_MMR.EUR.SU</v>
      </c>
      <c r="P112" s="513" cm="1">
        <f t="array" aca="1" ref="P112" ca="1">IF($O112&lt;&gt;"",-TRANSPOSE(INDEX(getcds('CDO Bespoke'!$C137,P$13,'CDO Bespoke'!$G137/10000,'CDO Bespoke'!F137,'CDO Bespoke'!D137,'CDO Bespoke'!$C$13,'CDO Bespoke'!$C$14,'CDO Bespoke'!$C$15,'CDO Bespoke'!$C$8,,,TRUE,TRUE,FALSE,'CDO Bespoke'!$C$29:'CDO Bespoke'!$C$31,'CDO Bespoke'!$C$33),{5})),"")</f>
        <v>-0.47818955615327402</v>
      </c>
      <c r="Q112" s="524" cm="1">
        <f t="array" aca="1" ref="Q112" ca="1">IF($O112&lt;&gt;"",-TRANSPOSE(INDEX(getcds('CDO Bespoke'!$C137,Q$13,'CDO Bespoke'!$G137/10000,'CDO Bespoke'!G137,'CDO Bespoke'!E137,'CDO Bespoke'!$C$13,'CDO Bespoke'!$C$14,'CDO Bespoke'!$C$15,'CDO Bespoke'!$C$8,,,TRUE,TRUE,FALSE,'CDO Bespoke'!$C$29:'CDO Bespoke'!$C$31,'CDO Bespoke'!$C$33),{5})),"")</f>
        <v>-0.96407588499183805</v>
      </c>
      <c r="R112" s="524" cm="1">
        <f t="array" aca="1" ref="R112" ca="1">IF($O112&lt;&gt;"",-TRANSPOSE(INDEX(getcds('CDO Bespoke'!$C137,R$13,'CDO Bespoke'!$G137/10000,'CDO Bespoke'!H137,'CDO Bespoke'!F137,'CDO Bespoke'!$C$13,'CDO Bespoke'!$C$14,'CDO Bespoke'!$C$15,'CDO Bespoke'!$C$8,,,TRUE,TRUE,FALSE,'CDO Bespoke'!$C$29:'CDO Bespoke'!$C$31,'CDO Bespoke'!$C$33),{5})),"")</f>
        <v>-2.8025612056085301</v>
      </c>
      <c r="S112" s="524" cm="1">
        <f t="array" aca="1" ref="S112" ca="1">IF($O112&lt;&gt;"",-TRANSPOSE(INDEX(getcds('CDO Bespoke'!$C137,S$13,'CDO Bespoke'!$G137/10000,'CDO Bespoke'!I137,'CDO Bespoke'!G137,'CDO Bespoke'!$C$13,'CDO Bespoke'!$C$14,'CDO Bespoke'!$C$15,'CDO Bespoke'!$C$8,,,TRUE,TRUE,FALSE,'CDO Bespoke'!$C$29:'CDO Bespoke'!$C$31,'CDO Bespoke'!$C$33),{5})),"")</f>
        <v>-4.4631371462239899</v>
      </c>
      <c r="T112" s="514" cm="1">
        <f t="array" aca="1" ref="T112" ca="1">IF($O112&lt;&gt;"",-TRANSPOSE(INDEX(getcds('CDO Bespoke'!$C137,T$13,'CDO Bespoke'!$G137/10000,'CDO Bespoke'!J137,'CDO Bespoke'!H137,'CDO Bespoke'!$C$13,'CDO Bespoke'!$C$14,'CDO Bespoke'!$C$15,'CDO Bespoke'!$C$8,,,TRUE,TRUE,FALSE,'CDO Bespoke'!$C$29:'CDO Bespoke'!$C$31,'CDO Bespoke'!$C$33),{5})),"")</f>
        <v>-7.83804254062506</v>
      </c>
      <c r="U112" s="493"/>
      <c r="V112" s="513">
        <f ca="1"/>
        <v>-1.5147018289705765E-5</v>
      </c>
      <c r="W112" s="572">
        <f ca="1"/>
        <v>2.2731289254021569E-3</v>
      </c>
      <c r="X112" s="572">
        <f ca="1"/>
        <v>2.332624218503998E-3</v>
      </c>
      <c r="Y112" s="572">
        <f ca="1"/>
        <v>4.1862203999966374E-3</v>
      </c>
      <c r="Z112" s="572">
        <f ca="1"/>
        <v>5.798870891977892E-3</v>
      </c>
      <c r="AA112" s="572">
        <f ca="1"/>
        <v>7.3396330609737381E-3</v>
      </c>
      <c r="AB112" s="572">
        <f ca="1"/>
        <v>8.6618560930090682E-3</v>
      </c>
      <c r="AC112" s="572">
        <f ca="1"/>
        <v>7.1473185970019615E-3</v>
      </c>
      <c r="AD112" s="572">
        <f ca="1"/>
        <v>4.5428775669736909E-3</v>
      </c>
      <c r="AE112" s="514">
        <f ca="1"/>
        <v>-2.4074523699915695E-3</v>
      </c>
    </row>
    <row r="113" spans="6:31" s="281" customFormat="1" ht="12" thickBot="1">
      <c r="F113" s="501">
        <f ca="1">IF('CDO Bespoke'!O114&lt;&gt;"",'CDO Bespoke'!O114,"")</f>
        <v>1.19825512599508</v>
      </c>
      <c r="G113" s="502">
        <f ca="1">IF(F113&lt;&gt;"",ABS(MIN(-0.75*('CDO Bespoke'!Q114+'CDO Bespoke'!T114)+'CDO Bespoke'!T114,0)),"")</f>
        <v>1.1605295333121899</v>
      </c>
      <c r="H113" s="502">
        <f t="shared" ca="1" si="4"/>
        <v>3.7725592682890108E-2</v>
      </c>
      <c r="I113" s="502">
        <f t="shared" ca="1" si="7"/>
        <v>0</v>
      </c>
      <c r="J113" s="501">
        <f ca="1">IF('CDO Bespoke'!O114&lt;&gt;"",'CDO Bespoke'!O114,"")</f>
        <v>1.19825512599508</v>
      </c>
      <c r="K113" s="502">
        <f ca="1">IF(J113&lt;&gt;"",ABS(MIN(-0.75*('CDO Bespoke'!K114+'CDO Bespoke'!T114)+'CDO Bespoke'!T114,0)),"")</f>
        <v>0.26845796748211781</v>
      </c>
      <c r="L113" s="502">
        <f t="shared" ca="1" si="5"/>
        <v>0.92979715851296219</v>
      </c>
      <c r="M113" s="506">
        <f t="shared" ca="1" si="6"/>
        <v>0</v>
      </c>
      <c r="O113" s="511" t="str">
        <f ca="1">IF('CDO Bespoke'!C138&lt;&gt;"",'CDO Bespoke'!C138,"")</f>
        <v>SWISSRE_MMR.EUR.SU</v>
      </c>
      <c r="P113" s="513" cm="1">
        <f t="array" aca="1" ref="P113" ca="1">IF($O113&lt;&gt;"",-TRANSPOSE(INDEX(getcds('CDO Bespoke'!$C138,P$13,'CDO Bespoke'!$G138/10000,'CDO Bespoke'!F138,'CDO Bespoke'!D138,'CDO Bespoke'!$C$13,'CDO Bespoke'!$C$14,'CDO Bespoke'!$C$15,'CDO Bespoke'!$C$8,,,TRUE,TRUE,FALSE,'CDO Bespoke'!$C$29:'CDO Bespoke'!$C$31,'CDO Bespoke'!$C$33),{5})),"")</f>
        <v>-0.47803543157963102</v>
      </c>
      <c r="Q113" s="524" cm="1">
        <f t="array" aca="1" ref="Q113" ca="1">IF($O113&lt;&gt;"",-TRANSPOSE(INDEX(getcds('CDO Bespoke'!$C138,Q$13,'CDO Bespoke'!$G138/10000,'CDO Bespoke'!G138,'CDO Bespoke'!E138,'CDO Bespoke'!$C$13,'CDO Bespoke'!$C$14,'CDO Bespoke'!$C$15,'CDO Bespoke'!$C$8,,,TRUE,TRUE,FALSE,'CDO Bespoke'!$C$29:'CDO Bespoke'!$C$31,'CDO Bespoke'!$C$33),{5})),"")</f>
        <v>-0.96340653557786804</v>
      </c>
      <c r="R113" s="524" cm="1">
        <f t="array" aca="1" ref="R113" ca="1">IF($O113&lt;&gt;"",-TRANSPOSE(INDEX(getcds('CDO Bespoke'!$C138,R$13,'CDO Bespoke'!$G138/10000,'CDO Bespoke'!H138,'CDO Bespoke'!F138,'CDO Bespoke'!$C$13,'CDO Bespoke'!$C$14,'CDO Bespoke'!$C$15,'CDO Bespoke'!$C$8,,,TRUE,TRUE,FALSE,'CDO Bespoke'!$C$29:'CDO Bespoke'!$C$31,'CDO Bespoke'!$C$33),{5})),"")</f>
        <v>-2.7975630669342699</v>
      </c>
      <c r="S113" s="524" cm="1">
        <f t="array" aca="1" ref="S113" ca="1">IF($O113&lt;&gt;"",-TRANSPOSE(INDEX(getcds('CDO Bespoke'!$C138,S$13,'CDO Bespoke'!$G138/10000,'CDO Bespoke'!I138,'CDO Bespoke'!G138,'CDO Bespoke'!$C$13,'CDO Bespoke'!$C$14,'CDO Bespoke'!$C$15,'CDO Bespoke'!$C$8,,,TRUE,TRUE,FALSE,'CDO Bespoke'!$C$29:'CDO Bespoke'!$C$31,'CDO Bespoke'!$C$33),{5})),"")</f>
        <v>-4.4616257503395698</v>
      </c>
      <c r="T113" s="514" cm="1">
        <f t="array" aca="1" ref="T113" ca="1">IF($O113&lt;&gt;"",-TRANSPOSE(INDEX(getcds('CDO Bespoke'!$C138,T$13,'CDO Bespoke'!$G138/10000,'CDO Bespoke'!J138,'CDO Bespoke'!H138,'CDO Bespoke'!$C$13,'CDO Bespoke'!$C$14,'CDO Bespoke'!$C$15,'CDO Bespoke'!$C$8,,,TRUE,TRUE,FALSE,'CDO Bespoke'!$C$29:'CDO Bespoke'!$C$31,'CDO Bespoke'!$C$33),{5})),"")</f>
        <v>-7.9204471050354703</v>
      </c>
      <c r="U113" s="493"/>
      <c r="V113" s="513">
        <f ca="1"/>
        <v>-3.028296670934752E-5</v>
      </c>
      <c r="W113" s="572">
        <f ca="1"/>
        <v>2.2398249501995315E-3</v>
      </c>
      <c r="X113" s="572">
        <f ca="1"/>
        <v>2.209662209500321E-3</v>
      </c>
      <c r="Y113" s="572">
        <f ca="1"/>
        <v>4.1475848020118555E-3</v>
      </c>
      <c r="Z113" s="572">
        <f ca="1"/>
        <v>5.8512568110180574E-3</v>
      </c>
      <c r="AA113" s="572">
        <f ca="1"/>
        <v>8.4744851430035295E-3</v>
      </c>
      <c r="AB113" s="572">
        <f ca="1"/>
        <v>1.1852212242965954E-2</v>
      </c>
      <c r="AC113" s="572">
        <f ca="1"/>
        <v>1.2019732288995333E-2</v>
      </c>
      <c r="AD113" s="572">
        <f ca="1"/>
        <v>1.0703577407039644E-2</v>
      </c>
      <c r="AE113" s="514">
        <f ca="1"/>
        <v>5.6822507719933579E-3</v>
      </c>
    </row>
    <row r="114" spans="6:31" s="281" customFormat="1" ht="12" thickBot="1">
      <c r="F114" s="501" t="str">
        <f ca="1">IF('CDO Bespoke'!O115&lt;&gt;"",'CDO Bespoke'!O115,"")</f>
        <v/>
      </c>
      <c r="G114" s="502" t="str">
        <f ca="1">IF(F114&lt;&gt;"",ABS(MIN(-0.75*('CDO Bespoke'!Q115+'CDO Bespoke'!T115)+'CDO Bespoke'!T115,0)),"")</f>
        <v/>
      </c>
      <c r="H114" s="502" t="str">
        <f t="shared" ca="1" si="4"/>
        <v/>
      </c>
      <c r="I114" s="502" t="str">
        <f t="shared" ca="1" si="7"/>
        <v/>
      </c>
      <c r="J114" s="501" t="str">
        <f ca="1">IF('CDO Bespoke'!O115&lt;&gt;"",'CDO Bespoke'!O115,"")</f>
        <v/>
      </c>
      <c r="K114" s="502" t="str">
        <f ca="1">IF(J114&lt;&gt;"",ABS(MIN(-0.75*('CDO Bespoke'!K115+'CDO Bespoke'!T115)+'CDO Bespoke'!T115,0)),"")</f>
        <v/>
      </c>
      <c r="L114" s="502" t="str">
        <f t="shared" ca="1" si="5"/>
        <v/>
      </c>
      <c r="M114" s="506" t="str">
        <f t="shared" ca="1" si="6"/>
        <v/>
      </c>
      <c r="O114" s="511" t="str">
        <f ca="1">IF('CDO Bespoke'!C139&lt;&gt;"",'CDO Bespoke'!C139,"")</f>
        <v/>
      </c>
      <c r="P114" s="513" t="str" cm="1">
        <f t="array" aca="1" ref="P114" ca="1">IF($O114&lt;&gt;"",-TRANSPOSE(INDEX(getcds('CDO Bespoke'!$C139,P$13,'CDO Bespoke'!$G139/10000,'CDO Bespoke'!F139,'CDO Bespoke'!D139,'CDO Bespoke'!$C$13,'CDO Bespoke'!$C$14,'CDO Bespoke'!$C$15,'CDO Bespoke'!$C$8,,,TRUE,TRUE,FALSE,'CDO Bespoke'!$C$29:'CDO Bespoke'!$C$31,'CDO Bespoke'!$C$33),{5})),"")</f>
        <v/>
      </c>
      <c r="Q114" s="524" t="str" cm="1">
        <f t="array" aca="1" ref="Q114" ca="1">IF($O114&lt;&gt;"",-TRANSPOSE(INDEX(getcds('CDO Bespoke'!$C139,Q$13,'CDO Bespoke'!$G139/10000,'CDO Bespoke'!G139,'CDO Bespoke'!E139,'CDO Bespoke'!$C$13,'CDO Bespoke'!$C$14,'CDO Bespoke'!$C$15,'CDO Bespoke'!$C$8,,,TRUE,TRUE,FALSE,'CDO Bespoke'!$C$29:'CDO Bespoke'!$C$31,'CDO Bespoke'!$C$33),{5})),"")</f>
        <v/>
      </c>
      <c r="R114" s="524" t="str" cm="1">
        <f t="array" aca="1" ref="R114" ca="1">IF($O114&lt;&gt;"",-TRANSPOSE(INDEX(getcds('CDO Bespoke'!$C139,R$13,'CDO Bespoke'!$G139/10000,'CDO Bespoke'!H139,'CDO Bespoke'!F139,'CDO Bespoke'!$C$13,'CDO Bespoke'!$C$14,'CDO Bespoke'!$C$15,'CDO Bespoke'!$C$8,,,TRUE,TRUE,FALSE,'CDO Bespoke'!$C$29:'CDO Bespoke'!$C$31,'CDO Bespoke'!$C$33),{5})),"")</f>
        <v/>
      </c>
      <c r="S114" s="524" t="str" cm="1">
        <f t="array" aca="1" ref="S114" ca="1">IF($O114&lt;&gt;"",-TRANSPOSE(INDEX(getcds('CDO Bespoke'!$C139,S$13,'CDO Bespoke'!$G139/10000,'CDO Bespoke'!I139,'CDO Bespoke'!G139,'CDO Bespoke'!$C$13,'CDO Bespoke'!$C$14,'CDO Bespoke'!$C$15,'CDO Bespoke'!$C$8,,,TRUE,TRUE,FALSE,'CDO Bespoke'!$C$29:'CDO Bespoke'!$C$31,'CDO Bespoke'!$C$33),{5})),"")</f>
        <v/>
      </c>
      <c r="T114" s="514" t="str" cm="1">
        <f t="array" aca="1" ref="T114" ca="1">IF($O114&lt;&gt;"",-TRANSPOSE(INDEX(getcds('CDO Bespoke'!$C139,T$13,'CDO Bespoke'!$G139/10000,'CDO Bespoke'!J139,'CDO Bespoke'!H139,'CDO Bespoke'!$C$13,'CDO Bespoke'!$C$14,'CDO Bespoke'!$C$15,'CDO Bespoke'!$C$8,,,TRUE,TRUE,FALSE,'CDO Bespoke'!$C$29:'CDO Bespoke'!$C$31,'CDO Bespoke'!$C$33),{5})),"")</f>
        <v/>
      </c>
      <c r="U114" s="493"/>
      <c r="V114" s="513"/>
      <c r="W114" s="572"/>
      <c r="X114" s="572"/>
      <c r="Y114" s="572"/>
      <c r="Z114" s="572"/>
      <c r="AA114" s="572"/>
      <c r="AB114" s="572"/>
      <c r="AC114" s="572"/>
      <c r="AD114" s="572"/>
      <c r="AE114" s="514"/>
    </row>
    <row r="115" spans="6:31" s="281" customFormat="1" ht="12" thickBot="1">
      <c r="F115" s="501" t="str">
        <f ca="1">IF('CDO Bespoke'!O116&lt;&gt;"",'CDO Bespoke'!O116,"")</f>
        <v/>
      </c>
      <c r="G115" s="502" t="str">
        <f ca="1">IF(F115&lt;&gt;"",ABS(MIN(-0.75*('CDO Bespoke'!Q116+'CDO Bespoke'!T116)+'CDO Bespoke'!T116,0)),"")</f>
        <v/>
      </c>
      <c r="H115" s="502" t="str">
        <f t="shared" ca="1" si="4"/>
        <v/>
      </c>
      <c r="I115" s="502" t="str">
        <f t="shared" ca="1" si="7"/>
        <v/>
      </c>
      <c r="J115" s="501" t="str">
        <f ca="1">IF('CDO Bespoke'!O116&lt;&gt;"",'CDO Bespoke'!O116,"")</f>
        <v/>
      </c>
      <c r="K115" s="502" t="str">
        <f ca="1">IF(J115&lt;&gt;"",ABS(MIN(-0.75*('CDO Bespoke'!K116+'CDO Bespoke'!T116)+'CDO Bespoke'!T116,0)),"")</f>
        <v/>
      </c>
      <c r="L115" s="502" t="str">
        <f t="shared" ca="1" si="5"/>
        <v/>
      </c>
      <c r="M115" s="506" t="str">
        <f t="shared" ca="1" si="6"/>
        <v/>
      </c>
      <c r="O115" s="511" t="str">
        <f ca="1">IF('CDO Bespoke'!C140&lt;&gt;"",'CDO Bespoke'!C140,"")</f>
        <v/>
      </c>
      <c r="P115" s="513" t="str" cm="1">
        <f t="array" aca="1" ref="P115" ca="1">IF($O115&lt;&gt;"",-TRANSPOSE(INDEX(getcds('CDO Bespoke'!$C140,P$13,'CDO Bespoke'!$G140/10000,'CDO Bespoke'!F140,'CDO Bespoke'!D140,'CDO Bespoke'!$C$13,'CDO Bespoke'!$C$14,'CDO Bespoke'!$C$15,'CDO Bespoke'!$C$8,,,TRUE,TRUE,FALSE,'CDO Bespoke'!$C$29:'CDO Bespoke'!$C$31,'CDO Bespoke'!$C$33),{5})),"")</f>
        <v/>
      </c>
      <c r="Q115" s="524" t="str" cm="1">
        <f t="array" aca="1" ref="Q115" ca="1">IF($O115&lt;&gt;"",-TRANSPOSE(INDEX(getcds('CDO Bespoke'!$C140,Q$13,'CDO Bespoke'!$G140/10000,'CDO Bespoke'!G140,'CDO Bespoke'!E140,'CDO Bespoke'!$C$13,'CDO Bespoke'!$C$14,'CDO Bespoke'!$C$15,'CDO Bespoke'!$C$8,,,TRUE,TRUE,FALSE,'CDO Bespoke'!$C$29:'CDO Bespoke'!$C$31,'CDO Bespoke'!$C$33),{5})),"")</f>
        <v/>
      </c>
      <c r="R115" s="524" t="str" cm="1">
        <f t="array" aca="1" ref="R115" ca="1">IF($O115&lt;&gt;"",-TRANSPOSE(INDEX(getcds('CDO Bespoke'!$C140,R$13,'CDO Bespoke'!$G140/10000,'CDO Bespoke'!H140,'CDO Bespoke'!F140,'CDO Bespoke'!$C$13,'CDO Bespoke'!$C$14,'CDO Bespoke'!$C$15,'CDO Bespoke'!$C$8,,,TRUE,TRUE,FALSE,'CDO Bespoke'!$C$29:'CDO Bespoke'!$C$31,'CDO Bespoke'!$C$33),{5})),"")</f>
        <v/>
      </c>
      <c r="S115" s="524" t="str" cm="1">
        <f t="array" aca="1" ref="S115" ca="1">IF($O115&lt;&gt;"",-TRANSPOSE(INDEX(getcds('CDO Bespoke'!$C140,S$13,'CDO Bespoke'!$G140/10000,'CDO Bespoke'!I140,'CDO Bespoke'!G140,'CDO Bespoke'!$C$13,'CDO Bespoke'!$C$14,'CDO Bespoke'!$C$15,'CDO Bespoke'!$C$8,,,TRUE,TRUE,FALSE,'CDO Bespoke'!$C$29:'CDO Bespoke'!$C$31,'CDO Bespoke'!$C$33),{5})),"")</f>
        <v/>
      </c>
      <c r="T115" s="514" t="str" cm="1">
        <f t="array" aca="1" ref="T115" ca="1">IF($O115&lt;&gt;"",-TRANSPOSE(INDEX(getcds('CDO Bespoke'!$C140,T$13,'CDO Bespoke'!$G140/10000,'CDO Bespoke'!J140,'CDO Bespoke'!H140,'CDO Bespoke'!$C$13,'CDO Bespoke'!$C$14,'CDO Bespoke'!$C$15,'CDO Bespoke'!$C$8,,,TRUE,TRUE,FALSE,'CDO Bespoke'!$C$29:'CDO Bespoke'!$C$31,'CDO Bespoke'!$C$33),{5})),"")</f>
        <v/>
      </c>
      <c r="U115" s="493"/>
      <c r="V115" s="513"/>
      <c r="W115" s="572"/>
      <c r="X115" s="572"/>
      <c r="Y115" s="572"/>
      <c r="Z115" s="572"/>
      <c r="AA115" s="572"/>
      <c r="AB115" s="572"/>
      <c r="AC115" s="572"/>
      <c r="AD115" s="572"/>
      <c r="AE115" s="514"/>
    </row>
    <row r="116" spans="6:31" s="281" customFormat="1" ht="12" thickBot="1">
      <c r="F116" s="501" t="str">
        <f ca="1">IF('CDO Bespoke'!O117&lt;&gt;"",'CDO Bespoke'!O117,"")</f>
        <v/>
      </c>
      <c r="G116" s="502" t="str">
        <f ca="1">IF(F116&lt;&gt;"",ABS(MIN(-0.75*('CDO Bespoke'!Q117+'CDO Bespoke'!T117)+'CDO Bespoke'!T117,0)),"")</f>
        <v/>
      </c>
      <c r="H116" s="502" t="str">
        <f t="shared" ca="1" si="4"/>
        <v/>
      </c>
      <c r="I116" s="502" t="str">
        <f t="shared" ca="1" si="7"/>
        <v/>
      </c>
      <c r="J116" s="501" t="str">
        <f ca="1">IF('CDO Bespoke'!O117&lt;&gt;"",'CDO Bespoke'!O117,"")</f>
        <v/>
      </c>
      <c r="K116" s="502" t="str">
        <f ca="1">IF(J116&lt;&gt;"",ABS(MIN(-0.75*('CDO Bespoke'!K117+'CDO Bespoke'!T117)+'CDO Bespoke'!T117,0)),"")</f>
        <v/>
      </c>
      <c r="L116" s="502" t="str">
        <f t="shared" ca="1" si="5"/>
        <v/>
      </c>
      <c r="M116" s="506" t="str">
        <f t="shared" ca="1" si="6"/>
        <v/>
      </c>
      <c r="O116" s="511" t="str">
        <f ca="1">IF('CDO Bespoke'!C141&lt;&gt;"",'CDO Bespoke'!C141,"")</f>
        <v/>
      </c>
      <c r="P116" s="513" t="str" cm="1">
        <f t="array" aca="1" ref="P116" ca="1">IF($O116&lt;&gt;"",-TRANSPOSE(INDEX(getcds('CDO Bespoke'!$C141,P$13,'CDO Bespoke'!$G141/10000,'CDO Bespoke'!F141,'CDO Bespoke'!D141,'CDO Bespoke'!$C$13,'CDO Bespoke'!$C$14,'CDO Bespoke'!$C$15,'CDO Bespoke'!$C$8,,,TRUE,TRUE,FALSE,'CDO Bespoke'!$C$29:'CDO Bespoke'!$C$31,'CDO Bespoke'!$C$33),{5})),"")</f>
        <v/>
      </c>
      <c r="Q116" s="524" t="str" cm="1">
        <f t="array" aca="1" ref="Q116" ca="1">IF($O116&lt;&gt;"",-TRANSPOSE(INDEX(getcds('CDO Bespoke'!$C141,Q$13,'CDO Bespoke'!$G141/10000,'CDO Bespoke'!G141,'CDO Bespoke'!E141,'CDO Bespoke'!$C$13,'CDO Bespoke'!$C$14,'CDO Bespoke'!$C$15,'CDO Bespoke'!$C$8,,,TRUE,TRUE,FALSE,'CDO Bespoke'!$C$29:'CDO Bespoke'!$C$31,'CDO Bespoke'!$C$33),{5})),"")</f>
        <v/>
      </c>
      <c r="R116" s="524" t="str" cm="1">
        <f t="array" aca="1" ref="R116" ca="1">IF($O116&lt;&gt;"",-TRANSPOSE(INDEX(getcds('CDO Bespoke'!$C141,R$13,'CDO Bespoke'!$G141/10000,'CDO Bespoke'!H141,'CDO Bespoke'!F141,'CDO Bespoke'!$C$13,'CDO Bespoke'!$C$14,'CDO Bespoke'!$C$15,'CDO Bespoke'!$C$8,,,TRUE,TRUE,FALSE,'CDO Bespoke'!$C$29:'CDO Bespoke'!$C$31,'CDO Bespoke'!$C$33),{5})),"")</f>
        <v/>
      </c>
      <c r="S116" s="524" t="str" cm="1">
        <f t="array" aca="1" ref="S116" ca="1">IF($O116&lt;&gt;"",-TRANSPOSE(INDEX(getcds('CDO Bespoke'!$C141,S$13,'CDO Bespoke'!$G141/10000,'CDO Bespoke'!I141,'CDO Bespoke'!G141,'CDO Bespoke'!$C$13,'CDO Bespoke'!$C$14,'CDO Bespoke'!$C$15,'CDO Bespoke'!$C$8,,,TRUE,TRUE,FALSE,'CDO Bespoke'!$C$29:'CDO Bespoke'!$C$31,'CDO Bespoke'!$C$33),{5})),"")</f>
        <v/>
      </c>
      <c r="T116" s="514" t="str" cm="1">
        <f t="array" aca="1" ref="T116" ca="1">IF($O116&lt;&gt;"",-TRANSPOSE(INDEX(getcds('CDO Bespoke'!$C141,T$13,'CDO Bespoke'!$G141/10000,'CDO Bespoke'!J141,'CDO Bespoke'!H141,'CDO Bespoke'!$C$13,'CDO Bespoke'!$C$14,'CDO Bespoke'!$C$15,'CDO Bespoke'!$C$8,,,TRUE,TRUE,FALSE,'CDO Bespoke'!$C$29:'CDO Bespoke'!$C$31,'CDO Bespoke'!$C$33),{5})),"")</f>
        <v/>
      </c>
      <c r="U116" s="493"/>
      <c r="V116" s="513"/>
      <c r="W116" s="572"/>
      <c r="X116" s="572"/>
      <c r="Y116" s="572"/>
      <c r="Z116" s="572"/>
      <c r="AA116" s="572"/>
      <c r="AB116" s="572"/>
      <c r="AC116" s="572"/>
      <c r="AD116" s="572"/>
      <c r="AE116" s="514"/>
    </row>
    <row r="117" spans="6:31" s="281" customFormat="1" ht="12" thickBot="1">
      <c r="F117" s="501" t="str">
        <f ca="1">IF('CDO Bespoke'!O118&lt;&gt;"",'CDO Bespoke'!O118,"")</f>
        <v/>
      </c>
      <c r="G117" s="502" t="str">
        <f ca="1">IF(F117&lt;&gt;"",ABS(MIN(-0.75*('CDO Bespoke'!Q118+'CDO Bespoke'!T118)+'CDO Bespoke'!T118,0)),"")</f>
        <v/>
      </c>
      <c r="H117" s="502" t="str">
        <f t="shared" ca="1" si="4"/>
        <v/>
      </c>
      <c r="I117" s="502" t="str">
        <f t="shared" ca="1" si="7"/>
        <v/>
      </c>
      <c r="J117" s="501" t="str">
        <f ca="1">IF('CDO Bespoke'!O118&lt;&gt;"",'CDO Bespoke'!O118,"")</f>
        <v/>
      </c>
      <c r="K117" s="502" t="str">
        <f ca="1">IF(J117&lt;&gt;"",ABS(MIN(-0.75*('CDO Bespoke'!K118+'CDO Bespoke'!T118)+'CDO Bespoke'!T118,0)),"")</f>
        <v/>
      </c>
      <c r="L117" s="502" t="str">
        <f t="shared" ca="1" si="5"/>
        <v/>
      </c>
      <c r="M117" s="506" t="str">
        <f t="shared" ca="1" si="6"/>
        <v/>
      </c>
      <c r="O117" s="511" t="str">
        <f ca="1">IF('CDO Bespoke'!C142&lt;&gt;"",'CDO Bespoke'!C142,"")</f>
        <v/>
      </c>
      <c r="P117" s="513" t="str" cm="1">
        <f t="array" aca="1" ref="P117" ca="1">IF($O117&lt;&gt;"",-TRANSPOSE(INDEX(getcds('CDO Bespoke'!$C142,P$13,'CDO Bespoke'!$G142/10000,'CDO Bespoke'!F142,'CDO Bespoke'!D142,'CDO Bespoke'!$C$13,'CDO Bespoke'!$C$14,'CDO Bespoke'!$C$15,'CDO Bespoke'!$C$8,,,TRUE,TRUE,FALSE,'CDO Bespoke'!$C$29:'CDO Bespoke'!$C$31,'CDO Bespoke'!$C$33),{5})),"")</f>
        <v/>
      </c>
      <c r="Q117" s="524" t="str" cm="1">
        <f t="array" aca="1" ref="Q117" ca="1">IF($O117&lt;&gt;"",-TRANSPOSE(INDEX(getcds('CDO Bespoke'!$C142,Q$13,'CDO Bespoke'!$G142/10000,'CDO Bespoke'!G142,'CDO Bespoke'!E142,'CDO Bespoke'!$C$13,'CDO Bespoke'!$C$14,'CDO Bespoke'!$C$15,'CDO Bespoke'!$C$8,,,TRUE,TRUE,FALSE,'CDO Bespoke'!$C$29:'CDO Bespoke'!$C$31,'CDO Bespoke'!$C$33),{5})),"")</f>
        <v/>
      </c>
      <c r="R117" s="524" t="str" cm="1">
        <f t="array" aca="1" ref="R117" ca="1">IF($O117&lt;&gt;"",-TRANSPOSE(INDEX(getcds('CDO Bespoke'!$C142,R$13,'CDO Bespoke'!$G142/10000,'CDO Bespoke'!H142,'CDO Bespoke'!F142,'CDO Bespoke'!$C$13,'CDO Bespoke'!$C$14,'CDO Bespoke'!$C$15,'CDO Bespoke'!$C$8,,,TRUE,TRUE,FALSE,'CDO Bespoke'!$C$29:'CDO Bespoke'!$C$31,'CDO Bespoke'!$C$33),{5})),"")</f>
        <v/>
      </c>
      <c r="S117" s="524" t="str" cm="1">
        <f t="array" aca="1" ref="S117" ca="1">IF($O117&lt;&gt;"",-TRANSPOSE(INDEX(getcds('CDO Bespoke'!$C142,S$13,'CDO Bespoke'!$G142/10000,'CDO Bespoke'!I142,'CDO Bespoke'!G142,'CDO Bespoke'!$C$13,'CDO Bespoke'!$C$14,'CDO Bespoke'!$C$15,'CDO Bespoke'!$C$8,,,TRUE,TRUE,FALSE,'CDO Bespoke'!$C$29:'CDO Bespoke'!$C$31,'CDO Bespoke'!$C$33),{5})),"")</f>
        <v/>
      </c>
      <c r="T117" s="514" t="str" cm="1">
        <f t="array" aca="1" ref="T117" ca="1">IF($O117&lt;&gt;"",-TRANSPOSE(INDEX(getcds('CDO Bespoke'!$C142,T$13,'CDO Bespoke'!$G142/10000,'CDO Bespoke'!J142,'CDO Bespoke'!H142,'CDO Bespoke'!$C$13,'CDO Bespoke'!$C$14,'CDO Bespoke'!$C$15,'CDO Bespoke'!$C$8,,,TRUE,TRUE,FALSE,'CDO Bespoke'!$C$29:'CDO Bespoke'!$C$31,'CDO Bespoke'!$C$33),{5})),"")</f>
        <v/>
      </c>
      <c r="U117" s="493"/>
      <c r="V117" s="513"/>
      <c r="W117" s="572"/>
      <c r="X117" s="572"/>
      <c r="Y117" s="572"/>
      <c r="Z117" s="572"/>
      <c r="AA117" s="572"/>
      <c r="AB117" s="572"/>
      <c r="AC117" s="572"/>
      <c r="AD117" s="572"/>
      <c r="AE117" s="514"/>
    </row>
    <row r="118" spans="6:31" s="281" customFormat="1" ht="12" thickBot="1">
      <c r="F118" s="501" t="str">
        <f ca="1">IF('CDO Bespoke'!O119&lt;&gt;"",'CDO Bespoke'!O119,"")</f>
        <v/>
      </c>
      <c r="G118" s="502" t="str">
        <f ca="1">IF(F118&lt;&gt;"",ABS(MIN(-0.75*('CDO Bespoke'!Q119+'CDO Bespoke'!T119)+'CDO Bespoke'!T119,0)),"")</f>
        <v/>
      </c>
      <c r="H118" s="502" t="str">
        <f t="shared" ca="1" si="4"/>
        <v/>
      </c>
      <c r="I118" s="502" t="str">
        <f t="shared" ca="1" si="7"/>
        <v/>
      </c>
      <c r="J118" s="501" t="str">
        <f ca="1">IF('CDO Bespoke'!O119&lt;&gt;"",'CDO Bespoke'!O119,"")</f>
        <v/>
      </c>
      <c r="K118" s="502" t="str">
        <f ca="1">IF(J118&lt;&gt;"",ABS(MIN(-0.75*('CDO Bespoke'!K119+'CDO Bespoke'!T119)+'CDO Bespoke'!T119,0)),"")</f>
        <v/>
      </c>
      <c r="L118" s="502" t="str">
        <f t="shared" ca="1" si="5"/>
        <v/>
      </c>
      <c r="M118" s="506" t="str">
        <f t="shared" ca="1" si="6"/>
        <v/>
      </c>
      <c r="O118" s="511" t="str">
        <f ca="1">IF('CDO Bespoke'!C143&lt;&gt;"",'CDO Bespoke'!C143,"")</f>
        <v/>
      </c>
      <c r="P118" s="513" t="str" cm="1">
        <f t="array" aca="1" ref="P118" ca="1">IF($O118&lt;&gt;"",-TRANSPOSE(INDEX(getcds('CDO Bespoke'!$C143,P$13,'CDO Bespoke'!$G143/10000,'CDO Bespoke'!F143,'CDO Bespoke'!D143,'CDO Bespoke'!$C$13,'CDO Bespoke'!$C$14,'CDO Bespoke'!$C$15,'CDO Bespoke'!$C$8,,,TRUE,TRUE,FALSE,'CDO Bespoke'!$C$29:'CDO Bespoke'!$C$31,'CDO Bespoke'!$C$33),{5})),"")</f>
        <v/>
      </c>
      <c r="Q118" s="524" t="str" cm="1">
        <f t="array" aca="1" ref="Q118" ca="1">IF($O118&lt;&gt;"",-TRANSPOSE(INDEX(getcds('CDO Bespoke'!$C143,Q$13,'CDO Bespoke'!$G143/10000,'CDO Bespoke'!G143,'CDO Bespoke'!E143,'CDO Bespoke'!$C$13,'CDO Bespoke'!$C$14,'CDO Bespoke'!$C$15,'CDO Bespoke'!$C$8,,,TRUE,TRUE,FALSE,'CDO Bespoke'!$C$29:'CDO Bespoke'!$C$31,'CDO Bespoke'!$C$33),{5})),"")</f>
        <v/>
      </c>
      <c r="R118" s="524" t="str" cm="1">
        <f t="array" aca="1" ref="R118" ca="1">IF($O118&lt;&gt;"",-TRANSPOSE(INDEX(getcds('CDO Bespoke'!$C143,R$13,'CDO Bespoke'!$G143/10000,'CDO Bespoke'!H143,'CDO Bespoke'!F143,'CDO Bespoke'!$C$13,'CDO Bespoke'!$C$14,'CDO Bespoke'!$C$15,'CDO Bespoke'!$C$8,,,TRUE,TRUE,FALSE,'CDO Bespoke'!$C$29:'CDO Bespoke'!$C$31,'CDO Bespoke'!$C$33),{5})),"")</f>
        <v/>
      </c>
      <c r="S118" s="524" t="str" cm="1">
        <f t="array" aca="1" ref="S118" ca="1">IF($O118&lt;&gt;"",-TRANSPOSE(INDEX(getcds('CDO Bespoke'!$C143,S$13,'CDO Bespoke'!$G143/10000,'CDO Bespoke'!I143,'CDO Bespoke'!G143,'CDO Bespoke'!$C$13,'CDO Bespoke'!$C$14,'CDO Bespoke'!$C$15,'CDO Bespoke'!$C$8,,,TRUE,TRUE,FALSE,'CDO Bespoke'!$C$29:'CDO Bespoke'!$C$31,'CDO Bespoke'!$C$33),{5})),"")</f>
        <v/>
      </c>
      <c r="T118" s="514" t="str" cm="1">
        <f t="array" aca="1" ref="T118" ca="1">IF($O118&lt;&gt;"",-TRANSPOSE(INDEX(getcds('CDO Bespoke'!$C143,T$13,'CDO Bespoke'!$G143/10000,'CDO Bespoke'!J143,'CDO Bespoke'!H143,'CDO Bespoke'!$C$13,'CDO Bespoke'!$C$14,'CDO Bespoke'!$C$15,'CDO Bespoke'!$C$8,,,TRUE,TRUE,FALSE,'CDO Bespoke'!$C$29:'CDO Bespoke'!$C$31,'CDO Bespoke'!$C$33),{5})),"")</f>
        <v/>
      </c>
      <c r="U118" s="493"/>
      <c r="V118" s="513"/>
      <c r="W118" s="572"/>
      <c r="X118" s="572"/>
      <c r="Y118" s="572"/>
      <c r="Z118" s="572"/>
      <c r="AA118" s="572"/>
      <c r="AB118" s="572"/>
      <c r="AC118" s="572"/>
      <c r="AD118" s="572"/>
      <c r="AE118" s="514"/>
    </row>
    <row r="119" spans="6:31" s="281" customFormat="1" ht="12" thickBot="1">
      <c r="F119" s="501" t="str">
        <f ca="1">IF('CDO Bespoke'!O120&lt;&gt;"",'CDO Bespoke'!O120,"")</f>
        <v/>
      </c>
      <c r="G119" s="502" t="str">
        <f ca="1">IF(F119&lt;&gt;"",ABS(MIN(-0.75*('CDO Bespoke'!Q120+'CDO Bespoke'!T120)+'CDO Bespoke'!T120,0)),"")</f>
        <v/>
      </c>
      <c r="H119" s="502" t="str">
        <f t="shared" ca="1" si="4"/>
        <v/>
      </c>
      <c r="I119" s="502" t="str">
        <f t="shared" ca="1" si="7"/>
        <v/>
      </c>
      <c r="J119" s="501" t="str">
        <f ca="1">IF('CDO Bespoke'!O120&lt;&gt;"",'CDO Bespoke'!O120,"")</f>
        <v/>
      </c>
      <c r="K119" s="502" t="str">
        <f ca="1">IF(J119&lt;&gt;"",ABS(MIN(-0.75*('CDO Bespoke'!K120+'CDO Bespoke'!T120)+'CDO Bespoke'!T120,0)),"")</f>
        <v/>
      </c>
      <c r="L119" s="502" t="str">
        <f t="shared" ca="1" si="5"/>
        <v/>
      </c>
      <c r="M119" s="506" t="str">
        <f t="shared" ca="1" si="6"/>
        <v/>
      </c>
      <c r="O119" s="511" t="str">
        <f ca="1">IF('CDO Bespoke'!C144&lt;&gt;"",'CDO Bespoke'!C144,"")</f>
        <v/>
      </c>
      <c r="P119" s="513" t="str" cm="1">
        <f t="array" aca="1" ref="P119" ca="1">IF($O119&lt;&gt;"",-TRANSPOSE(INDEX(getcds('CDO Bespoke'!$C144,P$13,'CDO Bespoke'!$G144/10000,'CDO Bespoke'!F144,'CDO Bespoke'!D144,'CDO Bespoke'!$C$13,'CDO Bespoke'!$C$14,'CDO Bespoke'!$C$15,'CDO Bespoke'!$C$8,,,TRUE,TRUE,FALSE,'CDO Bespoke'!$C$29:'CDO Bespoke'!$C$31,'CDO Bespoke'!$C$33),{5})),"")</f>
        <v/>
      </c>
      <c r="Q119" s="524" t="str" cm="1">
        <f t="array" aca="1" ref="Q119" ca="1">IF($O119&lt;&gt;"",-TRANSPOSE(INDEX(getcds('CDO Bespoke'!$C144,Q$13,'CDO Bespoke'!$G144/10000,'CDO Bespoke'!G144,'CDO Bespoke'!E144,'CDO Bespoke'!$C$13,'CDO Bespoke'!$C$14,'CDO Bespoke'!$C$15,'CDO Bespoke'!$C$8,,,TRUE,TRUE,FALSE,'CDO Bespoke'!$C$29:'CDO Bespoke'!$C$31,'CDO Bespoke'!$C$33),{5})),"")</f>
        <v/>
      </c>
      <c r="R119" s="524" t="str" cm="1">
        <f t="array" aca="1" ref="R119" ca="1">IF($O119&lt;&gt;"",-TRANSPOSE(INDEX(getcds('CDO Bespoke'!$C144,R$13,'CDO Bespoke'!$G144/10000,'CDO Bespoke'!H144,'CDO Bespoke'!F144,'CDO Bespoke'!$C$13,'CDO Bespoke'!$C$14,'CDO Bespoke'!$C$15,'CDO Bespoke'!$C$8,,,TRUE,TRUE,FALSE,'CDO Bespoke'!$C$29:'CDO Bespoke'!$C$31,'CDO Bespoke'!$C$33),{5})),"")</f>
        <v/>
      </c>
      <c r="S119" s="524" t="str" cm="1">
        <f t="array" aca="1" ref="S119" ca="1">IF($O119&lt;&gt;"",-TRANSPOSE(INDEX(getcds('CDO Bespoke'!$C144,S$13,'CDO Bespoke'!$G144/10000,'CDO Bespoke'!I144,'CDO Bespoke'!G144,'CDO Bespoke'!$C$13,'CDO Bespoke'!$C$14,'CDO Bespoke'!$C$15,'CDO Bespoke'!$C$8,,,TRUE,TRUE,FALSE,'CDO Bespoke'!$C$29:'CDO Bespoke'!$C$31,'CDO Bespoke'!$C$33),{5})),"")</f>
        <v/>
      </c>
      <c r="T119" s="514" t="str" cm="1">
        <f t="array" aca="1" ref="T119" ca="1">IF($O119&lt;&gt;"",-TRANSPOSE(INDEX(getcds('CDO Bespoke'!$C144,T$13,'CDO Bespoke'!$G144/10000,'CDO Bespoke'!J144,'CDO Bespoke'!H144,'CDO Bespoke'!$C$13,'CDO Bespoke'!$C$14,'CDO Bespoke'!$C$15,'CDO Bespoke'!$C$8,,,TRUE,TRUE,FALSE,'CDO Bespoke'!$C$29:'CDO Bespoke'!$C$31,'CDO Bespoke'!$C$33),{5})),"")</f>
        <v/>
      </c>
      <c r="U119" s="493"/>
      <c r="V119" s="513"/>
      <c r="W119" s="572"/>
      <c r="X119" s="572"/>
      <c r="Y119" s="572"/>
      <c r="Z119" s="572"/>
      <c r="AA119" s="572"/>
      <c r="AB119" s="572"/>
      <c r="AC119" s="572"/>
      <c r="AD119" s="572"/>
      <c r="AE119" s="514"/>
    </row>
    <row r="120" spans="6:31" s="281" customFormat="1" ht="12" thickBot="1">
      <c r="F120" s="501" t="str">
        <f ca="1">IF('CDO Bespoke'!O121&lt;&gt;"",'CDO Bespoke'!O121,"")</f>
        <v/>
      </c>
      <c r="G120" s="502" t="str">
        <f ca="1">IF(F120&lt;&gt;"",ABS(MIN(-0.75*('CDO Bespoke'!Q121+'CDO Bespoke'!T121)+'CDO Bespoke'!T121,0)),"")</f>
        <v/>
      </c>
      <c r="H120" s="502" t="str">
        <f t="shared" ca="1" si="4"/>
        <v/>
      </c>
      <c r="I120" s="502" t="str">
        <f t="shared" ca="1" si="7"/>
        <v/>
      </c>
      <c r="J120" s="501" t="str">
        <f ca="1">IF('CDO Bespoke'!O121&lt;&gt;"",'CDO Bespoke'!O121,"")</f>
        <v/>
      </c>
      <c r="K120" s="502" t="str">
        <f ca="1">IF(J120&lt;&gt;"",ABS(MIN(-0.75*('CDO Bespoke'!K121+'CDO Bespoke'!T121)+'CDO Bespoke'!T121,0)),"")</f>
        <v/>
      </c>
      <c r="L120" s="502" t="str">
        <f t="shared" ca="1" si="5"/>
        <v/>
      </c>
      <c r="M120" s="506" t="str">
        <f t="shared" ca="1" si="6"/>
        <v/>
      </c>
      <c r="O120" s="511" t="str">
        <f ca="1">IF('CDO Bespoke'!C145&lt;&gt;"",'CDO Bespoke'!C145,"")</f>
        <v/>
      </c>
      <c r="P120" s="513" t="str" cm="1">
        <f t="array" aca="1" ref="P120" ca="1">IF($O120&lt;&gt;"",-TRANSPOSE(INDEX(getcds('CDO Bespoke'!$C145,P$13,'CDO Bespoke'!$G145/10000,'CDO Bespoke'!F145,'CDO Bespoke'!D145,'CDO Bespoke'!$C$13,'CDO Bespoke'!$C$14,'CDO Bespoke'!$C$15,'CDO Bespoke'!$C$8,,,TRUE,TRUE,FALSE,'CDO Bespoke'!$C$29:'CDO Bespoke'!$C$31,'CDO Bespoke'!$C$33),{5})),"")</f>
        <v/>
      </c>
      <c r="Q120" s="524" t="str" cm="1">
        <f t="array" aca="1" ref="Q120" ca="1">IF($O120&lt;&gt;"",-TRANSPOSE(INDEX(getcds('CDO Bespoke'!$C145,Q$13,'CDO Bespoke'!$G145/10000,'CDO Bespoke'!G145,'CDO Bespoke'!E145,'CDO Bespoke'!$C$13,'CDO Bespoke'!$C$14,'CDO Bespoke'!$C$15,'CDO Bespoke'!$C$8,,,TRUE,TRUE,FALSE,'CDO Bespoke'!$C$29:'CDO Bespoke'!$C$31,'CDO Bespoke'!$C$33),{5})),"")</f>
        <v/>
      </c>
      <c r="R120" s="524" t="str" cm="1">
        <f t="array" aca="1" ref="R120" ca="1">IF($O120&lt;&gt;"",-TRANSPOSE(INDEX(getcds('CDO Bespoke'!$C145,R$13,'CDO Bespoke'!$G145/10000,'CDO Bespoke'!H145,'CDO Bespoke'!F145,'CDO Bespoke'!$C$13,'CDO Bespoke'!$C$14,'CDO Bespoke'!$C$15,'CDO Bespoke'!$C$8,,,TRUE,TRUE,FALSE,'CDO Bespoke'!$C$29:'CDO Bespoke'!$C$31,'CDO Bespoke'!$C$33),{5})),"")</f>
        <v/>
      </c>
      <c r="S120" s="524" t="str" cm="1">
        <f t="array" aca="1" ref="S120" ca="1">IF($O120&lt;&gt;"",-TRANSPOSE(INDEX(getcds('CDO Bespoke'!$C145,S$13,'CDO Bespoke'!$G145/10000,'CDO Bespoke'!I145,'CDO Bespoke'!G145,'CDO Bespoke'!$C$13,'CDO Bespoke'!$C$14,'CDO Bespoke'!$C$15,'CDO Bespoke'!$C$8,,,TRUE,TRUE,FALSE,'CDO Bespoke'!$C$29:'CDO Bespoke'!$C$31,'CDO Bespoke'!$C$33),{5})),"")</f>
        <v/>
      </c>
      <c r="T120" s="514" t="str" cm="1">
        <f t="array" aca="1" ref="T120" ca="1">IF($O120&lt;&gt;"",-TRANSPOSE(INDEX(getcds('CDO Bespoke'!$C145,T$13,'CDO Bespoke'!$G145/10000,'CDO Bespoke'!J145,'CDO Bespoke'!H145,'CDO Bespoke'!$C$13,'CDO Bespoke'!$C$14,'CDO Bespoke'!$C$15,'CDO Bespoke'!$C$8,,,TRUE,TRUE,FALSE,'CDO Bespoke'!$C$29:'CDO Bespoke'!$C$31,'CDO Bespoke'!$C$33),{5})),"")</f>
        <v/>
      </c>
      <c r="U120" s="493"/>
      <c r="V120" s="513"/>
      <c r="W120" s="572"/>
      <c r="X120" s="572"/>
      <c r="Y120" s="572"/>
      <c r="Z120" s="572"/>
      <c r="AA120" s="572"/>
      <c r="AB120" s="572"/>
      <c r="AC120" s="572"/>
      <c r="AD120" s="572"/>
      <c r="AE120" s="514"/>
    </row>
    <row r="121" spans="6:31" s="281" customFormat="1" ht="12" thickBot="1">
      <c r="F121" s="501" t="str">
        <f ca="1">IF('CDO Bespoke'!O122&lt;&gt;"",'CDO Bespoke'!O122,"")</f>
        <v/>
      </c>
      <c r="G121" s="502" t="str">
        <f ca="1">IF(F121&lt;&gt;"",ABS(MIN(-0.75*('CDO Bespoke'!Q122+'CDO Bespoke'!T122)+'CDO Bespoke'!T122,0)),"")</f>
        <v/>
      </c>
      <c r="H121" s="502" t="str">
        <f t="shared" ca="1" si="4"/>
        <v/>
      </c>
      <c r="I121" s="502" t="str">
        <f t="shared" ca="1" si="7"/>
        <v/>
      </c>
      <c r="J121" s="501" t="str">
        <f ca="1">IF('CDO Bespoke'!O122&lt;&gt;"",'CDO Bespoke'!O122,"")</f>
        <v/>
      </c>
      <c r="K121" s="502" t="str">
        <f ca="1">IF(J121&lt;&gt;"",ABS(MIN(-0.75*('CDO Bespoke'!K122+'CDO Bespoke'!T122)+'CDO Bespoke'!T122,0)),"")</f>
        <v/>
      </c>
      <c r="L121" s="502" t="str">
        <f t="shared" ca="1" si="5"/>
        <v/>
      </c>
      <c r="M121" s="506" t="str">
        <f t="shared" ca="1" si="6"/>
        <v/>
      </c>
      <c r="O121" s="511" t="str">
        <f ca="1">IF('CDO Bespoke'!C146&lt;&gt;"",'CDO Bespoke'!C146,"")</f>
        <v/>
      </c>
      <c r="P121" s="513" t="str" cm="1">
        <f t="array" aca="1" ref="P121" ca="1">IF($O121&lt;&gt;"",-TRANSPOSE(INDEX(getcds('CDO Bespoke'!$C146,P$13,'CDO Bespoke'!$G146/10000,'CDO Bespoke'!F146,'CDO Bespoke'!D146,'CDO Bespoke'!$C$13,'CDO Bespoke'!$C$14,'CDO Bespoke'!$C$15,'CDO Bespoke'!$C$8,,,TRUE,TRUE,FALSE,'CDO Bespoke'!$C$29:'CDO Bespoke'!$C$31,'CDO Bespoke'!$C$33),{5})),"")</f>
        <v/>
      </c>
      <c r="Q121" s="524" t="str" cm="1">
        <f t="array" aca="1" ref="Q121" ca="1">IF($O121&lt;&gt;"",-TRANSPOSE(INDEX(getcds('CDO Bespoke'!$C146,Q$13,'CDO Bespoke'!$G146/10000,'CDO Bespoke'!G146,'CDO Bespoke'!E146,'CDO Bespoke'!$C$13,'CDO Bespoke'!$C$14,'CDO Bespoke'!$C$15,'CDO Bespoke'!$C$8,,,TRUE,TRUE,FALSE,'CDO Bespoke'!$C$29:'CDO Bespoke'!$C$31,'CDO Bespoke'!$C$33),{5})),"")</f>
        <v/>
      </c>
      <c r="R121" s="524" t="str" cm="1">
        <f t="array" aca="1" ref="R121" ca="1">IF($O121&lt;&gt;"",-TRANSPOSE(INDEX(getcds('CDO Bespoke'!$C146,R$13,'CDO Bespoke'!$G146/10000,'CDO Bespoke'!H146,'CDO Bespoke'!F146,'CDO Bespoke'!$C$13,'CDO Bespoke'!$C$14,'CDO Bespoke'!$C$15,'CDO Bespoke'!$C$8,,,TRUE,TRUE,FALSE,'CDO Bespoke'!$C$29:'CDO Bespoke'!$C$31,'CDO Bespoke'!$C$33),{5})),"")</f>
        <v/>
      </c>
      <c r="S121" s="524" t="str" cm="1">
        <f t="array" aca="1" ref="S121" ca="1">IF($O121&lt;&gt;"",-TRANSPOSE(INDEX(getcds('CDO Bespoke'!$C146,S$13,'CDO Bespoke'!$G146/10000,'CDO Bespoke'!I146,'CDO Bespoke'!G146,'CDO Bespoke'!$C$13,'CDO Bespoke'!$C$14,'CDO Bespoke'!$C$15,'CDO Bespoke'!$C$8,,,TRUE,TRUE,FALSE,'CDO Bespoke'!$C$29:'CDO Bespoke'!$C$31,'CDO Bespoke'!$C$33),{5})),"")</f>
        <v/>
      </c>
      <c r="T121" s="514" t="str" cm="1">
        <f t="array" aca="1" ref="T121" ca="1">IF($O121&lt;&gt;"",-TRANSPOSE(INDEX(getcds('CDO Bespoke'!$C146,T$13,'CDO Bespoke'!$G146/10000,'CDO Bespoke'!J146,'CDO Bespoke'!H146,'CDO Bespoke'!$C$13,'CDO Bespoke'!$C$14,'CDO Bespoke'!$C$15,'CDO Bespoke'!$C$8,,,TRUE,TRUE,FALSE,'CDO Bespoke'!$C$29:'CDO Bespoke'!$C$31,'CDO Bespoke'!$C$33),{5})),"")</f>
        <v/>
      </c>
      <c r="U121" s="493"/>
      <c r="V121" s="513"/>
      <c r="W121" s="572"/>
      <c r="X121" s="572"/>
      <c r="Y121" s="572"/>
      <c r="Z121" s="572"/>
      <c r="AA121" s="572"/>
      <c r="AB121" s="572"/>
      <c r="AC121" s="572"/>
      <c r="AD121" s="572"/>
      <c r="AE121" s="514"/>
    </row>
    <row r="122" spans="6:31" s="281" customFormat="1" ht="12" thickBot="1">
      <c r="F122" s="501" t="str">
        <f ca="1">IF('CDO Bespoke'!O123&lt;&gt;"",'CDO Bespoke'!O123,"")</f>
        <v/>
      </c>
      <c r="G122" s="502" t="str">
        <f ca="1">IF(F122&lt;&gt;"",ABS(MIN(-0.75*('CDO Bespoke'!Q123+'CDO Bespoke'!T123)+'CDO Bespoke'!T123,0)),"")</f>
        <v/>
      </c>
      <c r="H122" s="502" t="str">
        <f t="shared" ca="1" si="4"/>
        <v/>
      </c>
      <c r="I122" s="502" t="str">
        <f t="shared" ca="1" si="7"/>
        <v/>
      </c>
      <c r="J122" s="501" t="str">
        <f ca="1">IF('CDO Bespoke'!O123&lt;&gt;"",'CDO Bespoke'!O123,"")</f>
        <v/>
      </c>
      <c r="K122" s="502" t="str">
        <f ca="1">IF(J122&lt;&gt;"",ABS(MIN(-0.75*('CDO Bespoke'!K123+'CDO Bespoke'!T123)+'CDO Bespoke'!T123,0)),"")</f>
        <v/>
      </c>
      <c r="L122" s="502" t="str">
        <f t="shared" ca="1" si="5"/>
        <v/>
      </c>
      <c r="M122" s="506" t="str">
        <f t="shared" ca="1" si="6"/>
        <v/>
      </c>
      <c r="O122" s="511" t="str">
        <f ca="1">IF('CDO Bespoke'!C147&lt;&gt;"",'CDO Bespoke'!C147,"")</f>
        <v/>
      </c>
      <c r="P122" s="513" t="str" cm="1">
        <f t="array" aca="1" ref="P122" ca="1">IF($O122&lt;&gt;"",-TRANSPOSE(INDEX(getcds('CDO Bespoke'!$C147,P$13,'CDO Bespoke'!$G147/10000,'CDO Bespoke'!F147,'CDO Bespoke'!D147,'CDO Bespoke'!$C$13,'CDO Bespoke'!$C$14,'CDO Bespoke'!$C$15,'CDO Bespoke'!$C$8,,,TRUE,TRUE,FALSE,'CDO Bespoke'!$C$29:'CDO Bespoke'!$C$31,'CDO Bespoke'!$C$33),{5})),"")</f>
        <v/>
      </c>
      <c r="Q122" s="524" t="str" cm="1">
        <f t="array" aca="1" ref="Q122" ca="1">IF($O122&lt;&gt;"",-TRANSPOSE(INDEX(getcds('CDO Bespoke'!$C147,Q$13,'CDO Bespoke'!$G147/10000,'CDO Bespoke'!G147,'CDO Bespoke'!E147,'CDO Bespoke'!$C$13,'CDO Bespoke'!$C$14,'CDO Bespoke'!$C$15,'CDO Bespoke'!$C$8,,,TRUE,TRUE,FALSE,'CDO Bespoke'!$C$29:'CDO Bespoke'!$C$31,'CDO Bespoke'!$C$33),{5})),"")</f>
        <v/>
      </c>
      <c r="R122" s="524" t="str" cm="1">
        <f t="array" aca="1" ref="R122" ca="1">IF($O122&lt;&gt;"",-TRANSPOSE(INDEX(getcds('CDO Bespoke'!$C147,R$13,'CDO Bespoke'!$G147/10000,'CDO Bespoke'!H147,'CDO Bespoke'!F147,'CDO Bespoke'!$C$13,'CDO Bespoke'!$C$14,'CDO Bespoke'!$C$15,'CDO Bespoke'!$C$8,,,TRUE,TRUE,FALSE,'CDO Bespoke'!$C$29:'CDO Bespoke'!$C$31,'CDO Bespoke'!$C$33),{5})),"")</f>
        <v/>
      </c>
      <c r="S122" s="524" t="str" cm="1">
        <f t="array" aca="1" ref="S122" ca="1">IF($O122&lt;&gt;"",-TRANSPOSE(INDEX(getcds('CDO Bespoke'!$C147,S$13,'CDO Bespoke'!$G147/10000,'CDO Bespoke'!I147,'CDO Bespoke'!G147,'CDO Bespoke'!$C$13,'CDO Bespoke'!$C$14,'CDO Bespoke'!$C$15,'CDO Bespoke'!$C$8,,,TRUE,TRUE,FALSE,'CDO Bespoke'!$C$29:'CDO Bespoke'!$C$31,'CDO Bespoke'!$C$33),{5})),"")</f>
        <v/>
      </c>
      <c r="T122" s="514" t="str" cm="1">
        <f t="array" aca="1" ref="T122" ca="1">IF($O122&lt;&gt;"",-TRANSPOSE(INDEX(getcds('CDO Bespoke'!$C147,T$13,'CDO Bespoke'!$G147/10000,'CDO Bespoke'!J147,'CDO Bespoke'!H147,'CDO Bespoke'!$C$13,'CDO Bespoke'!$C$14,'CDO Bespoke'!$C$15,'CDO Bespoke'!$C$8,,,TRUE,TRUE,FALSE,'CDO Bespoke'!$C$29:'CDO Bespoke'!$C$31,'CDO Bespoke'!$C$33),{5})),"")</f>
        <v/>
      </c>
      <c r="U122" s="493"/>
      <c r="V122" s="513"/>
      <c r="W122" s="572"/>
      <c r="X122" s="572"/>
      <c r="Y122" s="572"/>
      <c r="Z122" s="572"/>
      <c r="AA122" s="572"/>
      <c r="AB122" s="572"/>
      <c r="AC122" s="572"/>
      <c r="AD122" s="572"/>
      <c r="AE122" s="514"/>
    </row>
    <row r="123" spans="6:31" s="281" customFormat="1" ht="12" thickBot="1">
      <c r="F123" s="501" t="str">
        <f ca="1">IF('CDO Bespoke'!O124&lt;&gt;"",'CDO Bespoke'!O124,"")</f>
        <v/>
      </c>
      <c r="G123" s="502" t="str">
        <f ca="1">IF(F123&lt;&gt;"",ABS(MIN(-0.75*('CDO Bespoke'!Q124+'CDO Bespoke'!T124)+'CDO Bespoke'!T124,0)),"")</f>
        <v/>
      </c>
      <c r="H123" s="502" t="str">
        <f t="shared" ca="1" si="4"/>
        <v/>
      </c>
      <c r="I123" s="502" t="str">
        <f t="shared" ca="1" si="7"/>
        <v/>
      </c>
      <c r="J123" s="501" t="str">
        <f ca="1">IF('CDO Bespoke'!O124&lt;&gt;"",'CDO Bespoke'!O124,"")</f>
        <v/>
      </c>
      <c r="K123" s="502" t="str">
        <f ca="1">IF(J123&lt;&gt;"",ABS(MIN(-0.75*('CDO Bespoke'!K124+'CDO Bespoke'!T124)+'CDO Bespoke'!T124,0)),"")</f>
        <v/>
      </c>
      <c r="L123" s="502" t="str">
        <f t="shared" ca="1" si="5"/>
        <v/>
      </c>
      <c r="M123" s="506" t="str">
        <f t="shared" ca="1" si="6"/>
        <v/>
      </c>
      <c r="O123" s="511" t="str">
        <f ca="1">IF('CDO Bespoke'!C148&lt;&gt;"",'CDO Bespoke'!C148,"")</f>
        <v/>
      </c>
      <c r="P123" s="513" t="str" cm="1">
        <f t="array" aca="1" ref="P123" ca="1">IF($O123&lt;&gt;"",-TRANSPOSE(INDEX(getcds('CDO Bespoke'!$C148,P$13,'CDO Bespoke'!$G148/10000,'CDO Bespoke'!F148,'CDO Bespoke'!D148,'CDO Bespoke'!$C$13,'CDO Bespoke'!$C$14,'CDO Bespoke'!$C$15,'CDO Bespoke'!$C$8,,,TRUE,TRUE,FALSE,'CDO Bespoke'!$C$29:'CDO Bespoke'!$C$31,'CDO Bespoke'!$C$33),{5})),"")</f>
        <v/>
      </c>
      <c r="Q123" s="524" t="str" cm="1">
        <f t="array" aca="1" ref="Q123" ca="1">IF($O123&lt;&gt;"",-TRANSPOSE(INDEX(getcds('CDO Bespoke'!$C148,Q$13,'CDO Bespoke'!$G148/10000,'CDO Bespoke'!G148,'CDO Bespoke'!E148,'CDO Bespoke'!$C$13,'CDO Bespoke'!$C$14,'CDO Bespoke'!$C$15,'CDO Bespoke'!$C$8,,,TRUE,TRUE,FALSE,'CDO Bespoke'!$C$29:'CDO Bespoke'!$C$31,'CDO Bespoke'!$C$33),{5})),"")</f>
        <v/>
      </c>
      <c r="R123" s="524" t="str" cm="1">
        <f t="array" aca="1" ref="R123" ca="1">IF($O123&lt;&gt;"",-TRANSPOSE(INDEX(getcds('CDO Bespoke'!$C148,R$13,'CDO Bespoke'!$G148/10000,'CDO Bespoke'!H148,'CDO Bespoke'!F148,'CDO Bespoke'!$C$13,'CDO Bespoke'!$C$14,'CDO Bespoke'!$C$15,'CDO Bespoke'!$C$8,,,TRUE,TRUE,FALSE,'CDO Bespoke'!$C$29:'CDO Bespoke'!$C$31,'CDO Bespoke'!$C$33),{5})),"")</f>
        <v/>
      </c>
      <c r="S123" s="524" t="str" cm="1">
        <f t="array" aca="1" ref="S123" ca="1">IF($O123&lt;&gt;"",-TRANSPOSE(INDEX(getcds('CDO Bespoke'!$C148,S$13,'CDO Bespoke'!$G148/10000,'CDO Bespoke'!I148,'CDO Bespoke'!G148,'CDO Bespoke'!$C$13,'CDO Bespoke'!$C$14,'CDO Bespoke'!$C$15,'CDO Bespoke'!$C$8,,,TRUE,TRUE,FALSE,'CDO Bespoke'!$C$29:'CDO Bespoke'!$C$31,'CDO Bespoke'!$C$33),{5})),"")</f>
        <v/>
      </c>
      <c r="T123" s="514" t="str" cm="1">
        <f t="array" aca="1" ref="T123" ca="1">IF($O123&lt;&gt;"",-TRANSPOSE(INDEX(getcds('CDO Bespoke'!$C148,T$13,'CDO Bespoke'!$G148/10000,'CDO Bespoke'!J148,'CDO Bespoke'!H148,'CDO Bespoke'!$C$13,'CDO Bespoke'!$C$14,'CDO Bespoke'!$C$15,'CDO Bespoke'!$C$8,,,TRUE,TRUE,FALSE,'CDO Bespoke'!$C$29:'CDO Bespoke'!$C$31,'CDO Bespoke'!$C$33),{5})),"")</f>
        <v/>
      </c>
      <c r="U123" s="493"/>
      <c r="V123" s="513"/>
      <c r="W123" s="572"/>
      <c r="X123" s="572"/>
      <c r="Y123" s="572"/>
      <c r="Z123" s="572"/>
      <c r="AA123" s="572"/>
      <c r="AB123" s="572"/>
      <c r="AC123" s="572"/>
      <c r="AD123" s="572"/>
      <c r="AE123" s="514"/>
    </row>
    <row r="124" spans="6:31" s="281" customFormat="1" ht="12" thickBot="1">
      <c r="F124" s="501" t="str">
        <f ca="1">IF('CDO Bespoke'!O125&lt;&gt;"",'CDO Bespoke'!O125,"")</f>
        <v/>
      </c>
      <c r="G124" s="502" t="str">
        <f ca="1">IF(F124&lt;&gt;"",ABS(MIN(-0.75*('CDO Bespoke'!Q125+'CDO Bespoke'!T125)+'CDO Bespoke'!T125,0)),"")</f>
        <v/>
      </c>
      <c r="H124" s="502" t="str">
        <f t="shared" ca="1" si="4"/>
        <v/>
      </c>
      <c r="I124" s="502" t="str">
        <f t="shared" ca="1" si="7"/>
        <v/>
      </c>
      <c r="J124" s="501" t="str">
        <f ca="1">IF('CDO Bespoke'!O125&lt;&gt;"",'CDO Bespoke'!O125,"")</f>
        <v/>
      </c>
      <c r="K124" s="502" t="str">
        <f ca="1">IF(J124&lt;&gt;"",ABS(MIN(-0.75*('CDO Bespoke'!K125+'CDO Bespoke'!T125)+'CDO Bespoke'!T125,0)),"")</f>
        <v/>
      </c>
      <c r="L124" s="502" t="str">
        <f t="shared" ca="1" si="5"/>
        <v/>
      </c>
      <c r="M124" s="506" t="str">
        <f t="shared" ca="1" si="6"/>
        <v/>
      </c>
      <c r="O124" s="511" t="str">
        <f ca="1">IF('CDO Bespoke'!C149&lt;&gt;"",'CDO Bespoke'!C149,"")</f>
        <v/>
      </c>
      <c r="P124" s="513" t="str" cm="1">
        <f t="array" aca="1" ref="P124" ca="1">IF($O124&lt;&gt;"",-TRANSPOSE(INDEX(getcds('CDO Bespoke'!$C149,P$13,'CDO Bespoke'!$G149/10000,'CDO Bespoke'!F149,'CDO Bespoke'!D149,'CDO Bespoke'!$C$13,'CDO Bespoke'!$C$14,'CDO Bespoke'!$C$15,'CDO Bespoke'!$C$8,,,TRUE,TRUE,FALSE,'CDO Bespoke'!$C$29:'CDO Bespoke'!$C$31,'CDO Bespoke'!$C$33),{5})),"")</f>
        <v/>
      </c>
      <c r="Q124" s="524" t="str" cm="1">
        <f t="array" aca="1" ref="Q124" ca="1">IF($O124&lt;&gt;"",-TRANSPOSE(INDEX(getcds('CDO Bespoke'!$C149,Q$13,'CDO Bespoke'!$G149/10000,'CDO Bespoke'!G149,'CDO Bespoke'!E149,'CDO Bespoke'!$C$13,'CDO Bespoke'!$C$14,'CDO Bespoke'!$C$15,'CDO Bespoke'!$C$8,,,TRUE,TRUE,FALSE,'CDO Bespoke'!$C$29:'CDO Bespoke'!$C$31,'CDO Bespoke'!$C$33),{5})),"")</f>
        <v/>
      </c>
      <c r="R124" s="524" t="str" cm="1">
        <f t="array" aca="1" ref="R124" ca="1">IF($O124&lt;&gt;"",-TRANSPOSE(INDEX(getcds('CDO Bespoke'!$C149,R$13,'CDO Bespoke'!$G149/10000,'CDO Bespoke'!H149,'CDO Bespoke'!F149,'CDO Bespoke'!$C$13,'CDO Bespoke'!$C$14,'CDO Bespoke'!$C$15,'CDO Bespoke'!$C$8,,,TRUE,TRUE,FALSE,'CDO Bespoke'!$C$29:'CDO Bespoke'!$C$31,'CDO Bespoke'!$C$33),{5})),"")</f>
        <v/>
      </c>
      <c r="S124" s="524" t="str" cm="1">
        <f t="array" aca="1" ref="S124" ca="1">IF($O124&lt;&gt;"",-TRANSPOSE(INDEX(getcds('CDO Bespoke'!$C149,S$13,'CDO Bespoke'!$G149/10000,'CDO Bespoke'!I149,'CDO Bespoke'!G149,'CDO Bespoke'!$C$13,'CDO Bespoke'!$C$14,'CDO Bespoke'!$C$15,'CDO Bespoke'!$C$8,,,TRUE,TRUE,FALSE,'CDO Bespoke'!$C$29:'CDO Bespoke'!$C$31,'CDO Bespoke'!$C$33),{5})),"")</f>
        <v/>
      </c>
      <c r="T124" s="514" t="str" cm="1">
        <f t="array" aca="1" ref="T124" ca="1">IF($O124&lt;&gt;"",-TRANSPOSE(INDEX(getcds('CDO Bespoke'!$C149,T$13,'CDO Bespoke'!$G149/10000,'CDO Bespoke'!J149,'CDO Bespoke'!H149,'CDO Bespoke'!$C$13,'CDO Bespoke'!$C$14,'CDO Bespoke'!$C$15,'CDO Bespoke'!$C$8,,,TRUE,TRUE,FALSE,'CDO Bespoke'!$C$29:'CDO Bespoke'!$C$31,'CDO Bespoke'!$C$33),{5})),"")</f>
        <v/>
      </c>
      <c r="U124" s="493"/>
      <c r="V124" s="513"/>
      <c r="W124" s="572"/>
      <c r="X124" s="572"/>
      <c r="Y124" s="572"/>
      <c r="Z124" s="572"/>
      <c r="AA124" s="572"/>
      <c r="AB124" s="572"/>
      <c r="AC124" s="572"/>
      <c r="AD124" s="572"/>
      <c r="AE124" s="514"/>
    </row>
    <row r="125" spans="6:31" s="281" customFormat="1" ht="12" thickBot="1">
      <c r="F125" s="501" t="str">
        <f ca="1">IF('CDO Bespoke'!O126&lt;&gt;"",'CDO Bespoke'!O126,"")</f>
        <v/>
      </c>
      <c r="G125" s="502" t="str">
        <f ca="1">IF(F125&lt;&gt;"",ABS(MIN(-0.75*('CDO Bespoke'!Q126+'CDO Bespoke'!T126)+'CDO Bespoke'!T126,0)),"")</f>
        <v/>
      </c>
      <c r="H125" s="502" t="str">
        <f t="shared" ca="1" si="4"/>
        <v/>
      </c>
      <c r="I125" s="502" t="str">
        <f t="shared" ca="1" si="7"/>
        <v/>
      </c>
      <c r="J125" s="501" t="str">
        <f ca="1">IF('CDO Bespoke'!O126&lt;&gt;"",'CDO Bespoke'!O126,"")</f>
        <v/>
      </c>
      <c r="K125" s="502" t="str">
        <f ca="1">IF(J125&lt;&gt;"",ABS(MIN(-0.75*('CDO Bespoke'!K126+'CDO Bespoke'!T126)+'CDO Bespoke'!T126,0)),"")</f>
        <v/>
      </c>
      <c r="L125" s="502" t="str">
        <f t="shared" ca="1" si="5"/>
        <v/>
      </c>
      <c r="M125" s="506" t="str">
        <f t="shared" ca="1" si="6"/>
        <v/>
      </c>
      <c r="O125" s="511" t="str">
        <f ca="1">IF('CDO Bespoke'!C150&lt;&gt;"",'CDO Bespoke'!C150,"")</f>
        <v/>
      </c>
      <c r="P125" s="513" t="str" cm="1">
        <f t="array" aca="1" ref="P125" ca="1">IF($O125&lt;&gt;"",-TRANSPOSE(INDEX(getcds('CDO Bespoke'!$C150,P$13,'CDO Bespoke'!$G150/10000,'CDO Bespoke'!F150,'CDO Bespoke'!D150,'CDO Bespoke'!$C$13,'CDO Bespoke'!$C$14,'CDO Bespoke'!$C$15,'CDO Bespoke'!$C$8,,,TRUE,TRUE,FALSE,'CDO Bespoke'!$C$29:'CDO Bespoke'!$C$31,'CDO Bespoke'!$C$33),{5})),"")</f>
        <v/>
      </c>
      <c r="Q125" s="524" t="str" cm="1">
        <f t="array" aca="1" ref="Q125" ca="1">IF($O125&lt;&gt;"",-TRANSPOSE(INDEX(getcds('CDO Bespoke'!$C150,Q$13,'CDO Bespoke'!$G150/10000,'CDO Bespoke'!G150,'CDO Bespoke'!E150,'CDO Bespoke'!$C$13,'CDO Bespoke'!$C$14,'CDO Bespoke'!$C$15,'CDO Bespoke'!$C$8,,,TRUE,TRUE,FALSE,'CDO Bespoke'!$C$29:'CDO Bespoke'!$C$31,'CDO Bespoke'!$C$33),{5})),"")</f>
        <v/>
      </c>
      <c r="R125" s="524" t="str" cm="1">
        <f t="array" aca="1" ref="R125" ca="1">IF($O125&lt;&gt;"",-TRANSPOSE(INDEX(getcds('CDO Bespoke'!$C150,R$13,'CDO Bespoke'!$G150/10000,'CDO Bespoke'!H150,'CDO Bespoke'!F150,'CDO Bespoke'!$C$13,'CDO Bespoke'!$C$14,'CDO Bespoke'!$C$15,'CDO Bespoke'!$C$8,,,TRUE,TRUE,FALSE,'CDO Bespoke'!$C$29:'CDO Bespoke'!$C$31,'CDO Bespoke'!$C$33),{5})),"")</f>
        <v/>
      </c>
      <c r="S125" s="524" t="str" cm="1">
        <f t="array" aca="1" ref="S125" ca="1">IF($O125&lt;&gt;"",-TRANSPOSE(INDEX(getcds('CDO Bespoke'!$C150,S$13,'CDO Bespoke'!$G150/10000,'CDO Bespoke'!I150,'CDO Bespoke'!G150,'CDO Bespoke'!$C$13,'CDO Bespoke'!$C$14,'CDO Bespoke'!$C$15,'CDO Bespoke'!$C$8,,,TRUE,TRUE,FALSE,'CDO Bespoke'!$C$29:'CDO Bespoke'!$C$31,'CDO Bespoke'!$C$33),{5})),"")</f>
        <v/>
      </c>
      <c r="T125" s="514" t="str" cm="1">
        <f t="array" aca="1" ref="T125" ca="1">IF($O125&lt;&gt;"",-TRANSPOSE(INDEX(getcds('CDO Bespoke'!$C150,T$13,'CDO Bespoke'!$G150/10000,'CDO Bespoke'!J150,'CDO Bespoke'!H150,'CDO Bespoke'!$C$13,'CDO Bespoke'!$C$14,'CDO Bespoke'!$C$15,'CDO Bespoke'!$C$8,,,TRUE,TRUE,FALSE,'CDO Bespoke'!$C$29:'CDO Bespoke'!$C$31,'CDO Bespoke'!$C$33),{5})),"")</f>
        <v/>
      </c>
      <c r="U125" s="493"/>
      <c r="V125" s="513"/>
      <c r="W125" s="572"/>
      <c r="X125" s="572"/>
      <c r="Y125" s="572"/>
      <c r="Z125" s="572"/>
      <c r="AA125" s="572"/>
      <c r="AB125" s="572"/>
      <c r="AC125" s="572"/>
      <c r="AD125" s="572"/>
      <c r="AE125" s="514"/>
    </row>
    <row r="126" spans="6:31" s="281" customFormat="1" ht="12" thickBot="1">
      <c r="F126" s="501" t="str">
        <f ca="1">IF('CDO Bespoke'!O127&lt;&gt;"",'CDO Bespoke'!O127,"")</f>
        <v/>
      </c>
      <c r="G126" s="502" t="str">
        <f ca="1">IF(F126&lt;&gt;"",ABS(MIN(-0.75*('CDO Bespoke'!Q127+'CDO Bespoke'!T127)+'CDO Bespoke'!T127,0)),"")</f>
        <v/>
      </c>
      <c r="H126" s="502" t="str">
        <f t="shared" ca="1" si="4"/>
        <v/>
      </c>
      <c r="I126" s="502" t="str">
        <f t="shared" ca="1" si="7"/>
        <v/>
      </c>
      <c r="J126" s="501" t="str">
        <f ca="1">IF('CDO Bespoke'!O127&lt;&gt;"",'CDO Bespoke'!O127,"")</f>
        <v/>
      </c>
      <c r="K126" s="502" t="str">
        <f ca="1">IF(J126&lt;&gt;"",ABS(MIN(-0.75*('CDO Bespoke'!K127+'CDO Bespoke'!T127)+'CDO Bespoke'!T127,0)),"")</f>
        <v/>
      </c>
      <c r="L126" s="502" t="str">
        <f t="shared" ca="1" si="5"/>
        <v/>
      </c>
      <c r="M126" s="506" t="str">
        <f t="shared" ca="1" si="6"/>
        <v/>
      </c>
      <c r="O126" s="511" t="str">
        <f ca="1">IF('CDO Bespoke'!C151&lt;&gt;"",'CDO Bespoke'!C151,"")</f>
        <v/>
      </c>
      <c r="P126" s="513" t="str" cm="1">
        <f t="array" aca="1" ref="P126" ca="1">IF($O126&lt;&gt;"",-TRANSPOSE(INDEX(getcds('CDO Bespoke'!$C151,P$13,'CDO Bespoke'!$G151/10000,'CDO Bespoke'!F151,'CDO Bespoke'!D151,'CDO Bespoke'!$C$13,'CDO Bespoke'!$C$14,'CDO Bespoke'!$C$15,'CDO Bespoke'!$C$8,,,TRUE,TRUE,FALSE,'CDO Bespoke'!$C$29:'CDO Bespoke'!$C$31,'CDO Bespoke'!$C$33),{5})),"")</f>
        <v/>
      </c>
      <c r="Q126" s="524" t="str" cm="1">
        <f t="array" aca="1" ref="Q126" ca="1">IF($O126&lt;&gt;"",-TRANSPOSE(INDEX(getcds('CDO Bespoke'!$C151,Q$13,'CDO Bespoke'!$G151/10000,'CDO Bespoke'!G151,'CDO Bespoke'!E151,'CDO Bespoke'!$C$13,'CDO Bespoke'!$C$14,'CDO Bespoke'!$C$15,'CDO Bespoke'!$C$8,,,TRUE,TRUE,FALSE,'CDO Bespoke'!$C$29:'CDO Bespoke'!$C$31,'CDO Bespoke'!$C$33),{5})),"")</f>
        <v/>
      </c>
      <c r="R126" s="524" t="str" cm="1">
        <f t="array" aca="1" ref="R126" ca="1">IF($O126&lt;&gt;"",-TRANSPOSE(INDEX(getcds('CDO Bespoke'!$C151,R$13,'CDO Bespoke'!$G151/10000,'CDO Bespoke'!H151,'CDO Bespoke'!F151,'CDO Bespoke'!$C$13,'CDO Bespoke'!$C$14,'CDO Bespoke'!$C$15,'CDO Bespoke'!$C$8,,,TRUE,TRUE,FALSE,'CDO Bespoke'!$C$29:'CDO Bespoke'!$C$31,'CDO Bespoke'!$C$33),{5})),"")</f>
        <v/>
      </c>
      <c r="S126" s="524" t="str" cm="1">
        <f t="array" aca="1" ref="S126" ca="1">IF($O126&lt;&gt;"",-TRANSPOSE(INDEX(getcds('CDO Bespoke'!$C151,S$13,'CDO Bespoke'!$G151/10000,'CDO Bespoke'!I151,'CDO Bespoke'!G151,'CDO Bespoke'!$C$13,'CDO Bespoke'!$C$14,'CDO Bespoke'!$C$15,'CDO Bespoke'!$C$8,,,TRUE,TRUE,FALSE,'CDO Bespoke'!$C$29:'CDO Bespoke'!$C$31,'CDO Bespoke'!$C$33),{5})),"")</f>
        <v/>
      </c>
      <c r="T126" s="514" t="str" cm="1">
        <f t="array" aca="1" ref="T126" ca="1">IF($O126&lt;&gt;"",-TRANSPOSE(INDEX(getcds('CDO Bespoke'!$C151,T$13,'CDO Bespoke'!$G151/10000,'CDO Bespoke'!J151,'CDO Bespoke'!H151,'CDO Bespoke'!$C$13,'CDO Bespoke'!$C$14,'CDO Bespoke'!$C$15,'CDO Bespoke'!$C$8,,,TRUE,TRUE,FALSE,'CDO Bespoke'!$C$29:'CDO Bespoke'!$C$31,'CDO Bespoke'!$C$33),{5})),"")</f>
        <v/>
      </c>
      <c r="U126" s="493"/>
      <c r="V126" s="513"/>
      <c r="W126" s="572"/>
      <c r="X126" s="572"/>
      <c r="Y126" s="572"/>
      <c r="Z126" s="572"/>
      <c r="AA126" s="572"/>
      <c r="AB126" s="572"/>
      <c r="AC126" s="572"/>
      <c r="AD126" s="572"/>
      <c r="AE126" s="514"/>
    </row>
    <row r="127" spans="6:31" s="281" customFormat="1" ht="12" thickBot="1">
      <c r="F127" s="501" t="str">
        <f ca="1">IF('CDO Bespoke'!O128&lt;&gt;"",'CDO Bespoke'!O128,"")</f>
        <v/>
      </c>
      <c r="G127" s="502" t="str">
        <f ca="1">IF(F127&lt;&gt;"",ABS(MIN(-0.75*('CDO Bespoke'!Q128+'CDO Bespoke'!T128)+'CDO Bespoke'!T128,0)),"")</f>
        <v/>
      </c>
      <c r="H127" s="502" t="str">
        <f t="shared" ca="1" si="4"/>
        <v/>
      </c>
      <c r="I127" s="502" t="str">
        <f t="shared" ca="1" si="7"/>
        <v/>
      </c>
      <c r="J127" s="501" t="str">
        <f ca="1">IF('CDO Bespoke'!O128&lt;&gt;"",'CDO Bespoke'!O128,"")</f>
        <v/>
      </c>
      <c r="K127" s="502" t="str">
        <f ca="1">IF(J127&lt;&gt;"",ABS(MIN(-0.75*('CDO Bespoke'!K128+'CDO Bespoke'!T128)+'CDO Bespoke'!T128,0)),"")</f>
        <v/>
      </c>
      <c r="L127" s="502" t="str">
        <f t="shared" ca="1" si="5"/>
        <v/>
      </c>
      <c r="M127" s="506" t="str">
        <f t="shared" ca="1" si="6"/>
        <v/>
      </c>
      <c r="O127" s="511" t="str">
        <f ca="1">IF('CDO Bespoke'!C152&lt;&gt;"",'CDO Bespoke'!C152,"")</f>
        <v/>
      </c>
      <c r="P127" s="513" t="str" cm="1">
        <f t="array" aca="1" ref="P127" ca="1">IF($O127&lt;&gt;"",-TRANSPOSE(INDEX(getcds('CDO Bespoke'!$C152,P$13,'CDO Bespoke'!$G152/10000,'CDO Bespoke'!F152,'CDO Bespoke'!D152,'CDO Bespoke'!$C$13,'CDO Bespoke'!$C$14,'CDO Bespoke'!$C$15,'CDO Bespoke'!$C$8,,,TRUE,TRUE,FALSE,'CDO Bespoke'!$C$29:'CDO Bespoke'!$C$31,'CDO Bespoke'!$C$33),{5})),"")</f>
        <v/>
      </c>
      <c r="Q127" s="524" t="str" cm="1">
        <f t="array" aca="1" ref="Q127" ca="1">IF($O127&lt;&gt;"",-TRANSPOSE(INDEX(getcds('CDO Bespoke'!$C152,Q$13,'CDO Bespoke'!$G152/10000,'CDO Bespoke'!G152,'CDO Bespoke'!E152,'CDO Bespoke'!$C$13,'CDO Bespoke'!$C$14,'CDO Bespoke'!$C$15,'CDO Bespoke'!$C$8,,,TRUE,TRUE,FALSE,'CDO Bespoke'!$C$29:'CDO Bespoke'!$C$31,'CDO Bespoke'!$C$33),{5})),"")</f>
        <v/>
      </c>
      <c r="R127" s="524" t="str" cm="1">
        <f t="array" aca="1" ref="R127" ca="1">IF($O127&lt;&gt;"",-TRANSPOSE(INDEX(getcds('CDO Bespoke'!$C152,R$13,'CDO Bespoke'!$G152/10000,'CDO Bespoke'!H152,'CDO Bespoke'!F152,'CDO Bespoke'!$C$13,'CDO Bespoke'!$C$14,'CDO Bespoke'!$C$15,'CDO Bespoke'!$C$8,,,TRUE,TRUE,FALSE,'CDO Bespoke'!$C$29:'CDO Bespoke'!$C$31,'CDO Bespoke'!$C$33),{5})),"")</f>
        <v/>
      </c>
      <c r="S127" s="524" t="str" cm="1">
        <f t="array" aca="1" ref="S127" ca="1">IF($O127&lt;&gt;"",-TRANSPOSE(INDEX(getcds('CDO Bespoke'!$C152,S$13,'CDO Bespoke'!$G152/10000,'CDO Bespoke'!I152,'CDO Bespoke'!G152,'CDO Bespoke'!$C$13,'CDO Bespoke'!$C$14,'CDO Bespoke'!$C$15,'CDO Bespoke'!$C$8,,,TRUE,TRUE,FALSE,'CDO Bespoke'!$C$29:'CDO Bespoke'!$C$31,'CDO Bespoke'!$C$33),{5})),"")</f>
        <v/>
      </c>
      <c r="T127" s="514" t="str" cm="1">
        <f t="array" aca="1" ref="T127" ca="1">IF($O127&lt;&gt;"",-TRANSPOSE(INDEX(getcds('CDO Bespoke'!$C152,T$13,'CDO Bespoke'!$G152/10000,'CDO Bespoke'!J152,'CDO Bespoke'!H152,'CDO Bespoke'!$C$13,'CDO Bespoke'!$C$14,'CDO Bespoke'!$C$15,'CDO Bespoke'!$C$8,,,TRUE,TRUE,FALSE,'CDO Bespoke'!$C$29:'CDO Bespoke'!$C$31,'CDO Bespoke'!$C$33),{5})),"")</f>
        <v/>
      </c>
      <c r="U127" s="493"/>
      <c r="V127" s="513"/>
      <c r="W127" s="572"/>
      <c r="X127" s="572"/>
      <c r="Y127" s="572"/>
      <c r="Z127" s="572"/>
      <c r="AA127" s="572"/>
      <c r="AB127" s="572"/>
      <c r="AC127" s="572"/>
      <c r="AD127" s="572"/>
      <c r="AE127" s="514"/>
    </row>
    <row r="128" spans="6:31" s="281" customFormat="1" ht="12" thickBot="1">
      <c r="F128" s="501" t="str">
        <f ca="1">IF('CDO Bespoke'!O129&lt;&gt;"",'CDO Bespoke'!O129,"")</f>
        <v/>
      </c>
      <c r="G128" s="502" t="str">
        <f ca="1">IF(F128&lt;&gt;"",ABS(MIN(-0.75*('CDO Bespoke'!Q129+'CDO Bespoke'!T129)+'CDO Bespoke'!T129,0)),"")</f>
        <v/>
      </c>
      <c r="H128" s="502" t="str">
        <f t="shared" ca="1" si="4"/>
        <v/>
      </c>
      <c r="I128" s="502" t="str">
        <f t="shared" ca="1" si="7"/>
        <v/>
      </c>
      <c r="J128" s="501" t="str">
        <f ca="1">IF('CDO Bespoke'!O129&lt;&gt;"",'CDO Bespoke'!O129,"")</f>
        <v/>
      </c>
      <c r="K128" s="502" t="str">
        <f ca="1">IF(J128&lt;&gt;"",ABS(MIN(-0.75*('CDO Bespoke'!K129+'CDO Bespoke'!T129)+'CDO Bespoke'!T129,0)),"")</f>
        <v/>
      </c>
      <c r="L128" s="502" t="str">
        <f t="shared" ca="1" si="5"/>
        <v/>
      </c>
      <c r="M128" s="506" t="str">
        <f t="shared" ca="1" si="6"/>
        <v/>
      </c>
      <c r="O128" s="511" t="str">
        <f ca="1">IF('CDO Bespoke'!C153&lt;&gt;"",'CDO Bespoke'!C153,"")</f>
        <v/>
      </c>
      <c r="P128" s="513" t="str" cm="1">
        <f t="array" aca="1" ref="P128" ca="1">IF($O128&lt;&gt;"",-TRANSPOSE(INDEX(getcds('CDO Bespoke'!$C153,P$13,'CDO Bespoke'!$G153/10000,'CDO Bespoke'!F153,'CDO Bespoke'!D153,'CDO Bespoke'!$C$13,'CDO Bespoke'!$C$14,'CDO Bespoke'!$C$15,'CDO Bespoke'!$C$8,,,TRUE,TRUE,FALSE,'CDO Bespoke'!$C$29:'CDO Bespoke'!$C$31,'CDO Bespoke'!$C$33),{5})),"")</f>
        <v/>
      </c>
      <c r="Q128" s="524" t="str" cm="1">
        <f t="array" aca="1" ref="Q128" ca="1">IF($O128&lt;&gt;"",-TRANSPOSE(INDEX(getcds('CDO Bespoke'!$C153,Q$13,'CDO Bespoke'!$G153/10000,'CDO Bespoke'!G153,'CDO Bespoke'!E153,'CDO Bespoke'!$C$13,'CDO Bespoke'!$C$14,'CDO Bespoke'!$C$15,'CDO Bespoke'!$C$8,,,TRUE,TRUE,FALSE,'CDO Bespoke'!$C$29:'CDO Bespoke'!$C$31,'CDO Bespoke'!$C$33),{5})),"")</f>
        <v/>
      </c>
      <c r="R128" s="524" t="str" cm="1">
        <f t="array" aca="1" ref="R128" ca="1">IF($O128&lt;&gt;"",-TRANSPOSE(INDEX(getcds('CDO Bespoke'!$C153,R$13,'CDO Bespoke'!$G153/10000,'CDO Bespoke'!H153,'CDO Bespoke'!F153,'CDO Bespoke'!$C$13,'CDO Bespoke'!$C$14,'CDO Bespoke'!$C$15,'CDO Bespoke'!$C$8,,,TRUE,TRUE,FALSE,'CDO Bespoke'!$C$29:'CDO Bespoke'!$C$31,'CDO Bespoke'!$C$33),{5})),"")</f>
        <v/>
      </c>
      <c r="S128" s="524" t="str" cm="1">
        <f t="array" aca="1" ref="S128" ca="1">IF($O128&lt;&gt;"",-TRANSPOSE(INDEX(getcds('CDO Bespoke'!$C153,S$13,'CDO Bespoke'!$G153/10000,'CDO Bespoke'!I153,'CDO Bespoke'!G153,'CDO Bespoke'!$C$13,'CDO Bespoke'!$C$14,'CDO Bespoke'!$C$15,'CDO Bespoke'!$C$8,,,TRUE,TRUE,FALSE,'CDO Bespoke'!$C$29:'CDO Bespoke'!$C$31,'CDO Bespoke'!$C$33),{5})),"")</f>
        <v/>
      </c>
      <c r="T128" s="514" t="str" cm="1">
        <f t="array" aca="1" ref="T128" ca="1">IF($O128&lt;&gt;"",-TRANSPOSE(INDEX(getcds('CDO Bespoke'!$C153,T$13,'CDO Bespoke'!$G153/10000,'CDO Bespoke'!J153,'CDO Bespoke'!H153,'CDO Bespoke'!$C$13,'CDO Bespoke'!$C$14,'CDO Bespoke'!$C$15,'CDO Bespoke'!$C$8,,,TRUE,TRUE,FALSE,'CDO Bespoke'!$C$29:'CDO Bespoke'!$C$31,'CDO Bespoke'!$C$33),{5})),"")</f>
        <v/>
      </c>
      <c r="U128" s="493"/>
      <c r="V128" s="513"/>
      <c r="W128" s="572"/>
      <c r="X128" s="572"/>
      <c r="Y128" s="572"/>
      <c r="Z128" s="572"/>
      <c r="AA128" s="572"/>
      <c r="AB128" s="572"/>
      <c r="AC128" s="572"/>
      <c r="AD128" s="572"/>
      <c r="AE128" s="514"/>
    </row>
    <row r="129" spans="6:31" s="281" customFormat="1" ht="12" thickBot="1">
      <c r="F129" s="501" t="str">
        <f ca="1">IF('CDO Bespoke'!O130&lt;&gt;"",'CDO Bespoke'!O130,"")</f>
        <v/>
      </c>
      <c r="G129" s="502" t="str">
        <f ca="1">IF(F129&lt;&gt;"",ABS(MIN(-0.75*('CDO Bespoke'!Q130+'CDO Bespoke'!T130)+'CDO Bespoke'!T130,0)),"")</f>
        <v/>
      </c>
      <c r="H129" s="502" t="str">
        <f t="shared" ca="1" si="4"/>
        <v/>
      </c>
      <c r="I129" s="502" t="str">
        <f t="shared" ca="1" si="7"/>
        <v/>
      </c>
      <c r="J129" s="501" t="str">
        <f ca="1">IF('CDO Bespoke'!O130&lt;&gt;"",'CDO Bespoke'!O130,"")</f>
        <v/>
      </c>
      <c r="K129" s="502" t="str">
        <f ca="1">IF(J129&lt;&gt;"",ABS(MIN(-0.75*('CDO Bespoke'!K130+'CDO Bespoke'!T130)+'CDO Bespoke'!T130,0)),"")</f>
        <v/>
      </c>
      <c r="L129" s="502" t="str">
        <f t="shared" ca="1" si="5"/>
        <v/>
      </c>
      <c r="M129" s="506" t="str">
        <f t="shared" ca="1" si="6"/>
        <v/>
      </c>
      <c r="O129" s="511" t="str">
        <f ca="1">IF('CDO Bespoke'!C154&lt;&gt;"",'CDO Bespoke'!C154,"")</f>
        <v/>
      </c>
      <c r="P129" s="513" t="str" cm="1">
        <f t="array" aca="1" ref="P129" ca="1">IF($O129&lt;&gt;"",-TRANSPOSE(INDEX(getcds('CDO Bespoke'!$C154,P$13,'CDO Bespoke'!$G154/10000,'CDO Bespoke'!F154,'CDO Bespoke'!D154,'CDO Bespoke'!$C$13,'CDO Bespoke'!$C$14,'CDO Bespoke'!$C$15,'CDO Bespoke'!$C$8,,,TRUE,TRUE,FALSE,'CDO Bespoke'!$C$29:'CDO Bespoke'!$C$31,'CDO Bespoke'!$C$33),{5})),"")</f>
        <v/>
      </c>
      <c r="Q129" s="524" t="str" cm="1">
        <f t="array" aca="1" ref="Q129" ca="1">IF($O129&lt;&gt;"",-TRANSPOSE(INDEX(getcds('CDO Bespoke'!$C154,Q$13,'CDO Bespoke'!$G154/10000,'CDO Bespoke'!G154,'CDO Bespoke'!E154,'CDO Bespoke'!$C$13,'CDO Bespoke'!$C$14,'CDO Bespoke'!$C$15,'CDO Bespoke'!$C$8,,,TRUE,TRUE,FALSE,'CDO Bespoke'!$C$29:'CDO Bespoke'!$C$31,'CDO Bespoke'!$C$33),{5})),"")</f>
        <v/>
      </c>
      <c r="R129" s="524" t="str" cm="1">
        <f t="array" aca="1" ref="R129" ca="1">IF($O129&lt;&gt;"",-TRANSPOSE(INDEX(getcds('CDO Bespoke'!$C154,R$13,'CDO Bespoke'!$G154/10000,'CDO Bespoke'!H154,'CDO Bespoke'!F154,'CDO Bespoke'!$C$13,'CDO Bespoke'!$C$14,'CDO Bespoke'!$C$15,'CDO Bespoke'!$C$8,,,TRUE,TRUE,FALSE,'CDO Bespoke'!$C$29:'CDO Bespoke'!$C$31,'CDO Bespoke'!$C$33),{5})),"")</f>
        <v/>
      </c>
      <c r="S129" s="524" t="str" cm="1">
        <f t="array" aca="1" ref="S129" ca="1">IF($O129&lt;&gt;"",-TRANSPOSE(INDEX(getcds('CDO Bespoke'!$C154,S$13,'CDO Bespoke'!$G154/10000,'CDO Bespoke'!I154,'CDO Bespoke'!G154,'CDO Bespoke'!$C$13,'CDO Bespoke'!$C$14,'CDO Bespoke'!$C$15,'CDO Bespoke'!$C$8,,,TRUE,TRUE,FALSE,'CDO Bespoke'!$C$29:'CDO Bespoke'!$C$31,'CDO Bespoke'!$C$33),{5})),"")</f>
        <v/>
      </c>
      <c r="T129" s="514" t="str" cm="1">
        <f t="array" aca="1" ref="T129" ca="1">IF($O129&lt;&gt;"",-TRANSPOSE(INDEX(getcds('CDO Bespoke'!$C154,T$13,'CDO Bespoke'!$G154/10000,'CDO Bespoke'!J154,'CDO Bespoke'!H154,'CDO Bespoke'!$C$13,'CDO Bespoke'!$C$14,'CDO Bespoke'!$C$15,'CDO Bespoke'!$C$8,,,TRUE,TRUE,FALSE,'CDO Bespoke'!$C$29:'CDO Bespoke'!$C$31,'CDO Bespoke'!$C$33),{5})),"")</f>
        <v/>
      </c>
      <c r="U129" s="493"/>
      <c r="V129" s="513"/>
      <c r="W129" s="572"/>
      <c r="X129" s="572"/>
      <c r="Y129" s="572"/>
      <c r="Z129" s="572"/>
      <c r="AA129" s="572"/>
      <c r="AB129" s="572"/>
      <c r="AC129" s="572"/>
      <c r="AD129" s="572"/>
      <c r="AE129" s="514"/>
    </row>
    <row r="130" spans="6:31" s="281" customFormat="1" ht="12" thickBot="1">
      <c r="F130" s="501" t="str">
        <f ca="1">IF('CDO Bespoke'!O131&lt;&gt;"",'CDO Bespoke'!O131,"")</f>
        <v/>
      </c>
      <c r="G130" s="502" t="str">
        <f ca="1">IF(F130&lt;&gt;"",ABS(MIN(-0.75*('CDO Bespoke'!Q131+'CDO Bespoke'!T131)+'CDO Bespoke'!T131,0)),"")</f>
        <v/>
      </c>
      <c r="H130" s="502" t="str">
        <f t="shared" ca="1" si="4"/>
        <v/>
      </c>
      <c r="I130" s="502" t="str">
        <f t="shared" ca="1" si="7"/>
        <v/>
      </c>
      <c r="J130" s="501" t="str">
        <f ca="1">IF('CDO Bespoke'!O131&lt;&gt;"",'CDO Bespoke'!O131,"")</f>
        <v/>
      </c>
      <c r="K130" s="502" t="str">
        <f ca="1">IF(J130&lt;&gt;"",ABS(MIN(-0.75*('CDO Bespoke'!K131+'CDO Bespoke'!T131)+'CDO Bespoke'!T131,0)),"")</f>
        <v/>
      </c>
      <c r="L130" s="502" t="str">
        <f t="shared" ca="1" si="5"/>
        <v/>
      </c>
      <c r="M130" s="506" t="str">
        <f t="shared" ca="1" si="6"/>
        <v/>
      </c>
      <c r="O130" s="511" t="str">
        <f ca="1">IF('CDO Bespoke'!C155&lt;&gt;"",'CDO Bespoke'!C155,"")</f>
        <v/>
      </c>
      <c r="P130" s="513" t="str" cm="1">
        <f t="array" aca="1" ref="P130" ca="1">IF($O130&lt;&gt;"",-TRANSPOSE(INDEX(getcds('CDO Bespoke'!$C155,P$13,'CDO Bespoke'!$G155/10000,'CDO Bespoke'!F155,'CDO Bespoke'!D155,'CDO Bespoke'!$C$13,'CDO Bespoke'!$C$14,'CDO Bespoke'!$C$15,'CDO Bespoke'!$C$8,,,TRUE,TRUE,FALSE,'CDO Bespoke'!$C$29:'CDO Bespoke'!$C$31,'CDO Bespoke'!$C$33),{5})),"")</f>
        <v/>
      </c>
      <c r="Q130" s="524" t="str" cm="1">
        <f t="array" aca="1" ref="Q130" ca="1">IF($O130&lt;&gt;"",-TRANSPOSE(INDEX(getcds('CDO Bespoke'!$C155,Q$13,'CDO Bespoke'!$G155/10000,'CDO Bespoke'!G155,'CDO Bespoke'!E155,'CDO Bespoke'!$C$13,'CDO Bespoke'!$C$14,'CDO Bespoke'!$C$15,'CDO Bespoke'!$C$8,,,TRUE,TRUE,FALSE,'CDO Bespoke'!$C$29:'CDO Bespoke'!$C$31,'CDO Bespoke'!$C$33),{5})),"")</f>
        <v/>
      </c>
      <c r="R130" s="524" t="str" cm="1">
        <f t="array" aca="1" ref="R130" ca="1">IF($O130&lt;&gt;"",-TRANSPOSE(INDEX(getcds('CDO Bespoke'!$C155,R$13,'CDO Bespoke'!$G155/10000,'CDO Bespoke'!H155,'CDO Bespoke'!F155,'CDO Bespoke'!$C$13,'CDO Bespoke'!$C$14,'CDO Bespoke'!$C$15,'CDO Bespoke'!$C$8,,,TRUE,TRUE,FALSE,'CDO Bespoke'!$C$29:'CDO Bespoke'!$C$31,'CDO Bespoke'!$C$33),{5})),"")</f>
        <v/>
      </c>
      <c r="S130" s="524" t="str" cm="1">
        <f t="array" aca="1" ref="S130" ca="1">IF($O130&lt;&gt;"",-TRANSPOSE(INDEX(getcds('CDO Bespoke'!$C155,S$13,'CDO Bespoke'!$G155/10000,'CDO Bespoke'!I155,'CDO Bespoke'!G155,'CDO Bespoke'!$C$13,'CDO Bespoke'!$C$14,'CDO Bespoke'!$C$15,'CDO Bespoke'!$C$8,,,TRUE,TRUE,FALSE,'CDO Bespoke'!$C$29:'CDO Bespoke'!$C$31,'CDO Bespoke'!$C$33),{5})),"")</f>
        <v/>
      </c>
      <c r="T130" s="514" t="str" cm="1">
        <f t="array" aca="1" ref="T130" ca="1">IF($O130&lt;&gt;"",-TRANSPOSE(INDEX(getcds('CDO Bespoke'!$C155,T$13,'CDO Bespoke'!$G155/10000,'CDO Bespoke'!J155,'CDO Bespoke'!H155,'CDO Bespoke'!$C$13,'CDO Bespoke'!$C$14,'CDO Bespoke'!$C$15,'CDO Bespoke'!$C$8,,,TRUE,TRUE,FALSE,'CDO Bespoke'!$C$29:'CDO Bespoke'!$C$31,'CDO Bespoke'!$C$33),{5})),"")</f>
        <v/>
      </c>
      <c r="U130" s="493"/>
      <c r="V130" s="513"/>
      <c r="W130" s="572"/>
      <c r="X130" s="572"/>
      <c r="Y130" s="572"/>
      <c r="Z130" s="572"/>
      <c r="AA130" s="572"/>
      <c r="AB130" s="572"/>
      <c r="AC130" s="572"/>
      <c r="AD130" s="572"/>
      <c r="AE130" s="514"/>
    </row>
    <row r="131" spans="6:31" s="281" customFormat="1" ht="12" thickBot="1">
      <c r="F131" s="501" t="str">
        <f ca="1">IF('CDO Bespoke'!O132&lt;&gt;"",'CDO Bespoke'!O132,"")</f>
        <v/>
      </c>
      <c r="G131" s="502" t="str">
        <f ca="1">IF(F131&lt;&gt;"",ABS(MIN(-0.75*('CDO Bespoke'!Q132+'CDO Bespoke'!T132)+'CDO Bespoke'!T132,0)),"")</f>
        <v/>
      </c>
      <c r="H131" s="502" t="str">
        <f t="shared" ca="1" si="4"/>
        <v/>
      </c>
      <c r="I131" s="502" t="str">
        <f t="shared" ca="1" si="7"/>
        <v/>
      </c>
      <c r="J131" s="501" t="str">
        <f ca="1">IF('CDO Bespoke'!O132&lt;&gt;"",'CDO Bespoke'!O132,"")</f>
        <v/>
      </c>
      <c r="K131" s="502" t="str">
        <f ca="1">IF(J131&lt;&gt;"",ABS(MIN(-0.75*('CDO Bespoke'!K132+'CDO Bespoke'!T132)+'CDO Bespoke'!T132,0)),"")</f>
        <v/>
      </c>
      <c r="L131" s="502" t="str">
        <f t="shared" ca="1" si="5"/>
        <v/>
      </c>
      <c r="M131" s="506" t="str">
        <f t="shared" ca="1" si="6"/>
        <v/>
      </c>
      <c r="O131" s="511" t="str">
        <f ca="1">IF('CDO Bespoke'!C156&lt;&gt;"",'CDO Bespoke'!C156,"")</f>
        <v/>
      </c>
      <c r="P131" s="513" t="str" cm="1">
        <f t="array" aca="1" ref="P131" ca="1">IF($O131&lt;&gt;"",-TRANSPOSE(INDEX(getcds('CDO Bespoke'!$C156,P$13,'CDO Bespoke'!$G156/10000,'CDO Bespoke'!F156,'CDO Bespoke'!D156,'CDO Bespoke'!$C$13,'CDO Bespoke'!$C$14,'CDO Bespoke'!$C$15,'CDO Bespoke'!$C$8,,,TRUE,TRUE,FALSE,'CDO Bespoke'!$C$29:'CDO Bespoke'!$C$31,'CDO Bespoke'!$C$33),{5})),"")</f>
        <v/>
      </c>
      <c r="Q131" s="524" t="str" cm="1">
        <f t="array" aca="1" ref="Q131" ca="1">IF($O131&lt;&gt;"",-TRANSPOSE(INDEX(getcds('CDO Bespoke'!$C156,Q$13,'CDO Bespoke'!$G156/10000,'CDO Bespoke'!G156,'CDO Bespoke'!E156,'CDO Bespoke'!$C$13,'CDO Bespoke'!$C$14,'CDO Bespoke'!$C$15,'CDO Bespoke'!$C$8,,,TRUE,TRUE,FALSE,'CDO Bespoke'!$C$29:'CDO Bespoke'!$C$31,'CDO Bespoke'!$C$33),{5})),"")</f>
        <v/>
      </c>
      <c r="R131" s="524" t="str" cm="1">
        <f t="array" aca="1" ref="R131" ca="1">IF($O131&lt;&gt;"",-TRANSPOSE(INDEX(getcds('CDO Bespoke'!$C156,R$13,'CDO Bespoke'!$G156/10000,'CDO Bespoke'!H156,'CDO Bespoke'!F156,'CDO Bespoke'!$C$13,'CDO Bespoke'!$C$14,'CDO Bespoke'!$C$15,'CDO Bespoke'!$C$8,,,TRUE,TRUE,FALSE,'CDO Bespoke'!$C$29:'CDO Bespoke'!$C$31,'CDO Bespoke'!$C$33),{5})),"")</f>
        <v/>
      </c>
      <c r="S131" s="524" t="str" cm="1">
        <f t="array" aca="1" ref="S131" ca="1">IF($O131&lt;&gt;"",-TRANSPOSE(INDEX(getcds('CDO Bespoke'!$C156,S$13,'CDO Bespoke'!$G156/10000,'CDO Bespoke'!I156,'CDO Bespoke'!G156,'CDO Bespoke'!$C$13,'CDO Bespoke'!$C$14,'CDO Bespoke'!$C$15,'CDO Bespoke'!$C$8,,,TRUE,TRUE,FALSE,'CDO Bespoke'!$C$29:'CDO Bespoke'!$C$31,'CDO Bespoke'!$C$33),{5})),"")</f>
        <v/>
      </c>
      <c r="T131" s="514" t="str" cm="1">
        <f t="array" aca="1" ref="T131" ca="1">IF($O131&lt;&gt;"",-TRANSPOSE(INDEX(getcds('CDO Bespoke'!$C156,T$13,'CDO Bespoke'!$G156/10000,'CDO Bespoke'!J156,'CDO Bespoke'!H156,'CDO Bespoke'!$C$13,'CDO Bespoke'!$C$14,'CDO Bespoke'!$C$15,'CDO Bespoke'!$C$8,,,TRUE,TRUE,FALSE,'CDO Bespoke'!$C$29:'CDO Bespoke'!$C$31,'CDO Bespoke'!$C$33),{5})),"")</f>
        <v/>
      </c>
      <c r="U131" s="493"/>
      <c r="V131" s="513"/>
      <c r="W131" s="572"/>
      <c r="X131" s="572"/>
      <c r="Y131" s="572"/>
      <c r="Z131" s="572"/>
      <c r="AA131" s="572"/>
      <c r="AB131" s="572"/>
      <c r="AC131" s="572"/>
      <c r="AD131" s="572"/>
      <c r="AE131" s="514"/>
    </row>
    <row r="132" spans="6:31" s="281" customFormat="1" ht="12" thickBot="1">
      <c r="F132" s="501" t="str">
        <f ca="1">IF('CDO Bespoke'!O133&lt;&gt;"",'CDO Bespoke'!O133,"")</f>
        <v/>
      </c>
      <c r="G132" s="502" t="str">
        <f ca="1">IF(F132&lt;&gt;"",ABS(MIN(-0.75*('CDO Bespoke'!Q133+'CDO Bespoke'!T133)+'CDO Bespoke'!T133,0)),"")</f>
        <v/>
      </c>
      <c r="H132" s="502" t="str">
        <f t="shared" ca="1" si="4"/>
        <v/>
      </c>
      <c r="I132" s="502" t="str">
        <f t="shared" ca="1" si="7"/>
        <v/>
      </c>
      <c r="J132" s="501" t="str">
        <f ca="1">IF('CDO Bespoke'!O133&lt;&gt;"",'CDO Bespoke'!O133,"")</f>
        <v/>
      </c>
      <c r="K132" s="502" t="str">
        <f ca="1">IF(J132&lt;&gt;"",ABS(MIN(-0.75*('CDO Bespoke'!K133+'CDO Bespoke'!T133)+'CDO Bespoke'!T133,0)),"")</f>
        <v/>
      </c>
      <c r="L132" s="502" t="str">
        <f t="shared" ca="1" si="5"/>
        <v/>
      </c>
      <c r="M132" s="506" t="str">
        <f t="shared" ca="1" si="6"/>
        <v/>
      </c>
      <c r="O132" s="511" t="str">
        <f ca="1">IF('CDO Bespoke'!C157&lt;&gt;"",'CDO Bespoke'!C157,"")</f>
        <v/>
      </c>
      <c r="P132" s="513" t="str" cm="1">
        <f t="array" aca="1" ref="P132" ca="1">IF($O132&lt;&gt;"",-TRANSPOSE(INDEX(getcds('CDO Bespoke'!$C157,P$13,'CDO Bespoke'!$G157/10000,'CDO Bespoke'!F157,'CDO Bespoke'!D157,'CDO Bespoke'!$C$13,'CDO Bespoke'!$C$14,'CDO Bespoke'!$C$15,'CDO Bespoke'!$C$8,,,TRUE,TRUE,FALSE,'CDO Bespoke'!$C$29:'CDO Bespoke'!$C$31,'CDO Bespoke'!$C$33),{5})),"")</f>
        <v/>
      </c>
      <c r="Q132" s="524" t="str" cm="1">
        <f t="array" aca="1" ref="Q132" ca="1">IF($O132&lt;&gt;"",-TRANSPOSE(INDEX(getcds('CDO Bespoke'!$C157,Q$13,'CDO Bespoke'!$G157/10000,'CDO Bespoke'!G157,'CDO Bespoke'!E157,'CDO Bespoke'!$C$13,'CDO Bespoke'!$C$14,'CDO Bespoke'!$C$15,'CDO Bespoke'!$C$8,,,TRUE,TRUE,FALSE,'CDO Bespoke'!$C$29:'CDO Bespoke'!$C$31,'CDO Bespoke'!$C$33),{5})),"")</f>
        <v/>
      </c>
      <c r="R132" s="524" t="str" cm="1">
        <f t="array" aca="1" ref="R132" ca="1">IF($O132&lt;&gt;"",-TRANSPOSE(INDEX(getcds('CDO Bespoke'!$C157,R$13,'CDO Bespoke'!$G157/10000,'CDO Bespoke'!H157,'CDO Bespoke'!F157,'CDO Bespoke'!$C$13,'CDO Bespoke'!$C$14,'CDO Bespoke'!$C$15,'CDO Bespoke'!$C$8,,,TRUE,TRUE,FALSE,'CDO Bespoke'!$C$29:'CDO Bespoke'!$C$31,'CDO Bespoke'!$C$33),{5})),"")</f>
        <v/>
      </c>
      <c r="S132" s="524" t="str" cm="1">
        <f t="array" aca="1" ref="S132" ca="1">IF($O132&lt;&gt;"",-TRANSPOSE(INDEX(getcds('CDO Bespoke'!$C157,S$13,'CDO Bespoke'!$G157/10000,'CDO Bespoke'!I157,'CDO Bespoke'!G157,'CDO Bespoke'!$C$13,'CDO Bespoke'!$C$14,'CDO Bespoke'!$C$15,'CDO Bespoke'!$C$8,,,TRUE,TRUE,FALSE,'CDO Bespoke'!$C$29:'CDO Bespoke'!$C$31,'CDO Bespoke'!$C$33),{5})),"")</f>
        <v/>
      </c>
      <c r="T132" s="514" t="str" cm="1">
        <f t="array" aca="1" ref="T132" ca="1">IF($O132&lt;&gt;"",-TRANSPOSE(INDEX(getcds('CDO Bespoke'!$C157,T$13,'CDO Bespoke'!$G157/10000,'CDO Bespoke'!J157,'CDO Bespoke'!H157,'CDO Bespoke'!$C$13,'CDO Bespoke'!$C$14,'CDO Bespoke'!$C$15,'CDO Bespoke'!$C$8,,,TRUE,TRUE,FALSE,'CDO Bespoke'!$C$29:'CDO Bespoke'!$C$31,'CDO Bespoke'!$C$33),{5})),"")</f>
        <v/>
      </c>
      <c r="U132" s="493"/>
      <c r="V132" s="513"/>
      <c r="W132" s="572"/>
      <c r="X132" s="572"/>
      <c r="Y132" s="572"/>
      <c r="Z132" s="572"/>
      <c r="AA132" s="572"/>
      <c r="AB132" s="572"/>
      <c r="AC132" s="572"/>
      <c r="AD132" s="572"/>
      <c r="AE132" s="514"/>
    </row>
    <row r="133" spans="6:31" s="281" customFormat="1" ht="12" thickBot="1">
      <c r="F133" s="501" t="str">
        <f ca="1">IF('CDO Bespoke'!O134&lt;&gt;"",'CDO Bespoke'!O134,"")</f>
        <v/>
      </c>
      <c r="G133" s="502" t="str">
        <f ca="1">IF(F133&lt;&gt;"",ABS(MIN(-0.75*('CDO Bespoke'!Q134+'CDO Bespoke'!T134)+'CDO Bespoke'!T134,0)),"")</f>
        <v/>
      </c>
      <c r="H133" s="502" t="str">
        <f t="shared" ca="1" si="4"/>
        <v/>
      </c>
      <c r="I133" s="502" t="str">
        <f t="shared" ca="1" si="7"/>
        <v/>
      </c>
      <c r="J133" s="501" t="str">
        <f ca="1">IF('CDO Bespoke'!O134&lt;&gt;"",'CDO Bespoke'!O134,"")</f>
        <v/>
      </c>
      <c r="K133" s="502" t="str">
        <f ca="1">IF(J133&lt;&gt;"",ABS(MIN(-0.75*('CDO Bespoke'!K134+'CDO Bespoke'!T134)+'CDO Bespoke'!T134,0)),"")</f>
        <v/>
      </c>
      <c r="L133" s="502" t="str">
        <f t="shared" ca="1" si="5"/>
        <v/>
      </c>
      <c r="M133" s="506" t="str">
        <f t="shared" ca="1" si="6"/>
        <v/>
      </c>
      <c r="O133" s="511" t="str">
        <f ca="1">IF('CDO Bespoke'!C158&lt;&gt;"",'CDO Bespoke'!C158,"")</f>
        <v/>
      </c>
      <c r="P133" s="513" t="str" cm="1">
        <f t="array" aca="1" ref="P133" ca="1">IF($O133&lt;&gt;"",-TRANSPOSE(INDEX(getcds('CDO Bespoke'!$C158,P$13,'CDO Bespoke'!$G158/10000,'CDO Bespoke'!F158,'CDO Bespoke'!D158,'CDO Bespoke'!$C$13,'CDO Bespoke'!$C$14,'CDO Bespoke'!$C$15,'CDO Bespoke'!$C$8,,,TRUE,TRUE,FALSE,'CDO Bespoke'!$C$29:'CDO Bespoke'!$C$31,'CDO Bespoke'!$C$33),{5})),"")</f>
        <v/>
      </c>
      <c r="Q133" s="524" t="str" cm="1">
        <f t="array" aca="1" ref="Q133" ca="1">IF($O133&lt;&gt;"",-TRANSPOSE(INDEX(getcds('CDO Bespoke'!$C158,Q$13,'CDO Bespoke'!$G158/10000,'CDO Bespoke'!G158,'CDO Bespoke'!E158,'CDO Bespoke'!$C$13,'CDO Bespoke'!$C$14,'CDO Bespoke'!$C$15,'CDO Bespoke'!$C$8,,,TRUE,TRUE,FALSE,'CDO Bespoke'!$C$29:'CDO Bespoke'!$C$31,'CDO Bespoke'!$C$33),{5})),"")</f>
        <v/>
      </c>
      <c r="R133" s="524" t="str" cm="1">
        <f t="array" aca="1" ref="R133" ca="1">IF($O133&lt;&gt;"",-TRANSPOSE(INDEX(getcds('CDO Bespoke'!$C158,R$13,'CDO Bespoke'!$G158/10000,'CDO Bespoke'!H158,'CDO Bespoke'!F158,'CDO Bespoke'!$C$13,'CDO Bespoke'!$C$14,'CDO Bespoke'!$C$15,'CDO Bespoke'!$C$8,,,TRUE,TRUE,FALSE,'CDO Bespoke'!$C$29:'CDO Bespoke'!$C$31,'CDO Bespoke'!$C$33),{5})),"")</f>
        <v/>
      </c>
      <c r="S133" s="524" t="str" cm="1">
        <f t="array" aca="1" ref="S133" ca="1">IF($O133&lt;&gt;"",-TRANSPOSE(INDEX(getcds('CDO Bespoke'!$C158,S$13,'CDO Bespoke'!$G158/10000,'CDO Bespoke'!I158,'CDO Bespoke'!G158,'CDO Bespoke'!$C$13,'CDO Bespoke'!$C$14,'CDO Bespoke'!$C$15,'CDO Bespoke'!$C$8,,,TRUE,TRUE,FALSE,'CDO Bespoke'!$C$29:'CDO Bespoke'!$C$31,'CDO Bespoke'!$C$33),{5})),"")</f>
        <v/>
      </c>
      <c r="T133" s="514" t="str" cm="1">
        <f t="array" aca="1" ref="T133" ca="1">IF($O133&lt;&gt;"",-TRANSPOSE(INDEX(getcds('CDO Bespoke'!$C158,T$13,'CDO Bespoke'!$G158/10000,'CDO Bespoke'!J158,'CDO Bespoke'!H158,'CDO Bespoke'!$C$13,'CDO Bespoke'!$C$14,'CDO Bespoke'!$C$15,'CDO Bespoke'!$C$8,,,TRUE,TRUE,FALSE,'CDO Bespoke'!$C$29:'CDO Bespoke'!$C$31,'CDO Bespoke'!$C$33),{5})),"")</f>
        <v/>
      </c>
      <c r="U133" s="493"/>
      <c r="V133" s="513"/>
      <c r="W133" s="572"/>
      <c r="X133" s="572"/>
      <c r="Y133" s="572"/>
      <c r="Z133" s="572"/>
      <c r="AA133" s="572"/>
      <c r="AB133" s="572"/>
      <c r="AC133" s="572"/>
      <c r="AD133" s="572"/>
      <c r="AE133" s="514"/>
    </row>
    <row r="134" spans="6:31" s="281" customFormat="1" ht="12" thickBot="1">
      <c r="F134" s="501" t="str">
        <f ca="1">IF('CDO Bespoke'!O135&lt;&gt;"",'CDO Bespoke'!O135,"")</f>
        <v/>
      </c>
      <c r="G134" s="502" t="str">
        <f ca="1">IF(F134&lt;&gt;"",ABS(MIN(-0.75*('CDO Bespoke'!Q135+'CDO Bespoke'!T135)+'CDO Bespoke'!T135,0)),"")</f>
        <v/>
      </c>
      <c r="H134" s="502" t="str">
        <f t="shared" ca="1" si="4"/>
        <v/>
      </c>
      <c r="I134" s="502" t="str">
        <f t="shared" ca="1" si="7"/>
        <v/>
      </c>
      <c r="J134" s="501" t="str">
        <f ca="1">IF('CDO Bespoke'!O135&lt;&gt;"",'CDO Bespoke'!O135,"")</f>
        <v/>
      </c>
      <c r="K134" s="502" t="str">
        <f ca="1">IF(J134&lt;&gt;"",ABS(MIN(-0.75*('CDO Bespoke'!K135+'CDO Bespoke'!T135)+'CDO Bespoke'!T135,0)),"")</f>
        <v/>
      </c>
      <c r="L134" s="502" t="str">
        <f t="shared" ca="1" si="5"/>
        <v/>
      </c>
      <c r="M134" s="506" t="str">
        <f t="shared" ca="1" si="6"/>
        <v/>
      </c>
      <c r="O134" s="511" t="str">
        <f ca="1">IF('CDO Bespoke'!C159&lt;&gt;"",'CDO Bespoke'!C159,"")</f>
        <v/>
      </c>
      <c r="P134" s="513" t="str" cm="1">
        <f t="array" aca="1" ref="P134" ca="1">IF($O134&lt;&gt;"",-TRANSPOSE(INDEX(getcds('CDO Bespoke'!$C159,P$13,'CDO Bespoke'!$G159/10000,'CDO Bespoke'!F159,'CDO Bespoke'!D159,'CDO Bespoke'!$C$13,'CDO Bespoke'!$C$14,'CDO Bespoke'!$C$15,'CDO Bespoke'!$C$8,,,TRUE,TRUE,FALSE,'CDO Bespoke'!$C$29:'CDO Bespoke'!$C$31,'CDO Bespoke'!$C$33),{5})),"")</f>
        <v/>
      </c>
      <c r="Q134" s="524" t="str" cm="1">
        <f t="array" aca="1" ref="Q134" ca="1">IF($O134&lt;&gt;"",-TRANSPOSE(INDEX(getcds('CDO Bespoke'!$C159,Q$13,'CDO Bespoke'!$G159/10000,'CDO Bespoke'!G159,'CDO Bespoke'!E159,'CDO Bespoke'!$C$13,'CDO Bespoke'!$C$14,'CDO Bespoke'!$C$15,'CDO Bespoke'!$C$8,,,TRUE,TRUE,FALSE,'CDO Bespoke'!$C$29:'CDO Bespoke'!$C$31,'CDO Bespoke'!$C$33),{5})),"")</f>
        <v/>
      </c>
      <c r="R134" s="524" t="str" cm="1">
        <f t="array" aca="1" ref="R134" ca="1">IF($O134&lt;&gt;"",-TRANSPOSE(INDEX(getcds('CDO Bespoke'!$C159,R$13,'CDO Bespoke'!$G159/10000,'CDO Bespoke'!H159,'CDO Bespoke'!F159,'CDO Bespoke'!$C$13,'CDO Bespoke'!$C$14,'CDO Bespoke'!$C$15,'CDO Bespoke'!$C$8,,,TRUE,TRUE,FALSE,'CDO Bespoke'!$C$29:'CDO Bespoke'!$C$31,'CDO Bespoke'!$C$33),{5})),"")</f>
        <v/>
      </c>
      <c r="S134" s="524" t="str" cm="1">
        <f t="array" aca="1" ref="S134" ca="1">IF($O134&lt;&gt;"",-TRANSPOSE(INDEX(getcds('CDO Bespoke'!$C159,S$13,'CDO Bespoke'!$G159/10000,'CDO Bespoke'!I159,'CDO Bespoke'!G159,'CDO Bespoke'!$C$13,'CDO Bespoke'!$C$14,'CDO Bespoke'!$C$15,'CDO Bespoke'!$C$8,,,TRUE,TRUE,FALSE,'CDO Bespoke'!$C$29:'CDO Bespoke'!$C$31,'CDO Bespoke'!$C$33),{5})),"")</f>
        <v/>
      </c>
      <c r="T134" s="514" t="str" cm="1">
        <f t="array" aca="1" ref="T134" ca="1">IF($O134&lt;&gt;"",-TRANSPOSE(INDEX(getcds('CDO Bespoke'!$C159,T$13,'CDO Bespoke'!$G159/10000,'CDO Bespoke'!J159,'CDO Bespoke'!H159,'CDO Bespoke'!$C$13,'CDO Bespoke'!$C$14,'CDO Bespoke'!$C$15,'CDO Bespoke'!$C$8,,,TRUE,TRUE,FALSE,'CDO Bespoke'!$C$29:'CDO Bespoke'!$C$31,'CDO Bespoke'!$C$33),{5})),"")</f>
        <v/>
      </c>
      <c r="U134" s="493"/>
      <c r="V134" s="513"/>
      <c r="W134" s="572"/>
      <c r="X134" s="572"/>
      <c r="Y134" s="572"/>
      <c r="Z134" s="572"/>
      <c r="AA134" s="572"/>
      <c r="AB134" s="572"/>
      <c r="AC134" s="572"/>
      <c r="AD134" s="572"/>
      <c r="AE134" s="514"/>
    </row>
    <row r="135" spans="6:31" s="281" customFormat="1" ht="12" thickBot="1">
      <c r="F135" s="501" t="str">
        <f ca="1">IF('CDO Bespoke'!O136&lt;&gt;"",'CDO Bespoke'!O136,"")</f>
        <v/>
      </c>
      <c r="G135" s="502" t="str">
        <f ca="1">IF(F135&lt;&gt;"",ABS(MIN(-0.75*('CDO Bespoke'!Q136+'CDO Bespoke'!T136)+'CDO Bespoke'!T136,0)),"")</f>
        <v/>
      </c>
      <c r="H135" s="502" t="str">
        <f t="shared" ca="1" si="4"/>
        <v/>
      </c>
      <c r="I135" s="502" t="str">
        <f t="shared" ca="1" si="7"/>
        <v/>
      </c>
      <c r="J135" s="501" t="str">
        <f ca="1">IF('CDO Bespoke'!O136&lt;&gt;"",'CDO Bespoke'!O136,"")</f>
        <v/>
      </c>
      <c r="K135" s="502" t="str">
        <f ca="1">IF(J135&lt;&gt;"",ABS(MIN(-0.75*('CDO Bespoke'!K136+'CDO Bespoke'!T136)+'CDO Bespoke'!T136,0)),"")</f>
        <v/>
      </c>
      <c r="L135" s="502" t="str">
        <f t="shared" ca="1" si="5"/>
        <v/>
      </c>
      <c r="M135" s="506" t="str">
        <f t="shared" ca="1" si="6"/>
        <v/>
      </c>
      <c r="O135" s="511" t="str">
        <f ca="1">IF('CDO Bespoke'!C160&lt;&gt;"",'CDO Bespoke'!C160,"")</f>
        <v/>
      </c>
      <c r="P135" s="513" t="str" cm="1">
        <f t="array" aca="1" ref="P135" ca="1">IF($O135&lt;&gt;"",-TRANSPOSE(INDEX(getcds('CDO Bespoke'!$C160,P$13,'CDO Bespoke'!$G160/10000,'CDO Bespoke'!F160,'CDO Bespoke'!D160,'CDO Bespoke'!$C$13,'CDO Bespoke'!$C$14,'CDO Bespoke'!$C$15,'CDO Bespoke'!$C$8,,,TRUE,TRUE,FALSE,'CDO Bespoke'!$C$29:'CDO Bespoke'!$C$31,'CDO Bespoke'!$C$33),{5})),"")</f>
        <v/>
      </c>
      <c r="Q135" s="524" t="str" cm="1">
        <f t="array" aca="1" ref="Q135" ca="1">IF($O135&lt;&gt;"",-TRANSPOSE(INDEX(getcds('CDO Bespoke'!$C160,Q$13,'CDO Bespoke'!$G160/10000,'CDO Bespoke'!G160,'CDO Bespoke'!E160,'CDO Bespoke'!$C$13,'CDO Bespoke'!$C$14,'CDO Bespoke'!$C$15,'CDO Bespoke'!$C$8,,,TRUE,TRUE,FALSE,'CDO Bespoke'!$C$29:'CDO Bespoke'!$C$31,'CDO Bespoke'!$C$33),{5})),"")</f>
        <v/>
      </c>
      <c r="R135" s="524" t="str" cm="1">
        <f t="array" aca="1" ref="R135" ca="1">IF($O135&lt;&gt;"",-TRANSPOSE(INDEX(getcds('CDO Bespoke'!$C160,R$13,'CDO Bespoke'!$G160/10000,'CDO Bespoke'!H160,'CDO Bespoke'!F160,'CDO Bespoke'!$C$13,'CDO Bespoke'!$C$14,'CDO Bespoke'!$C$15,'CDO Bespoke'!$C$8,,,TRUE,TRUE,FALSE,'CDO Bespoke'!$C$29:'CDO Bespoke'!$C$31,'CDO Bespoke'!$C$33),{5})),"")</f>
        <v/>
      </c>
      <c r="S135" s="524" t="str" cm="1">
        <f t="array" aca="1" ref="S135" ca="1">IF($O135&lt;&gt;"",-TRANSPOSE(INDEX(getcds('CDO Bespoke'!$C160,S$13,'CDO Bespoke'!$G160/10000,'CDO Bespoke'!I160,'CDO Bespoke'!G160,'CDO Bespoke'!$C$13,'CDO Bespoke'!$C$14,'CDO Bespoke'!$C$15,'CDO Bespoke'!$C$8,,,TRUE,TRUE,FALSE,'CDO Bespoke'!$C$29:'CDO Bespoke'!$C$31,'CDO Bespoke'!$C$33),{5})),"")</f>
        <v/>
      </c>
      <c r="T135" s="514" t="str" cm="1">
        <f t="array" aca="1" ref="T135" ca="1">IF($O135&lt;&gt;"",-TRANSPOSE(INDEX(getcds('CDO Bespoke'!$C160,T$13,'CDO Bespoke'!$G160/10000,'CDO Bespoke'!J160,'CDO Bespoke'!H160,'CDO Bespoke'!$C$13,'CDO Bespoke'!$C$14,'CDO Bespoke'!$C$15,'CDO Bespoke'!$C$8,,,TRUE,TRUE,FALSE,'CDO Bespoke'!$C$29:'CDO Bespoke'!$C$31,'CDO Bespoke'!$C$33),{5})),"")</f>
        <v/>
      </c>
      <c r="U135" s="493"/>
      <c r="V135" s="513"/>
      <c r="W135" s="572"/>
      <c r="X135" s="572"/>
      <c r="Y135" s="572"/>
      <c r="Z135" s="572"/>
      <c r="AA135" s="572"/>
      <c r="AB135" s="572"/>
      <c r="AC135" s="572"/>
      <c r="AD135" s="572"/>
      <c r="AE135" s="514"/>
    </row>
    <row r="136" spans="6:31" s="281" customFormat="1" ht="12" thickBot="1">
      <c r="F136" s="501" t="str">
        <f ca="1">IF('CDO Bespoke'!O137&lt;&gt;"",'CDO Bespoke'!O137,"")</f>
        <v/>
      </c>
      <c r="G136" s="502" t="str">
        <f ca="1">IF(F136&lt;&gt;"",ABS(MIN(-0.75*('CDO Bespoke'!Q137+'CDO Bespoke'!T137)+'CDO Bespoke'!T137,0)),"")</f>
        <v/>
      </c>
      <c r="H136" s="502" t="str">
        <f t="shared" ca="1" si="4"/>
        <v/>
      </c>
      <c r="I136" s="502" t="str">
        <f t="shared" ca="1" si="7"/>
        <v/>
      </c>
      <c r="J136" s="501" t="str">
        <f ca="1">IF('CDO Bespoke'!O137&lt;&gt;"",'CDO Bespoke'!O137,"")</f>
        <v/>
      </c>
      <c r="K136" s="502" t="str">
        <f ca="1">IF(J136&lt;&gt;"",ABS(MIN(-0.75*('CDO Bespoke'!K137+'CDO Bespoke'!T137)+'CDO Bespoke'!T137,0)),"")</f>
        <v/>
      </c>
      <c r="L136" s="502" t="str">
        <f t="shared" ca="1" si="5"/>
        <v/>
      </c>
      <c r="M136" s="506" t="str">
        <f t="shared" ca="1" si="6"/>
        <v/>
      </c>
      <c r="O136" s="511" t="str">
        <f ca="1">IF('CDO Bespoke'!C161&lt;&gt;"",'CDO Bespoke'!C161,"")</f>
        <v/>
      </c>
      <c r="P136" s="513" t="str" cm="1">
        <f t="array" aca="1" ref="P136" ca="1">IF($O136&lt;&gt;"",-TRANSPOSE(INDEX(getcds('CDO Bespoke'!$C161,P$13,'CDO Bespoke'!$G161/10000,'CDO Bespoke'!F161,'CDO Bespoke'!D161,'CDO Bespoke'!$C$13,'CDO Bespoke'!$C$14,'CDO Bespoke'!$C$15,'CDO Bespoke'!$C$8,,,TRUE,TRUE,FALSE,'CDO Bespoke'!$C$29:'CDO Bespoke'!$C$31,'CDO Bespoke'!$C$33),{5})),"")</f>
        <v/>
      </c>
      <c r="Q136" s="524" t="str" cm="1">
        <f t="array" aca="1" ref="Q136" ca="1">IF($O136&lt;&gt;"",-TRANSPOSE(INDEX(getcds('CDO Bespoke'!$C161,Q$13,'CDO Bespoke'!$G161/10000,'CDO Bespoke'!G161,'CDO Bespoke'!E161,'CDO Bespoke'!$C$13,'CDO Bespoke'!$C$14,'CDO Bespoke'!$C$15,'CDO Bespoke'!$C$8,,,TRUE,TRUE,FALSE,'CDO Bespoke'!$C$29:'CDO Bespoke'!$C$31,'CDO Bespoke'!$C$33),{5})),"")</f>
        <v/>
      </c>
      <c r="R136" s="524" t="str" cm="1">
        <f t="array" aca="1" ref="R136" ca="1">IF($O136&lt;&gt;"",-TRANSPOSE(INDEX(getcds('CDO Bespoke'!$C161,R$13,'CDO Bespoke'!$G161/10000,'CDO Bespoke'!H161,'CDO Bespoke'!F161,'CDO Bespoke'!$C$13,'CDO Bespoke'!$C$14,'CDO Bespoke'!$C$15,'CDO Bespoke'!$C$8,,,TRUE,TRUE,FALSE,'CDO Bespoke'!$C$29:'CDO Bespoke'!$C$31,'CDO Bespoke'!$C$33),{5})),"")</f>
        <v/>
      </c>
      <c r="S136" s="524" t="str" cm="1">
        <f t="array" aca="1" ref="S136" ca="1">IF($O136&lt;&gt;"",-TRANSPOSE(INDEX(getcds('CDO Bespoke'!$C161,S$13,'CDO Bespoke'!$G161/10000,'CDO Bespoke'!I161,'CDO Bespoke'!G161,'CDO Bespoke'!$C$13,'CDO Bespoke'!$C$14,'CDO Bespoke'!$C$15,'CDO Bespoke'!$C$8,,,TRUE,TRUE,FALSE,'CDO Bespoke'!$C$29:'CDO Bespoke'!$C$31,'CDO Bespoke'!$C$33),{5})),"")</f>
        <v/>
      </c>
      <c r="T136" s="514" t="str" cm="1">
        <f t="array" aca="1" ref="T136" ca="1">IF($O136&lt;&gt;"",-TRANSPOSE(INDEX(getcds('CDO Bespoke'!$C161,T$13,'CDO Bespoke'!$G161/10000,'CDO Bespoke'!J161,'CDO Bespoke'!H161,'CDO Bespoke'!$C$13,'CDO Bespoke'!$C$14,'CDO Bespoke'!$C$15,'CDO Bespoke'!$C$8,,,TRUE,TRUE,FALSE,'CDO Bespoke'!$C$29:'CDO Bespoke'!$C$31,'CDO Bespoke'!$C$33),{5})),"")</f>
        <v/>
      </c>
      <c r="U136" s="493"/>
      <c r="V136" s="513"/>
      <c r="W136" s="572"/>
      <c r="X136" s="572"/>
      <c r="Y136" s="572"/>
      <c r="Z136" s="572"/>
      <c r="AA136" s="572"/>
      <c r="AB136" s="572"/>
      <c r="AC136" s="572"/>
      <c r="AD136" s="572"/>
      <c r="AE136" s="514"/>
    </row>
    <row r="137" spans="6:31" s="281" customFormat="1" ht="12" thickBot="1">
      <c r="F137" s="501" t="str">
        <f ca="1">IF('CDO Bespoke'!O138&lt;&gt;"",'CDO Bespoke'!O138,"")</f>
        <v/>
      </c>
      <c r="G137" s="502" t="str">
        <f ca="1">IF(F137&lt;&gt;"",ABS(MIN(-0.75*('CDO Bespoke'!Q138+'CDO Bespoke'!T138)+'CDO Bespoke'!T138,0)),"")</f>
        <v/>
      </c>
      <c r="H137" s="502" t="str">
        <f t="shared" ca="1" si="4"/>
        <v/>
      </c>
      <c r="I137" s="502" t="str">
        <f t="shared" ca="1" si="7"/>
        <v/>
      </c>
      <c r="J137" s="501" t="str">
        <f ca="1">IF('CDO Bespoke'!O138&lt;&gt;"",'CDO Bespoke'!O138,"")</f>
        <v/>
      </c>
      <c r="K137" s="502" t="str">
        <f ca="1">IF(J137&lt;&gt;"",ABS(MIN(-0.75*('CDO Bespoke'!K138+'CDO Bespoke'!T138)+'CDO Bespoke'!T138,0)),"")</f>
        <v/>
      </c>
      <c r="L137" s="502" t="str">
        <f t="shared" ca="1" si="5"/>
        <v/>
      </c>
      <c r="M137" s="506" t="str">
        <f t="shared" ca="1" si="6"/>
        <v/>
      </c>
      <c r="O137" s="511" t="str">
        <f ca="1">IF('CDO Bespoke'!C162&lt;&gt;"",'CDO Bespoke'!C162,"")</f>
        <v/>
      </c>
      <c r="P137" s="513" t="str" cm="1">
        <f t="array" aca="1" ref="P137" ca="1">IF($O137&lt;&gt;"",-TRANSPOSE(INDEX(getcds('CDO Bespoke'!$C162,P$13,'CDO Bespoke'!$G162/10000,'CDO Bespoke'!F162,'CDO Bespoke'!D162,'CDO Bespoke'!$C$13,'CDO Bespoke'!$C$14,'CDO Bespoke'!$C$15,'CDO Bespoke'!$C$8,,,TRUE,TRUE,FALSE,'CDO Bespoke'!$C$29:'CDO Bespoke'!$C$31,'CDO Bespoke'!$C$33),{5})),"")</f>
        <v/>
      </c>
      <c r="Q137" s="524" t="str" cm="1">
        <f t="array" aca="1" ref="Q137" ca="1">IF($O137&lt;&gt;"",-TRANSPOSE(INDEX(getcds('CDO Bespoke'!$C162,Q$13,'CDO Bespoke'!$G162/10000,'CDO Bespoke'!G162,'CDO Bespoke'!E162,'CDO Bespoke'!$C$13,'CDO Bespoke'!$C$14,'CDO Bespoke'!$C$15,'CDO Bespoke'!$C$8,,,TRUE,TRUE,FALSE,'CDO Bespoke'!$C$29:'CDO Bespoke'!$C$31,'CDO Bespoke'!$C$33),{5})),"")</f>
        <v/>
      </c>
      <c r="R137" s="524" t="str" cm="1">
        <f t="array" aca="1" ref="R137" ca="1">IF($O137&lt;&gt;"",-TRANSPOSE(INDEX(getcds('CDO Bespoke'!$C162,R$13,'CDO Bespoke'!$G162/10000,'CDO Bespoke'!H162,'CDO Bespoke'!F162,'CDO Bespoke'!$C$13,'CDO Bespoke'!$C$14,'CDO Bespoke'!$C$15,'CDO Bespoke'!$C$8,,,TRUE,TRUE,FALSE,'CDO Bespoke'!$C$29:'CDO Bespoke'!$C$31,'CDO Bespoke'!$C$33),{5})),"")</f>
        <v/>
      </c>
      <c r="S137" s="524" t="str" cm="1">
        <f t="array" aca="1" ref="S137" ca="1">IF($O137&lt;&gt;"",-TRANSPOSE(INDEX(getcds('CDO Bespoke'!$C162,S$13,'CDO Bespoke'!$G162/10000,'CDO Bespoke'!I162,'CDO Bespoke'!G162,'CDO Bespoke'!$C$13,'CDO Bespoke'!$C$14,'CDO Bespoke'!$C$15,'CDO Bespoke'!$C$8,,,TRUE,TRUE,FALSE,'CDO Bespoke'!$C$29:'CDO Bespoke'!$C$31,'CDO Bespoke'!$C$33),{5})),"")</f>
        <v/>
      </c>
      <c r="T137" s="514" t="str" cm="1">
        <f t="array" aca="1" ref="T137" ca="1">IF($O137&lt;&gt;"",-TRANSPOSE(INDEX(getcds('CDO Bespoke'!$C162,T$13,'CDO Bespoke'!$G162/10000,'CDO Bespoke'!J162,'CDO Bespoke'!H162,'CDO Bespoke'!$C$13,'CDO Bespoke'!$C$14,'CDO Bespoke'!$C$15,'CDO Bespoke'!$C$8,,,TRUE,TRUE,FALSE,'CDO Bespoke'!$C$29:'CDO Bespoke'!$C$31,'CDO Bespoke'!$C$33),{5})),"")</f>
        <v/>
      </c>
      <c r="U137" s="493"/>
      <c r="V137" s="513"/>
      <c r="W137" s="572"/>
      <c r="X137" s="572"/>
      <c r="Y137" s="572"/>
      <c r="Z137" s="572"/>
      <c r="AA137" s="572"/>
      <c r="AB137" s="572"/>
      <c r="AC137" s="572"/>
      <c r="AD137" s="572"/>
      <c r="AE137" s="514"/>
    </row>
    <row r="138" spans="6:31" s="281" customFormat="1" ht="12" thickBot="1">
      <c r="F138" s="501" t="str">
        <f ca="1">IF('CDO Bespoke'!O139&lt;&gt;"",'CDO Bespoke'!O139,"")</f>
        <v/>
      </c>
      <c r="G138" s="502" t="str">
        <f ca="1">IF(F138&lt;&gt;"",ABS(MIN(-0.75*('CDO Bespoke'!Q139+'CDO Bespoke'!T139)+'CDO Bespoke'!T139,0)),"")</f>
        <v/>
      </c>
      <c r="H138" s="502" t="str">
        <f t="shared" ca="1" si="4"/>
        <v/>
      </c>
      <c r="I138" s="502" t="str">
        <f t="shared" ca="1" si="7"/>
        <v/>
      </c>
      <c r="J138" s="501" t="str">
        <f ca="1">IF('CDO Bespoke'!O139&lt;&gt;"",'CDO Bespoke'!O139,"")</f>
        <v/>
      </c>
      <c r="K138" s="502" t="str">
        <f ca="1">IF(J138&lt;&gt;"",ABS(MIN(-0.75*('CDO Bespoke'!K139+'CDO Bespoke'!T139)+'CDO Bespoke'!T139,0)),"")</f>
        <v/>
      </c>
      <c r="L138" s="502" t="str">
        <f t="shared" ca="1" si="5"/>
        <v/>
      </c>
      <c r="M138" s="506" t="str">
        <f t="shared" ca="1" si="6"/>
        <v/>
      </c>
      <c r="O138" s="511" t="str">
        <f ca="1">IF('CDO Bespoke'!C163&lt;&gt;"",'CDO Bespoke'!C163,"")</f>
        <v/>
      </c>
      <c r="P138" s="513" t="str" cm="1">
        <f t="array" aca="1" ref="P138" ca="1">IF($O138&lt;&gt;"",-TRANSPOSE(INDEX(getcds('CDO Bespoke'!$C163,P$13,'CDO Bespoke'!$G163/10000,'CDO Bespoke'!F163,'CDO Bespoke'!D163,'CDO Bespoke'!$C$13,'CDO Bespoke'!$C$14,'CDO Bespoke'!$C$15,'CDO Bespoke'!$C$8,,,TRUE,TRUE,FALSE,'CDO Bespoke'!$C$29:'CDO Bespoke'!$C$31,'CDO Bespoke'!$C$33),{5})),"")</f>
        <v/>
      </c>
      <c r="Q138" s="524" t="str" cm="1">
        <f t="array" aca="1" ref="Q138" ca="1">IF($O138&lt;&gt;"",-TRANSPOSE(INDEX(getcds('CDO Bespoke'!$C163,Q$13,'CDO Bespoke'!$G163/10000,'CDO Bespoke'!G163,'CDO Bespoke'!E163,'CDO Bespoke'!$C$13,'CDO Bespoke'!$C$14,'CDO Bespoke'!$C$15,'CDO Bespoke'!$C$8,,,TRUE,TRUE,FALSE,'CDO Bespoke'!$C$29:'CDO Bespoke'!$C$31,'CDO Bespoke'!$C$33),{5})),"")</f>
        <v/>
      </c>
      <c r="R138" s="524" t="str" cm="1">
        <f t="array" aca="1" ref="R138" ca="1">IF($O138&lt;&gt;"",-TRANSPOSE(INDEX(getcds('CDO Bespoke'!$C163,R$13,'CDO Bespoke'!$G163/10000,'CDO Bespoke'!H163,'CDO Bespoke'!F163,'CDO Bespoke'!$C$13,'CDO Bespoke'!$C$14,'CDO Bespoke'!$C$15,'CDO Bespoke'!$C$8,,,TRUE,TRUE,FALSE,'CDO Bespoke'!$C$29:'CDO Bespoke'!$C$31,'CDO Bespoke'!$C$33),{5})),"")</f>
        <v/>
      </c>
      <c r="S138" s="524" t="str" cm="1">
        <f t="array" aca="1" ref="S138" ca="1">IF($O138&lt;&gt;"",-TRANSPOSE(INDEX(getcds('CDO Bespoke'!$C163,S$13,'CDO Bespoke'!$G163/10000,'CDO Bespoke'!I163,'CDO Bespoke'!G163,'CDO Bespoke'!$C$13,'CDO Bespoke'!$C$14,'CDO Bespoke'!$C$15,'CDO Bespoke'!$C$8,,,TRUE,TRUE,FALSE,'CDO Bespoke'!$C$29:'CDO Bespoke'!$C$31,'CDO Bespoke'!$C$33),{5})),"")</f>
        <v/>
      </c>
      <c r="T138" s="514" t="str" cm="1">
        <f t="array" aca="1" ref="T138" ca="1">IF($O138&lt;&gt;"",-TRANSPOSE(INDEX(getcds('CDO Bespoke'!$C163,T$13,'CDO Bespoke'!$G163/10000,'CDO Bespoke'!J163,'CDO Bespoke'!H163,'CDO Bespoke'!$C$13,'CDO Bespoke'!$C$14,'CDO Bespoke'!$C$15,'CDO Bespoke'!$C$8,,,TRUE,TRUE,FALSE,'CDO Bespoke'!$C$29:'CDO Bespoke'!$C$31,'CDO Bespoke'!$C$33),{5})),"")</f>
        <v/>
      </c>
      <c r="U138" s="493"/>
      <c r="V138" s="513"/>
      <c r="W138" s="572"/>
      <c r="X138" s="572"/>
      <c r="Y138" s="572"/>
      <c r="Z138" s="572"/>
      <c r="AA138" s="572"/>
      <c r="AB138" s="572"/>
      <c r="AC138" s="572"/>
      <c r="AD138" s="572"/>
      <c r="AE138" s="514"/>
    </row>
    <row r="139" spans="6:31" s="281" customFormat="1" ht="12" thickBot="1">
      <c r="F139" s="501" t="str">
        <f ca="1">IF('CDO Bespoke'!O140&lt;&gt;"",'CDO Bespoke'!O140,"")</f>
        <v/>
      </c>
      <c r="G139" s="502" t="str">
        <f ca="1">IF(F139&lt;&gt;"",ABS(MIN(-0.75*('CDO Bespoke'!Q140+'CDO Bespoke'!T140)+'CDO Bespoke'!T140,0)),"")</f>
        <v/>
      </c>
      <c r="H139" s="502" t="str">
        <f t="shared" ca="1" si="4"/>
        <v/>
      </c>
      <c r="I139" s="502" t="str">
        <f t="shared" ca="1" si="7"/>
        <v/>
      </c>
      <c r="J139" s="501" t="str">
        <f ca="1">IF('CDO Bespoke'!O140&lt;&gt;"",'CDO Bespoke'!O140,"")</f>
        <v/>
      </c>
      <c r="K139" s="502" t="str">
        <f ca="1">IF(J139&lt;&gt;"",ABS(MIN(-0.75*('CDO Bespoke'!K140+'CDO Bespoke'!T140)+'CDO Bespoke'!T140,0)),"")</f>
        <v/>
      </c>
      <c r="L139" s="502" t="str">
        <f t="shared" ca="1" si="5"/>
        <v/>
      </c>
      <c r="M139" s="506" t="str">
        <f t="shared" ca="1" si="6"/>
        <v/>
      </c>
      <c r="O139" s="511" t="str">
        <f ca="1">IF('CDO Bespoke'!C164&lt;&gt;"",'CDO Bespoke'!C164,"")</f>
        <v/>
      </c>
      <c r="P139" s="513" t="str" cm="1">
        <f t="array" aca="1" ref="P139" ca="1">IF($O139&lt;&gt;"",-TRANSPOSE(INDEX(getcds('CDO Bespoke'!$C164,P$13,'CDO Bespoke'!$G164/10000,'CDO Bespoke'!F164,'CDO Bespoke'!D164,'CDO Bespoke'!$C$13,'CDO Bespoke'!$C$14,'CDO Bespoke'!$C$15,'CDO Bespoke'!$C$8,,,TRUE,TRUE,FALSE,'CDO Bespoke'!$C$29:'CDO Bespoke'!$C$31,'CDO Bespoke'!$C$33),{5})),"")</f>
        <v/>
      </c>
      <c r="Q139" s="524" t="str" cm="1">
        <f t="array" aca="1" ref="Q139" ca="1">IF($O139&lt;&gt;"",-TRANSPOSE(INDEX(getcds('CDO Bespoke'!$C164,Q$13,'CDO Bespoke'!$G164/10000,'CDO Bespoke'!G164,'CDO Bespoke'!E164,'CDO Bespoke'!$C$13,'CDO Bespoke'!$C$14,'CDO Bespoke'!$C$15,'CDO Bespoke'!$C$8,,,TRUE,TRUE,FALSE,'CDO Bespoke'!$C$29:'CDO Bespoke'!$C$31,'CDO Bespoke'!$C$33),{5})),"")</f>
        <v/>
      </c>
      <c r="R139" s="524" t="str" cm="1">
        <f t="array" aca="1" ref="R139" ca="1">IF($O139&lt;&gt;"",-TRANSPOSE(INDEX(getcds('CDO Bespoke'!$C164,R$13,'CDO Bespoke'!$G164/10000,'CDO Bespoke'!H164,'CDO Bespoke'!F164,'CDO Bespoke'!$C$13,'CDO Bespoke'!$C$14,'CDO Bespoke'!$C$15,'CDO Bespoke'!$C$8,,,TRUE,TRUE,FALSE,'CDO Bespoke'!$C$29:'CDO Bespoke'!$C$31,'CDO Bespoke'!$C$33),{5})),"")</f>
        <v/>
      </c>
      <c r="S139" s="524" t="str" cm="1">
        <f t="array" aca="1" ref="S139" ca="1">IF($O139&lt;&gt;"",-TRANSPOSE(INDEX(getcds('CDO Bespoke'!$C164,S$13,'CDO Bespoke'!$G164/10000,'CDO Bespoke'!I164,'CDO Bespoke'!G164,'CDO Bespoke'!$C$13,'CDO Bespoke'!$C$14,'CDO Bespoke'!$C$15,'CDO Bespoke'!$C$8,,,TRUE,TRUE,FALSE,'CDO Bespoke'!$C$29:'CDO Bespoke'!$C$31,'CDO Bespoke'!$C$33),{5})),"")</f>
        <v/>
      </c>
      <c r="T139" s="514" t="str" cm="1">
        <f t="array" aca="1" ref="T139" ca="1">IF($O139&lt;&gt;"",-TRANSPOSE(INDEX(getcds('CDO Bespoke'!$C164,T$13,'CDO Bespoke'!$G164/10000,'CDO Bespoke'!J164,'CDO Bespoke'!H164,'CDO Bespoke'!$C$13,'CDO Bespoke'!$C$14,'CDO Bespoke'!$C$15,'CDO Bespoke'!$C$8,,,TRUE,TRUE,FALSE,'CDO Bespoke'!$C$29:'CDO Bespoke'!$C$31,'CDO Bespoke'!$C$33),{5})),"")</f>
        <v/>
      </c>
      <c r="U139" s="493"/>
      <c r="V139" s="513"/>
      <c r="W139" s="572"/>
      <c r="X139" s="572"/>
      <c r="Y139" s="572"/>
      <c r="Z139" s="572"/>
      <c r="AA139" s="572"/>
      <c r="AB139" s="572"/>
      <c r="AC139" s="572"/>
      <c r="AD139" s="572"/>
      <c r="AE139" s="514"/>
    </row>
    <row r="140" spans="6:31" s="281" customFormat="1" ht="12" thickBot="1">
      <c r="F140" s="501" t="str">
        <f ca="1">IF('CDO Bespoke'!O141&lt;&gt;"",'CDO Bespoke'!O141,"")</f>
        <v/>
      </c>
      <c r="G140" s="502" t="str">
        <f ca="1">IF(F140&lt;&gt;"",ABS(MIN(-0.75*('CDO Bespoke'!Q141+'CDO Bespoke'!T141)+'CDO Bespoke'!T141,0)),"")</f>
        <v/>
      </c>
      <c r="H140" s="502" t="str">
        <f t="shared" ca="1" si="4"/>
        <v/>
      </c>
      <c r="I140" s="502" t="str">
        <f t="shared" ca="1" si="7"/>
        <v/>
      </c>
      <c r="J140" s="501" t="str">
        <f ca="1">IF('CDO Bespoke'!O141&lt;&gt;"",'CDO Bespoke'!O141,"")</f>
        <v/>
      </c>
      <c r="K140" s="502" t="str">
        <f ca="1">IF(J140&lt;&gt;"",ABS(MIN(-0.75*('CDO Bespoke'!K141+'CDO Bespoke'!T141)+'CDO Bespoke'!T141,0)),"")</f>
        <v/>
      </c>
      <c r="L140" s="502" t="str">
        <f t="shared" ca="1" si="5"/>
        <v/>
      </c>
      <c r="M140" s="506" t="str">
        <f t="shared" ca="1" si="6"/>
        <v/>
      </c>
      <c r="O140" s="511" t="str">
        <f ca="1">IF('CDO Bespoke'!C165&lt;&gt;"",'CDO Bespoke'!C165,"")</f>
        <v/>
      </c>
      <c r="P140" s="513" t="str" cm="1">
        <f t="array" aca="1" ref="P140" ca="1">IF($O140&lt;&gt;"",-TRANSPOSE(INDEX(getcds('CDO Bespoke'!$C165,P$13,'CDO Bespoke'!$G165/10000,'CDO Bespoke'!F165,'CDO Bespoke'!D165,'CDO Bespoke'!$C$13,'CDO Bespoke'!$C$14,'CDO Bespoke'!$C$15,'CDO Bespoke'!$C$8,,,TRUE,TRUE,FALSE,'CDO Bespoke'!$C$29:'CDO Bespoke'!$C$31,'CDO Bespoke'!$C$33),{5})),"")</f>
        <v/>
      </c>
      <c r="Q140" s="524" t="str" cm="1">
        <f t="array" aca="1" ref="Q140" ca="1">IF($O140&lt;&gt;"",-TRANSPOSE(INDEX(getcds('CDO Bespoke'!$C165,Q$13,'CDO Bespoke'!$G165/10000,'CDO Bespoke'!G165,'CDO Bespoke'!E165,'CDO Bespoke'!$C$13,'CDO Bespoke'!$C$14,'CDO Bespoke'!$C$15,'CDO Bespoke'!$C$8,,,TRUE,TRUE,FALSE,'CDO Bespoke'!$C$29:'CDO Bespoke'!$C$31,'CDO Bespoke'!$C$33),{5})),"")</f>
        <v/>
      </c>
      <c r="R140" s="524" t="str" cm="1">
        <f t="array" aca="1" ref="R140" ca="1">IF($O140&lt;&gt;"",-TRANSPOSE(INDEX(getcds('CDO Bespoke'!$C165,R$13,'CDO Bespoke'!$G165/10000,'CDO Bespoke'!H165,'CDO Bespoke'!F165,'CDO Bespoke'!$C$13,'CDO Bespoke'!$C$14,'CDO Bespoke'!$C$15,'CDO Bespoke'!$C$8,,,TRUE,TRUE,FALSE,'CDO Bespoke'!$C$29:'CDO Bespoke'!$C$31,'CDO Bespoke'!$C$33),{5})),"")</f>
        <v/>
      </c>
      <c r="S140" s="524" t="str" cm="1">
        <f t="array" aca="1" ref="S140" ca="1">IF($O140&lt;&gt;"",-TRANSPOSE(INDEX(getcds('CDO Bespoke'!$C165,S$13,'CDO Bespoke'!$G165/10000,'CDO Bespoke'!I165,'CDO Bespoke'!G165,'CDO Bespoke'!$C$13,'CDO Bespoke'!$C$14,'CDO Bespoke'!$C$15,'CDO Bespoke'!$C$8,,,TRUE,TRUE,FALSE,'CDO Bespoke'!$C$29:'CDO Bespoke'!$C$31,'CDO Bespoke'!$C$33),{5})),"")</f>
        <v/>
      </c>
      <c r="T140" s="514" t="str" cm="1">
        <f t="array" aca="1" ref="T140" ca="1">IF($O140&lt;&gt;"",-TRANSPOSE(INDEX(getcds('CDO Bespoke'!$C165,T$13,'CDO Bespoke'!$G165/10000,'CDO Bespoke'!J165,'CDO Bespoke'!H165,'CDO Bespoke'!$C$13,'CDO Bespoke'!$C$14,'CDO Bespoke'!$C$15,'CDO Bespoke'!$C$8,,,TRUE,TRUE,FALSE,'CDO Bespoke'!$C$29:'CDO Bespoke'!$C$31,'CDO Bespoke'!$C$33),{5})),"")</f>
        <v/>
      </c>
      <c r="U140" s="493"/>
      <c r="V140" s="513"/>
      <c r="W140" s="572"/>
      <c r="X140" s="572"/>
      <c r="Y140" s="572"/>
      <c r="Z140" s="572"/>
      <c r="AA140" s="572"/>
      <c r="AB140" s="572"/>
      <c r="AC140" s="572"/>
      <c r="AD140" s="572"/>
      <c r="AE140" s="514"/>
    </row>
    <row r="141" spans="6:31" s="281" customFormat="1" ht="12" thickBot="1">
      <c r="F141" s="501" t="str">
        <f ca="1">IF('CDO Bespoke'!O142&lt;&gt;"",'CDO Bespoke'!O142,"")</f>
        <v/>
      </c>
      <c r="G141" s="502" t="str">
        <f ca="1">IF(F141&lt;&gt;"",ABS(MIN(-0.75*('CDO Bespoke'!Q142+'CDO Bespoke'!T142)+'CDO Bespoke'!T142,0)),"")</f>
        <v/>
      </c>
      <c r="H141" s="502" t="str">
        <f t="shared" ca="1" si="4"/>
        <v/>
      </c>
      <c r="I141" s="502" t="str">
        <f t="shared" ca="1" si="7"/>
        <v/>
      </c>
      <c r="J141" s="501" t="str">
        <f ca="1">IF('CDO Bespoke'!O142&lt;&gt;"",'CDO Bespoke'!O142,"")</f>
        <v/>
      </c>
      <c r="K141" s="502" t="str">
        <f ca="1">IF(J141&lt;&gt;"",ABS(MIN(-0.75*('CDO Bespoke'!K142+'CDO Bespoke'!T142)+'CDO Bespoke'!T142,0)),"")</f>
        <v/>
      </c>
      <c r="L141" s="502" t="str">
        <f t="shared" ca="1" si="5"/>
        <v/>
      </c>
      <c r="M141" s="506" t="str">
        <f t="shared" ca="1" si="6"/>
        <v/>
      </c>
      <c r="O141" s="511" t="str">
        <f ca="1">IF('CDO Bespoke'!C166&lt;&gt;"",'CDO Bespoke'!C166,"")</f>
        <v/>
      </c>
      <c r="P141" s="513" t="str" cm="1">
        <f t="array" aca="1" ref="P141" ca="1">IF($O141&lt;&gt;"",-TRANSPOSE(INDEX(getcds('CDO Bespoke'!$C166,P$13,'CDO Bespoke'!$G166/10000,'CDO Bespoke'!F166,'CDO Bespoke'!D166,'CDO Bespoke'!$C$13,'CDO Bespoke'!$C$14,'CDO Bespoke'!$C$15,'CDO Bespoke'!$C$8,,,TRUE,TRUE,FALSE,'CDO Bespoke'!$C$29:'CDO Bespoke'!$C$31,'CDO Bespoke'!$C$33),{5})),"")</f>
        <v/>
      </c>
      <c r="Q141" s="524" t="str" cm="1">
        <f t="array" aca="1" ref="Q141" ca="1">IF($O141&lt;&gt;"",-TRANSPOSE(INDEX(getcds('CDO Bespoke'!$C166,Q$13,'CDO Bespoke'!$G166/10000,'CDO Bespoke'!G166,'CDO Bespoke'!E166,'CDO Bespoke'!$C$13,'CDO Bespoke'!$C$14,'CDO Bespoke'!$C$15,'CDO Bespoke'!$C$8,,,TRUE,TRUE,FALSE,'CDO Bespoke'!$C$29:'CDO Bespoke'!$C$31,'CDO Bespoke'!$C$33),{5})),"")</f>
        <v/>
      </c>
      <c r="R141" s="524" t="str" cm="1">
        <f t="array" aca="1" ref="R141" ca="1">IF($O141&lt;&gt;"",-TRANSPOSE(INDEX(getcds('CDO Bespoke'!$C166,R$13,'CDO Bespoke'!$G166/10000,'CDO Bespoke'!H166,'CDO Bespoke'!F166,'CDO Bespoke'!$C$13,'CDO Bespoke'!$C$14,'CDO Bespoke'!$C$15,'CDO Bespoke'!$C$8,,,TRUE,TRUE,FALSE,'CDO Bespoke'!$C$29:'CDO Bespoke'!$C$31,'CDO Bespoke'!$C$33),{5})),"")</f>
        <v/>
      </c>
      <c r="S141" s="524" t="str" cm="1">
        <f t="array" aca="1" ref="S141" ca="1">IF($O141&lt;&gt;"",-TRANSPOSE(INDEX(getcds('CDO Bespoke'!$C166,S$13,'CDO Bespoke'!$G166/10000,'CDO Bespoke'!I166,'CDO Bespoke'!G166,'CDO Bespoke'!$C$13,'CDO Bespoke'!$C$14,'CDO Bespoke'!$C$15,'CDO Bespoke'!$C$8,,,TRUE,TRUE,FALSE,'CDO Bespoke'!$C$29:'CDO Bespoke'!$C$31,'CDO Bespoke'!$C$33),{5})),"")</f>
        <v/>
      </c>
      <c r="T141" s="514" t="str" cm="1">
        <f t="array" aca="1" ref="T141" ca="1">IF($O141&lt;&gt;"",-TRANSPOSE(INDEX(getcds('CDO Bespoke'!$C166,T$13,'CDO Bespoke'!$G166/10000,'CDO Bespoke'!J166,'CDO Bespoke'!H166,'CDO Bespoke'!$C$13,'CDO Bespoke'!$C$14,'CDO Bespoke'!$C$15,'CDO Bespoke'!$C$8,,,TRUE,TRUE,FALSE,'CDO Bespoke'!$C$29:'CDO Bespoke'!$C$31,'CDO Bespoke'!$C$33),{5})),"")</f>
        <v/>
      </c>
      <c r="U141" s="493"/>
      <c r="V141" s="513"/>
      <c r="W141" s="572"/>
      <c r="X141" s="572"/>
      <c r="Y141" s="572"/>
      <c r="Z141" s="572"/>
      <c r="AA141" s="572"/>
      <c r="AB141" s="572"/>
      <c r="AC141" s="572"/>
      <c r="AD141" s="572"/>
      <c r="AE141" s="514"/>
    </row>
    <row r="142" spans="6:31" s="281" customFormat="1" ht="12" thickBot="1">
      <c r="F142" s="501" t="str">
        <f ca="1">IF('CDO Bespoke'!O143&lt;&gt;"",'CDO Bespoke'!O143,"")</f>
        <v/>
      </c>
      <c r="G142" s="502" t="str">
        <f ca="1">IF(F142&lt;&gt;"",ABS(MIN(-0.75*('CDO Bespoke'!Q143+'CDO Bespoke'!T143)+'CDO Bespoke'!T143,0)),"")</f>
        <v/>
      </c>
      <c r="H142" s="502" t="str">
        <f t="shared" ca="1" si="4"/>
        <v/>
      </c>
      <c r="I142" s="502" t="str">
        <f t="shared" ca="1" si="7"/>
        <v/>
      </c>
      <c r="J142" s="501" t="str">
        <f ca="1">IF('CDO Bespoke'!O143&lt;&gt;"",'CDO Bespoke'!O143,"")</f>
        <v/>
      </c>
      <c r="K142" s="502" t="str">
        <f ca="1">IF(J142&lt;&gt;"",ABS(MIN(-0.75*('CDO Bespoke'!K143+'CDO Bespoke'!T143)+'CDO Bespoke'!T143,0)),"")</f>
        <v/>
      </c>
      <c r="L142" s="502" t="str">
        <f t="shared" ca="1" si="5"/>
        <v/>
      </c>
      <c r="M142" s="506" t="str">
        <f t="shared" ca="1" si="6"/>
        <v/>
      </c>
      <c r="O142" s="511" t="str">
        <f ca="1">IF('CDO Bespoke'!C167&lt;&gt;"",'CDO Bespoke'!C167,"")</f>
        <v/>
      </c>
      <c r="P142" s="513" t="str" cm="1">
        <f t="array" aca="1" ref="P142" ca="1">IF($O142&lt;&gt;"",-TRANSPOSE(INDEX(getcds('CDO Bespoke'!$C167,P$13,'CDO Bespoke'!$G167/10000,'CDO Bespoke'!F167,'CDO Bespoke'!D167,'CDO Bespoke'!$C$13,'CDO Bespoke'!$C$14,'CDO Bespoke'!$C$15,'CDO Bespoke'!$C$8,,,TRUE,TRUE,FALSE,'CDO Bespoke'!$C$29:'CDO Bespoke'!$C$31,'CDO Bespoke'!$C$33),{5})),"")</f>
        <v/>
      </c>
      <c r="Q142" s="524" t="str" cm="1">
        <f t="array" aca="1" ref="Q142" ca="1">IF($O142&lt;&gt;"",-TRANSPOSE(INDEX(getcds('CDO Bespoke'!$C167,Q$13,'CDO Bespoke'!$G167/10000,'CDO Bespoke'!G167,'CDO Bespoke'!E167,'CDO Bespoke'!$C$13,'CDO Bespoke'!$C$14,'CDO Bespoke'!$C$15,'CDO Bespoke'!$C$8,,,TRUE,TRUE,FALSE,'CDO Bespoke'!$C$29:'CDO Bespoke'!$C$31,'CDO Bespoke'!$C$33),{5})),"")</f>
        <v/>
      </c>
      <c r="R142" s="524" t="str" cm="1">
        <f t="array" aca="1" ref="R142" ca="1">IF($O142&lt;&gt;"",-TRANSPOSE(INDEX(getcds('CDO Bespoke'!$C167,R$13,'CDO Bespoke'!$G167/10000,'CDO Bespoke'!H167,'CDO Bespoke'!F167,'CDO Bespoke'!$C$13,'CDO Bespoke'!$C$14,'CDO Bespoke'!$C$15,'CDO Bespoke'!$C$8,,,TRUE,TRUE,FALSE,'CDO Bespoke'!$C$29:'CDO Bespoke'!$C$31,'CDO Bespoke'!$C$33),{5})),"")</f>
        <v/>
      </c>
      <c r="S142" s="524" t="str" cm="1">
        <f t="array" aca="1" ref="S142" ca="1">IF($O142&lt;&gt;"",-TRANSPOSE(INDEX(getcds('CDO Bespoke'!$C167,S$13,'CDO Bespoke'!$G167/10000,'CDO Bespoke'!I167,'CDO Bespoke'!G167,'CDO Bespoke'!$C$13,'CDO Bespoke'!$C$14,'CDO Bespoke'!$C$15,'CDO Bespoke'!$C$8,,,TRUE,TRUE,FALSE,'CDO Bespoke'!$C$29:'CDO Bespoke'!$C$31,'CDO Bespoke'!$C$33),{5})),"")</f>
        <v/>
      </c>
      <c r="T142" s="514" t="str" cm="1">
        <f t="array" aca="1" ref="T142" ca="1">IF($O142&lt;&gt;"",-TRANSPOSE(INDEX(getcds('CDO Bespoke'!$C167,T$13,'CDO Bespoke'!$G167/10000,'CDO Bespoke'!J167,'CDO Bespoke'!H167,'CDO Bespoke'!$C$13,'CDO Bespoke'!$C$14,'CDO Bespoke'!$C$15,'CDO Bespoke'!$C$8,,,TRUE,TRUE,FALSE,'CDO Bespoke'!$C$29:'CDO Bespoke'!$C$31,'CDO Bespoke'!$C$33),{5})),"")</f>
        <v/>
      </c>
      <c r="U142" s="493"/>
      <c r="V142" s="513"/>
      <c r="W142" s="572"/>
      <c r="X142" s="572"/>
      <c r="Y142" s="572"/>
      <c r="Z142" s="572"/>
      <c r="AA142" s="572"/>
      <c r="AB142" s="572"/>
      <c r="AC142" s="572"/>
      <c r="AD142" s="572"/>
      <c r="AE142" s="514"/>
    </row>
    <row r="143" spans="6:31" s="281" customFormat="1" ht="12" thickBot="1">
      <c r="F143" s="501" t="str">
        <f ca="1">IF('CDO Bespoke'!O144&lt;&gt;"",'CDO Bespoke'!O144,"")</f>
        <v/>
      </c>
      <c r="G143" s="502" t="str">
        <f ca="1">IF(F143&lt;&gt;"",ABS(MIN(-0.75*('CDO Bespoke'!Q144+'CDO Bespoke'!T144)+'CDO Bespoke'!T144,0)),"")</f>
        <v/>
      </c>
      <c r="H143" s="502" t="str">
        <f t="shared" ref="H143:H206" ca="1" si="8">IF(F143&lt;&gt;"",IF($G$8,MAX(F143-G143,0),F143),"")</f>
        <v/>
      </c>
      <c r="I143" s="502" t="str">
        <f t="shared" ca="1" si="7"/>
        <v/>
      </c>
      <c r="J143" s="501" t="str">
        <f ca="1">IF('CDO Bespoke'!O144&lt;&gt;"",'CDO Bespoke'!O144,"")</f>
        <v/>
      </c>
      <c r="K143" s="502" t="str">
        <f ca="1">IF(J143&lt;&gt;"",ABS(MIN(-0.75*('CDO Bespoke'!K144+'CDO Bespoke'!T144)+'CDO Bespoke'!T144,0)),"")</f>
        <v/>
      </c>
      <c r="L143" s="502" t="str">
        <f t="shared" ref="L143:L206" ca="1" si="9">IF(J143&lt;&gt;"",IF($G$8,MAX(J143-K143,0),J143),"")</f>
        <v/>
      </c>
      <c r="M143" s="506" t="str">
        <f t="shared" ref="M143:M206" ca="1" si="10">IF(J143&lt;&gt;"",IF($G$8,0,K143),"")</f>
        <v/>
      </c>
      <c r="O143" s="511" t="str">
        <f ca="1">IF('CDO Bespoke'!C168&lt;&gt;"",'CDO Bespoke'!C168,"")</f>
        <v/>
      </c>
      <c r="P143" s="513" t="str" cm="1">
        <f t="array" aca="1" ref="P143" ca="1">IF($O143&lt;&gt;"",-TRANSPOSE(INDEX(getcds('CDO Bespoke'!$C168,P$13,'CDO Bespoke'!$G168/10000,'CDO Bespoke'!F168,'CDO Bespoke'!D168,'CDO Bespoke'!$C$13,'CDO Bespoke'!$C$14,'CDO Bespoke'!$C$15,'CDO Bespoke'!$C$8,,,TRUE,TRUE,FALSE,'CDO Bespoke'!$C$29:'CDO Bespoke'!$C$31,'CDO Bespoke'!$C$33),{5})),"")</f>
        <v/>
      </c>
      <c r="Q143" s="524" t="str" cm="1">
        <f t="array" aca="1" ref="Q143" ca="1">IF($O143&lt;&gt;"",-TRANSPOSE(INDEX(getcds('CDO Bespoke'!$C168,Q$13,'CDO Bespoke'!$G168/10000,'CDO Bespoke'!G168,'CDO Bespoke'!E168,'CDO Bespoke'!$C$13,'CDO Bespoke'!$C$14,'CDO Bespoke'!$C$15,'CDO Bespoke'!$C$8,,,TRUE,TRUE,FALSE,'CDO Bespoke'!$C$29:'CDO Bespoke'!$C$31,'CDO Bespoke'!$C$33),{5})),"")</f>
        <v/>
      </c>
      <c r="R143" s="524" t="str" cm="1">
        <f t="array" aca="1" ref="R143" ca="1">IF($O143&lt;&gt;"",-TRANSPOSE(INDEX(getcds('CDO Bespoke'!$C168,R$13,'CDO Bespoke'!$G168/10000,'CDO Bespoke'!H168,'CDO Bespoke'!F168,'CDO Bespoke'!$C$13,'CDO Bespoke'!$C$14,'CDO Bespoke'!$C$15,'CDO Bespoke'!$C$8,,,TRUE,TRUE,FALSE,'CDO Bespoke'!$C$29:'CDO Bespoke'!$C$31,'CDO Bespoke'!$C$33),{5})),"")</f>
        <v/>
      </c>
      <c r="S143" s="524" t="str" cm="1">
        <f t="array" aca="1" ref="S143" ca="1">IF($O143&lt;&gt;"",-TRANSPOSE(INDEX(getcds('CDO Bespoke'!$C168,S$13,'CDO Bespoke'!$G168/10000,'CDO Bespoke'!I168,'CDO Bespoke'!G168,'CDO Bespoke'!$C$13,'CDO Bespoke'!$C$14,'CDO Bespoke'!$C$15,'CDO Bespoke'!$C$8,,,TRUE,TRUE,FALSE,'CDO Bespoke'!$C$29:'CDO Bespoke'!$C$31,'CDO Bespoke'!$C$33),{5})),"")</f>
        <v/>
      </c>
      <c r="T143" s="514" t="str" cm="1">
        <f t="array" aca="1" ref="T143" ca="1">IF($O143&lt;&gt;"",-TRANSPOSE(INDEX(getcds('CDO Bespoke'!$C168,T$13,'CDO Bespoke'!$G168/10000,'CDO Bespoke'!J168,'CDO Bespoke'!H168,'CDO Bespoke'!$C$13,'CDO Bespoke'!$C$14,'CDO Bespoke'!$C$15,'CDO Bespoke'!$C$8,,,TRUE,TRUE,FALSE,'CDO Bespoke'!$C$29:'CDO Bespoke'!$C$31,'CDO Bespoke'!$C$33),{5})),"")</f>
        <v/>
      </c>
      <c r="U143" s="493"/>
      <c r="V143" s="513"/>
      <c r="W143" s="572"/>
      <c r="X143" s="572"/>
      <c r="Y143" s="572"/>
      <c r="Z143" s="572"/>
      <c r="AA143" s="572"/>
      <c r="AB143" s="572"/>
      <c r="AC143" s="572"/>
      <c r="AD143" s="572"/>
      <c r="AE143" s="514"/>
    </row>
    <row r="144" spans="6:31" s="281" customFormat="1" ht="12" thickBot="1">
      <c r="F144" s="501" t="str">
        <f ca="1">IF('CDO Bespoke'!O145&lt;&gt;"",'CDO Bespoke'!O145,"")</f>
        <v/>
      </c>
      <c r="G144" s="502" t="str">
        <f ca="1">IF(F144&lt;&gt;"",ABS(MIN(-0.75*('CDO Bespoke'!Q145+'CDO Bespoke'!T145)+'CDO Bespoke'!T145,0)),"")</f>
        <v/>
      </c>
      <c r="H144" s="502" t="str">
        <f t="shared" ca="1" si="8"/>
        <v/>
      </c>
      <c r="I144" s="502" t="str">
        <f t="shared" ref="I144:I207" ca="1" si="11">IF(F144&lt;&gt;"",IF($G$8,0,G144),"")</f>
        <v/>
      </c>
      <c r="J144" s="501" t="str">
        <f ca="1">IF('CDO Bespoke'!O145&lt;&gt;"",'CDO Bespoke'!O145,"")</f>
        <v/>
      </c>
      <c r="K144" s="502" t="str">
        <f ca="1">IF(J144&lt;&gt;"",ABS(MIN(-0.75*('CDO Bespoke'!K145+'CDO Bespoke'!T145)+'CDO Bespoke'!T145,0)),"")</f>
        <v/>
      </c>
      <c r="L144" s="502" t="str">
        <f t="shared" ca="1" si="9"/>
        <v/>
      </c>
      <c r="M144" s="506" t="str">
        <f t="shared" ca="1" si="10"/>
        <v/>
      </c>
      <c r="O144" s="511" t="str">
        <f ca="1">IF('CDO Bespoke'!C169&lt;&gt;"",'CDO Bespoke'!C169,"")</f>
        <v/>
      </c>
      <c r="P144" s="513" t="str" cm="1">
        <f t="array" aca="1" ref="P144" ca="1">IF($O144&lt;&gt;"",-TRANSPOSE(INDEX(getcds('CDO Bespoke'!$C169,P$13,'CDO Bespoke'!$G169/10000,'CDO Bespoke'!F169,'CDO Bespoke'!D169,'CDO Bespoke'!$C$13,'CDO Bespoke'!$C$14,'CDO Bespoke'!$C$15,'CDO Bespoke'!$C$8,,,TRUE,TRUE,FALSE,'CDO Bespoke'!$C$29:'CDO Bespoke'!$C$31,'CDO Bespoke'!$C$33),{5})),"")</f>
        <v/>
      </c>
      <c r="Q144" s="524" t="str" cm="1">
        <f t="array" aca="1" ref="Q144" ca="1">IF($O144&lt;&gt;"",-TRANSPOSE(INDEX(getcds('CDO Bespoke'!$C169,Q$13,'CDO Bespoke'!$G169/10000,'CDO Bespoke'!G169,'CDO Bespoke'!E169,'CDO Bespoke'!$C$13,'CDO Bespoke'!$C$14,'CDO Bespoke'!$C$15,'CDO Bespoke'!$C$8,,,TRUE,TRUE,FALSE,'CDO Bespoke'!$C$29:'CDO Bespoke'!$C$31,'CDO Bespoke'!$C$33),{5})),"")</f>
        <v/>
      </c>
      <c r="R144" s="524" t="str" cm="1">
        <f t="array" aca="1" ref="R144" ca="1">IF($O144&lt;&gt;"",-TRANSPOSE(INDEX(getcds('CDO Bespoke'!$C169,R$13,'CDO Bespoke'!$G169/10000,'CDO Bespoke'!H169,'CDO Bespoke'!F169,'CDO Bespoke'!$C$13,'CDO Bespoke'!$C$14,'CDO Bespoke'!$C$15,'CDO Bespoke'!$C$8,,,TRUE,TRUE,FALSE,'CDO Bespoke'!$C$29:'CDO Bespoke'!$C$31,'CDO Bespoke'!$C$33),{5})),"")</f>
        <v/>
      </c>
      <c r="S144" s="524" t="str" cm="1">
        <f t="array" aca="1" ref="S144" ca="1">IF($O144&lt;&gt;"",-TRANSPOSE(INDEX(getcds('CDO Bespoke'!$C169,S$13,'CDO Bespoke'!$G169/10000,'CDO Bespoke'!I169,'CDO Bespoke'!G169,'CDO Bespoke'!$C$13,'CDO Bespoke'!$C$14,'CDO Bespoke'!$C$15,'CDO Bespoke'!$C$8,,,TRUE,TRUE,FALSE,'CDO Bespoke'!$C$29:'CDO Bespoke'!$C$31,'CDO Bespoke'!$C$33),{5})),"")</f>
        <v/>
      </c>
      <c r="T144" s="514" t="str" cm="1">
        <f t="array" aca="1" ref="T144" ca="1">IF($O144&lt;&gt;"",-TRANSPOSE(INDEX(getcds('CDO Bespoke'!$C169,T$13,'CDO Bespoke'!$G169/10000,'CDO Bespoke'!J169,'CDO Bespoke'!H169,'CDO Bespoke'!$C$13,'CDO Bespoke'!$C$14,'CDO Bespoke'!$C$15,'CDO Bespoke'!$C$8,,,TRUE,TRUE,FALSE,'CDO Bespoke'!$C$29:'CDO Bespoke'!$C$31,'CDO Bespoke'!$C$33),{5})),"")</f>
        <v/>
      </c>
      <c r="U144" s="493"/>
      <c r="V144" s="513"/>
      <c r="W144" s="572"/>
      <c r="X144" s="572"/>
      <c r="Y144" s="572"/>
      <c r="Z144" s="572"/>
      <c r="AA144" s="572"/>
      <c r="AB144" s="572"/>
      <c r="AC144" s="572"/>
      <c r="AD144" s="572"/>
      <c r="AE144" s="514"/>
    </row>
    <row r="145" spans="6:31" s="281" customFormat="1" ht="12" thickBot="1">
      <c r="F145" s="501" t="str">
        <f ca="1">IF('CDO Bespoke'!O146&lt;&gt;"",'CDO Bespoke'!O146,"")</f>
        <v/>
      </c>
      <c r="G145" s="502" t="str">
        <f ca="1">IF(F145&lt;&gt;"",ABS(MIN(-0.75*('CDO Bespoke'!Q146+'CDO Bespoke'!T146)+'CDO Bespoke'!T146,0)),"")</f>
        <v/>
      </c>
      <c r="H145" s="502" t="str">
        <f t="shared" ca="1" si="8"/>
        <v/>
      </c>
      <c r="I145" s="502" t="str">
        <f t="shared" ca="1" si="11"/>
        <v/>
      </c>
      <c r="J145" s="501" t="str">
        <f ca="1">IF('CDO Bespoke'!O146&lt;&gt;"",'CDO Bespoke'!O146,"")</f>
        <v/>
      </c>
      <c r="K145" s="502" t="str">
        <f ca="1">IF(J145&lt;&gt;"",ABS(MIN(-0.75*('CDO Bespoke'!K146+'CDO Bespoke'!T146)+'CDO Bespoke'!T146,0)),"")</f>
        <v/>
      </c>
      <c r="L145" s="502" t="str">
        <f t="shared" ca="1" si="9"/>
        <v/>
      </c>
      <c r="M145" s="506" t="str">
        <f t="shared" ca="1" si="10"/>
        <v/>
      </c>
      <c r="O145" s="511" t="str">
        <f ca="1">IF('CDO Bespoke'!C170&lt;&gt;"",'CDO Bespoke'!C170,"")</f>
        <v/>
      </c>
      <c r="P145" s="513" t="str" cm="1">
        <f t="array" aca="1" ref="P145" ca="1">IF($O145&lt;&gt;"",-TRANSPOSE(INDEX(getcds('CDO Bespoke'!$C170,P$13,'CDO Bespoke'!$G170/10000,'CDO Bespoke'!F170,'CDO Bespoke'!D170,'CDO Bespoke'!$C$13,'CDO Bespoke'!$C$14,'CDO Bespoke'!$C$15,'CDO Bespoke'!$C$8,,,TRUE,TRUE,FALSE,'CDO Bespoke'!$C$29:'CDO Bespoke'!$C$31,'CDO Bespoke'!$C$33),{5})),"")</f>
        <v/>
      </c>
      <c r="Q145" s="524" t="str" cm="1">
        <f t="array" aca="1" ref="Q145" ca="1">IF($O145&lt;&gt;"",-TRANSPOSE(INDEX(getcds('CDO Bespoke'!$C170,Q$13,'CDO Bespoke'!$G170/10000,'CDO Bespoke'!G170,'CDO Bespoke'!E170,'CDO Bespoke'!$C$13,'CDO Bespoke'!$C$14,'CDO Bespoke'!$C$15,'CDO Bespoke'!$C$8,,,TRUE,TRUE,FALSE,'CDO Bespoke'!$C$29:'CDO Bespoke'!$C$31,'CDO Bespoke'!$C$33),{5})),"")</f>
        <v/>
      </c>
      <c r="R145" s="524" t="str" cm="1">
        <f t="array" aca="1" ref="R145" ca="1">IF($O145&lt;&gt;"",-TRANSPOSE(INDEX(getcds('CDO Bespoke'!$C170,R$13,'CDO Bespoke'!$G170/10000,'CDO Bespoke'!H170,'CDO Bespoke'!F170,'CDO Bespoke'!$C$13,'CDO Bespoke'!$C$14,'CDO Bespoke'!$C$15,'CDO Bespoke'!$C$8,,,TRUE,TRUE,FALSE,'CDO Bespoke'!$C$29:'CDO Bespoke'!$C$31,'CDO Bespoke'!$C$33),{5})),"")</f>
        <v/>
      </c>
      <c r="S145" s="524" t="str" cm="1">
        <f t="array" aca="1" ref="S145" ca="1">IF($O145&lt;&gt;"",-TRANSPOSE(INDEX(getcds('CDO Bespoke'!$C170,S$13,'CDO Bespoke'!$G170/10000,'CDO Bespoke'!I170,'CDO Bespoke'!G170,'CDO Bespoke'!$C$13,'CDO Bespoke'!$C$14,'CDO Bespoke'!$C$15,'CDO Bespoke'!$C$8,,,TRUE,TRUE,FALSE,'CDO Bespoke'!$C$29:'CDO Bespoke'!$C$31,'CDO Bespoke'!$C$33),{5})),"")</f>
        <v/>
      </c>
      <c r="T145" s="514" t="str" cm="1">
        <f t="array" aca="1" ref="T145" ca="1">IF($O145&lt;&gt;"",-TRANSPOSE(INDEX(getcds('CDO Bespoke'!$C170,T$13,'CDO Bespoke'!$G170/10000,'CDO Bespoke'!J170,'CDO Bespoke'!H170,'CDO Bespoke'!$C$13,'CDO Bespoke'!$C$14,'CDO Bespoke'!$C$15,'CDO Bespoke'!$C$8,,,TRUE,TRUE,FALSE,'CDO Bespoke'!$C$29:'CDO Bespoke'!$C$31,'CDO Bespoke'!$C$33),{5})),"")</f>
        <v/>
      </c>
      <c r="U145" s="493"/>
      <c r="V145" s="513"/>
      <c r="W145" s="572"/>
      <c r="X145" s="572"/>
      <c r="Y145" s="572"/>
      <c r="Z145" s="572"/>
      <c r="AA145" s="572"/>
      <c r="AB145" s="572"/>
      <c r="AC145" s="572"/>
      <c r="AD145" s="572"/>
      <c r="AE145" s="514"/>
    </row>
    <row r="146" spans="6:31" s="281" customFormat="1" ht="12" thickBot="1">
      <c r="F146" s="501" t="str">
        <f ca="1">IF('CDO Bespoke'!O147&lt;&gt;"",'CDO Bespoke'!O147,"")</f>
        <v/>
      </c>
      <c r="G146" s="502" t="str">
        <f ca="1">IF(F146&lt;&gt;"",ABS(MIN(-0.75*('CDO Bespoke'!Q147+'CDO Bespoke'!T147)+'CDO Bespoke'!T147,0)),"")</f>
        <v/>
      </c>
      <c r="H146" s="502" t="str">
        <f t="shared" ca="1" si="8"/>
        <v/>
      </c>
      <c r="I146" s="502" t="str">
        <f t="shared" ca="1" si="11"/>
        <v/>
      </c>
      <c r="J146" s="501" t="str">
        <f ca="1">IF('CDO Bespoke'!O147&lt;&gt;"",'CDO Bespoke'!O147,"")</f>
        <v/>
      </c>
      <c r="K146" s="502" t="str">
        <f ca="1">IF(J146&lt;&gt;"",ABS(MIN(-0.75*('CDO Bespoke'!K147+'CDO Bespoke'!T147)+'CDO Bespoke'!T147,0)),"")</f>
        <v/>
      </c>
      <c r="L146" s="502" t="str">
        <f t="shared" ca="1" si="9"/>
        <v/>
      </c>
      <c r="M146" s="506" t="str">
        <f t="shared" ca="1" si="10"/>
        <v/>
      </c>
      <c r="O146" s="511" t="str">
        <f ca="1">IF('CDO Bespoke'!C171&lt;&gt;"",'CDO Bespoke'!C171,"")</f>
        <v/>
      </c>
      <c r="P146" s="513" t="str" cm="1">
        <f t="array" aca="1" ref="P146" ca="1">IF($O146&lt;&gt;"",-TRANSPOSE(INDEX(getcds('CDO Bespoke'!$C171,P$13,'CDO Bespoke'!$G171/10000,'CDO Bespoke'!F171,'CDO Bespoke'!D171,'CDO Bespoke'!$C$13,'CDO Bespoke'!$C$14,'CDO Bespoke'!$C$15,'CDO Bespoke'!$C$8,,,TRUE,TRUE,FALSE,'CDO Bespoke'!$C$29:'CDO Bespoke'!$C$31,'CDO Bespoke'!$C$33),{5})),"")</f>
        <v/>
      </c>
      <c r="Q146" s="524" t="str" cm="1">
        <f t="array" aca="1" ref="Q146" ca="1">IF($O146&lt;&gt;"",-TRANSPOSE(INDEX(getcds('CDO Bespoke'!$C171,Q$13,'CDO Bespoke'!$G171/10000,'CDO Bespoke'!G171,'CDO Bespoke'!E171,'CDO Bespoke'!$C$13,'CDO Bespoke'!$C$14,'CDO Bespoke'!$C$15,'CDO Bespoke'!$C$8,,,TRUE,TRUE,FALSE,'CDO Bespoke'!$C$29:'CDO Bespoke'!$C$31,'CDO Bespoke'!$C$33),{5})),"")</f>
        <v/>
      </c>
      <c r="R146" s="524" t="str" cm="1">
        <f t="array" aca="1" ref="R146" ca="1">IF($O146&lt;&gt;"",-TRANSPOSE(INDEX(getcds('CDO Bespoke'!$C171,R$13,'CDO Bespoke'!$G171/10000,'CDO Bespoke'!H171,'CDO Bespoke'!F171,'CDO Bespoke'!$C$13,'CDO Bespoke'!$C$14,'CDO Bespoke'!$C$15,'CDO Bespoke'!$C$8,,,TRUE,TRUE,FALSE,'CDO Bespoke'!$C$29:'CDO Bespoke'!$C$31,'CDO Bespoke'!$C$33),{5})),"")</f>
        <v/>
      </c>
      <c r="S146" s="524" t="str" cm="1">
        <f t="array" aca="1" ref="S146" ca="1">IF($O146&lt;&gt;"",-TRANSPOSE(INDEX(getcds('CDO Bespoke'!$C171,S$13,'CDO Bespoke'!$G171/10000,'CDO Bespoke'!I171,'CDO Bespoke'!G171,'CDO Bespoke'!$C$13,'CDO Bespoke'!$C$14,'CDO Bespoke'!$C$15,'CDO Bespoke'!$C$8,,,TRUE,TRUE,FALSE,'CDO Bespoke'!$C$29:'CDO Bespoke'!$C$31,'CDO Bespoke'!$C$33),{5})),"")</f>
        <v/>
      </c>
      <c r="T146" s="514" t="str" cm="1">
        <f t="array" aca="1" ref="T146" ca="1">IF($O146&lt;&gt;"",-TRANSPOSE(INDEX(getcds('CDO Bespoke'!$C171,T$13,'CDO Bespoke'!$G171/10000,'CDO Bespoke'!J171,'CDO Bespoke'!H171,'CDO Bespoke'!$C$13,'CDO Bespoke'!$C$14,'CDO Bespoke'!$C$15,'CDO Bespoke'!$C$8,,,TRUE,TRUE,FALSE,'CDO Bespoke'!$C$29:'CDO Bespoke'!$C$31,'CDO Bespoke'!$C$33),{5})),"")</f>
        <v/>
      </c>
      <c r="U146" s="493"/>
      <c r="V146" s="513"/>
      <c r="W146" s="572"/>
      <c r="X146" s="572"/>
      <c r="Y146" s="572"/>
      <c r="Z146" s="572"/>
      <c r="AA146" s="572"/>
      <c r="AB146" s="572"/>
      <c r="AC146" s="572"/>
      <c r="AD146" s="572"/>
      <c r="AE146" s="514"/>
    </row>
    <row r="147" spans="6:31" s="281" customFormat="1" ht="12" thickBot="1">
      <c r="F147" s="501" t="str">
        <f ca="1">IF('CDO Bespoke'!O148&lt;&gt;"",'CDO Bespoke'!O148,"")</f>
        <v/>
      </c>
      <c r="G147" s="502" t="str">
        <f ca="1">IF(F147&lt;&gt;"",ABS(MIN(-0.75*('CDO Bespoke'!Q148+'CDO Bespoke'!T148)+'CDO Bespoke'!T148,0)),"")</f>
        <v/>
      </c>
      <c r="H147" s="502" t="str">
        <f t="shared" ca="1" si="8"/>
        <v/>
      </c>
      <c r="I147" s="502" t="str">
        <f t="shared" ca="1" si="11"/>
        <v/>
      </c>
      <c r="J147" s="501" t="str">
        <f ca="1">IF('CDO Bespoke'!O148&lt;&gt;"",'CDO Bespoke'!O148,"")</f>
        <v/>
      </c>
      <c r="K147" s="502" t="str">
        <f ca="1">IF(J147&lt;&gt;"",ABS(MIN(-0.75*('CDO Bespoke'!K148+'CDO Bespoke'!T148)+'CDO Bespoke'!T148,0)),"")</f>
        <v/>
      </c>
      <c r="L147" s="502" t="str">
        <f t="shared" ca="1" si="9"/>
        <v/>
      </c>
      <c r="M147" s="506" t="str">
        <f t="shared" ca="1" si="10"/>
        <v/>
      </c>
      <c r="O147" s="511" t="str">
        <f ca="1">IF('CDO Bespoke'!C172&lt;&gt;"",'CDO Bespoke'!C172,"")</f>
        <v/>
      </c>
      <c r="P147" s="513" t="str" cm="1">
        <f t="array" aca="1" ref="P147" ca="1">IF($O147&lt;&gt;"",-TRANSPOSE(INDEX(getcds('CDO Bespoke'!$C172,P$13,'CDO Bespoke'!$G172/10000,'CDO Bespoke'!F172,'CDO Bespoke'!D172,'CDO Bespoke'!$C$13,'CDO Bespoke'!$C$14,'CDO Bespoke'!$C$15,'CDO Bespoke'!$C$8,,,TRUE,TRUE,FALSE,'CDO Bespoke'!$C$29:'CDO Bespoke'!$C$31,'CDO Bespoke'!$C$33),{5})),"")</f>
        <v/>
      </c>
      <c r="Q147" s="524" t="str" cm="1">
        <f t="array" aca="1" ref="Q147" ca="1">IF($O147&lt;&gt;"",-TRANSPOSE(INDEX(getcds('CDO Bespoke'!$C172,Q$13,'CDO Bespoke'!$G172/10000,'CDO Bespoke'!G172,'CDO Bespoke'!E172,'CDO Bespoke'!$C$13,'CDO Bespoke'!$C$14,'CDO Bespoke'!$C$15,'CDO Bespoke'!$C$8,,,TRUE,TRUE,FALSE,'CDO Bespoke'!$C$29:'CDO Bespoke'!$C$31,'CDO Bespoke'!$C$33),{5})),"")</f>
        <v/>
      </c>
      <c r="R147" s="524" t="str" cm="1">
        <f t="array" aca="1" ref="R147" ca="1">IF($O147&lt;&gt;"",-TRANSPOSE(INDEX(getcds('CDO Bespoke'!$C172,R$13,'CDO Bespoke'!$G172/10000,'CDO Bespoke'!H172,'CDO Bespoke'!F172,'CDO Bespoke'!$C$13,'CDO Bespoke'!$C$14,'CDO Bespoke'!$C$15,'CDO Bespoke'!$C$8,,,TRUE,TRUE,FALSE,'CDO Bespoke'!$C$29:'CDO Bespoke'!$C$31,'CDO Bespoke'!$C$33),{5})),"")</f>
        <v/>
      </c>
      <c r="S147" s="524" t="str" cm="1">
        <f t="array" aca="1" ref="S147" ca="1">IF($O147&lt;&gt;"",-TRANSPOSE(INDEX(getcds('CDO Bespoke'!$C172,S$13,'CDO Bespoke'!$G172/10000,'CDO Bespoke'!I172,'CDO Bespoke'!G172,'CDO Bespoke'!$C$13,'CDO Bespoke'!$C$14,'CDO Bespoke'!$C$15,'CDO Bespoke'!$C$8,,,TRUE,TRUE,FALSE,'CDO Bespoke'!$C$29:'CDO Bespoke'!$C$31,'CDO Bespoke'!$C$33),{5})),"")</f>
        <v/>
      </c>
      <c r="T147" s="514" t="str" cm="1">
        <f t="array" aca="1" ref="T147" ca="1">IF($O147&lt;&gt;"",-TRANSPOSE(INDEX(getcds('CDO Bespoke'!$C172,T$13,'CDO Bespoke'!$G172/10000,'CDO Bespoke'!J172,'CDO Bespoke'!H172,'CDO Bespoke'!$C$13,'CDO Bespoke'!$C$14,'CDO Bespoke'!$C$15,'CDO Bespoke'!$C$8,,,TRUE,TRUE,FALSE,'CDO Bespoke'!$C$29:'CDO Bespoke'!$C$31,'CDO Bespoke'!$C$33),{5})),"")</f>
        <v/>
      </c>
      <c r="U147" s="493"/>
      <c r="V147" s="513"/>
      <c r="W147" s="572"/>
      <c r="X147" s="572"/>
      <c r="Y147" s="572"/>
      <c r="Z147" s="572"/>
      <c r="AA147" s="572"/>
      <c r="AB147" s="572"/>
      <c r="AC147" s="572"/>
      <c r="AD147" s="572"/>
      <c r="AE147" s="514"/>
    </row>
    <row r="148" spans="6:31" s="281" customFormat="1" ht="12" thickBot="1">
      <c r="F148" s="501" t="str">
        <f ca="1">IF('CDO Bespoke'!O149&lt;&gt;"",'CDO Bespoke'!O149,"")</f>
        <v/>
      </c>
      <c r="G148" s="502" t="str">
        <f ca="1">IF(F148&lt;&gt;"",ABS(MIN(-0.75*('CDO Bespoke'!Q149+'CDO Bespoke'!T149)+'CDO Bespoke'!T149,0)),"")</f>
        <v/>
      </c>
      <c r="H148" s="502" t="str">
        <f t="shared" ca="1" si="8"/>
        <v/>
      </c>
      <c r="I148" s="502" t="str">
        <f t="shared" ca="1" si="11"/>
        <v/>
      </c>
      <c r="J148" s="501" t="str">
        <f ca="1">IF('CDO Bespoke'!O149&lt;&gt;"",'CDO Bespoke'!O149,"")</f>
        <v/>
      </c>
      <c r="K148" s="502" t="str">
        <f ca="1">IF(J148&lt;&gt;"",ABS(MIN(-0.75*('CDO Bespoke'!K149+'CDO Bespoke'!T149)+'CDO Bespoke'!T149,0)),"")</f>
        <v/>
      </c>
      <c r="L148" s="502" t="str">
        <f t="shared" ca="1" si="9"/>
        <v/>
      </c>
      <c r="M148" s="506" t="str">
        <f t="shared" ca="1" si="10"/>
        <v/>
      </c>
      <c r="O148" s="511" t="str">
        <f ca="1">IF('CDO Bespoke'!C173&lt;&gt;"",'CDO Bespoke'!C173,"")</f>
        <v/>
      </c>
      <c r="P148" s="513" t="str" cm="1">
        <f t="array" aca="1" ref="P148" ca="1">IF($O148&lt;&gt;"",-TRANSPOSE(INDEX(getcds('CDO Bespoke'!$C173,P$13,'CDO Bespoke'!$G173/10000,'CDO Bespoke'!F173,'CDO Bespoke'!D173,'CDO Bespoke'!$C$13,'CDO Bespoke'!$C$14,'CDO Bespoke'!$C$15,'CDO Bespoke'!$C$8,,,TRUE,TRUE,FALSE,'CDO Bespoke'!$C$29:'CDO Bespoke'!$C$31,'CDO Bespoke'!$C$33),{5})),"")</f>
        <v/>
      </c>
      <c r="Q148" s="524" t="str" cm="1">
        <f t="array" aca="1" ref="Q148" ca="1">IF($O148&lt;&gt;"",-TRANSPOSE(INDEX(getcds('CDO Bespoke'!$C173,Q$13,'CDO Bespoke'!$G173/10000,'CDO Bespoke'!G173,'CDO Bespoke'!E173,'CDO Bespoke'!$C$13,'CDO Bespoke'!$C$14,'CDO Bespoke'!$C$15,'CDO Bespoke'!$C$8,,,TRUE,TRUE,FALSE,'CDO Bespoke'!$C$29:'CDO Bespoke'!$C$31,'CDO Bespoke'!$C$33),{5})),"")</f>
        <v/>
      </c>
      <c r="R148" s="524" t="str" cm="1">
        <f t="array" aca="1" ref="R148" ca="1">IF($O148&lt;&gt;"",-TRANSPOSE(INDEX(getcds('CDO Bespoke'!$C173,R$13,'CDO Bespoke'!$G173/10000,'CDO Bespoke'!H173,'CDO Bespoke'!F173,'CDO Bespoke'!$C$13,'CDO Bespoke'!$C$14,'CDO Bespoke'!$C$15,'CDO Bespoke'!$C$8,,,TRUE,TRUE,FALSE,'CDO Bespoke'!$C$29:'CDO Bespoke'!$C$31,'CDO Bespoke'!$C$33),{5})),"")</f>
        <v/>
      </c>
      <c r="S148" s="524" t="str" cm="1">
        <f t="array" aca="1" ref="S148" ca="1">IF($O148&lt;&gt;"",-TRANSPOSE(INDEX(getcds('CDO Bespoke'!$C173,S$13,'CDO Bespoke'!$G173/10000,'CDO Bespoke'!I173,'CDO Bespoke'!G173,'CDO Bespoke'!$C$13,'CDO Bespoke'!$C$14,'CDO Bespoke'!$C$15,'CDO Bespoke'!$C$8,,,TRUE,TRUE,FALSE,'CDO Bespoke'!$C$29:'CDO Bespoke'!$C$31,'CDO Bespoke'!$C$33),{5})),"")</f>
        <v/>
      </c>
      <c r="T148" s="514" t="str" cm="1">
        <f t="array" aca="1" ref="T148" ca="1">IF($O148&lt;&gt;"",-TRANSPOSE(INDEX(getcds('CDO Bespoke'!$C173,T$13,'CDO Bespoke'!$G173/10000,'CDO Bespoke'!J173,'CDO Bespoke'!H173,'CDO Bespoke'!$C$13,'CDO Bespoke'!$C$14,'CDO Bespoke'!$C$15,'CDO Bespoke'!$C$8,,,TRUE,TRUE,FALSE,'CDO Bespoke'!$C$29:'CDO Bespoke'!$C$31,'CDO Bespoke'!$C$33),{5})),"")</f>
        <v/>
      </c>
      <c r="U148" s="493"/>
      <c r="V148" s="513"/>
      <c r="W148" s="572"/>
      <c r="X148" s="572"/>
      <c r="Y148" s="572"/>
      <c r="Z148" s="572"/>
      <c r="AA148" s="572"/>
      <c r="AB148" s="572"/>
      <c r="AC148" s="572"/>
      <c r="AD148" s="572"/>
      <c r="AE148" s="514"/>
    </row>
    <row r="149" spans="6:31" s="281" customFormat="1" ht="12" thickBot="1">
      <c r="F149" s="501" t="str">
        <f ca="1">IF('CDO Bespoke'!O150&lt;&gt;"",'CDO Bespoke'!O150,"")</f>
        <v/>
      </c>
      <c r="G149" s="502" t="str">
        <f ca="1">IF(F149&lt;&gt;"",ABS(MIN(-0.75*('CDO Bespoke'!Q150+'CDO Bespoke'!T150)+'CDO Bespoke'!T150,0)),"")</f>
        <v/>
      </c>
      <c r="H149" s="502" t="str">
        <f t="shared" ca="1" si="8"/>
        <v/>
      </c>
      <c r="I149" s="502" t="str">
        <f t="shared" ca="1" si="11"/>
        <v/>
      </c>
      <c r="J149" s="501" t="str">
        <f ca="1">IF('CDO Bespoke'!O150&lt;&gt;"",'CDO Bespoke'!O150,"")</f>
        <v/>
      </c>
      <c r="K149" s="502" t="str">
        <f ca="1">IF(J149&lt;&gt;"",ABS(MIN(-0.75*('CDO Bespoke'!K150+'CDO Bespoke'!T150)+'CDO Bespoke'!T150,0)),"")</f>
        <v/>
      </c>
      <c r="L149" s="502" t="str">
        <f t="shared" ca="1" si="9"/>
        <v/>
      </c>
      <c r="M149" s="506" t="str">
        <f t="shared" ca="1" si="10"/>
        <v/>
      </c>
      <c r="O149" s="511" t="str">
        <f ca="1">IF('CDO Bespoke'!C174&lt;&gt;"",'CDO Bespoke'!C174,"")</f>
        <v/>
      </c>
      <c r="P149" s="513" t="str" cm="1">
        <f t="array" aca="1" ref="P149" ca="1">IF($O149&lt;&gt;"",-TRANSPOSE(INDEX(getcds('CDO Bespoke'!$C174,P$13,'CDO Bespoke'!$G174/10000,'CDO Bespoke'!F174,'CDO Bespoke'!D174,'CDO Bespoke'!$C$13,'CDO Bespoke'!$C$14,'CDO Bespoke'!$C$15,'CDO Bespoke'!$C$8,,,TRUE,TRUE,FALSE,'CDO Bespoke'!$C$29:'CDO Bespoke'!$C$31,'CDO Bespoke'!$C$33),{5})),"")</f>
        <v/>
      </c>
      <c r="Q149" s="524" t="str" cm="1">
        <f t="array" aca="1" ref="Q149" ca="1">IF($O149&lt;&gt;"",-TRANSPOSE(INDEX(getcds('CDO Bespoke'!$C174,Q$13,'CDO Bespoke'!$G174/10000,'CDO Bespoke'!G174,'CDO Bespoke'!E174,'CDO Bespoke'!$C$13,'CDO Bespoke'!$C$14,'CDO Bespoke'!$C$15,'CDO Bespoke'!$C$8,,,TRUE,TRUE,FALSE,'CDO Bespoke'!$C$29:'CDO Bespoke'!$C$31,'CDO Bespoke'!$C$33),{5})),"")</f>
        <v/>
      </c>
      <c r="R149" s="524" t="str" cm="1">
        <f t="array" aca="1" ref="R149" ca="1">IF($O149&lt;&gt;"",-TRANSPOSE(INDEX(getcds('CDO Bespoke'!$C174,R$13,'CDO Bespoke'!$G174/10000,'CDO Bespoke'!H174,'CDO Bespoke'!F174,'CDO Bespoke'!$C$13,'CDO Bespoke'!$C$14,'CDO Bespoke'!$C$15,'CDO Bespoke'!$C$8,,,TRUE,TRUE,FALSE,'CDO Bespoke'!$C$29:'CDO Bespoke'!$C$31,'CDO Bespoke'!$C$33),{5})),"")</f>
        <v/>
      </c>
      <c r="S149" s="524" t="str" cm="1">
        <f t="array" aca="1" ref="S149" ca="1">IF($O149&lt;&gt;"",-TRANSPOSE(INDEX(getcds('CDO Bespoke'!$C174,S$13,'CDO Bespoke'!$G174/10000,'CDO Bespoke'!I174,'CDO Bespoke'!G174,'CDO Bespoke'!$C$13,'CDO Bespoke'!$C$14,'CDO Bespoke'!$C$15,'CDO Bespoke'!$C$8,,,TRUE,TRUE,FALSE,'CDO Bespoke'!$C$29:'CDO Bespoke'!$C$31,'CDO Bespoke'!$C$33),{5})),"")</f>
        <v/>
      </c>
      <c r="T149" s="514" t="str" cm="1">
        <f t="array" aca="1" ref="T149" ca="1">IF($O149&lt;&gt;"",-TRANSPOSE(INDEX(getcds('CDO Bespoke'!$C174,T$13,'CDO Bespoke'!$G174/10000,'CDO Bespoke'!J174,'CDO Bespoke'!H174,'CDO Bespoke'!$C$13,'CDO Bespoke'!$C$14,'CDO Bespoke'!$C$15,'CDO Bespoke'!$C$8,,,TRUE,TRUE,FALSE,'CDO Bespoke'!$C$29:'CDO Bespoke'!$C$31,'CDO Bespoke'!$C$33),{5})),"")</f>
        <v/>
      </c>
      <c r="U149" s="493"/>
      <c r="V149" s="513"/>
      <c r="W149" s="572"/>
      <c r="X149" s="572"/>
      <c r="Y149" s="572"/>
      <c r="Z149" s="572"/>
      <c r="AA149" s="572"/>
      <c r="AB149" s="572"/>
      <c r="AC149" s="572"/>
      <c r="AD149" s="572"/>
      <c r="AE149" s="514"/>
    </row>
    <row r="150" spans="6:31" s="281" customFormat="1" ht="12" thickBot="1">
      <c r="F150" s="501" t="str">
        <f ca="1">IF('CDO Bespoke'!O151&lt;&gt;"",'CDO Bespoke'!O151,"")</f>
        <v/>
      </c>
      <c r="G150" s="502" t="str">
        <f ca="1">IF(F150&lt;&gt;"",ABS(MIN(-0.75*('CDO Bespoke'!Q151+'CDO Bespoke'!T151)+'CDO Bespoke'!T151,0)),"")</f>
        <v/>
      </c>
      <c r="H150" s="502" t="str">
        <f t="shared" ca="1" si="8"/>
        <v/>
      </c>
      <c r="I150" s="502" t="str">
        <f t="shared" ca="1" si="11"/>
        <v/>
      </c>
      <c r="J150" s="501" t="str">
        <f ca="1">IF('CDO Bespoke'!O151&lt;&gt;"",'CDO Bespoke'!O151,"")</f>
        <v/>
      </c>
      <c r="K150" s="502" t="str">
        <f ca="1">IF(J150&lt;&gt;"",ABS(MIN(-0.75*('CDO Bespoke'!K151+'CDO Bespoke'!T151)+'CDO Bespoke'!T151,0)),"")</f>
        <v/>
      </c>
      <c r="L150" s="502" t="str">
        <f t="shared" ca="1" si="9"/>
        <v/>
      </c>
      <c r="M150" s="506" t="str">
        <f t="shared" ca="1" si="10"/>
        <v/>
      </c>
      <c r="O150" s="511" t="str">
        <f ca="1">IF('CDO Bespoke'!C175&lt;&gt;"",'CDO Bespoke'!C175,"")</f>
        <v/>
      </c>
      <c r="P150" s="513" t="str" cm="1">
        <f t="array" aca="1" ref="P150" ca="1">IF($O150&lt;&gt;"",-TRANSPOSE(INDEX(getcds('CDO Bespoke'!$C175,P$13,'CDO Bespoke'!$G175/10000,'CDO Bespoke'!F175,'CDO Bespoke'!D175,'CDO Bespoke'!$C$13,'CDO Bespoke'!$C$14,'CDO Bespoke'!$C$15,'CDO Bespoke'!$C$8,,,TRUE,TRUE,FALSE,'CDO Bespoke'!$C$29:'CDO Bespoke'!$C$31,'CDO Bespoke'!$C$33),{5})),"")</f>
        <v/>
      </c>
      <c r="Q150" s="524" t="str" cm="1">
        <f t="array" aca="1" ref="Q150" ca="1">IF($O150&lt;&gt;"",-TRANSPOSE(INDEX(getcds('CDO Bespoke'!$C175,Q$13,'CDO Bespoke'!$G175/10000,'CDO Bespoke'!G175,'CDO Bespoke'!E175,'CDO Bespoke'!$C$13,'CDO Bespoke'!$C$14,'CDO Bespoke'!$C$15,'CDO Bespoke'!$C$8,,,TRUE,TRUE,FALSE,'CDO Bespoke'!$C$29:'CDO Bespoke'!$C$31,'CDO Bespoke'!$C$33),{5})),"")</f>
        <v/>
      </c>
      <c r="R150" s="524" t="str" cm="1">
        <f t="array" aca="1" ref="R150" ca="1">IF($O150&lt;&gt;"",-TRANSPOSE(INDEX(getcds('CDO Bespoke'!$C175,R$13,'CDO Bespoke'!$G175/10000,'CDO Bespoke'!H175,'CDO Bespoke'!F175,'CDO Bespoke'!$C$13,'CDO Bespoke'!$C$14,'CDO Bespoke'!$C$15,'CDO Bespoke'!$C$8,,,TRUE,TRUE,FALSE,'CDO Bespoke'!$C$29:'CDO Bespoke'!$C$31,'CDO Bespoke'!$C$33),{5})),"")</f>
        <v/>
      </c>
      <c r="S150" s="524" t="str" cm="1">
        <f t="array" aca="1" ref="S150" ca="1">IF($O150&lt;&gt;"",-TRANSPOSE(INDEX(getcds('CDO Bespoke'!$C175,S$13,'CDO Bespoke'!$G175/10000,'CDO Bespoke'!I175,'CDO Bespoke'!G175,'CDO Bespoke'!$C$13,'CDO Bespoke'!$C$14,'CDO Bespoke'!$C$15,'CDO Bespoke'!$C$8,,,TRUE,TRUE,FALSE,'CDO Bespoke'!$C$29:'CDO Bespoke'!$C$31,'CDO Bespoke'!$C$33),{5})),"")</f>
        <v/>
      </c>
      <c r="T150" s="514" t="str" cm="1">
        <f t="array" aca="1" ref="T150" ca="1">IF($O150&lt;&gt;"",-TRANSPOSE(INDEX(getcds('CDO Bespoke'!$C175,T$13,'CDO Bespoke'!$G175/10000,'CDO Bespoke'!J175,'CDO Bespoke'!H175,'CDO Bespoke'!$C$13,'CDO Bespoke'!$C$14,'CDO Bespoke'!$C$15,'CDO Bespoke'!$C$8,,,TRUE,TRUE,FALSE,'CDO Bespoke'!$C$29:'CDO Bespoke'!$C$31,'CDO Bespoke'!$C$33),{5})),"")</f>
        <v/>
      </c>
      <c r="U150" s="493"/>
      <c r="V150" s="513"/>
      <c r="W150" s="572"/>
      <c r="X150" s="572"/>
      <c r="Y150" s="572"/>
      <c r="Z150" s="572"/>
      <c r="AA150" s="572"/>
      <c r="AB150" s="572"/>
      <c r="AC150" s="572"/>
      <c r="AD150" s="572"/>
      <c r="AE150" s="514"/>
    </row>
    <row r="151" spans="6:31" s="281" customFormat="1" ht="12" thickBot="1">
      <c r="F151" s="501" t="str">
        <f ca="1">IF('CDO Bespoke'!O152&lt;&gt;"",'CDO Bespoke'!O152,"")</f>
        <v/>
      </c>
      <c r="G151" s="502" t="str">
        <f ca="1">IF(F151&lt;&gt;"",ABS(MIN(-0.75*('CDO Bespoke'!Q152+'CDO Bespoke'!T152)+'CDO Bespoke'!T152,0)),"")</f>
        <v/>
      </c>
      <c r="H151" s="502" t="str">
        <f t="shared" ca="1" si="8"/>
        <v/>
      </c>
      <c r="I151" s="502" t="str">
        <f t="shared" ca="1" si="11"/>
        <v/>
      </c>
      <c r="J151" s="501" t="str">
        <f ca="1">IF('CDO Bespoke'!O152&lt;&gt;"",'CDO Bespoke'!O152,"")</f>
        <v/>
      </c>
      <c r="K151" s="502" t="str">
        <f ca="1">IF(J151&lt;&gt;"",ABS(MIN(-0.75*('CDO Bespoke'!K152+'CDO Bespoke'!T152)+'CDO Bespoke'!T152,0)),"")</f>
        <v/>
      </c>
      <c r="L151" s="502" t="str">
        <f t="shared" ca="1" si="9"/>
        <v/>
      </c>
      <c r="M151" s="506" t="str">
        <f t="shared" ca="1" si="10"/>
        <v/>
      </c>
      <c r="O151" s="511" t="str">
        <f ca="1">IF('CDO Bespoke'!C176&lt;&gt;"",'CDO Bespoke'!C176,"")</f>
        <v/>
      </c>
      <c r="P151" s="513" t="str" cm="1">
        <f t="array" aca="1" ref="P151" ca="1">IF($O151&lt;&gt;"",-TRANSPOSE(INDEX(getcds('CDO Bespoke'!$C176,P$13,'CDO Bespoke'!$G176/10000,'CDO Bespoke'!F176,'CDO Bespoke'!D176,'CDO Bespoke'!$C$13,'CDO Bespoke'!$C$14,'CDO Bespoke'!$C$15,'CDO Bespoke'!$C$8,,,TRUE,TRUE,FALSE,'CDO Bespoke'!$C$29:'CDO Bespoke'!$C$31,'CDO Bespoke'!$C$33),{5})),"")</f>
        <v/>
      </c>
      <c r="Q151" s="524" t="str" cm="1">
        <f t="array" aca="1" ref="Q151" ca="1">IF($O151&lt;&gt;"",-TRANSPOSE(INDEX(getcds('CDO Bespoke'!$C176,Q$13,'CDO Bespoke'!$G176/10000,'CDO Bespoke'!G176,'CDO Bespoke'!E176,'CDO Bespoke'!$C$13,'CDO Bespoke'!$C$14,'CDO Bespoke'!$C$15,'CDO Bespoke'!$C$8,,,TRUE,TRUE,FALSE,'CDO Bespoke'!$C$29:'CDO Bespoke'!$C$31,'CDO Bespoke'!$C$33),{5})),"")</f>
        <v/>
      </c>
      <c r="R151" s="524" t="str" cm="1">
        <f t="array" aca="1" ref="R151" ca="1">IF($O151&lt;&gt;"",-TRANSPOSE(INDEX(getcds('CDO Bespoke'!$C176,R$13,'CDO Bespoke'!$G176/10000,'CDO Bespoke'!H176,'CDO Bespoke'!F176,'CDO Bespoke'!$C$13,'CDO Bespoke'!$C$14,'CDO Bespoke'!$C$15,'CDO Bespoke'!$C$8,,,TRUE,TRUE,FALSE,'CDO Bespoke'!$C$29:'CDO Bespoke'!$C$31,'CDO Bespoke'!$C$33),{5})),"")</f>
        <v/>
      </c>
      <c r="S151" s="524" t="str" cm="1">
        <f t="array" aca="1" ref="S151" ca="1">IF($O151&lt;&gt;"",-TRANSPOSE(INDEX(getcds('CDO Bespoke'!$C176,S$13,'CDO Bespoke'!$G176/10000,'CDO Bespoke'!I176,'CDO Bespoke'!G176,'CDO Bespoke'!$C$13,'CDO Bespoke'!$C$14,'CDO Bespoke'!$C$15,'CDO Bespoke'!$C$8,,,TRUE,TRUE,FALSE,'CDO Bespoke'!$C$29:'CDO Bespoke'!$C$31,'CDO Bespoke'!$C$33),{5})),"")</f>
        <v/>
      </c>
      <c r="T151" s="514" t="str" cm="1">
        <f t="array" aca="1" ref="T151" ca="1">IF($O151&lt;&gt;"",-TRANSPOSE(INDEX(getcds('CDO Bespoke'!$C176,T$13,'CDO Bespoke'!$G176/10000,'CDO Bespoke'!J176,'CDO Bespoke'!H176,'CDO Bespoke'!$C$13,'CDO Bespoke'!$C$14,'CDO Bespoke'!$C$15,'CDO Bespoke'!$C$8,,,TRUE,TRUE,FALSE,'CDO Bespoke'!$C$29:'CDO Bespoke'!$C$31,'CDO Bespoke'!$C$33),{5})),"")</f>
        <v/>
      </c>
      <c r="U151" s="493"/>
      <c r="V151" s="513"/>
      <c r="W151" s="572"/>
      <c r="X151" s="572"/>
      <c r="Y151" s="572"/>
      <c r="Z151" s="572"/>
      <c r="AA151" s="572"/>
      <c r="AB151" s="572"/>
      <c r="AC151" s="572"/>
      <c r="AD151" s="572"/>
      <c r="AE151" s="514"/>
    </row>
    <row r="152" spans="6:31" s="281" customFormat="1" ht="12" thickBot="1">
      <c r="F152" s="501" t="str">
        <f ca="1">IF('CDO Bespoke'!O153&lt;&gt;"",'CDO Bespoke'!O153,"")</f>
        <v/>
      </c>
      <c r="G152" s="502" t="str">
        <f ca="1">IF(F152&lt;&gt;"",ABS(MIN(-0.75*('CDO Bespoke'!Q153+'CDO Bespoke'!T153)+'CDO Bespoke'!T153,0)),"")</f>
        <v/>
      </c>
      <c r="H152" s="502" t="str">
        <f t="shared" ca="1" si="8"/>
        <v/>
      </c>
      <c r="I152" s="502" t="str">
        <f t="shared" ca="1" si="11"/>
        <v/>
      </c>
      <c r="J152" s="501" t="str">
        <f ca="1">IF('CDO Bespoke'!O153&lt;&gt;"",'CDO Bespoke'!O153,"")</f>
        <v/>
      </c>
      <c r="K152" s="502" t="str">
        <f ca="1">IF(J152&lt;&gt;"",ABS(MIN(-0.75*('CDO Bespoke'!K153+'CDO Bespoke'!T153)+'CDO Bespoke'!T153,0)),"")</f>
        <v/>
      </c>
      <c r="L152" s="502" t="str">
        <f t="shared" ca="1" si="9"/>
        <v/>
      </c>
      <c r="M152" s="506" t="str">
        <f t="shared" ca="1" si="10"/>
        <v/>
      </c>
      <c r="O152" s="511" t="str">
        <f ca="1">IF('CDO Bespoke'!C177&lt;&gt;"",'CDO Bespoke'!C177,"")</f>
        <v/>
      </c>
      <c r="P152" s="513" t="str" cm="1">
        <f t="array" aca="1" ref="P152" ca="1">IF($O152&lt;&gt;"",-TRANSPOSE(INDEX(getcds('CDO Bespoke'!$C177,P$13,'CDO Bespoke'!$G177/10000,'CDO Bespoke'!F177,'CDO Bespoke'!D177,'CDO Bespoke'!$C$13,'CDO Bespoke'!$C$14,'CDO Bespoke'!$C$15,'CDO Bespoke'!$C$8,,,TRUE,TRUE,FALSE,'CDO Bespoke'!$C$29:'CDO Bespoke'!$C$31,'CDO Bespoke'!$C$33),{5})),"")</f>
        <v/>
      </c>
      <c r="Q152" s="524" t="str" cm="1">
        <f t="array" aca="1" ref="Q152" ca="1">IF($O152&lt;&gt;"",-TRANSPOSE(INDEX(getcds('CDO Bespoke'!$C177,Q$13,'CDO Bespoke'!$G177/10000,'CDO Bespoke'!G177,'CDO Bespoke'!E177,'CDO Bespoke'!$C$13,'CDO Bespoke'!$C$14,'CDO Bespoke'!$C$15,'CDO Bespoke'!$C$8,,,TRUE,TRUE,FALSE,'CDO Bespoke'!$C$29:'CDO Bespoke'!$C$31,'CDO Bespoke'!$C$33),{5})),"")</f>
        <v/>
      </c>
      <c r="R152" s="524" t="str" cm="1">
        <f t="array" aca="1" ref="R152" ca="1">IF($O152&lt;&gt;"",-TRANSPOSE(INDEX(getcds('CDO Bespoke'!$C177,R$13,'CDO Bespoke'!$G177/10000,'CDO Bespoke'!H177,'CDO Bespoke'!F177,'CDO Bespoke'!$C$13,'CDO Bespoke'!$C$14,'CDO Bespoke'!$C$15,'CDO Bespoke'!$C$8,,,TRUE,TRUE,FALSE,'CDO Bespoke'!$C$29:'CDO Bespoke'!$C$31,'CDO Bespoke'!$C$33),{5})),"")</f>
        <v/>
      </c>
      <c r="S152" s="524" t="str" cm="1">
        <f t="array" aca="1" ref="S152" ca="1">IF($O152&lt;&gt;"",-TRANSPOSE(INDEX(getcds('CDO Bespoke'!$C177,S$13,'CDO Bespoke'!$G177/10000,'CDO Bespoke'!I177,'CDO Bespoke'!G177,'CDO Bespoke'!$C$13,'CDO Bespoke'!$C$14,'CDO Bespoke'!$C$15,'CDO Bespoke'!$C$8,,,TRUE,TRUE,FALSE,'CDO Bespoke'!$C$29:'CDO Bespoke'!$C$31,'CDO Bespoke'!$C$33),{5})),"")</f>
        <v/>
      </c>
      <c r="T152" s="514" t="str" cm="1">
        <f t="array" aca="1" ref="T152" ca="1">IF($O152&lt;&gt;"",-TRANSPOSE(INDEX(getcds('CDO Bespoke'!$C177,T$13,'CDO Bespoke'!$G177/10000,'CDO Bespoke'!J177,'CDO Bespoke'!H177,'CDO Bespoke'!$C$13,'CDO Bespoke'!$C$14,'CDO Bespoke'!$C$15,'CDO Bespoke'!$C$8,,,TRUE,TRUE,FALSE,'CDO Bespoke'!$C$29:'CDO Bespoke'!$C$31,'CDO Bespoke'!$C$33),{5})),"")</f>
        <v/>
      </c>
      <c r="U152" s="493"/>
      <c r="V152" s="513"/>
      <c r="W152" s="572"/>
      <c r="X152" s="572"/>
      <c r="Y152" s="572"/>
      <c r="Z152" s="572"/>
      <c r="AA152" s="572"/>
      <c r="AB152" s="572"/>
      <c r="AC152" s="572"/>
      <c r="AD152" s="572"/>
      <c r="AE152" s="514"/>
    </row>
    <row r="153" spans="6:31" s="281" customFormat="1" ht="12" thickBot="1">
      <c r="F153" s="501" t="str">
        <f ca="1">IF('CDO Bespoke'!O154&lt;&gt;"",'CDO Bespoke'!O154,"")</f>
        <v/>
      </c>
      <c r="G153" s="502" t="str">
        <f ca="1">IF(F153&lt;&gt;"",ABS(MIN(-0.75*('CDO Bespoke'!Q154+'CDO Bespoke'!T154)+'CDO Bespoke'!T154,0)),"")</f>
        <v/>
      </c>
      <c r="H153" s="502" t="str">
        <f t="shared" ca="1" si="8"/>
        <v/>
      </c>
      <c r="I153" s="502" t="str">
        <f t="shared" ca="1" si="11"/>
        <v/>
      </c>
      <c r="J153" s="501" t="str">
        <f ca="1">IF('CDO Bespoke'!O154&lt;&gt;"",'CDO Bespoke'!O154,"")</f>
        <v/>
      </c>
      <c r="K153" s="502" t="str">
        <f ca="1">IF(J153&lt;&gt;"",ABS(MIN(-0.75*('CDO Bespoke'!K154+'CDO Bespoke'!T154)+'CDO Bespoke'!T154,0)),"")</f>
        <v/>
      </c>
      <c r="L153" s="502" t="str">
        <f t="shared" ca="1" si="9"/>
        <v/>
      </c>
      <c r="M153" s="506" t="str">
        <f t="shared" ca="1" si="10"/>
        <v/>
      </c>
      <c r="O153" s="511" t="str">
        <f ca="1">IF('CDO Bespoke'!C178&lt;&gt;"",'CDO Bespoke'!C178,"")</f>
        <v/>
      </c>
      <c r="P153" s="513" t="str" cm="1">
        <f t="array" aca="1" ref="P153" ca="1">IF($O153&lt;&gt;"",-TRANSPOSE(INDEX(getcds('CDO Bespoke'!$C178,P$13,'CDO Bespoke'!$G178/10000,'CDO Bespoke'!F178,'CDO Bespoke'!D178,'CDO Bespoke'!$C$13,'CDO Bespoke'!$C$14,'CDO Bespoke'!$C$15,'CDO Bespoke'!$C$8,,,TRUE,TRUE,FALSE,'CDO Bespoke'!$C$29:'CDO Bespoke'!$C$31,'CDO Bespoke'!$C$33),{5})),"")</f>
        <v/>
      </c>
      <c r="Q153" s="524" t="str" cm="1">
        <f t="array" aca="1" ref="Q153" ca="1">IF($O153&lt;&gt;"",-TRANSPOSE(INDEX(getcds('CDO Bespoke'!$C178,Q$13,'CDO Bespoke'!$G178/10000,'CDO Bespoke'!G178,'CDO Bespoke'!E178,'CDO Bespoke'!$C$13,'CDO Bespoke'!$C$14,'CDO Bespoke'!$C$15,'CDO Bespoke'!$C$8,,,TRUE,TRUE,FALSE,'CDO Bespoke'!$C$29:'CDO Bespoke'!$C$31,'CDO Bespoke'!$C$33),{5})),"")</f>
        <v/>
      </c>
      <c r="R153" s="524" t="str" cm="1">
        <f t="array" aca="1" ref="R153" ca="1">IF($O153&lt;&gt;"",-TRANSPOSE(INDEX(getcds('CDO Bespoke'!$C178,R$13,'CDO Bespoke'!$G178/10000,'CDO Bespoke'!H178,'CDO Bespoke'!F178,'CDO Bespoke'!$C$13,'CDO Bespoke'!$C$14,'CDO Bespoke'!$C$15,'CDO Bespoke'!$C$8,,,TRUE,TRUE,FALSE,'CDO Bespoke'!$C$29:'CDO Bespoke'!$C$31,'CDO Bespoke'!$C$33),{5})),"")</f>
        <v/>
      </c>
      <c r="S153" s="524" t="str" cm="1">
        <f t="array" aca="1" ref="S153" ca="1">IF($O153&lt;&gt;"",-TRANSPOSE(INDEX(getcds('CDO Bespoke'!$C178,S$13,'CDO Bespoke'!$G178/10000,'CDO Bespoke'!I178,'CDO Bespoke'!G178,'CDO Bespoke'!$C$13,'CDO Bespoke'!$C$14,'CDO Bespoke'!$C$15,'CDO Bespoke'!$C$8,,,TRUE,TRUE,FALSE,'CDO Bespoke'!$C$29:'CDO Bespoke'!$C$31,'CDO Bespoke'!$C$33),{5})),"")</f>
        <v/>
      </c>
      <c r="T153" s="514" t="str" cm="1">
        <f t="array" aca="1" ref="T153" ca="1">IF($O153&lt;&gt;"",-TRANSPOSE(INDEX(getcds('CDO Bespoke'!$C178,T$13,'CDO Bespoke'!$G178/10000,'CDO Bespoke'!J178,'CDO Bespoke'!H178,'CDO Bespoke'!$C$13,'CDO Bespoke'!$C$14,'CDO Bespoke'!$C$15,'CDO Bespoke'!$C$8,,,TRUE,TRUE,FALSE,'CDO Bespoke'!$C$29:'CDO Bespoke'!$C$31,'CDO Bespoke'!$C$33),{5})),"")</f>
        <v/>
      </c>
      <c r="U153" s="493"/>
      <c r="V153" s="513"/>
      <c r="W153" s="572"/>
      <c r="X153" s="572"/>
      <c r="Y153" s="572"/>
      <c r="Z153" s="572"/>
      <c r="AA153" s="572"/>
      <c r="AB153" s="572"/>
      <c r="AC153" s="572"/>
      <c r="AD153" s="572"/>
      <c r="AE153" s="514"/>
    </row>
    <row r="154" spans="6:31" s="281" customFormat="1" ht="12" thickBot="1">
      <c r="F154" s="501" t="str">
        <f ca="1">IF('CDO Bespoke'!O155&lt;&gt;"",'CDO Bespoke'!O155,"")</f>
        <v/>
      </c>
      <c r="G154" s="502" t="str">
        <f ca="1">IF(F154&lt;&gt;"",ABS(MIN(-0.75*('CDO Bespoke'!Q155+'CDO Bespoke'!T155)+'CDO Bespoke'!T155,0)),"")</f>
        <v/>
      </c>
      <c r="H154" s="502" t="str">
        <f t="shared" ca="1" si="8"/>
        <v/>
      </c>
      <c r="I154" s="502" t="str">
        <f t="shared" ca="1" si="11"/>
        <v/>
      </c>
      <c r="J154" s="501" t="str">
        <f ca="1">IF('CDO Bespoke'!O155&lt;&gt;"",'CDO Bespoke'!O155,"")</f>
        <v/>
      </c>
      <c r="K154" s="502" t="str">
        <f ca="1">IF(J154&lt;&gt;"",ABS(MIN(-0.75*('CDO Bespoke'!K155+'CDO Bespoke'!T155)+'CDO Bespoke'!T155,0)),"")</f>
        <v/>
      </c>
      <c r="L154" s="502" t="str">
        <f t="shared" ca="1" si="9"/>
        <v/>
      </c>
      <c r="M154" s="506" t="str">
        <f t="shared" ca="1" si="10"/>
        <v/>
      </c>
      <c r="O154" s="511" t="str">
        <f ca="1">IF('CDO Bespoke'!C179&lt;&gt;"",'CDO Bespoke'!C179,"")</f>
        <v/>
      </c>
      <c r="P154" s="513" t="str" cm="1">
        <f t="array" aca="1" ref="P154" ca="1">IF($O154&lt;&gt;"",-TRANSPOSE(INDEX(getcds('CDO Bespoke'!$C179,P$13,'CDO Bespoke'!$G179/10000,'CDO Bespoke'!F179,'CDO Bespoke'!D179,'CDO Bespoke'!$C$13,'CDO Bespoke'!$C$14,'CDO Bespoke'!$C$15,'CDO Bespoke'!$C$8,,,TRUE,TRUE,FALSE,'CDO Bespoke'!$C$29:'CDO Bespoke'!$C$31,'CDO Bespoke'!$C$33),{5})),"")</f>
        <v/>
      </c>
      <c r="Q154" s="524" t="str" cm="1">
        <f t="array" aca="1" ref="Q154" ca="1">IF($O154&lt;&gt;"",-TRANSPOSE(INDEX(getcds('CDO Bespoke'!$C179,Q$13,'CDO Bespoke'!$G179/10000,'CDO Bespoke'!G179,'CDO Bespoke'!E179,'CDO Bespoke'!$C$13,'CDO Bespoke'!$C$14,'CDO Bespoke'!$C$15,'CDO Bespoke'!$C$8,,,TRUE,TRUE,FALSE,'CDO Bespoke'!$C$29:'CDO Bespoke'!$C$31,'CDO Bespoke'!$C$33),{5})),"")</f>
        <v/>
      </c>
      <c r="R154" s="524" t="str" cm="1">
        <f t="array" aca="1" ref="R154" ca="1">IF($O154&lt;&gt;"",-TRANSPOSE(INDEX(getcds('CDO Bespoke'!$C179,R$13,'CDO Bespoke'!$G179/10000,'CDO Bespoke'!H179,'CDO Bespoke'!F179,'CDO Bespoke'!$C$13,'CDO Bespoke'!$C$14,'CDO Bespoke'!$C$15,'CDO Bespoke'!$C$8,,,TRUE,TRUE,FALSE,'CDO Bespoke'!$C$29:'CDO Bespoke'!$C$31,'CDO Bespoke'!$C$33),{5})),"")</f>
        <v/>
      </c>
      <c r="S154" s="524" t="str" cm="1">
        <f t="array" aca="1" ref="S154" ca="1">IF($O154&lt;&gt;"",-TRANSPOSE(INDEX(getcds('CDO Bespoke'!$C179,S$13,'CDO Bespoke'!$G179/10000,'CDO Bespoke'!I179,'CDO Bespoke'!G179,'CDO Bespoke'!$C$13,'CDO Bespoke'!$C$14,'CDO Bespoke'!$C$15,'CDO Bespoke'!$C$8,,,TRUE,TRUE,FALSE,'CDO Bespoke'!$C$29:'CDO Bespoke'!$C$31,'CDO Bespoke'!$C$33),{5})),"")</f>
        <v/>
      </c>
      <c r="T154" s="514" t="str" cm="1">
        <f t="array" aca="1" ref="T154" ca="1">IF($O154&lt;&gt;"",-TRANSPOSE(INDEX(getcds('CDO Bespoke'!$C179,T$13,'CDO Bespoke'!$G179/10000,'CDO Bespoke'!J179,'CDO Bespoke'!H179,'CDO Bespoke'!$C$13,'CDO Bespoke'!$C$14,'CDO Bespoke'!$C$15,'CDO Bespoke'!$C$8,,,TRUE,TRUE,FALSE,'CDO Bespoke'!$C$29:'CDO Bespoke'!$C$31,'CDO Bespoke'!$C$33),{5})),"")</f>
        <v/>
      </c>
      <c r="U154" s="493"/>
      <c r="V154" s="513"/>
      <c r="W154" s="572"/>
      <c r="X154" s="572"/>
      <c r="Y154" s="572"/>
      <c r="Z154" s="572"/>
      <c r="AA154" s="572"/>
      <c r="AB154" s="572"/>
      <c r="AC154" s="572"/>
      <c r="AD154" s="572"/>
      <c r="AE154" s="514"/>
    </row>
    <row r="155" spans="6:31" s="281" customFormat="1" ht="12" thickBot="1">
      <c r="F155" s="501" t="str">
        <f ca="1">IF('CDO Bespoke'!O156&lt;&gt;"",'CDO Bespoke'!O156,"")</f>
        <v/>
      </c>
      <c r="G155" s="502" t="str">
        <f ca="1">IF(F155&lt;&gt;"",ABS(MIN(-0.75*('CDO Bespoke'!Q156+'CDO Bespoke'!T156)+'CDO Bespoke'!T156,0)),"")</f>
        <v/>
      </c>
      <c r="H155" s="502" t="str">
        <f t="shared" ca="1" si="8"/>
        <v/>
      </c>
      <c r="I155" s="502" t="str">
        <f t="shared" ca="1" si="11"/>
        <v/>
      </c>
      <c r="J155" s="501" t="str">
        <f ca="1">IF('CDO Bespoke'!O156&lt;&gt;"",'CDO Bespoke'!O156,"")</f>
        <v/>
      </c>
      <c r="K155" s="502" t="str">
        <f ca="1">IF(J155&lt;&gt;"",ABS(MIN(-0.75*('CDO Bespoke'!K156+'CDO Bespoke'!T156)+'CDO Bespoke'!T156,0)),"")</f>
        <v/>
      </c>
      <c r="L155" s="502" t="str">
        <f t="shared" ca="1" si="9"/>
        <v/>
      </c>
      <c r="M155" s="506" t="str">
        <f t="shared" ca="1" si="10"/>
        <v/>
      </c>
      <c r="O155" s="511" t="str">
        <f ca="1">IF('CDO Bespoke'!C180&lt;&gt;"",'CDO Bespoke'!C180,"")</f>
        <v/>
      </c>
      <c r="P155" s="513" t="str" cm="1">
        <f t="array" aca="1" ref="P155" ca="1">IF($O155&lt;&gt;"",-TRANSPOSE(INDEX(getcds('CDO Bespoke'!$C180,P$13,'CDO Bespoke'!$G180/10000,'CDO Bespoke'!F180,'CDO Bespoke'!D180,'CDO Bespoke'!$C$13,'CDO Bespoke'!$C$14,'CDO Bespoke'!$C$15,'CDO Bespoke'!$C$8,,,TRUE,TRUE,FALSE,'CDO Bespoke'!$C$29:'CDO Bespoke'!$C$31,'CDO Bespoke'!$C$33),{5})),"")</f>
        <v/>
      </c>
      <c r="Q155" s="524" t="str" cm="1">
        <f t="array" aca="1" ref="Q155" ca="1">IF($O155&lt;&gt;"",-TRANSPOSE(INDEX(getcds('CDO Bespoke'!$C180,Q$13,'CDO Bespoke'!$G180/10000,'CDO Bespoke'!G180,'CDO Bespoke'!E180,'CDO Bespoke'!$C$13,'CDO Bespoke'!$C$14,'CDO Bespoke'!$C$15,'CDO Bespoke'!$C$8,,,TRUE,TRUE,FALSE,'CDO Bespoke'!$C$29:'CDO Bespoke'!$C$31,'CDO Bespoke'!$C$33),{5})),"")</f>
        <v/>
      </c>
      <c r="R155" s="524" t="str" cm="1">
        <f t="array" aca="1" ref="R155" ca="1">IF($O155&lt;&gt;"",-TRANSPOSE(INDEX(getcds('CDO Bespoke'!$C180,R$13,'CDO Bespoke'!$G180/10000,'CDO Bespoke'!H180,'CDO Bespoke'!F180,'CDO Bespoke'!$C$13,'CDO Bespoke'!$C$14,'CDO Bespoke'!$C$15,'CDO Bespoke'!$C$8,,,TRUE,TRUE,FALSE,'CDO Bespoke'!$C$29:'CDO Bespoke'!$C$31,'CDO Bespoke'!$C$33),{5})),"")</f>
        <v/>
      </c>
      <c r="S155" s="524" t="str" cm="1">
        <f t="array" aca="1" ref="S155" ca="1">IF($O155&lt;&gt;"",-TRANSPOSE(INDEX(getcds('CDO Bespoke'!$C180,S$13,'CDO Bespoke'!$G180/10000,'CDO Bespoke'!I180,'CDO Bespoke'!G180,'CDO Bespoke'!$C$13,'CDO Bespoke'!$C$14,'CDO Bespoke'!$C$15,'CDO Bespoke'!$C$8,,,TRUE,TRUE,FALSE,'CDO Bespoke'!$C$29:'CDO Bespoke'!$C$31,'CDO Bespoke'!$C$33),{5})),"")</f>
        <v/>
      </c>
      <c r="T155" s="514" t="str" cm="1">
        <f t="array" aca="1" ref="T155" ca="1">IF($O155&lt;&gt;"",-TRANSPOSE(INDEX(getcds('CDO Bespoke'!$C180,T$13,'CDO Bespoke'!$G180/10000,'CDO Bespoke'!J180,'CDO Bespoke'!H180,'CDO Bespoke'!$C$13,'CDO Bespoke'!$C$14,'CDO Bespoke'!$C$15,'CDO Bespoke'!$C$8,,,TRUE,TRUE,FALSE,'CDO Bespoke'!$C$29:'CDO Bespoke'!$C$31,'CDO Bespoke'!$C$33),{5})),"")</f>
        <v/>
      </c>
      <c r="U155" s="493"/>
      <c r="V155" s="513"/>
      <c r="W155" s="572"/>
      <c r="X155" s="572"/>
      <c r="Y155" s="572"/>
      <c r="Z155" s="572"/>
      <c r="AA155" s="572"/>
      <c r="AB155" s="572"/>
      <c r="AC155" s="572"/>
      <c r="AD155" s="572"/>
      <c r="AE155" s="514"/>
    </row>
    <row r="156" spans="6:31" s="281" customFormat="1" ht="12" thickBot="1">
      <c r="F156" s="501" t="str">
        <f ca="1">IF('CDO Bespoke'!O157&lt;&gt;"",'CDO Bespoke'!O157,"")</f>
        <v/>
      </c>
      <c r="G156" s="502" t="str">
        <f ca="1">IF(F156&lt;&gt;"",ABS(MIN(-0.75*('CDO Bespoke'!Q157+'CDO Bespoke'!T157)+'CDO Bespoke'!T157,0)),"")</f>
        <v/>
      </c>
      <c r="H156" s="502" t="str">
        <f t="shared" ca="1" si="8"/>
        <v/>
      </c>
      <c r="I156" s="502" t="str">
        <f t="shared" ca="1" si="11"/>
        <v/>
      </c>
      <c r="J156" s="501" t="str">
        <f ca="1">IF('CDO Bespoke'!O157&lt;&gt;"",'CDO Bespoke'!O157,"")</f>
        <v/>
      </c>
      <c r="K156" s="502" t="str">
        <f ca="1">IF(J156&lt;&gt;"",ABS(MIN(-0.75*('CDO Bespoke'!K157+'CDO Bespoke'!T157)+'CDO Bespoke'!T157,0)),"")</f>
        <v/>
      </c>
      <c r="L156" s="502" t="str">
        <f t="shared" ca="1" si="9"/>
        <v/>
      </c>
      <c r="M156" s="506" t="str">
        <f t="shared" ca="1" si="10"/>
        <v/>
      </c>
      <c r="O156" s="511" t="str">
        <f ca="1">IF('CDO Bespoke'!C181&lt;&gt;"",'CDO Bespoke'!C181,"")</f>
        <v/>
      </c>
      <c r="P156" s="513" t="str" cm="1">
        <f t="array" aca="1" ref="P156" ca="1">IF($O156&lt;&gt;"",-TRANSPOSE(INDEX(getcds('CDO Bespoke'!$C181,P$13,'CDO Bespoke'!$G181/10000,'CDO Bespoke'!F181,'CDO Bespoke'!D181,'CDO Bespoke'!$C$13,'CDO Bespoke'!$C$14,'CDO Bespoke'!$C$15,'CDO Bespoke'!$C$8,,,TRUE,TRUE,FALSE,'CDO Bespoke'!$C$29:'CDO Bespoke'!$C$31,'CDO Bespoke'!$C$33),{5})),"")</f>
        <v/>
      </c>
      <c r="Q156" s="524" t="str" cm="1">
        <f t="array" aca="1" ref="Q156" ca="1">IF($O156&lt;&gt;"",-TRANSPOSE(INDEX(getcds('CDO Bespoke'!$C181,Q$13,'CDO Bespoke'!$G181/10000,'CDO Bespoke'!G181,'CDO Bespoke'!E181,'CDO Bespoke'!$C$13,'CDO Bespoke'!$C$14,'CDO Bespoke'!$C$15,'CDO Bespoke'!$C$8,,,TRUE,TRUE,FALSE,'CDO Bespoke'!$C$29:'CDO Bespoke'!$C$31,'CDO Bespoke'!$C$33),{5})),"")</f>
        <v/>
      </c>
      <c r="R156" s="524" t="str" cm="1">
        <f t="array" aca="1" ref="R156" ca="1">IF($O156&lt;&gt;"",-TRANSPOSE(INDEX(getcds('CDO Bespoke'!$C181,R$13,'CDO Bespoke'!$G181/10000,'CDO Bespoke'!H181,'CDO Bespoke'!F181,'CDO Bespoke'!$C$13,'CDO Bespoke'!$C$14,'CDO Bespoke'!$C$15,'CDO Bespoke'!$C$8,,,TRUE,TRUE,FALSE,'CDO Bespoke'!$C$29:'CDO Bespoke'!$C$31,'CDO Bespoke'!$C$33),{5})),"")</f>
        <v/>
      </c>
      <c r="S156" s="524" t="str" cm="1">
        <f t="array" aca="1" ref="S156" ca="1">IF($O156&lt;&gt;"",-TRANSPOSE(INDEX(getcds('CDO Bespoke'!$C181,S$13,'CDO Bespoke'!$G181/10000,'CDO Bespoke'!I181,'CDO Bespoke'!G181,'CDO Bespoke'!$C$13,'CDO Bespoke'!$C$14,'CDO Bespoke'!$C$15,'CDO Bespoke'!$C$8,,,TRUE,TRUE,FALSE,'CDO Bespoke'!$C$29:'CDO Bespoke'!$C$31,'CDO Bespoke'!$C$33),{5})),"")</f>
        <v/>
      </c>
      <c r="T156" s="514" t="str" cm="1">
        <f t="array" aca="1" ref="T156" ca="1">IF($O156&lt;&gt;"",-TRANSPOSE(INDEX(getcds('CDO Bespoke'!$C181,T$13,'CDO Bespoke'!$G181/10000,'CDO Bespoke'!J181,'CDO Bespoke'!H181,'CDO Bespoke'!$C$13,'CDO Bespoke'!$C$14,'CDO Bespoke'!$C$15,'CDO Bespoke'!$C$8,,,TRUE,TRUE,FALSE,'CDO Bespoke'!$C$29:'CDO Bespoke'!$C$31,'CDO Bespoke'!$C$33),{5})),"")</f>
        <v/>
      </c>
      <c r="U156" s="493"/>
      <c r="V156" s="513"/>
      <c r="W156" s="572"/>
      <c r="X156" s="572"/>
      <c r="Y156" s="572"/>
      <c r="Z156" s="572"/>
      <c r="AA156" s="572"/>
      <c r="AB156" s="572"/>
      <c r="AC156" s="572"/>
      <c r="AD156" s="572"/>
      <c r="AE156" s="514"/>
    </row>
    <row r="157" spans="6:31" s="281" customFormat="1" ht="12" thickBot="1">
      <c r="F157" s="501" t="str">
        <f ca="1">IF('CDO Bespoke'!O158&lt;&gt;"",'CDO Bespoke'!O158,"")</f>
        <v/>
      </c>
      <c r="G157" s="502" t="str">
        <f ca="1">IF(F157&lt;&gt;"",ABS(MIN(-0.75*('CDO Bespoke'!Q158+'CDO Bespoke'!T158)+'CDO Bespoke'!T158,0)),"")</f>
        <v/>
      </c>
      <c r="H157" s="502" t="str">
        <f t="shared" ca="1" si="8"/>
        <v/>
      </c>
      <c r="I157" s="502" t="str">
        <f t="shared" ca="1" si="11"/>
        <v/>
      </c>
      <c r="J157" s="501" t="str">
        <f ca="1">IF('CDO Bespoke'!O158&lt;&gt;"",'CDO Bespoke'!O158,"")</f>
        <v/>
      </c>
      <c r="K157" s="502" t="str">
        <f ca="1">IF(J157&lt;&gt;"",ABS(MIN(-0.75*('CDO Bespoke'!K158+'CDO Bespoke'!T158)+'CDO Bespoke'!T158,0)),"")</f>
        <v/>
      </c>
      <c r="L157" s="502" t="str">
        <f t="shared" ca="1" si="9"/>
        <v/>
      </c>
      <c r="M157" s="506" t="str">
        <f t="shared" ca="1" si="10"/>
        <v/>
      </c>
      <c r="O157" s="511" t="str">
        <f ca="1">IF('CDO Bespoke'!C182&lt;&gt;"",'CDO Bespoke'!C182,"")</f>
        <v/>
      </c>
      <c r="P157" s="513" t="str" cm="1">
        <f t="array" aca="1" ref="P157" ca="1">IF($O157&lt;&gt;"",-TRANSPOSE(INDEX(getcds('CDO Bespoke'!$C182,P$13,'CDO Bespoke'!$G182/10000,'CDO Bespoke'!F182,'CDO Bespoke'!D182,'CDO Bespoke'!$C$13,'CDO Bespoke'!$C$14,'CDO Bespoke'!$C$15,'CDO Bespoke'!$C$8,,,TRUE,TRUE,FALSE,'CDO Bespoke'!$C$29:'CDO Bespoke'!$C$31,'CDO Bespoke'!$C$33),{5})),"")</f>
        <v/>
      </c>
      <c r="Q157" s="524" t="str" cm="1">
        <f t="array" aca="1" ref="Q157" ca="1">IF($O157&lt;&gt;"",-TRANSPOSE(INDEX(getcds('CDO Bespoke'!$C182,Q$13,'CDO Bespoke'!$G182/10000,'CDO Bespoke'!G182,'CDO Bespoke'!E182,'CDO Bespoke'!$C$13,'CDO Bespoke'!$C$14,'CDO Bespoke'!$C$15,'CDO Bespoke'!$C$8,,,TRUE,TRUE,FALSE,'CDO Bespoke'!$C$29:'CDO Bespoke'!$C$31,'CDO Bespoke'!$C$33),{5})),"")</f>
        <v/>
      </c>
      <c r="R157" s="524" t="str" cm="1">
        <f t="array" aca="1" ref="R157" ca="1">IF($O157&lt;&gt;"",-TRANSPOSE(INDEX(getcds('CDO Bespoke'!$C182,R$13,'CDO Bespoke'!$G182/10000,'CDO Bespoke'!H182,'CDO Bespoke'!F182,'CDO Bespoke'!$C$13,'CDO Bespoke'!$C$14,'CDO Bespoke'!$C$15,'CDO Bespoke'!$C$8,,,TRUE,TRUE,FALSE,'CDO Bespoke'!$C$29:'CDO Bespoke'!$C$31,'CDO Bespoke'!$C$33),{5})),"")</f>
        <v/>
      </c>
      <c r="S157" s="524" t="str" cm="1">
        <f t="array" aca="1" ref="S157" ca="1">IF($O157&lt;&gt;"",-TRANSPOSE(INDEX(getcds('CDO Bespoke'!$C182,S$13,'CDO Bespoke'!$G182/10000,'CDO Bespoke'!I182,'CDO Bespoke'!G182,'CDO Bespoke'!$C$13,'CDO Bespoke'!$C$14,'CDO Bespoke'!$C$15,'CDO Bespoke'!$C$8,,,TRUE,TRUE,FALSE,'CDO Bespoke'!$C$29:'CDO Bespoke'!$C$31,'CDO Bespoke'!$C$33),{5})),"")</f>
        <v/>
      </c>
      <c r="T157" s="514" t="str" cm="1">
        <f t="array" aca="1" ref="T157" ca="1">IF($O157&lt;&gt;"",-TRANSPOSE(INDEX(getcds('CDO Bespoke'!$C182,T$13,'CDO Bespoke'!$G182/10000,'CDO Bespoke'!J182,'CDO Bespoke'!H182,'CDO Bespoke'!$C$13,'CDO Bespoke'!$C$14,'CDO Bespoke'!$C$15,'CDO Bespoke'!$C$8,,,TRUE,TRUE,FALSE,'CDO Bespoke'!$C$29:'CDO Bespoke'!$C$31,'CDO Bespoke'!$C$33),{5})),"")</f>
        <v/>
      </c>
      <c r="U157" s="493"/>
      <c r="V157" s="513"/>
      <c r="W157" s="572"/>
      <c r="X157" s="572"/>
      <c r="Y157" s="572"/>
      <c r="Z157" s="572"/>
      <c r="AA157" s="572"/>
      <c r="AB157" s="572"/>
      <c r="AC157" s="572"/>
      <c r="AD157" s="572"/>
      <c r="AE157" s="514"/>
    </row>
    <row r="158" spans="6:31" s="281" customFormat="1" ht="12" thickBot="1">
      <c r="F158" s="501" t="str">
        <f ca="1">IF('CDO Bespoke'!O159&lt;&gt;"",'CDO Bespoke'!O159,"")</f>
        <v/>
      </c>
      <c r="G158" s="502" t="str">
        <f ca="1">IF(F158&lt;&gt;"",ABS(MIN(-0.75*('CDO Bespoke'!Q159+'CDO Bespoke'!T159)+'CDO Bespoke'!T159,0)),"")</f>
        <v/>
      </c>
      <c r="H158" s="502" t="str">
        <f t="shared" ca="1" si="8"/>
        <v/>
      </c>
      <c r="I158" s="502" t="str">
        <f t="shared" ca="1" si="11"/>
        <v/>
      </c>
      <c r="J158" s="501" t="str">
        <f ca="1">IF('CDO Bespoke'!O159&lt;&gt;"",'CDO Bespoke'!O159,"")</f>
        <v/>
      </c>
      <c r="K158" s="502" t="str">
        <f ca="1">IF(J158&lt;&gt;"",ABS(MIN(-0.75*('CDO Bespoke'!K159+'CDO Bespoke'!T159)+'CDO Bespoke'!T159,0)),"")</f>
        <v/>
      </c>
      <c r="L158" s="502" t="str">
        <f t="shared" ca="1" si="9"/>
        <v/>
      </c>
      <c r="M158" s="506" t="str">
        <f t="shared" ca="1" si="10"/>
        <v/>
      </c>
      <c r="O158" s="511" t="str">
        <f ca="1">IF('CDO Bespoke'!C183&lt;&gt;"",'CDO Bespoke'!C183,"")</f>
        <v/>
      </c>
      <c r="P158" s="513" t="str" cm="1">
        <f t="array" aca="1" ref="P158" ca="1">IF($O158&lt;&gt;"",-TRANSPOSE(INDEX(getcds('CDO Bespoke'!$C183,P$13,'CDO Bespoke'!$G183/10000,'CDO Bespoke'!F183,'CDO Bespoke'!D183,'CDO Bespoke'!$C$13,'CDO Bespoke'!$C$14,'CDO Bespoke'!$C$15,'CDO Bespoke'!$C$8,,,TRUE,TRUE,FALSE,'CDO Bespoke'!$C$29:'CDO Bespoke'!$C$31,'CDO Bespoke'!$C$33),{5})),"")</f>
        <v/>
      </c>
      <c r="Q158" s="524" t="str" cm="1">
        <f t="array" aca="1" ref="Q158" ca="1">IF($O158&lt;&gt;"",-TRANSPOSE(INDEX(getcds('CDO Bespoke'!$C183,Q$13,'CDO Bespoke'!$G183/10000,'CDO Bespoke'!G183,'CDO Bespoke'!E183,'CDO Bespoke'!$C$13,'CDO Bespoke'!$C$14,'CDO Bespoke'!$C$15,'CDO Bespoke'!$C$8,,,TRUE,TRUE,FALSE,'CDO Bespoke'!$C$29:'CDO Bespoke'!$C$31,'CDO Bespoke'!$C$33),{5})),"")</f>
        <v/>
      </c>
      <c r="R158" s="524" t="str" cm="1">
        <f t="array" aca="1" ref="R158" ca="1">IF($O158&lt;&gt;"",-TRANSPOSE(INDEX(getcds('CDO Bespoke'!$C183,R$13,'CDO Bespoke'!$G183/10000,'CDO Bespoke'!H183,'CDO Bespoke'!F183,'CDO Bespoke'!$C$13,'CDO Bespoke'!$C$14,'CDO Bespoke'!$C$15,'CDO Bespoke'!$C$8,,,TRUE,TRUE,FALSE,'CDO Bespoke'!$C$29:'CDO Bespoke'!$C$31,'CDO Bespoke'!$C$33),{5})),"")</f>
        <v/>
      </c>
      <c r="S158" s="524" t="str" cm="1">
        <f t="array" aca="1" ref="S158" ca="1">IF($O158&lt;&gt;"",-TRANSPOSE(INDEX(getcds('CDO Bespoke'!$C183,S$13,'CDO Bespoke'!$G183/10000,'CDO Bespoke'!I183,'CDO Bespoke'!G183,'CDO Bespoke'!$C$13,'CDO Bespoke'!$C$14,'CDO Bespoke'!$C$15,'CDO Bespoke'!$C$8,,,TRUE,TRUE,FALSE,'CDO Bespoke'!$C$29:'CDO Bespoke'!$C$31,'CDO Bespoke'!$C$33),{5})),"")</f>
        <v/>
      </c>
      <c r="T158" s="514" t="str" cm="1">
        <f t="array" aca="1" ref="T158" ca="1">IF($O158&lt;&gt;"",-TRANSPOSE(INDEX(getcds('CDO Bespoke'!$C183,T$13,'CDO Bespoke'!$G183/10000,'CDO Bespoke'!J183,'CDO Bespoke'!H183,'CDO Bespoke'!$C$13,'CDO Bespoke'!$C$14,'CDO Bespoke'!$C$15,'CDO Bespoke'!$C$8,,,TRUE,TRUE,FALSE,'CDO Bespoke'!$C$29:'CDO Bespoke'!$C$31,'CDO Bespoke'!$C$33),{5})),"")</f>
        <v/>
      </c>
      <c r="U158" s="493"/>
      <c r="V158" s="513"/>
      <c r="W158" s="572"/>
      <c r="X158" s="572"/>
      <c r="Y158" s="572"/>
      <c r="Z158" s="572"/>
      <c r="AA158" s="572"/>
      <c r="AB158" s="572"/>
      <c r="AC158" s="572"/>
      <c r="AD158" s="572"/>
      <c r="AE158" s="514"/>
    </row>
    <row r="159" spans="6:31" s="281" customFormat="1" ht="12" thickBot="1">
      <c r="F159" s="501" t="str">
        <f ca="1">IF('CDO Bespoke'!O160&lt;&gt;"",'CDO Bespoke'!O160,"")</f>
        <v/>
      </c>
      <c r="G159" s="502" t="str">
        <f ca="1">IF(F159&lt;&gt;"",ABS(MIN(-0.75*('CDO Bespoke'!Q160+'CDO Bespoke'!T160)+'CDO Bespoke'!T160,0)),"")</f>
        <v/>
      </c>
      <c r="H159" s="502" t="str">
        <f t="shared" ca="1" si="8"/>
        <v/>
      </c>
      <c r="I159" s="502" t="str">
        <f t="shared" ca="1" si="11"/>
        <v/>
      </c>
      <c r="J159" s="501" t="str">
        <f ca="1">IF('CDO Bespoke'!O160&lt;&gt;"",'CDO Bespoke'!O160,"")</f>
        <v/>
      </c>
      <c r="K159" s="502" t="str">
        <f ca="1">IF(J159&lt;&gt;"",ABS(MIN(-0.75*('CDO Bespoke'!K160+'CDO Bespoke'!T160)+'CDO Bespoke'!T160,0)),"")</f>
        <v/>
      </c>
      <c r="L159" s="502" t="str">
        <f t="shared" ca="1" si="9"/>
        <v/>
      </c>
      <c r="M159" s="506" t="str">
        <f t="shared" ca="1" si="10"/>
        <v/>
      </c>
      <c r="O159" s="511" t="str">
        <f ca="1">IF('CDO Bespoke'!C184&lt;&gt;"",'CDO Bespoke'!C184,"")</f>
        <v/>
      </c>
      <c r="P159" s="513" t="str" cm="1">
        <f t="array" aca="1" ref="P159" ca="1">IF($O159&lt;&gt;"",-TRANSPOSE(INDEX(getcds('CDO Bespoke'!$C184,P$13,'CDO Bespoke'!$G184/10000,'CDO Bespoke'!F184,'CDO Bespoke'!D184,'CDO Bespoke'!$C$13,'CDO Bespoke'!$C$14,'CDO Bespoke'!$C$15,'CDO Bespoke'!$C$8,,,TRUE,TRUE,FALSE,'CDO Bespoke'!$C$29:'CDO Bespoke'!$C$31,'CDO Bespoke'!$C$33),{5})),"")</f>
        <v/>
      </c>
      <c r="Q159" s="524" t="str" cm="1">
        <f t="array" aca="1" ref="Q159" ca="1">IF($O159&lt;&gt;"",-TRANSPOSE(INDEX(getcds('CDO Bespoke'!$C184,Q$13,'CDO Bespoke'!$G184/10000,'CDO Bespoke'!G184,'CDO Bespoke'!E184,'CDO Bespoke'!$C$13,'CDO Bespoke'!$C$14,'CDO Bespoke'!$C$15,'CDO Bespoke'!$C$8,,,TRUE,TRUE,FALSE,'CDO Bespoke'!$C$29:'CDO Bespoke'!$C$31,'CDO Bespoke'!$C$33),{5})),"")</f>
        <v/>
      </c>
      <c r="R159" s="524" t="str" cm="1">
        <f t="array" aca="1" ref="R159" ca="1">IF($O159&lt;&gt;"",-TRANSPOSE(INDEX(getcds('CDO Bespoke'!$C184,R$13,'CDO Bespoke'!$G184/10000,'CDO Bespoke'!H184,'CDO Bespoke'!F184,'CDO Bespoke'!$C$13,'CDO Bespoke'!$C$14,'CDO Bespoke'!$C$15,'CDO Bespoke'!$C$8,,,TRUE,TRUE,FALSE,'CDO Bespoke'!$C$29:'CDO Bespoke'!$C$31,'CDO Bespoke'!$C$33),{5})),"")</f>
        <v/>
      </c>
      <c r="S159" s="524" t="str" cm="1">
        <f t="array" aca="1" ref="S159" ca="1">IF($O159&lt;&gt;"",-TRANSPOSE(INDEX(getcds('CDO Bespoke'!$C184,S$13,'CDO Bespoke'!$G184/10000,'CDO Bespoke'!I184,'CDO Bespoke'!G184,'CDO Bespoke'!$C$13,'CDO Bespoke'!$C$14,'CDO Bespoke'!$C$15,'CDO Bespoke'!$C$8,,,TRUE,TRUE,FALSE,'CDO Bespoke'!$C$29:'CDO Bespoke'!$C$31,'CDO Bespoke'!$C$33),{5})),"")</f>
        <v/>
      </c>
      <c r="T159" s="514" t="str" cm="1">
        <f t="array" aca="1" ref="T159" ca="1">IF($O159&lt;&gt;"",-TRANSPOSE(INDEX(getcds('CDO Bespoke'!$C184,T$13,'CDO Bespoke'!$G184/10000,'CDO Bespoke'!J184,'CDO Bespoke'!H184,'CDO Bespoke'!$C$13,'CDO Bespoke'!$C$14,'CDO Bespoke'!$C$15,'CDO Bespoke'!$C$8,,,TRUE,TRUE,FALSE,'CDO Bespoke'!$C$29:'CDO Bespoke'!$C$31,'CDO Bespoke'!$C$33),{5})),"")</f>
        <v/>
      </c>
      <c r="U159" s="493"/>
      <c r="V159" s="513"/>
      <c r="W159" s="572"/>
      <c r="X159" s="572"/>
      <c r="Y159" s="572"/>
      <c r="Z159" s="572"/>
      <c r="AA159" s="572"/>
      <c r="AB159" s="572"/>
      <c r="AC159" s="572"/>
      <c r="AD159" s="572"/>
      <c r="AE159" s="514"/>
    </row>
    <row r="160" spans="6:31" s="281" customFormat="1" ht="12" thickBot="1">
      <c r="F160" s="501" t="str">
        <f ca="1">IF('CDO Bespoke'!O161&lt;&gt;"",'CDO Bespoke'!O161,"")</f>
        <v/>
      </c>
      <c r="G160" s="502" t="str">
        <f ca="1">IF(F160&lt;&gt;"",ABS(MIN(-0.75*('CDO Bespoke'!Q161+'CDO Bespoke'!T161)+'CDO Bespoke'!T161,0)),"")</f>
        <v/>
      </c>
      <c r="H160" s="502" t="str">
        <f t="shared" ca="1" si="8"/>
        <v/>
      </c>
      <c r="I160" s="502" t="str">
        <f t="shared" ca="1" si="11"/>
        <v/>
      </c>
      <c r="J160" s="501" t="str">
        <f ca="1">IF('CDO Bespoke'!O161&lt;&gt;"",'CDO Bespoke'!O161,"")</f>
        <v/>
      </c>
      <c r="K160" s="502" t="str">
        <f ca="1">IF(J160&lt;&gt;"",ABS(MIN(-0.75*('CDO Bespoke'!K161+'CDO Bespoke'!T161)+'CDO Bespoke'!T161,0)),"")</f>
        <v/>
      </c>
      <c r="L160" s="502" t="str">
        <f t="shared" ca="1" si="9"/>
        <v/>
      </c>
      <c r="M160" s="506" t="str">
        <f t="shared" ca="1" si="10"/>
        <v/>
      </c>
      <c r="O160" s="511" t="str">
        <f ca="1">IF('CDO Bespoke'!C185&lt;&gt;"",'CDO Bespoke'!C185,"")</f>
        <v/>
      </c>
      <c r="P160" s="513" t="str" cm="1">
        <f t="array" aca="1" ref="P160" ca="1">IF($O160&lt;&gt;"",-TRANSPOSE(INDEX(getcds('CDO Bespoke'!$C185,P$13,'CDO Bespoke'!$G185/10000,'CDO Bespoke'!F185,'CDO Bespoke'!D185,'CDO Bespoke'!$C$13,'CDO Bespoke'!$C$14,'CDO Bespoke'!$C$15,'CDO Bespoke'!$C$8,,,TRUE,TRUE,FALSE,'CDO Bespoke'!$C$29:'CDO Bespoke'!$C$31,'CDO Bespoke'!$C$33),{5})),"")</f>
        <v/>
      </c>
      <c r="Q160" s="524" t="str" cm="1">
        <f t="array" aca="1" ref="Q160" ca="1">IF($O160&lt;&gt;"",-TRANSPOSE(INDEX(getcds('CDO Bespoke'!$C185,Q$13,'CDO Bespoke'!$G185/10000,'CDO Bespoke'!G185,'CDO Bespoke'!E185,'CDO Bespoke'!$C$13,'CDO Bespoke'!$C$14,'CDO Bespoke'!$C$15,'CDO Bespoke'!$C$8,,,TRUE,TRUE,FALSE,'CDO Bespoke'!$C$29:'CDO Bespoke'!$C$31,'CDO Bespoke'!$C$33),{5})),"")</f>
        <v/>
      </c>
      <c r="R160" s="524" t="str" cm="1">
        <f t="array" aca="1" ref="R160" ca="1">IF($O160&lt;&gt;"",-TRANSPOSE(INDEX(getcds('CDO Bespoke'!$C185,R$13,'CDO Bespoke'!$G185/10000,'CDO Bespoke'!H185,'CDO Bespoke'!F185,'CDO Bespoke'!$C$13,'CDO Bespoke'!$C$14,'CDO Bespoke'!$C$15,'CDO Bespoke'!$C$8,,,TRUE,TRUE,FALSE,'CDO Bespoke'!$C$29:'CDO Bespoke'!$C$31,'CDO Bespoke'!$C$33),{5})),"")</f>
        <v/>
      </c>
      <c r="S160" s="524" t="str" cm="1">
        <f t="array" aca="1" ref="S160" ca="1">IF($O160&lt;&gt;"",-TRANSPOSE(INDEX(getcds('CDO Bespoke'!$C185,S$13,'CDO Bespoke'!$G185/10000,'CDO Bespoke'!I185,'CDO Bespoke'!G185,'CDO Bespoke'!$C$13,'CDO Bespoke'!$C$14,'CDO Bespoke'!$C$15,'CDO Bespoke'!$C$8,,,TRUE,TRUE,FALSE,'CDO Bespoke'!$C$29:'CDO Bespoke'!$C$31,'CDO Bespoke'!$C$33),{5})),"")</f>
        <v/>
      </c>
      <c r="T160" s="514" t="str" cm="1">
        <f t="array" aca="1" ref="T160" ca="1">IF($O160&lt;&gt;"",-TRANSPOSE(INDEX(getcds('CDO Bespoke'!$C185,T$13,'CDO Bespoke'!$G185/10000,'CDO Bespoke'!J185,'CDO Bespoke'!H185,'CDO Bespoke'!$C$13,'CDO Bespoke'!$C$14,'CDO Bespoke'!$C$15,'CDO Bespoke'!$C$8,,,TRUE,TRUE,FALSE,'CDO Bespoke'!$C$29:'CDO Bespoke'!$C$31,'CDO Bespoke'!$C$33),{5})),"")</f>
        <v/>
      </c>
      <c r="U160" s="493"/>
      <c r="V160" s="513"/>
      <c r="W160" s="572"/>
      <c r="X160" s="572"/>
      <c r="Y160" s="572"/>
      <c r="Z160" s="572"/>
      <c r="AA160" s="572"/>
      <c r="AB160" s="572"/>
      <c r="AC160" s="572"/>
      <c r="AD160" s="572"/>
      <c r="AE160" s="514"/>
    </row>
    <row r="161" spans="6:31" s="281" customFormat="1" ht="12" thickBot="1">
      <c r="F161" s="501" t="str">
        <f ca="1">IF('CDO Bespoke'!O162&lt;&gt;"",'CDO Bespoke'!O162,"")</f>
        <v/>
      </c>
      <c r="G161" s="502" t="str">
        <f ca="1">IF(F161&lt;&gt;"",ABS(MIN(-0.75*('CDO Bespoke'!Q162+'CDO Bespoke'!T162)+'CDO Bespoke'!T162,0)),"")</f>
        <v/>
      </c>
      <c r="H161" s="502" t="str">
        <f t="shared" ca="1" si="8"/>
        <v/>
      </c>
      <c r="I161" s="502" t="str">
        <f t="shared" ca="1" si="11"/>
        <v/>
      </c>
      <c r="J161" s="501" t="str">
        <f ca="1">IF('CDO Bespoke'!O162&lt;&gt;"",'CDO Bespoke'!O162,"")</f>
        <v/>
      </c>
      <c r="K161" s="502" t="str">
        <f ca="1">IF(J161&lt;&gt;"",ABS(MIN(-0.75*('CDO Bespoke'!K162+'CDO Bespoke'!T162)+'CDO Bespoke'!T162,0)),"")</f>
        <v/>
      </c>
      <c r="L161" s="502" t="str">
        <f t="shared" ca="1" si="9"/>
        <v/>
      </c>
      <c r="M161" s="506" t="str">
        <f t="shared" ca="1" si="10"/>
        <v/>
      </c>
      <c r="O161" s="511" t="str">
        <f ca="1">IF('CDO Bespoke'!C186&lt;&gt;"",'CDO Bespoke'!C186,"")</f>
        <v/>
      </c>
      <c r="P161" s="513" t="str" cm="1">
        <f t="array" aca="1" ref="P161" ca="1">IF($O161&lt;&gt;"",-TRANSPOSE(INDEX(getcds('CDO Bespoke'!$C186,P$13,'CDO Bespoke'!$G186/10000,'CDO Bespoke'!F186,'CDO Bespoke'!D186,'CDO Bespoke'!$C$13,'CDO Bespoke'!$C$14,'CDO Bespoke'!$C$15,'CDO Bespoke'!$C$8,,,TRUE,TRUE,FALSE,'CDO Bespoke'!$C$29:'CDO Bespoke'!$C$31,'CDO Bespoke'!$C$33),{5})),"")</f>
        <v/>
      </c>
      <c r="Q161" s="524" t="str" cm="1">
        <f t="array" aca="1" ref="Q161" ca="1">IF($O161&lt;&gt;"",-TRANSPOSE(INDEX(getcds('CDO Bespoke'!$C186,Q$13,'CDO Bespoke'!$G186/10000,'CDO Bespoke'!G186,'CDO Bespoke'!E186,'CDO Bespoke'!$C$13,'CDO Bespoke'!$C$14,'CDO Bespoke'!$C$15,'CDO Bespoke'!$C$8,,,TRUE,TRUE,FALSE,'CDO Bespoke'!$C$29:'CDO Bespoke'!$C$31,'CDO Bespoke'!$C$33),{5})),"")</f>
        <v/>
      </c>
      <c r="R161" s="524" t="str" cm="1">
        <f t="array" aca="1" ref="R161" ca="1">IF($O161&lt;&gt;"",-TRANSPOSE(INDEX(getcds('CDO Bespoke'!$C186,R$13,'CDO Bespoke'!$G186/10000,'CDO Bespoke'!H186,'CDO Bespoke'!F186,'CDO Bespoke'!$C$13,'CDO Bespoke'!$C$14,'CDO Bespoke'!$C$15,'CDO Bespoke'!$C$8,,,TRUE,TRUE,FALSE,'CDO Bespoke'!$C$29:'CDO Bespoke'!$C$31,'CDO Bespoke'!$C$33),{5})),"")</f>
        <v/>
      </c>
      <c r="S161" s="524" t="str" cm="1">
        <f t="array" aca="1" ref="S161" ca="1">IF($O161&lt;&gt;"",-TRANSPOSE(INDEX(getcds('CDO Bespoke'!$C186,S$13,'CDO Bespoke'!$G186/10000,'CDO Bespoke'!I186,'CDO Bespoke'!G186,'CDO Bespoke'!$C$13,'CDO Bespoke'!$C$14,'CDO Bespoke'!$C$15,'CDO Bespoke'!$C$8,,,TRUE,TRUE,FALSE,'CDO Bespoke'!$C$29:'CDO Bespoke'!$C$31,'CDO Bespoke'!$C$33),{5})),"")</f>
        <v/>
      </c>
      <c r="T161" s="514" t="str" cm="1">
        <f t="array" aca="1" ref="T161" ca="1">IF($O161&lt;&gt;"",-TRANSPOSE(INDEX(getcds('CDO Bespoke'!$C186,T$13,'CDO Bespoke'!$G186/10000,'CDO Bespoke'!J186,'CDO Bespoke'!H186,'CDO Bespoke'!$C$13,'CDO Bespoke'!$C$14,'CDO Bespoke'!$C$15,'CDO Bespoke'!$C$8,,,TRUE,TRUE,FALSE,'CDO Bespoke'!$C$29:'CDO Bespoke'!$C$31,'CDO Bespoke'!$C$33),{5})),"")</f>
        <v/>
      </c>
      <c r="U161" s="493"/>
      <c r="V161" s="513"/>
      <c r="W161" s="572"/>
      <c r="X161" s="572"/>
      <c r="Y161" s="572"/>
      <c r="Z161" s="572"/>
      <c r="AA161" s="572"/>
      <c r="AB161" s="572"/>
      <c r="AC161" s="572"/>
      <c r="AD161" s="572"/>
      <c r="AE161" s="514"/>
    </row>
    <row r="162" spans="6:31" s="281" customFormat="1" ht="12" thickBot="1">
      <c r="F162" s="501" t="str">
        <f ca="1">IF('CDO Bespoke'!O163&lt;&gt;"",'CDO Bespoke'!O163,"")</f>
        <v/>
      </c>
      <c r="G162" s="502" t="str">
        <f ca="1">IF(F162&lt;&gt;"",ABS(MIN(-0.75*('CDO Bespoke'!Q163+'CDO Bespoke'!T163)+'CDO Bespoke'!T163,0)),"")</f>
        <v/>
      </c>
      <c r="H162" s="502" t="str">
        <f t="shared" ca="1" si="8"/>
        <v/>
      </c>
      <c r="I162" s="502" t="str">
        <f t="shared" ca="1" si="11"/>
        <v/>
      </c>
      <c r="J162" s="501" t="str">
        <f ca="1">IF('CDO Bespoke'!O163&lt;&gt;"",'CDO Bespoke'!O163,"")</f>
        <v/>
      </c>
      <c r="K162" s="502" t="str">
        <f ca="1">IF(J162&lt;&gt;"",ABS(MIN(-0.75*('CDO Bespoke'!K163+'CDO Bespoke'!T163)+'CDO Bespoke'!T163,0)),"")</f>
        <v/>
      </c>
      <c r="L162" s="502" t="str">
        <f t="shared" ca="1" si="9"/>
        <v/>
      </c>
      <c r="M162" s="506" t="str">
        <f t="shared" ca="1" si="10"/>
        <v/>
      </c>
      <c r="O162" s="511" t="str">
        <f ca="1">IF('CDO Bespoke'!C187&lt;&gt;"",'CDO Bespoke'!C187,"")</f>
        <v/>
      </c>
      <c r="P162" s="513" t="str" cm="1">
        <f t="array" aca="1" ref="P162" ca="1">IF($O162&lt;&gt;"",-TRANSPOSE(INDEX(getcds('CDO Bespoke'!$C187,P$13,'CDO Bespoke'!$G187/10000,'CDO Bespoke'!F187,'CDO Bespoke'!D187,'CDO Bespoke'!$C$13,'CDO Bespoke'!$C$14,'CDO Bespoke'!$C$15,'CDO Bespoke'!$C$8,,,TRUE,TRUE,FALSE,'CDO Bespoke'!$C$29:'CDO Bespoke'!$C$31,'CDO Bespoke'!$C$33),{5})),"")</f>
        <v/>
      </c>
      <c r="Q162" s="524" t="str" cm="1">
        <f t="array" aca="1" ref="Q162" ca="1">IF($O162&lt;&gt;"",-TRANSPOSE(INDEX(getcds('CDO Bespoke'!$C187,Q$13,'CDO Bespoke'!$G187/10000,'CDO Bespoke'!G187,'CDO Bespoke'!E187,'CDO Bespoke'!$C$13,'CDO Bespoke'!$C$14,'CDO Bespoke'!$C$15,'CDO Bespoke'!$C$8,,,TRUE,TRUE,FALSE,'CDO Bespoke'!$C$29:'CDO Bespoke'!$C$31,'CDO Bespoke'!$C$33),{5})),"")</f>
        <v/>
      </c>
      <c r="R162" s="524" t="str" cm="1">
        <f t="array" aca="1" ref="R162" ca="1">IF($O162&lt;&gt;"",-TRANSPOSE(INDEX(getcds('CDO Bespoke'!$C187,R$13,'CDO Bespoke'!$G187/10000,'CDO Bespoke'!H187,'CDO Bespoke'!F187,'CDO Bespoke'!$C$13,'CDO Bespoke'!$C$14,'CDO Bespoke'!$C$15,'CDO Bespoke'!$C$8,,,TRUE,TRUE,FALSE,'CDO Bespoke'!$C$29:'CDO Bespoke'!$C$31,'CDO Bespoke'!$C$33),{5})),"")</f>
        <v/>
      </c>
      <c r="S162" s="524" t="str" cm="1">
        <f t="array" aca="1" ref="S162" ca="1">IF($O162&lt;&gt;"",-TRANSPOSE(INDEX(getcds('CDO Bespoke'!$C187,S$13,'CDO Bespoke'!$G187/10000,'CDO Bespoke'!I187,'CDO Bespoke'!G187,'CDO Bespoke'!$C$13,'CDO Bespoke'!$C$14,'CDO Bespoke'!$C$15,'CDO Bespoke'!$C$8,,,TRUE,TRUE,FALSE,'CDO Bespoke'!$C$29:'CDO Bespoke'!$C$31,'CDO Bespoke'!$C$33),{5})),"")</f>
        <v/>
      </c>
      <c r="T162" s="514" t="str" cm="1">
        <f t="array" aca="1" ref="T162" ca="1">IF($O162&lt;&gt;"",-TRANSPOSE(INDEX(getcds('CDO Bespoke'!$C187,T$13,'CDO Bespoke'!$G187/10000,'CDO Bespoke'!J187,'CDO Bespoke'!H187,'CDO Bespoke'!$C$13,'CDO Bespoke'!$C$14,'CDO Bespoke'!$C$15,'CDO Bespoke'!$C$8,,,TRUE,TRUE,FALSE,'CDO Bespoke'!$C$29:'CDO Bespoke'!$C$31,'CDO Bespoke'!$C$33),{5})),"")</f>
        <v/>
      </c>
      <c r="U162" s="493"/>
      <c r="V162" s="513"/>
      <c r="W162" s="572"/>
      <c r="X162" s="572"/>
      <c r="Y162" s="572"/>
      <c r="Z162" s="572"/>
      <c r="AA162" s="572"/>
      <c r="AB162" s="572"/>
      <c r="AC162" s="572"/>
      <c r="AD162" s="572"/>
      <c r="AE162" s="514"/>
    </row>
    <row r="163" spans="6:31" s="281" customFormat="1" ht="12" thickBot="1">
      <c r="F163" s="501" t="str">
        <f ca="1">IF('CDO Bespoke'!O164&lt;&gt;"",'CDO Bespoke'!O164,"")</f>
        <v/>
      </c>
      <c r="G163" s="502" t="str">
        <f ca="1">IF(F163&lt;&gt;"",ABS(MIN(-0.75*('CDO Bespoke'!Q164+'CDO Bespoke'!T164)+'CDO Bespoke'!T164,0)),"")</f>
        <v/>
      </c>
      <c r="H163" s="502" t="str">
        <f t="shared" ca="1" si="8"/>
        <v/>
      </c>
      <c r="I163" s="502" t="str">
        <f t="shared" ca="1" si="11"/>
        <v/>
      </c>
      <c r="J163" s="501" t="str">
        <f ca="1">IF('CDO Bespoke'!O164&lt;&gt;"",'CDO Bespoke'!O164,"")</f>
        <v/>
      </c>
      <c r="K163" s="502" t="str">
        <f ca="1">IF(J163&lt;&gt;"",ABS(MIN(-0.75*('CDO Bespoke'!K164+'CDO Bespoke'!T164)+'CDO Bespoke'!T164,0)),"")</f>
        <v/>
      </c>
      <c r="L163" s="502" t="str">
        <f t="shared" ca="1" si="9"/>
        <v/>
      </c>
      <c r="M163" s="506" t="str">
        <f t="shared" ca="1" si="10"/>
        <v/>
      </c>
      <c r="O163" s="511" t="str">
        <f ca="1">IF('CDO Bespoke'!C188&lt;&gt;"",'CDO Bespoke'!C188,"")</f>
        <v/>
      </c>
      <c r="P163" s="513" t="str" cm="1">
        <f t="array" aca="1" ref="P163" ca="1">IF($O163&lt;&gt;"",-TRANSPOSE(INDEX(getcds('CDO Bespoke'!$C188,P$13,'CDO Bespoke'!$G188/10000,'CDO Bespoke'!F188,'CDO Bespoke'!D188,'CDO Bespoke'!$C$13,'CDO Bespoke'!$C$14,'CDO Bespoke'!$C$15,'CDO Bespoke'!$C$8,,,TRUE,TRUE,FALSE,'CDO Bespoke'!$C$29:'CDO Bespoke'!$C$31,'CDO Bespoke'!$C$33),{5})),"")</f>
        <v/>
      </c>
      <c r="Q163" s="524" t="str" cm="1">
        <f t="array" aca="1" ref="Q163" ca="1">IF($O163&lt;&gt;"",-TRANSPOSE(INDEX(getcds('CDO Bespoke'!$C188,Q$13,'CDO Bespoke'!$G188/10000,'CDO Bespoke'!G188,'CDO Bespoke'!E188,'CDO Bespoke'!$C$13,'CDO Bespoke'!$C$14,'CDO Bespoke'!$C$15,'CDO Bespoke'!$C$8,,,TRUE,TRUE,FALSE,'CDO Bespoke'!$C$29:'CDO Bespoke'!$C$31,'CDO Bespoke'!$C$33),{5})),"")</f>
        <v/>
      </c>
      <c r="R163" s="524" t="str" cm="1">
        <f t="array" aca="1" ref="R163" ca="1">IF($O163&lt;&gt;"",-TRANSPOSE(INDEX(getcds('CDO Bespoke'!$C188,R$13,'CDO Bespoke'!$G188/10000,'CDO Bespoke'!H188,'CDO Bespoke'!F188,'CDO Bespoke'!$C$13,'CDO Bespoke'!$C$14,'CDO Bespoke'!$C$15,'CDO Bespoke'!$C$8,,,TRUE,TRUE,FALSE,'CDO Bespoke'!$C$29:'CDO Bespoke'!$C$31,'CDO Bespoke'!$C$33),{5})),"")</f>
        <v/>
      </c>
      <c r="S163" s="524" t="str" cm="1">
        <f t="array" aca="1" ref="S163" ca="1">IF($O163&lt;&gt;"",-TRANSPOSE(INDEX(getcds('CDO Bespoke'!$C188,S$13,'CDO Bespoke'!$G188/10000,'CDO Bespoke'!I188,'CDO Bespoke'!G188,'CDO Bespoke'!$C$13,'CDO Bespoke'!$C$14,'CDO Bespoke'!$C$15,'CDO Bespoke'!$C$8,,,TRUE,TRUE,FALSE,'CDO Bespoke'!$C$29:'CDO Bespoke'!$C$31,'CDO Bespoke'!$C$33),{5})),"")</f>
        <v/>
      </c>
      <c r="T163" s="514" t="str" cm="1">
        <f t="array" aca="1" ref="T163" ca="1">IF($O163&lt;&gt;"",-TRANSPOSE(INDEX(getcds('CDO Bespoke'!$C188,T$13,'CDO Bespoke'!$G188/10000,'CDO Bespoke'!J188,'CDO Bespoke'!H188,'CDO Bespoke'!$C$13,'CDO Bespoke'!$C$14,'CDO Bespoke'!$C$15,'CDO Bespoke'!$C$8,,,TRUE,TRUE,FALSE,'CDO Bespoke'!$C$29:'CDO Bespoke'!$C$31,'CDO Bespoke'!$C$33),{5})),"")</f>
        <v/>
      </c>
      <c r="U163" s="493"/>
      <c r="V163" s="513"/>
      <c r="W163" s="572"/>
      <c r="X163" s="572"/>
      <c r="Y163" s="572"/>
      <c r="Z163" s="572"/>
      <c r="AA163" s="572"/>
      <c r="AB163" s="572"/>
      <c r="AC163" s="572"/>
      <c r="AD163" s="572"/>
      <c r="AE163" s="514"/>
    </row>
    <row r="164" spans="6:31" s="281" customFormat="1" ht="12" thickBot="1">
      <c r="F164" s="501" t="str">
        <f ca="1">IF('CDO Bespoke'!O165&lt;&gt;"",'CDO Bespoke'!O165,"")</f>
        <v/>
      </c>
      <c r="G164" s="502" t="str">
        <f ca="1">IF(F164&lt;&gt;"",ABS(MIN(-0.75*('CDO Bespoke'!Q165+'CDO Bespoke'!T165)+'CDO Bespoke'!T165,0)),"")</f>
        <v/>
      </c>
      <c r="H164" s="502" t="str">
        <f t="shared" ca="1" si="8"/>
        <v/>
      </c>
      <c r="I164" s="502" t="str">
        <f t="shared" ca="1" si="11"/>
        <v/>
      </c>
      <c r="J164" s="501" t="str">
        <f ca="1">IF('CDO Bespoke'!O165&lt;&gt;"",'CDO Bespoke'!O165,"")</f>
        <v/>
      </c>
      <c r="K164" s="502" t="str">
        <f ca="1">IF(J164&lt;&gt;"",ABS(MIN(-0.75*('CDO Bespoke'!K165+'CDO Bespoke'!T165)+'CDO Bespoke'!T165,0)),"")</f>
        <v/>
      </c>
      <c r="L164" s="502" t="str">
        <f t="shared" ca="1" si="9"/>
        <v/>
      </c>
      <c r="M164" s="506" t="str">
        <f t="shared" ca="1" si="10"/>
        <v/>
      </c>
      <c r="O164" s="511" t="str">
        <f ca="1">IF('CDO Bespoke'!C189&lt;&gt;"",'CDO Bespoke'!C189,"")</f>
        <v/>
      </c>
      <c r="P164" s="513" t="str" cm="1">
        <f t="array" aca="1" ref="P164" ca="1">IF($O164&lt;&gt;"",-TRANSPOSE(INDEX(getcds('CDO Bespoke'!$C189,P$13,'CDO Bespoke'!$G189/10000,'CDO Bespoke'!F189,'CDO Bespoke'!D189,'CDO Bespoke'!$C$13,'CDO Bespoke'!$C$14,'CDO Bespoke'!$C$15,'CDO Bespoke'!$C$8,,,TRUE,TRUE,FALSE,'CDO Bespoke'!$C$29:'CDO Bespoke'!$C$31,'CDO Bespoke'!$C$33),{5})),"")</f>
        <v/>
      </c>
      <c r="Q164" s="524" t="str" cm="1">
        <f t="array" aca="1" ref="Q164" ca="1">IF($O164&lt;&gt;"",-TRANSPOSE(INDEX(getcds('CDO Bespoke'!$C189,Q$13,'CDO Bespoke'!$G189/10000,'CDO Bespoke'!G189,'CDO Bespoke'!E189,'CDO Bespoke'!$C$13,'CDO Bespoke'!$C$14,'CDO Bespoke'!$C$15,'CDO Bespoke'!$C$8,,,TRUE,TRUE,FALSE,'CDO Bespoke'!$C$29:'CDO Bespoke'!$C$31,'CDO Bespoke'!$C$33),{5})),"")</f>
        <v/>
      </c>
      <c r="R164" s="524" t="str" cm="1">
        <f t="array" aca="1" ref="R164" ca="1">IF($O164&lt;&gt;"",-TRANSPOSE(INDEX(getcds('CDO Bespoke'!$C189,R$13,'CDO Bespoke'!$G189/10000,'CDO Bespoke'!H189,'CDO Bespoke'!F189,'CDO Bespoke'!$C$13,'CDO Bespoke'!$C$14,'CDO Bespoke'!$C$15,'CDO Bespoke'!$C$8,,,TRUE,TRUE,FALSE,'CDO Bespoke'!$C$29:'CDO Bespoke'!$C$31,'CDO Bespoke'!$C$33),{5})),"")</f>
        <v/>
      </c>
      <c r="S164" s="524" t="str" cm="1">
        <f t="array" aca="1" ref="S164" ca="1">IF($O164&lt;&gt;"",-TRANSPOSE(INDEX(getcds('CDO Bespoke'!$C189,S$13,'CDO Bespoke'!$G189/10000,'CDO Bespoke'!I189,'CDO Bespoke'!G189,'CDO Bespoke'!$C$13,'CDO Bespoke'!$C$14,'CDO Bespoke'!$C$15,'CDO Bespoke'!$C$8,,,TRUE,TRUE,FALSE,'CDO Bespoke'!$C$29:'CDO Bespoke'!$C$31,'CDO Bespoke'!$C$33),{5})),"")</f>
        <v/>
      </c>
      <c r="T164" s="514" t="str" cm="1">
        <f t="array" aca="1" ref="T164" ca="1">IF($O164&lt;&gt;"",-TRANSPOSE(INDEX(getcds('CDO Bespoke'!$C189,T$13,'CDO Bespoke'!$G189/10000,'CDO Bespoke'!J189,'CDO Bespoke'!H189,'CDO Bespoke'!$C$13,'CDO Bespoke'!$C$14,'CDO Bespoke'!$C$15,'CDO Bespoke'!$C$8,,,TRUE,TRUE,FALSE,'CDO Bespoke'!$C$29:'CDO Bespoke'!$C$31,'CDO Bespoke'!$C$33),{5})),"")</f>
        <v/>
      </c>
      <c r="U164" s="493"/>
      <c r="V164" s="513"/>
      <c r="W164" s="572"/>
      <c r="X164" s="572"/>
      <c r="Y164" s="572"/>
      <c r="Z164" s="572"/>
      <c r="AA164" s="572"/>
      <c r="AB164" s="572"/>
      <c r="AC164" s="572"/>
      <c r="AD164" s="572"/>
      <c r="AE164" s="514"/>
    </row>
    <row r="165" spans="6:31" s="281" customFormat="1" ht="12" thickBot="1">
      <c r="F165" s="501" t="str">
        <f ca="1">IF('CDO Bespoke'!O166&lt;&gt;"",'CDO Bespoke'!O166,"")</f>
        <v/>
      </c>
      <c r="G165" s="502" t="str">
        <f ca="1">IF(F165&lt;&gt;"",ABS(MIN(-0.75*('CDO Bespoke'!Q166+'CDO Bespoke'!T166)+'CDO Bespoke'!T166,0)),"")</f>
        <v/>
      </c>
      <c r="H165" s="502" t="str">
        <f t="shared" ca="1" si="8"/>
        <v/>
      </c>
      <c r="I165" s="502" t="str">
        <f t="shared" ca="1" si="11"/>
        <v/>
      </c>
      <c r="J165" s="501" t="str">
        <f ca="1">IF('CDO Bespoke'!O166&lt;&gt;"",'CDO Bespoke'!O166,"")</f>
        <v/>
      </c>
      <c r="K165" s="502" t="str">
        <f ca="1">IF(J165&lt;&gt;"",ABS(MIN(-0.75*('CDO Bespoke'!K166+'CDO Bespoke'!T166)+'CDO Bespoke'!T166,0)),"")</f>
        <v/>
      </c>
      <c r="L165" s="502" t="str">
        <f t="shared" ca="1" si="9"/>
        <v/>
      </c>
      <c r="M165" s="506" t="str">
        <f t="shared" ca="1" si="10"/>
        <v/>
      </c>
      <c r="O165" s="511" t="str">
        <f ca="1">IF('CDO Bespoke'!C190&lt;&gt;"",'CDO Bespoke'!C190,"")</f>
        <v/>
      </c>
      <c r="P165" s="513" t="str" cm="1">
        <f t="array" aca="1" ref="P165" ca="1">IF($O165&lt;&gt;"",-TRANSPOSE(INDEX(getcds('CDO Bespoke'!$C190,P$13,'CDO Bespoke'!$G190/10000,'CDO Bespoke'!F190,'CDO Bespoke'!D190,'CDO Bespoke'!$C$13,'CDO Bespoke'!$C$14,'CDO Bespoke'!$C$15,'CDO Bespoke'!$C$8,,,TRUE,TRUE,FALSE,'CDO Bespoke'!$C$29:'CDO Bespoke'!$C$31,'CDO Bespoke'!$C$33),{5})),"")</f>
        <v/>
      </c>
      <c r="Q165" s="524" t="str" cm="1">
        <f t="array" aca="1" ref="Q165" ca="1">IF($O165&lt;&gt;"",-TRANSPOSE(INDEX(getcds('CDO Bespoke'!$C190,Q$13,'CDO Bespoke'!$G190/10000,'CDO Bespoke'!G190,'CDO Bespoke'!E190,'CDO Bespoke'!$C$13,'CDO Bespoke'!$C$14,'CDO Bespoke'!$C$15,'CDO Bespoke'!$C$8,,,TRUE,TRUE,FALSE,'CDO Bespoke'!$C$29:'CDO Bespoke'!$C$31,'CDO Bespoke'!$C$33),{5})),"")</f>
        <v/>
      </c>
      <c r="R165" s="524" t="str" cm="1">
        <f t="array" aca="1" ref="R165" ca="1">IF($O165&lt;&gt;"",-TRANSPOSE(INDEX(getcds('CDO Bespoke'!$C190,R$13,'CDO Bespoke'!$G190/10000,'CDO Bespoke'!H190,'CDO Bespoke'!F190,'CDO Bespoke'!$C$13,'CDO Bespoke'!$C$14,'CDO Bespoke'!$C$15,'CDO Bespoke'!$C$8,,,TRUE,TRUE,FALSE,'CDO Bespoke'!$C$29:'CDO Bespoke'!$C$31,'CDO Bespoke'!$C$33),{5})),"")</f>
        <v/>
      </c>
      <c r="S165" s="524" t="str" cm="1">
        <f t="array" aca="1" ref="S165" ca="1">IF($O165&lt;&gt;"",-TRANSPOSE(INDEX(getcds('CDO Bespoke'!$C190,S$13,'CDO Bespoke'!$G190/10000,'CDO Bespoke'!I190,'CDO Bespoke'!G190,'CDO Bespoke'!$C$13,'CDO Bespoke'!$C$14,'CDO Bespoke'!$C$15,'CDO Bespoke'!$C$8,,,TRUE,TRUE,FALSE,'CDO Bespoke'!$C$29:'CDO Bespoke'!$C$31,'CDO Bespoke'!$C$33),{5})),"")</f>
        <v/>
      </c>
      <c r="T165" s="514" t="str" cm="1">
        <f t="array" aca="1" ref="T165" ca="1">IF($O165&lt;&gt;"",-TRANSPOSE(INDEX(getcds('CDO Bespoke'!$C190,T$13,'CDO Bespoke'!$G190/10000,'CDO Bespoke'!J190,'CDO Bespoke'!H190,'CDO Bespoke'!$C$13,'CDO Bespoke'!$C$14,'CDO Bespoke'!$C$15,'CDO Bespoke'!$C$8,,,TRUE,TRUE,FALSE,'CDO Bespoke'!$C$29:'CDO Bespoke'!$C$31,'CDO Bespoke'!$C$33),{5})),"")</f>
        <v/>
      </c>
      <c r="U165" s="493"/>
      <c r="V165" s="513"/>
      <c r="W165" s="572"/>
      <c r="X165" s="572"/>
      <c r="Y165" s="572"/>
      <c r="Z165" s="572"/>
      <c r="AA165" s="572"/>
      <c r="AB165" s="572"/>
      <c r="AC165" s="572"/>
      <c r="AD165" s="572"/>
      <c r="AE165" s="514"/>
    </row>
    <row r="166" spans="6:31" s="281" customFormat="1" ht="12" thickBot="1">
      <c r="F166" s="501" t="str">
        <f ca="1">IF('CDO Bespoke'!O167&lt;&gt;"",'CDO Bespoke'!O167,"")</f>
        <v/>
      </c>
      <c r="G166" s="502" t="str">
        <f ca="1">IF(F166&lt;&gt;"",ABS(MIN(-0.75*('CDO Bespoke'!Q167+'CDO Bespoke'!T167)+'CDO Bespoke'!T167,0)),"")</f>
        <v/>
      </c>
      <c r="H166" s="502" t="str">
        <f t="shared" ca="1" si="8"/>
        <v/>
      </c>
      <c r="I166" s="502" t="str">
        <f t="shared" ca="1" si="11"/>
        <v/>
      </c>
      <c r="J166" s="501" t="str">
        <f ca="1">IF('CDO Bespoke'!O167&lt;&gt;"",'CDO Bespoke'!O167,"")</f>
        <v/>
      </c>
      <c r="K166" s="502" t="str">
        <f ca="1">IF(J166&lt;&gt;"",ABS(MIN(-0.75*('CDO Bespoke'!K167+'CDO Bespoke'!T167)+'CDO Bespoke'!T167,0)),"")</f>
        <v/>
      </c>
      <c r="L166" s="502" t="str">
        <f t="shared" ca="1" si="9"/>
        <v/>
      </c>
      <c r="M166" s="506" t="str">
        <f t="shared" ca="1" si="10"/>
        <v/>
      </c>
      <c r="O166" s="511" t="str">
        <f ca="1">IF('CDO Bespoke'!C191&lt;&gt;"",'CDO Bespoke'!C191,"")</f>
        <v/>
      </c>
      <c r="P166" s="513" t="str" cm="1">
        <f t="array" aca="1" ref="P166" ca="1">IF($O166&lt;&gt;"",-TRANSPOSE(INDEX(getcds('CDO Bespoke'!$C191,P$13,'CDO Bespoke'!$G191/10000,'CDO Bespoke'!F191,'CDO Bespoke'!D191,'CDO Bespoke'!$C$13,'CDO Bespoke'!$C$14,'CDO Bespoke'!$C$15,'CDO Bespoke'!$C$8,,,TRUE,TRUE,FALSE,'CDO Bespoke'!$C$29:'CDO Bespoke'!$C$31,'CDO Bespoke'!$C$33),{5})),"")</f>
        <v/>
      </c>
      <c r="Q166" s="524" t="str" cm="1">
        <f t="array" aca="1" ref="Q166" ca="1">IF($O166&lt;&gt;"",-TRANSPOSE(INDEX(getcds('CDO Bespoke'!$C191,Q$13,'CDO Bespoke'!$G191/10000,'CDO Bespoke'!G191,'CDO Bespoke'!E191,'CDO Bespoke'!$C$13,'CDO Bespoke'!$C$14,'CDO Bespoke'!$C$15,'CDO Bespoke'!$C$8,,,TRUE,TRUE,FALSE,'CDO Bespoke'!$C$29:'CDO Bespoke'!$C$31,'CDO Bespoke'!$C$33),{5})),"")</f>
        <v/>
      </c>
      <c r="R166" s="524" t="str" cm="1">
        <f t="array" aca="1" ref="R166" ca="1">IF($O166&lt;&gt;"",-TRANSPOSE(INDEX(getcds('CDO Bespoke'!$C191,R$13,'CDO Bespoke'!$G191/10000,'CDO Bespoke'!H191,'CDO Bespoke'!F191,'CDO Bespoke'!$C$13,'CDO Bespoke'!$C$14,'CDO Bespoke'!$C$15,'CDO Bespoke'!$C$8,,,TRUE,TRUE,FALSE,'CDO Bespoke'!$C$29:'CDO Bespoke'!$C$31,'CDO Bespoke'!$C$33),{5})),"")</f>
        <v/>
      </c>
      <c r="S166" s="524" t="str" cm="1">
        <f t="array" aca="1" ref="S166" ca="1">IF($O166&lt;&gt;"",-TRANSPOSE(INDEX(getcds('CDO Bespoke'!$C191,S$13,'CDO Bespoke'!$G191/10000,'CDO Bespoke'!I191,'CDO Bespoke'!G191,'CDO Bespoke'!$C$13,'CDO Bespoke'!$C$14,'CDO Bespoke'!$C$15,'CDO Bespoke'!$C$8,,,TRUE,TRUE,FALSE,'CDO Bespoke'!$C$29:'CDO Bespoke'!$C$31,'CDO Bespoke'!$C$33),{5})),"")</f>
        <v/>
      </c>
      <c r="T166" s="514" t="str" cm="1">
        <f t="array" aca="1" ref="T166" ca="1">IF($O166&lt;&gt;"",-TRANSPOSE(INDEX(getcds('CDO Bespoke'!$C191,T$13,'CDO Bespoke'!$G191/10000,'CDO Bespoke'!J191,'CDO Bespoke'!H191,'CDO Bespoke'!$C$13,'CDO Bespoke'!$C$14,'CDO Bespoke'!$C$15,'CDO Bespoke'!$C$8,,,TRUE,TRUE,FALSE,'CDO Bespoke'!$C$29:'CDO Bespoke'!$C$31,'CDO Bespoke'!$C$33),{5})),"")</f>
        <v/>
      </c>
      <c r="U166" s="493"/>
      <c r="V166" s="513"/>
      <c r="W166" s="572"/>
      <c r="X166" s="572"/>
      <c r="Y166" s="572"/>
      <c r="Z166" s="572"/>
      <c r="AA166" s="572"/>
      <c r="AB166" s="572"/>
      <c r="AC166" s="572"/>
      <c r="AD166" s="572"/>
      <c r="AE166" s="514"/>
    </row>
    <row r="167" spans="6:31" s="281" customFormat="1" ht="12" thickBot="1">
      <c r="F167" s="501" t="str">
        <f ca="1">IF('CDO Bespoke'!O168&lt;&gt;"",'CDO Bespoke'!O168,"")</f>
        <v/>
      </c>
      <c r="G167" s="502" t="str">
        <f ca="1">IF(F167&lt;&gt;"",ABS(MIN(-0.75*('CDO Bespoke'!Q168+'CDO Bespoke'!T168)+'CDO Bespoke'!T168,0)),"")</f>
        <v/>
      </c>
      <c r="H167" s="502" t="str">
        <f t="shared" ca="1" si="8"/>
        <v/>
      </c>
      <c r="I167" s="502" t="str">
        <f t="shared" ca="1" si="11"/>
        <v/>
      </c>
      <c r="J167" s="501" t="str">
        <f ca="1">IF('CDO Bespoke'!O168&lt;&gt;"",'CDO Bespoke'!O168,"")</f>
        <v/>
      </c>
      <c r="K167" s="502" t="str">
        <f ca="1">IF(J167&lt;&gt;"",ABS(MIN(-0.75*('CDO Bespoke'!K168+'CDO Bespoke'!T168)+'CDO Bespoke'!T168,0)),"")</f>
        <v/>
      </c>
      <c r="L167" s="502" t="str">
        <f t="shared" ca="1" si="9"/>
        <v/>
      </c>
      <c r="M167" s="506" t="str">
        <f t="shared" ca="1" si="10"/>
        <v/>
      </c>
      <c r="O167" s="511" t="str">
        <f ca="1">IF('CDO Bespoke'!C192&lt;&gt;"",'CDO Bespoke'!C192,"")</f>
        <v/>
      </c>
      <c r="P167" s="513" t="str" cm="1">
        <f t="array" aca="1" ref="P167" ca="1">IF($O167&lt;&gt;"",-TRANSPOSE(INDEX(getcds('CDO Bespoke'!$C192,P$13,'CDO Bespoke'!$G192/10000,'CDO Bespoke'!F192,'CDO Bespoke'!D192,'CDO Bespoke'!$C$13,'CDO Bespoke'!$C$14,'CDO Bespoke'!$C$15,'CDO Bespoke'!$C$8,,,TRUE,TRUE,FALSE,'CDO Bespoke'!$C$29:'CDO Bespoke'!$C$31,'CDO Bespoke'!$C$33),{5})),"")</f>
        <v/>
      </c>
      <c r="Q167" s="524" t="str" cm="1">
        <f t="array" aca="1" ref="Q167" ca="1">IF($O167&lt;&gt;"",-TRANSPOSE(INDEX(getcds('CDO Bespoke'!$C192,Q$13,'CDO Bespoke'!$G192/10000,'CDO Bespoke'!G192,'CDO Bespoke'!E192,'CDO Bespoke'!$C$13,'CDO Bespoke'!$C$14,'CDO Bespoke'!$C$15,'CDO Bespoke'!$C$8,,,TRUE,TRUE,FALSE,'CDO Bespoke'!$C$29:'CDO Bespoke'!$C$31,'CDO Bespoke'!$C$33),{5})),"")</f>
        <v/>
      </c>
      <c r="R167" s="524" t="str" cm="1">
        <f t="array" aca="1" ref="R167" ca="1">IF($O167&lt;&gt;"",-TRANSPOSE(INDEX(getcds('CDO Bespoke'!$C192,R$13,'CDO Bespoke'!$G192/10000,'CDO Bespoke'!H192,'CDO Bespoke'!F192,'CDO Bespoke'!$C$13,'CDO Bespoke'!$C$14,'CDO Bespoke'!$C$15,'CDO Bespoke'!$C$8,,,TRUE,TRUE,FALSE,'CDO Bespoke'!$C$29:'CDO Bespoke'!$C$31,'CDO Bespoke'!$C$33),{5})),"")</f>
        <v/>
      </c>
      <c r="S167" s="524" t="str" cm="1">
        <f t="array" aca="1" ref="S167" ca="1">IF($O167&lt;&gt;"",-TRANSPOSE(INDEX(getcds('CDO Bespoke'!$C192,S$13,'CDO Bespoke'!$G192/10000,'CDO Bespoke'!I192,'CDO Bespoke'!G192,'CDO Bespoke'!$C$13,'CDO Bespoke'!$C$14,'CDO Bespoke'!$C$15,'CDO Bespoke'!$C$8,,,TRUE,TRUE,FALSE,'CDO Bespoke'!$C$29:'CDO Bespoke'!$C$31,'CDO Bespoke'!$C$33),{5})),"")</f>
        <v/>
      </c>
      <c r="T167" s="514" t="str" cm="1">
        <f t="array" aca="1" ref="T167" ca="1">IF($O167&lt;&gt;"",-TRANSPOSE(INDEX(getcds('CDO Bespoke'!$C192,T$13,'CDO Bespoke'!$G192/10000,'CDO Bespoke'!J192,'CDO Bespoke'!H192,'CDO Bespoke'!$C$13,'CDO Bespoke'!$C$14,'CDO Bespoke'!$C$15,'CDO Bespoke'!$C$8,,,TRUE,TRUE,FALSE,'CDO Bespoke'!$C$29:'CDO Bespoke'!$C$31,'CDO Bespoke'!$C$33),{5})),"")</f>
        <v/>
      </c>
      <c r="U167" s="493"/>
      <c r="V167" s="513"/>
      <c r="W167" s="572"/>
      <c r="X167" s="572"/>
      <c r="Y167" s="572"/>
      <c r="Z167" s="572"/>
      <c r="AA167" s="572"/>
      <c r="AB167" s="572"/>
      <c r="AC167" s="572"/>
      <c r="AD167" s="572"/>
      <c r="AE167" s="514"/>
    </row>
    <row r="168" spans="6:31" s="281" customFormat="1" ht="12" thickBot="1">
      <c r="F168" s="501" t="str">
        <f ca="1">IF('CDO Bespoke'!O169&lt;&gt;"",'CDO Bespoke'!O169,"")</f>
        <v/>
      </c>
      <c r="G168" s="502" t="str">
        <f ca="1">IF(F168&lt;&gt;"",ABS(MIN(-0.75*('CDO Bespoke'!Q169+'CDO Bespoke'!T169)+'CDO Bespoke'!T169,0)),"")</f>
        <v/>
      </c>
      <c r="H168" s="502" t="str">
        <f t="shared" ca="1" si="8"/>
        <v/>
      </c>
      <c r="I168" s="502" t="str">
        <f t="shared" ca="1" si="11"/>
        <v/>
      </c>
      <c r="J168" s="501" t="str">
        <f ca="1">IF('CDO Bespoke'!O169&lt;&gt;"",'CDO Bespoke'!O169,"")</f>
        <v/>
      </c>
      <c r="K168" s="502" t="str">
        <f ca="1">IF(J168&lt;&gt;"",ABS(MIN(-0.75*('CDO Bespoke'!K169+'CDO Bespoke'!T169)+'CDO Bespoke'!T169,0)),"")</f>
        <v/>
      </c>
      <c r="L168" s="502" t="str">
        <f t="shared" ca="1" si="9"/>
        <v/>
      </c>
      <c r="M168" s="506" t="str">
        <f t="shared" ca="1" si="10"/>
        <v/>
      </c>
      <c r="O168" s="511" t="str">
        <f ca="1">IF('CDO Bespoke'!C193&lt;&gt;"",'CDO Bespoke'!C193,"")</f>
        <v/>
      </c>
      <c r="P168" s="513" t="str" cm="1">
        <f t="array" aca="1" ref="P168" ca="1">IF($O168&lt;&gt;"",-TRANSPOSE(INDEX(getcds('CDO Bespoke'!$C193,P$13,'CDO Bespoke'!$G193/10000,'CDO Bespoke'!F193,'CDO Bespoke'!D193,'CDO Bespoke'!$C$13,'CDO Bespoke'!$C$14,'CDO Bespoke'!$C$15,'CDO Bespoke'!$C$8,,,TRUE,TRUE,FALSE,'CDO Bespoke'!$C$29:'CDO Bespoke'!$C$31,'CDO Bespoke'!$C$33),{5})),"")</f>
        <v/>
      </c>
      <c r="Q168" s="524" t="str" cm="1">
        <f t="array" aca="1" ref="Q168" ca="1">IF($O168&lt;&gt;"",-TRANSPOSE(INDEX(getcds('CDO Bespoke'!$C193,Q$13,'CDO Bespoke'!$G193/10000,'CDO Bespoke'!G193,'CDO Bespoke'!E193,'CDO Bespoke'!$C$13,'CDO Bespoke'!$C$14,'CDO Bespoke'!$C$15,'CDO Bespoke'!$C$8,,,TRUE,TRUE,FALSE,'CDO Bespoke'!$C$29:'CDO Bespoke'!$C$31,'CDO Bespoke'!$C$33),{5})),"")</f>
        <v/>
      </c>
      <c r="R168" s="524" t="str" cm="1">
        <f t="array" aca="1" ref="R168" ca="1">IF($O168&lt;&gt;"",-TRANSPOSE(INDEX(getcds('CDO Bespoke'!$C193,R$13,'CDO Bespoke'!$G193/10000,'CDO Bespoke'!H193,'CDO Bespoke'!F193,'CDO Bespoke'!$C$13,'CDO Bespoke'!$C$14,'CDO Bespoke'!$C$15,'CDO Bespoke'!$C$8,,,TRUE,TRUE,FALSE,'CDO Bespoke'!$C$29:'CDO Bespoke'!$C$31,'CDO Bespoke'!$C$33),{5})),"")</f>
        <v/>
      </c>
      <c r="S168" s="524" t="str" cm="1">
        <f t="array" aca="1" ref="S168" ca="1">IF($O168&lt;&gt;"",-TRANSPOSE(INDEX(getcds('CDO Bespoke'!$C193,S$13,'CDO Bespoke'!$G193/10000,'CDO Bespoke'!I193,'CDO Bespoke'!G193,'CDO Bespoke'!$C$13,'CDO Bespoke'!$C$14,'CDO Bespoke'!$C$15,'CDO Bespoke'!$C$8,,,TRUE,TRUE,FALSE,'CDO Bespoke'!$C$29:'CDO Bespoke'!$C$31,'CDO Bespoke'!$C$33),{5})),"")</f>
        <v/>
      </c>
      <c r="T168" s="514" t="str" cm="1">
        <f t="array" aca="1" ref="T168" ca="1">IF($O168&lt;&gt;"",-TRANSPOSE(INDEX(getcds('CDO Bespoke'!$C193,T$13,'CDO Bespoke'!$G193/10000,'CDO Bespoke'!J193,'CDO Bespoke'!H193,'CDO Bespoke'!$C$13,'CDO Bespoke'!$C$14,'CDO Bespoke'!$C$15,'CDO Bespoke'!$C$8,,,TRUE,TRUE,FALSE,'CDO Bespoke'!$C$29:'CDO Bespoke'!$C$31,'CDO Bespoke'!$C$33),{5})),"")</f>
        <v/>
      </c>
      <c r="U168" s="493"/>
      <c r="V168" s="513"/>
      <c r="W168" s="572"/>
      <c r="X168" s="572"/>
      <c r="Y168" s="572"/>
      <c r="Z168" s="572"/>
      <c r="AA168" s="572"/>
      <c r="AB168" s="572"/>
      <c r="AC168" s="572"/>
      <c r="AD168" s="572"/>
      <c r="AE168" s="514"/>
    </row>
    <row r="169" spans="6:31" s="281" customFormat="1" ht="12" thickBot="1">
      <c r="F169" s="501" t="str">
        <f ca="1">IF('CDO Bespoke'!O170&lt;&gt;"",'CDO Bespoke'!O170,"")</f>
        <v/>
      </c>
      <c r="G169" s="502" t="str">
        <f ca="1">IF(F169&lt;&gt;"",ABS(MIN(-0.75*('CDO Bespoke'!Q170+'CDO Bespoke'!T170)+'CDO Bespoke'!T170,0)),"")</f>
        <v/>
      </c>
      <c r="H169" s="502" t="str">
        <f t="shared" ca="1" si="8"/>
        <v/>
      </c>
      <c r="I169" s="502" t="str">
        <f t="shared" ca="1" si="11"/>
        <v/>
      </c>
      <c r="J169" s="501" t="str">
        <f ca="1">IF('CDO Bespoke'!O170&lt;&gt;"",'CDO Bespoke'!O170,"")</f>
        <v/>
      </c>
      <c r="K169" s="502" t="str">
        <f ca="1">IF(J169&lt;&gt;"",ABS(MIN(-0.75*('CDO Bespoke'!K170+'CDO Bespoke'!T170)+'CDO Bespoke'!T170,0)),"")</f>
        <v/>
      </c>
      <c r="L169" s="502" t="str">
        <f t="shared" ca="1" si="9"/>
        <v/>
      </c>
      <c r="M169" s="506" t="str">
        <f t="shared" ca="1" si="10"/>
        <v/>
      </c>
      <c r="O169" s="511" t="str">
        <f ca="1">IF('CDO Bespoke'!C194&lt;&gt;"",'CDO Bespoke'!C194,"")</f>
        <v/>
      </c>
      <c r="P169" s="513" t="str" cm="1">
        <f t="array" aca="1" ref="P169" ca="1">IF($O169&lt;&gt;"",-TRANSPOSE(INDEX(getcds('CDO Bespoke'!$C194,P$13,'CDO Bespoke'!$G194/10000,'CDO Bespoke'!F194,'CDO Bespoke'!D194,'CDO Bespoke'!$C$13,'CDO Bespoke'!$C$14,'CDO Bespoke'!$C$15,'CDO Bespoke'!$C$8,,,TRUE,TRUE,FALSE,'CDO Bespoke'!$C$29:'CDO Bespoke'!$C$31,'CDO Bespoke'!$C$33),{5})),"")</f>
        <v/>
      </c>
      <c r="Q169" s="524" t="str" cm="1">
        <f t="array" aca="1" ref="Q169" ca="1">IF($O169&lt;&gt;"",-TRANSPOSE(INDEX(getcds('CDO Bespoke'!$C194,Q$13,'CDO Bespoke'!$G194/10000,'CDO Bespoke'!G194,'CDO Bespoke'!E194,'CDO Bespoke'!$C$13,'CDO Bespoke'!$C$14,'CDO Bespoke'!$C$15,'CDO Bespoke'!$C$8,,,TRUE,TRUE,FALSE,'CDO Bespoke'!$C$29:'CDO Bespoke'!$C$31,'CDO Bespoke'!$C$33),{5})),"")</f>
        <v/>
      </c>
      <c r="R169" s="524" t="str" cm="1">
        <f t="array" aca="1" ref="R169" ca="1">IF($O169&lt;&gt;"",-TRANSPOSE(INDEX(getcds('CDO Bespoke'!$C194,R$13,'CDO Bespoke'!$G194/10000,'CDO Bespoke'!H194,'CDO Bespoke'!F194,'CDO Bespoke'!$C$13,'CDO Bespoke'!$C$14,'CDO Bespoke'!$C$15,'CDO Bespoke'!$C$8,,,TRUE,TRUE,FALSE,'CDO Bespoke'!$C$29:'CDO Bespoke'!$C$31,'CDO Bespoke'!$C$33),{5})),"")</f>
        <v/>
      </c>
      <c r="S169" s="524" t="str" cm="1">
        <f t="array" aca="1" ref="S169" ca="1">IF($O169&lt;&gt;"",-TRANSPOSE(INDEX(getcds('CDO Bespoke'!$C194,S$13,'CDO Bespoke'!$G194/10000,'CDO Bespoke'!I194,'CDO Bespoke'!G194,'CDO Bespoke'!$C$13,'CDO Bespoke'!$C$14,'CDO Bespoke'!$C$15,'CDO Bespoke'!$C$8,,,TRUE,TRUE,FALSE,'CDO Bespoke'!$C$29:'CDO Bespoke'!$C$31,'CDO Bespoke'!$C$33),{5})),"")</f>
        <v/>
      </c>
      <c r="T169" s="514" t="str" cm="1">
        <f t="array" aca="1" ref="T169" ca="1">IF($O169&lt;&gt;"",-TRANSPOSE(INDEX(getcds('CDO Bespoke'!$C194,T$13,'CDO Bespoke'!$G194/10000,'CDO Bespoke'!J194,'CDO Bespoke'!H194,'CDO Bespoke'!$C$13,'CDO Bespoke'!$C$14,'CDO Bespoke'!$C$15,'CDO Bespoke'!$C$8,,,TRUE,TRUE,FALSE,'CDO Bespoke'!$C$29:'CDO Bespoke'!$C$31,'CDO Bespoke'!$C$33),{5})),"")</f>
        <v/>
      </c>
      <c r="U169" s="493"/>
      <c r="V169" s="513"/>
      <c r="W169" s="572"/>
      <c r="X169" s="572"/>
      <c r="Y169" s="572"/>
      <c r="Z169" s="572"/>
      <c r="AA169" s="572"/>
      <c r="AB169" s="572"/>
      <c r="AC169" s="572"/>
      <c r="AD169" s="572"/>
      <c r="AE169" s="514"/>
    </row>
    <row r="170" spans="6:31" s="281" customFormat="1" ht="12" thickBot="1">
      <c r="F170" s="501" t="str">
        <f ca="1">IF('CDO Bespoke'!O171&lt;&gt;"",'CDO Bespoke'!O171,"")</f>
        <v/>
      </c>
      <c r="G170" s="502" t="str">
        <f ca="1">IF(F170&lt;&gt;"",ABS(MIN(-0.75*('CDO Bespoke'!Q171+'CDO Bespoke'!T171)+'CDO Bespoke'!T171,0)),"")</f>
        <v/>
      </c>
      <c r="H170" s="502" t="str">
        <f t="shared" ca="1" si="8"/>
        <v/>
      </c>
      <c r="I170" s="502" t="str">
        <f t="shared" ca="1" si="11"/>
        <v/>
      </c>
      <c r="J170" s="501" t="str">
        <f ca="1">IF('CDO Bespoke'!O171&lt;&gt;"",'CDO Bespoke'!O171,"")</f>
        <v/>
      </c>
      <c r="K170" s="502" t="str">
        <f ca="1">IF(J170&lt;&gt;"",ABS(MIN(-0.75*('CDO Bespoke'!K171+'CDO Bespoke'!T171)+'CDO Bespoke'!T171,0)),"")</f>
        <v/>
      </c>
      <c r="L170" s="502" t="str">
        <f t="shared" ca="1" si="9"/>
        <v/>
      </c>
      <c r="M170" s="506" t="str">
        <f t="shared" ca="1" si="10"/>
        <v/>
      </c>
      <c r="O170" s="511" t="str">
        <f ca="1">IF('CDO Bespoke'!C195&lt;&gt;"",'CDO Bespoke'!C195,"")</f>
        <v/>
      </c>
      <c r="P170" s="513" t="str" cm="1">
        <f t="array" aca="1" ref="P170" ca="1">IF($O170&lt;&gt;"",-TRANSPOSE(INDEX(getcds('CDO Bespoke'!$C195,P$13,'CDO Bespoke'!$G195/10000,'CDO Bespoke'!F195,'CDO Bespoke'!D195,'CDO Bespoke'!$C$13,'CDO Bespoke'!$C$14,'CDO Bespoke'!$C$15,'CDO Bespoke'!$C$8,,,TRUE,TRUE,FALSE,'CDO Bespoke'!$C$29:'CDO Bespoke'!$C$31,'CDO Bespoke'!$C$33),{5})),"")</f>
        <v/>
      </c>
      <c r="Q170" s="524" t="str" cm="1">
        <f t="array" aca="1" ref="Q170" ca="1">IF($O170&lt;&gt;"",-TRANSPOSE(INDEX(getcds('CDO Bespoke'!$C195,Q$13,'CDO Bespoke'!$G195/10000,'CDO Bespoke'!G195,'CDO Bespoke'!E195,'CDO Bespoke'!$C$13,'CDO Bespoke'!$C$14,'CDO Bespoke'!$C$15,'CDO Bespoke'!$C$8,,,TRUE,TRUE,FALSE,'CDO Bespoke'!$C$29:'CDO Bespoke'!$C$31,'CDO Bespoke'!$C$33),{5})),"")</f>
        <v/>
      </c>
      <c r="R170" s="524" t="str" cm="1">
        <f t="array" aca="1" ref="R170" ca="1">IF($O170&lt;&gt;"",-TRANSPOSE(INDEX(getcds('CDO Bespoke'!$C195,R$13,'CDO Bespoke'!$G195/10000,'CDO Bespoke'!H195,'CDO Bespoke'!F195,'CDO Bespoke'!$C$13,'CDO Bespoke'!$C$14,'CDO Bespoke'!$C$15,'CDO Bespoke'!$C$8,,,TRUE,TRUE,FALSE,'CDO Bespoke'!$C$29:'CDO Bespoke'!$C$31,'CDO Bespoke'!$C$33),{5})),"")</f>
        <v/>
      </c>
      <c r="S170" s="524" t="str" cm="1">
        <f t="array" aca="1" ref="S170" ca="1">IF($O170&lt;&gt;"",-TRANSPOSE(INDEX(getcds('CDO Bespoke'!$C195,S$13,'CDO Bespoke'!$G195/10000,'CDO Bespoke'!I195,'CDO Bespoke'!G195,'CDO Bespoke'!$C$13,'CDO Bespoke'!$C$14,'CDO Bespoke'!$C$15,'CDO Bespoke'!$C$8,,,TRUE,TRUE,FALSE,'CDO Bespoke'!$C$29:'CDO Bespoke'!$C$31,'CDO Bespoke'!$C$33),{5})),"")</f>
        <v/>
      </c>
      <c r="T170" s="514" t="str" cm="1">
        <f t="array" aca="1" ref="T170" ca="1">IF($O170&lt;&gt;"",-TRANSPOSE(INDEX(getcds('CDO Bespoke'!$C195,T$13,'CDO Bespoke'!$G195/10000,'CDO Bespoke'!J195,'CDO Bespoke'!H195,'CDO Bespoke'!$C$13,'CDO Bespoke'!$C$14,'CDO Bespoke'!$C$15,'CDO Bespoke'!$C$8,,,TRUE,TRUE,FALSE,'CDO Bespoke'!$C$29:'CDO Bespoke'!$C$31,'CDO Bespoke'!$C$33),{5})),"")</f>
        <v/>
      </c>
      <c r="U170" s="493"/>
      <c r="V170" s="513"/>
      <c r="W170" s="572"/>
      <c r="X170" s="572"/>
      <c r="Y170" s="572"/>
      <c r="Z170" s="572"/>
      <c r="AA170" s="572"/>
      <c r="AB170" s="572"/>
      <c r="AC170" s="572"/>
      <c r="AD170" s="572"/>
      <c r="AE170" s="514"/>
    </row>
    <row r="171" spans="6:31" s="281" customFormat="1" ht="12" thickBot="1">
      <c r="F171" s="501" t="str">
        <f ca="1">IF('CDO Bespoke'!O172&lt;&gt;"",'CDO Bespoke'!O172,"")</f>
        <v/>
      </c>
      <c r="G171" s="502" t="str">
        <f ca="1">IF(F171&lt;&gt;"",ABS(MIN(-0.75*('CDO Bespoke'!Q172+'CDO Bespoke'!T172)+'CDO Bespoke'!T172,0)),"")</f>
        <v/>
      </c>
      <c r="H171" s="502" t="str">
        <f t="shared" ca="1" si="8"/>
        <v/>
      </c>
      <c r="I171" s="502" t="str">
        <f t="shared" ca="1" si="11"/>
        <v/>
      </c>
      <c r="J171" s="501" t="str">
        <f ca="1">IF('CDO Bespoke'!O172&lt;&gt;"",'CDO Bespoke'!O172,"")</f>
        <v/>
      </c>
      <c r="K171" s="502" t="str">
        <f ca="1">IF(J171&lt;&gt;"",ABS(MIN(-0.75*('CDO Bespoke'!K172+'CDO Bespoke'!T172)+'CDO Bespoke'!T172,0)),"")</f>
        <v/>
      </c>
      <c r="L171" s="502" t="str">
        <f t="shared" ca="1" si="9"/>
        <v/>
      </c>
      <c r="M171" s="506" t="str">
        <f t="shared" ca="1" si="10"/>
        <v/>
      </c>
      <c r="O171" s="511" t="str">
        <f ca="1">IF('CDO Bespoke'!C196&lt;&gt;"",'CDO Bespoke'!C196,"")</f>
        <v/>
      </c>
      <c r="P171" s="513" t="str" cm="1">
        <f t="array" aca="1" ref="P171" ca="1">IF($O171&lt;&gt;"",-TRANSPOSE(INDEX(getcds('CDO Bespoke'!$C196,P$13,'CDO Bespoke'!$G196/10000,'CDO Bespoke'!F196,'CDO Bespoke'!D196,'CDO Bespoke'!$C$13,'CDO Bespoke'!$C$14,'CDO Bespoke'!$C$15,'CDO Bespoke'!$C$8,,,TRUE,TRUE,FALSE,'CDO Bespoke'!$C$29:'CDO Bespoke'!$C$31,'CDO Bespoke'!$C$33),{5})),"")</f>
        <v/>
      </c>
      <c r="Q171" s="524" t="str" cm="1">
        <f t="array" aca="1" ref="Q171" ca="1">IF($O171&lt;&gt;"",-TRANSPOSE(INDEX(getcds('CDO Bespoke'!$C196,Q$13,'CDO Bespoke'!$G196/10000,'CDO Bespoke'!G196,'CDO Bespoke'!E196,'CDO Bespoke'!$C$13,'CDO Bespoke'!$C$14,'CDO Bespoke'!$C$15,'CDO Bespoke'!$C$8,,,TRUE,TRUE,FALSE,'CDO Bespoke'!$C$29:'CDO Bespoke'!$C$31,'CDO Bespoke'!$C$33),{5})),"")</f>
        <v/>
      </c>
      <c r="R171" s="524" t="str" cm="1">
        <f t="array" aca="1" ref="R171" ca="1">IF($O171&lt;&gt;"",-TRANSPOSE(INDEX(getcds('CDO Bespoke'!$C196,R$13,'CDO Bespoke'!$G196/10000,'CDO Bespoke'!H196,'CDO Bespoke'!F196,'CDO Bespoke'!$C$13,'CDO Bespoke'!$C$14,'CDO Bespoke'!$C$15,'CDO Bespoke'!$C$8,,,TRUE,TRUE,FALSE,'CDO Bespoke'!$C$29:'CDO Bespoke'!$C$31,'CDO Bespoke'!$C$33),{5})),"")</f>
        <v/>
      </c>
      <c r="S171" s="524" t="str" cm="1">
        <f t="array" aca="1" ref="S171" ca="1">IF($O171&lt;&gt;"",-TRANSPOSE(INDEX(getcds('CDO Bespoke'!$C196,S$13,'CDO Bespoke'!$G196/10000,'CDO Bespoke'!I196,'CDO Bespoke'!G196,'CDO Bespoke'!$C$13,'CDO Bespoke'!$C$14,'CDO Bespoke'!$C$15,'CDO Bespoke'!$C$8,,,TRUE,TRUE,FALSE,'CDO Bespoke'!$C$29:'CDO Bespoke'!$C$31,'CDO Bespoke'!$C$33),{5})),"")</f>
        <v/>
      </c>
      <c r="T171" s="514" t="str" cm="1">
        <f t="array" aca="1" ref="T171" ca="1">IF($O171&lt;&gt;"",-TRANSPOSE(INDEX(getcds('CDO Bespoke'!$C196,T$13,'CDO Bespoke'!$G196/10000,'CDO Bespoke'!J196,'CDO Bespoke'!H196,'CDO Bespoke'!$C$13,'CDO Bespoke'!$C$14,'CDO Bespoke'!$C$15,'CDO Bespoke'!$C$8,,,TRUE,TRUE,FALSE,'CDO Bespoke'!$C$29:'CDO Bespoke'!$C$31,'CDO Bespoke'!$C$33),{5})),"")</f>
        <v/>
      </c>
      <c r="U171" s="493"/>
      <c r="V171" s="513"/>
      <c r="W171" s="572"/>
      <c r="X171" s="572"/>
      <c r="Y171" s="572"/>
      <c r="Z171" s="572"/>
      <c r="AA171" s="572"/>
      <c r="AB171" s="572"/>
      <c r="AC171" s="572"/>
      <c r="AD171" s="572"/>
      <c r="AE171" s="514"/>
    </row>
    <row r="172" spans="6:31" s="281" customFormat="1" ht="12" thickBot="1">
      <c r="F172" s="501" t="str">
        <f ca="1">IF('CDO Bespoke'!O173&lt;&gt;"",'CDO Bespoke'!O173,"")</f>
        <v/>
      </c>
      <c r="G172" s="502" t="str">
        <f ca="1">IF(F172&lt;&gt;"",ABS(MIN(-0.75*('CDO Bespoke'!Q173+'CDO Bespoke'!T173)+'CDO Bespoke'!T173,0)),"")</f>
        <v/>
      </c>
      <c r="H172" s="502" t="str">
        <f t="shared" ca="1" si="8"/>
        <v/>
      </c>
      <c r="I172" s="502" t="str">
        <f t="shared" ca="1" si="11"/>
        <v/>
      </c>
      <c r="J172" s="501" t="str">
        <f ca="1">IF('CDO Bespoke'!O173&lt;&gt;"",'CDO Bespoke'!O173,"")</f>
        <v/>
      </c>
      <c r="K172" s="502" t="str">
        <f ca="1">IF(J172&lt;&gt;"",ABS(MIN(-0.75*('CDO Bespoke'!K173+'CDO Bespoke'!T173)+'CDO Bespoke'!T173,0)),"")</f>
        <v/>
      </c>
      <c r="L172" s="502" t="str">
        <f t="shared" ca="1" si="9"/>
        <v/>
      </c>
      <c r="M172" s="506" t="str">
        <f t="shared" ca="1" si="10"/>
        <v/>
      </c>
      <c r="O172" s="511" t="str">
        <f ca="1">IF('CDO Bespoke'!C197&lt;&gt;"",'CDO Bespoke'!C197,"")</f>
        <v/>
      </c>
      <c r="P172" s="513" t="str" cm="1">
        <f t="array" aca="1" ref="P172" ca="1">IF($O172&lt;&gt;"",-TRANSPOSE(INDEX(getcds('CDO Bespoke'!$C197,P$13,'CDO Bespoke'!$G197/10000,'CDO Bespoke'!F197,'CDO Bespoke'!D197,'CDO Bespoke'!$C$13,'CDO Bespoke'!$C$14,'CDO Bespoke'!$C$15,'CDO Bespoke'!$C$8,,,TRUE,TRUE,FALSE,'CDO Bespoke'!$C$29:'CDO Bespoke'!$C$31,'CDO Bespoke'!$C$33),{5})),"")</f>
        <v/>
      </c>
      <c r="Q172" s="524" t="str" cm="1">
        <f t="array" aca="1" ref="Q172" ca="1">IF($O172&lt;&gt;"",-TRANSPOSE(INDEX(getcds('CDO Bespoke'!$C197,Q$13,'CDO Bespoke'!$G197/10000,'CDO Bespoke'!G197,'CDO Bespoke'!E197,'CDO Bespoke'!$C$13,'CDO Bespoke'!$C$14,'CDO Bespoke'!$C$15,'CDO Bespoke'!$C$8,,,TRUE,TRUE,FALSE,'CDO Bespoke'!$C$29:'CDO Bespoke'!$C$31,'CDO Bespoke'!$C$33),{5})),"")</f>
        <v/>
      </c>
      <c r="R172" s="524" t="str" cm="1">
        <f t="array" aca="1" ref="R172" ca="1">IF($O172&lt;&gt;"",-TRANSPOSE(INDEX(getcds('CDO Bespoke'!$C197,R$13,'CDO Bespoke'!$G197/10000,'CDO Bespoke'!H197,'CDO Bespoke'!F197,'CDO Bespoke'!$C$13,'CDO Bespoke'!$C$14,'CDO Bespoke'!$C$15,'CDO Bespoke'!$C$8,,,TRUE,TRUE,FALSE,'CDO Bespoke'!$C$29:'CDO Bespoke'!$C$31,'CDO Bespoke'!$C$33),{5})),"")</f>
        <v/>
      </c>
      <c r="S172" s="524" t="str" cm="1">
        <f t="array" aca="1" ref="S172" ca="1">IF($O172&lt;&gt;"",-TRANSPOSE(INDEX(getcds('CDO Bespoke'!$C197,S$13,'CDO Bespoke'!$G197/10000,'CDO Bespoke'!I197,'CDO Bespoke'!G197,'CDO Bespoke'!$C$13,'CDO Bespoke'!$C$14,'CDO Bespoke'!$C$15,'CDO Bespoke'!$C$8,,,TRUE,TRUE,FALSE,'CDO Bespoke'!$C$29:'CDO Bespoke'!$C$31,'CDO Bespoke'!$C$33),{5})),"")</f>
        <v/>
      </c>
      <c r="T172" s="514" t="str" cm="1">
        <f t="array" aca="1" ref="T172" ca="1">IF($O172&lt;&gt;"",-TRANSPOSE(INDEX(getcds('CDO Bespoke'!$C197,T$13,'CDO Bespoke'!$G197/10000,'CDO Bespoke'!J197,'CDO Bespoke'!H197,'CDO Bespoke'!$C$13,'CDO Bespoke'!$C$14,'CDO Bespoke'!$C$15,'CDO Bespoke'!$C$8,,,TRUE,TRUE,FALSE,'CDO Bespoke'!$C$29:'CDO Bespoke'!$C$31,'CDO Bespoke'!$C$33),{5})),"")</f>
        <v/>
      </c>
      <c r="U172" s="493"/>
      <c r="V172" s="513"/>
      <c r="W172" s="572"/>
      <c r="X172" s="572"/>
      <c r="Y172" s="572"/>
      <c r="Z172" s="572"/>
      <c r="AA172" s="572"/>
      <c r="AB172" s="572"/>
      <c r="AC172" s="572"/>
      <c r="AD172" s="572"/>
      <c r="AE172" s="514"/>
    </row>
    <row r="173" spans="6:31" s="281" customFormat="1" ht="12" thickBot="1">
      <c r="F173" s="501" t="str">
        <f ca="1">IF('CDO Bespoke'!O174&lt;&gt;"",'CDO Bespoke'!O174,"")</f>
        <v/>
      </c>
      <c r="G173" s="502" t="str">
        <f ca="1">IF(F173&lt;&gt;"",ABS(MIN(-0.75*('CDO Bespoke'!Q174+'CDO Bespoke'!T174)+'CDO Bespoke'!T174,0)),"")</f>
        <v/>
      </c>
      <c r="H173" s="502" t="str">
        <f t="shared" ca="1" si="8"/>
        <v/>
      </c>
      <c r="I173" s="502" t="str">
        <f t="shared" ca="1" si="11"/>
        <v/>
      </c>
      <c r="J173" s="501" t="str">
        <f ca="1">IF('CDO Bespoke'!O174&lt;&gt;"",'CDO Bespoke'!O174,"")</f>
        <v/>
      </c>
      <c r="K173" s="502" t="str">
        <f ca="1">IF(J173&lt;&gt;"",ABS(MIN(-0.75*('CDO Bespoke'!K174+'CDO Bespoke'!T174)+'CDO Bespoke'!T174,0)),"")</f>
        <v/>
      </c>
      <c r="L173" s="502" t="str">
        <f t="shared" ca="1" si="9"/>
        <v/>
      </c>
      <c r="M173" s="506" t="str">
        <f t="shared" ca="1" si="10"/>
        <v/>
      </c>
      <c r="O173" s="511" t="str">
        <f ca="1">IF('CDO Bespoke'!C198&lt;&gt;"",'CDO Bespoke'!C198,"")</f>
        <v/>
      </c>
      <c r="P173" s="513" t="str" cm="1">
        <f t="array" aca="1" ref="P173" ca="1">IF($O173&lt;&gt;"",-TRANSPOSE(INDEX(getcds('CDO Bespoke'!$C198,P$13,'CDO Bespoke'!$G198/10000,'CDO Bespoke'!F198,'CDO Bespoke'!D198,'CDO Bespoke'!$C$13,'CDO Bespoke'!$C$14,'CDO Bespoke'!$C$15,'CDO Bespoke'!$C$8,,,TRUE,TRUE,FALSE,'CDO Bespoke'!$C$29:'CDO Bespoke'!$C$31,'CDO Bespoke'!$C$33),{5})),"")</f>
        <v/>
      </c>
      <c r="Q173" s="524" t="str" cm="1">
        <f t="array" aca="1" ref="Q173" ca="1">IF($O173&lt;&gt;"",-TRANSPOSE(INDEX(getcds('CDO Bespoke'!$C198,Q$13,'CDO Bespoke'!$G198/10000,'CDO Bespoke'!G198,'CDO Bespoke'!E198,'CDO Bespoke'!$C$13,'CDO Bespoke'!$C$14,'CDO Bespoke'!$C$15,'CDO Bespoke'!$C$8,,,TRUE,TRUE,FALSE,'CDO Bespoke'!$C$29:'CDO Bespoke'!$C$31,'CDO Bespoke'!$C$33),{5})),"")</f>
        <v/>
      </c>
      <c r="R173" s="524" t="str" cm="1">
        <f t="array" aca="1" ref="R173" ca="1">IF($O173&lt;&gt;"",-TRANSPOSE(INDEX(getcds('CDO Bespoke'!$C198,R$13,'CDO Bespoke'!$G198/10000,'CDO Bespoke'!H198,'CDO Bespoke'!F198,'CDO Bespoke'!$C$13,'CDO Bespoke'!$C$14,'CDO Bespoke'!$C$15,'CDO Bespoke'!$C$8,,,TRUE,TRUE,FALSE,'CDO Bespoke'!$C$29:'CDO Bespoke'!$C$31,'CDO Bespoke'!$C$33),{5})),"")</f>
        <v/>
      </c>
      <c r="S173" s="524" t="str" cm="1">
        <f t="array" aca="1" ref="S173" ca="1">IF($O173&lt;&gt;"",-TRANSPOSE(INDEX(getcds('CDO Bespoke'!$C198,S$13,'CDO Bespoke'!$G198/10000,'CDO Bespoke'!I198,'CDO Bespoke'!G198,'CDO Bespoke'!$C$13,'CDO Bespoke'!$C$14,'CDO Bespoke'!$C$15,'CDO Bespoke'!$C$8,,,TRUE,TRUE,FALSE,'CDO Bespoke'!$C$29:'CDO Bespoke'!$C$31,'CDO Bespoke'!$C$33),{5})),"")</f>
        <v/>
      </c>
      <c r="T173" s="514" t="str" cm="1">
        <f t="array" aca="1" ref="T173" ca="1">IF($O173&lt;&gt;"",-TRANSPOSE(INDEX(getcds('CDO Bespoke'!$C198,T$13,'CDO Bespoke'!$G198/10000,'CDO Bespoke'!J198,'CDO Bespoke'!H198,'CDO Bespoke'!$C$13,'CDO Bespoke'!$C$14,'CDO Bespoke'!$C$15,'CDO Bespoke'!$C$8,,,TRUE,TRUE,FALSE,'CDO Bespoke'!$C$29:'CDO Bespoke'!$C$31,'CDO Bespoke'!$C$33),{5})),"")</f>
        <v/>
      </c>
      <c r="U173" s="493"/>
      <c r="V173" s="513"/>
      <c r="W173" s="572"/>
      <c r="X173" s="572"/>
      <c r="Y173" s="572"/>
      <c r="Z173" s="572"/>
      <c r="AA173" s="572"/>
      <c r="AB173" s="572"/>
      <c r="AC173" s="572"/>
      <c r="AD173" s="572"/>
      <c r="AE173" s="514"/>
    </row>
    <row r="174" spans="6:31" s="281" customFormat="1" ht="12" thickBot="1">
      <c r="F174" s="501" t="str">
        <f ca="1">IF('CDO Bespoke'!O175&lt;&gt;"",'CDO Bespoke'!O175,"")</f>
        <v/>
      </c>
      <c r="G174" s="502" t="str">
        <f ca="1">IF(F174&lt;&gt;"",ABS(MIN(-0.75*('CDO Bespoke'!Q175+'CDO Bespoke'!T175)+'CDO Bespoke'!T175,0)),"")</f>
        <v/>
      </c>
      <c r="H174" s="502" t="str">
        <f t="shared" ca="1" si="8"/>
        <v/>
      </c>
      <c r="I174" s="502" t="str">
        <f t="shared" ca="1" si="11"/>
        <v/>
      </c>
      <c r="J174" s="501" t="str">
        <f ca="1">IF('CDO Bespoke'!O175&lt;&gt;"",'CDO Bespoke'!O175,"")</f>
        <v/>
      </c>
      <c r="K174" s="502" t="str">
        <f ca="1">IF(J174&lt;&gt;"",ABS(MIN(-0.75*('CDO Bespoke'!K175+'CDO Bespoke'!T175)+'CDO Bespoke'!T175,0)),"")</f>
        <v/>
      </c>
      <c r="L174" s="502" t="str">
        <f t="shared" ca="1" si="9"/>
        <v/>
      </c>
      <c r="M174" s="506" t="str">
        <f t="shared" ca="1" si="10"/>
        <v/>
      </c>
      <c r="O174" s="511" t="str">
        <f ca="1">IF('CDO Bespoke'!C199&lt;&gt;"",'CDO Bespoke'!C199,"")</f>
        <v/>
      </c>
      <c r="P174" s="513" t="str" cm="1">
        <f t="array" aca="1" ref="P174" ca="1">IF($O174&lt;&gt;"",-TRANSPOSE(INDEX(getcds('CDO Bespoke'!$C199,P$13,'CDO Bespoke'!$G199/10000,'CDO Bespoke'!F199,'CDO Bespoke'!D199,'CDO Bespoke'!$C$13,'CDO Bespoke'!$C$14,'CDO Bespoke'!$C$15,'CDO Bespoke'!$C$8,,,TRUE,TRUE,FALSE,'CDO Bespoke'!$C$29:'CDO Bespoke'!$C$31,'CDO Bespoke'!$C$33),{5})),"")</f>
        <v/>
      </c>
      <c r="Q174" s="524" t="str" cm="1">
        <f t="array" aca="1" ref="Q174" ca="1">IF($O174&lt;&gt;"",-TRANSPOSE(INDEX(getcds('CDO Bespoke'!$C199,Q$13,'CDO Bespoke'!$G199/10000,'CDO Bespoke'!G199,'CDO Bespoke'!E199,'CDO Bespoke'!$C$13,'CDO Bespoke'!$C$14,'CDO Bespoke'!$C$15,'CDO Bespoke'!$C$8,,,TRUE,TRUE,FALSE,'CDO Bespoke'!$C$29:'CDO Bespoke'!$C$31,'CDO Bespoke'!$C$33),{5})),"")</f>
        <v/>
      </c>
      <c r="R174" s="524" t="str" cm="1">
        <f t="array" aca="1" ref="R174" ca="1">IF($O174&lt;&gt;"",-TRANSPOSE(INDEX(getcds('CDO Bespoke'!$C199,R$13,'CDO Bespoke'!$G199/10000,'CDO Bespoke'!H199,'CDO Bespoke'!F199,'CDO Bespoke'!$C$13,'CDO Bespoke'!$C$14,'CDO Bespoke'!$C$15,'CDO Bespoke'!$C$8,,,TRUE,TRUE,FALSE,'CDO Bespoke'!$C$29:'CDO Bespoke'!$C$31,'CDO Bespoke'!$C$33),{5})),"")</f>
        <v/>
      </c>
      <c r="S174" s="524" t="str" cm="1">
        <f t="array" aca="1" ref="S174" ca="1">IF($O174&lt;&gt;"",-TRANSPOSE(INDEX(getcds('CDO Bespoke'!$C199,S$13,'CDO Bespoke'!$G199/10000,'CDO Bespoke'!I199,'CDO Bespoke'!G199,'CDO Bespoke'!$C$13,'CDO Bespoke'!$C$14,'CDO Bespoke'!$C$15,'CDO Bespoke'!$C$8,,,TRUE,TRUE,FALSE,'CDO Bespoke'!$C$29:'CDO Bespoke'!$C$31,'CDO Bespoke'!$C$33),{5})),"")</f>
        <v/>
      </c>
      <c r="T174" s="514" t="str" cm="1">
        <f t="array" aca="1" ref="T174" ca="1">IF($O174&lt;&gt;"",-TRANSPOSE(INDEX(getcds('CDO Bespoke'!$C199,T$13,'CDO Bespoke'!$G199/10000,'CDO Bespoke'!J199,'CDO Bespoke'!H199,'CDO Bespoke'!$C$13,'CDO Bespoke'!$C$14,'CDO Bespoke'!$C$15,'CDO Bespoke'!$C$8,,,TRUE,TRUE,FALSE,'CDO Bespoke'!$C$29:'CDO Bespoke'!$C$31,'CDO Bespoke'!$C$33),{5})),"")</f>
        <v/>
      </c>
      <c r="U174" s="493"/>
      <c r="V174" s="513"/>
      <c r="W174" s="572"/>
      <c r="X174" s="572"/>
      <c r="Y174" s="572"/>
      <c r="Z174" s="572"/>
      <c r="AA174" s="572"/>
      <c r="AB174" s="572"/>
      <c r="AC174" s="572"/>
      <c r="AD174" s="572"/>
      <c r="AE174" s="514"/>
    </row>
    <row r="175" spans="6:31" s="281" customFormat="1" ht="12" thickBot="1">
      <c r="F175" s="501" t="str">
        <f ca="1">IF('CDO Bespoke'!O176&lt;&gt;"",'CDO Bespoke'!O176,"")</f>
        <v/>
      </c>
      <c r="G175" s="502" t="str">
        <f ca="1">IF(F175&lt;&gt;"",ABS(MIN(-0.75*('CDO Bespoke'!Q176+'CDO Bespoke'!T176)+'CDO Bespoke'!T176,0)),"")</f>
        <v/>
      </c>
      <c r="H175" s="502" t="str">
        <f t="shared" ca="1" si="8"/>
        <v/>
      </c>
      <c r="I175" s="502" t="str">
        <f t="shared" ca="1" si="11"/>
        <v/>
      </c>
      <c r="J175" s="501" t="str">
        <f ca="1">IF('CDO Bespoke'!O176&lt;&gt;"",'CDO Bespoke'!O176,"")</f>
        <v/>
      </c>
      <c r="K175" s="502" t="str">
        <f ca="1">IF(J175&lt;&gt;"",ABS(MIN(-0.75*('CDO Bespoke'!K176+'CDO Bespoke'!T176)+'CDO Bespoke'!T176,0)),"")</f>
        <v/>
      </c>
      <c r="L175" s="502" t="str">
        <f t="shared" ca="1" si="9"/>
        <v/>
      </c>
      <c r="M175" s="506" t="str">
        <f t="shared" ca="1" si="10"/>
        <v/>
      </c>
      <c r="O175" s="511" t="str">
        <f ca="1">IF('CDO Bespoke'!C200&lt;&gt;"",'CDO Bespoke'!C200,"")</f>
        <v/>
      </c>
      <c r="P175" s="513" t="str" cm="1">
        <f t="array" aca="1" ref="P175" ca="1">IF($O175&lt;&gt;"",-TRANSPOSE(INDEX(getcds('CDO Bespoke'!$C200,P$13,'CDO Bespoke'!$G200/10000,'CDO Bespoke'!F200,'CDO Bespoke'!D200,'CDO Bespoke'!$C$13,'CDO Bespoke'!$C$14,'CDO Bespoke'!$C$15,'CDO Bespoke'!$C$8,,,TRUE,TRUE,FALSE,'CDO Bespoke'!$C$29:'CDO Bespoke'!$C$31,'CDO Bespoke'!$C$33),{5})),"")</f>
        <v/>
      </c>
      <c r="Q175" s="524" t="str" cm="1">
        <f t="array" aca="1" ref="Q175" ca="1">IF($O175&lt;&gt;"",-TRANSPOSE(INDEX(getcds('CDO Bespoke'!$C200,Q$13,'CDO Bespoke'!$G200/10000,'CDO Bespoke'!G200,'CDO Bespoke'!E200,'CDO Bespoke'!$C$13,'CDO Bespoke'!$C$14,'CDO Bespoke'!$C$15,'CDO Bespoke'!$C$8,,,TRUE,TRUE,FALSE,'CDO Bespoke'!$C$29:'CDO Bespoke'!$C$31,'CDO Bespoke'!$C$33),{5})),"")</f>
        <v/>
      </c>
      <c r="R175" s="524" t="str" cm="1">
        <f t="array" aca="1" ref="R175" ca="1">IF($O175&lt;&gt;"",-TRANSPOSE(INDEX(getcds('CDO Bespoke'!$C200,R$13,'CDO Bespoke'!$G200/10000,'CDO Bespoke'!H200,'CDO Bespoke'!F200,'CDO Bespoke'!$C$13,'CDO Bespoke'!$C$14,'CDO Bespoke'!$C$15,'CDO Bespoke'!$C$8,,,TRUE,TRUE,FALSE,'CDO Bespoke'!$C$29:'CDO Bespoke'!$C$31,'CDO Bespoke'!$C$33),{5})),"")</f>
        <v/>
      </c>
      <c r="S175" s="524" t="str" cm="1">
        <f t="array" aca="1" ref="S175" ca="1">IF($O175&lt;&gt;"",-TRANSPOSE(INDEX(getcds('CDO Bespoke'!$C200,S$13,'CDO Bespoke'!$G200/10000,'CDO Bespoke'!I200,'CDO Bespoke'!G200,'CDO Bespoke'!$C$13,'CDO Bespoke'!$C$14,'CDO Bespoke'!$C$15,'CDO Bespoke'!$C$8,,,TRUE,TRUE,FALSE,'CDO Bespoke'!$C$29:'CDO Bespoke'!$C$31,'CDO Bespoke'!$C$33),{5})),"")</f>
        <v/>
      </c>
      <c r="T175" s="514" t="str" cm="1">
        <f t="array" aca="1" ref="T175" ca="1">IF($O175&lt;&gt;"",-TRANSPOSE(INDEX(getcds('CDO Bespoke'!$C200,T$13,'CDO Bespoke'!$G200/10000,'CDO Bespoke'!J200,'CDO Bespoke'!H200,'CDO Bespoke'!$C$13,'CDO Bespoke'!$C$14,'CDO Bespoke'!$C$15,'CDO Bespoke'!$C$8,,,TRUE,TRUE,FALSE,'CDO Bespoke'!$C$29:'CDO Bespoke'!$C$31,'CDO Bespoke'!$C$33),{5})),"")</f>
        <v/>
      </c>
      <c r="U175" s="493"/>
      <c r="V175" s="513"/>
      <c r="W175" s="572"/>
      <c r="X175" s="572"/>
      <c r="Y175" s="572"/>
      <c r="Z175" s="572"/>
      <c r="AA175" s="572"/>
      <c r="AB175" s="572"/>
      <c r="AC175" s="572"/>
      <c r="AD175" s="572"/>
      <c r="AE175" s="514"/>
    </row>
    <row r="176" spans="6:31" s="281" customFormat="1" ht="12" thickBot="1">
      <c r="F176" s="501" t="str">
        <f ca="1">IF('CDO Bespoke'!O177&lt;&gt;"",'CDO Bespoke'!O177,"")</f>
        <v/>
      </c>
      <c r="G176" s="502" t="str">
        <f ca="1">IF(F176&lt;&gt;"",ABS(MIN(-0.75*('CDO Bespoke'!Q177+'CDO Bespoke'!T177)+'CDO Bespoke'!T177,0)),"")</f>
        <v/>
      </c>
      <c r="H176" s="502" t="str">
        <f t="shared" ca="1" si="8"/>
        <v/>
      </c>
      <c r="I176" s="502" t="str">
        <f t="shared" ca="1" si="11"/>
        <v/>
      </c>
      <c r="J176" s="501" t="str">
        <f ca="1">IF('CDO Bespoke'!O177&lt;&gt;"",'CDO Bespoke'!O177,"")</f>
        <v/>
      </c>
      <c r="K176" s="502" t="str">
        <f ca="1">IF(J176&lt;&gt;"",ABS(MIN(-0.75*('CDO Bespoke'!K177+'CDO Bespoke'!T177)+'CDO Bespoke'!T177,0)),"")</f>
        <v/>
      </c>
      <c r="L176" s="502" t="str">
        <f t="shared" ca="1" si="9"/>
        <v/>
      </c>
      <c r="M176" s="506" t="str">
        <f t="shared" ca="1" si="10"/>
        <v/>
      </c>
      <c r="O176" s="511" t="str">
        <f ca="1">IF('CDO Bespoke'!C201&lt;&gt;"",'CDO Bespoke'!C201,"")</f>
        <v/>
      </c>
      <c r="P176" s="513" t="str" cm="1">
        <f t="array" aca="1" ref="P176" ca="1">IF($O176&lt;&gt;"",-TRANSPOSE(INDEX(getcds('CDO Bespoke'!$C201,P$13,'CDO Bespoke'!$G201/10000,'CDO Bespoke'!F201,'CDO Bespoke'!D201,'CDO Bespoke'!$C$13,'CDO Bespoke'!$C$14,'CDO Bespoke'!$C$15,'CDO Bespoke'!$C$8,,,TRUE,TRUE,FALSE,'CDO Bespoke'!$C$29:'CDO Bespoke'!$C$31,'CDO Bespoke'!$C$33),{5})),"")</f>
        <v/>
      </c>
      <c r="Q176" s="524" t="str" cm="1">
        <f t="array" aca="1" ref="Q176" ca="1">IF($O176&lt;&gt;"",-TRANSPOSE(INDEX(getcds('CDO Bespoke'!$C201,Q$13,'CDO Bespoke'!$G201/10000,'CDO Bespoke'!G201,'CDO Bespoke'!E201,'CDO Bespoke'!$C$13,'CDO Bespoke'!$C$14,'CDO Bespoke'!$C$15,'CDO Bespoke'!$C$8,,,TRUE,TRUE,FALSE,'CDO Bespoke'!$C$29:'CDO Bespoke'!$C$31,'CDO Bespoke'!$C$33),{5})),"")</f>
        <v/>
      </c>
      <c r="R176" s="524" t="str" cm="1">
        <f t="array" aca="1" ref="R176" ca="1">IF($O176&lt;&gt;"",-TRANSPOSE(INDEX(getcds('CDO Bespoke'!$C201,R$13,'CDO Bespoke'!$G201/10000,'CDO Bespoke'!H201,'CDO Bespoke'!F201,'CDO Bespoke'!$C$13,'CDO Bespoke'!$C$14,'CDO Bespoke'!$C$15,'CDO Bespoke'!$C$8,,,TRUE,TRUE,FALSE,'CDO Bespoke'!$C$29:'CDO Bespoke'!$C$31,'CDO Bespoke'!$C$33),{5})),"")</f>
        <v/>
      </c>
      <c r="S176" s="524" t="str" cm="1">
        <f t="array" aca="1" ref="S176" ca="1">IF($O176&lt;&gt;"",-TRANSPOSE(INDEX(getcds('CDO Bespoke'!$C201,S$13,'CDO Bespoke'!$G201/10000,'CDO Bespoke'!I201,'CDO Bespoke'!G201,'CDO Bespoke'!$C$13,'CDO Bespoke'!$C$14,'CDO Bespoke'!$C$15,'CDO Bespoke'!$C$8,,,TRUE,TRUE,FALSE,'CDO Bespoke'!$C$29:'CDO Bespoke'!$C$31,'CDO Bespoke'!$C$33),{5})),"")</f>
        <v/>
      </c>
      <c r="T176" s="514" t="str" cm="1">
        <f t="array" aca="1" ref="T176" ca="1">IF($O176&lt;&gt;"",-TRANSPOSE(INDEX(getcds('CDO Bespoke'!$C201,T$13,'CDO Bespoke'!$G201/10000,'CDO Bespoke'!J201,'CDO Bespoke'!H201,'CDO Bespoke'!$C$13,'CDO Bespoke'!$C$14,'CDO Bespoke'!$C$15,'CDO Bespoke'!$C$8,,,TRUE,TRUE,FALSE,'CDO Bespoke'!$C$29:'CDO Bespoke'!$C$31,'CDO Bespoke'!$C$33),{5})),"")</f>
        <v/>
      </c>
      <c r="U176" s="493"/>
      <c r="V176" s="513"/>
      <c r="W176" s="572"/>
      <c r="X176" s="572"/>
      <c r="Y176" s="572"/>
      <c r="Z176" s="572"/>
      <c r="AA176" s="572"/>
      <c r="AB176" s="572"/>
      <c r="AC176" s="572"/>
      <c r="AD176" s="572"/>
      <c r="AE176" s="514"/>
    </row>
    <row r="177" spans="6:31" s="281" customFormat="1" ht="12" thickBot="1">
      <c r="F177" s="501" t="str">
        <f ca="1">IF('CDO Bespoke'!O178&lt;&gt;"",'CDO Bespoke'!O178,"")</f>
        <v/>
      </c>
      <c r="G177" s="502" t="str">
        <f ca="1">IF(F177&lt;&gt;"",ABS(MIN(-0.75*('CDO Bespoke'!Q178+'CDO Bespoke'!T178)+'CDO Bespoke'!T178,0)),"")</f>
        <v/>
      </c>
      <c r="H177" s="502" t="str">
        <f t="shared" ca="1" si="8"/>
        <v/>
      </c>
      <c r="I177" s="502" t="str">
        <f t="shared" ca="1" si="11"/>
        <v/>
      </c>
      <c r="J177" s="501" t="str">
        <f ca="1">IF('CDO Bespoke'!O178&lt;&gt;"",'CDO Bespoke'!O178,"")</f>
        <v/>
      </c>
      <c r="K177" s="502" t="str">
        <f ca="1">IF(J177&lt;&gt;"",ABS(MIN(-0.75*('CDO Bespoke'!K178+'CDO Bespoke'!T178)+'CDO Bespoke'!T178,0)),"")</f>
        <v/>
      </c>
      <c r="L177" s="502" t="str">
        <f t="shared" ca="1" si="9"/>
        <v/>
      </c>
      <c r="M177" s="506" t="str">
        <f t="shared" ca="1" si="10"/>
        <v/>
      </c>
      <c r="O177" s="511" t="str">
        <f ca="1">IF('CDO Bespoke'!C202&lt;&gt;"",'CDO Bespoke'!C202,"")</f>
        <v/>
      </c>
      <c r="P177" s="513" t="str" cm="1">
        <f t="array" aca="1" ref="P177" ca="1">IF($O177&lt;&gt;"",-TRANSPOSE(INDEX(getcds('CDO Bespoke'!$C202,P$13,'CDO Bespoke'!$G202/10000,'CDO Bespoke'!F202,'CDO Bespoke'!D202,'CDO Bespoke'!$C$13,'CDO Bespoke'!$C$14,'CDO Bespoke'!$C$15,'CDO Bespoke'!$C$8,,,TRUE,TRUE,FALSE,'CDO Bespoke'!$C$29:'CDO Bespoke'!$C$31,'CDO Bespoke'!$C$33),{5})),"")</f>
        <v/>
      </c>
      <c r="Q177" s="524" t="str" cm="1">
        <f t="array" aca="1" ref="Q177" ca="1">IF($O177&lt;&gt;"",-TRANSPOSE(INDEX(getcds('CDO Bespoke'!$C202,Q$13,'CDO Bespoke'!$G202/10000,'CDO Bespoke'!G202,'CDO Bespoke'!E202,'CDO Bespoke'!$C$13,'CDO Bespoke'!$C$14,'CDO Bespoke'!$C$15,'CDO Bespoke'!$C$8,,,TRUE,TRUE,FALSE,'CDO Bespoke'!$C$29:'CDO Bespoke'!$C$31,'CDO Bespoke'!$C$33),{5})),"")</f>
        <v/>
      </c>
      <c r="R177" s="524" t="str" cm="1">
        <f t="array" aca="1" ref="R177" ca="1">IF($O177&lt;&gt;"",-TRANSPOSE(INDEX(getcds('CDO Bespoke'!$C202,R$13,'CDO Bespoke'!$G202/10000,'CDO Bespoke'!H202,'CDO Bespoke'!F202,'CDO Bespoke'!$C$13,'CDO Bespoke'!$C$14,'CDO Bespoke'!$C$15,'CDO Bespoke'!$C$8,,,TRUE,TRUE,FALSE,'CDO Bespoke'!$C$29:'CDO Bespoke'!$C$31,'CDO Bespoke'!$C$33),{5})),"")</f>
        <v/>
      </c>
      <c r="S177" s="524" t="str" cm="1">
        <f t="array" aca="1" ref="S177" ca="1">IF($O177&lt;&gt;"",-TRANSPOSE(INDEX(getcds('CDO Bespoke'!$C202,S$13,'CDO Bespoke'!$G202/10000,'CDO Bespoke'!I202,'CDO Bespoke'!G202,'CDO Bespoke'!$C$13,'CDO Bespoke'!$C$14,'CDO Bespoke'!$C$15,'CDO Bespoke'!$C$8,,,TRUE,TRUE,FALSE,'CDO Bespoke'!$C$29:'CDO Bespoke'!$C$31,'CDO Bespoke'!$C$33),{5})),"")</f>
        <v/>
      </c>
      <c r="T177" s="514" t="str" cm="1">
        <f t="array" aca="1" ref="T177" ca="1">IF($O177&lt;&gt;"",-TRANSPOSE(INDEX(getcds('CDO Bespoke'!$C202,T$13,'CDO Bespoke'!$G202/10000,'CDO Bespoke'!J202,'CDO Bespoke'!H202,'CDO Bespoke'!$C$13,'CDO Bespoke'!$C$14,'CDO Bespoke'!$C$15,'CDO Bespoke'!$C$8,,,TRUE,TRUE,FALSE,'CDO Bespoke'!$C$29:'CDO Bespoke'!$C$31,'CDO Bespoke'!$C$33),{5})),"")</f>
        <v/>
      </c>
      <c r="U177" s="493"/>
      <c r="V177" s="513"/>
      <c r="W177" s="572"/>
      <c r="X177" s="572"/>
      <c r="Y177" s="572"/>
      <c r="Z177" s="572"/>
      <c r="AA177" s="572"/>
      <c r="AB177" s="572"/>
      <c r="AC177" s="572"/>
      <c r="AD177" s="572"/>
      <c r="AE177" s="514"/>
    </row>
    <row r="178" spans="6:31" s="281" customFormat="1" ht="12" thickBot="1">
      <c r="F178" s="501" t="str">
        <f ca="1">IF('CDO Bespoke'!O179&lt;&gt;"",'CDO Bespoke'!O179,"")</f>
        <v/>
      </c>
      <c r="G178" s="502" t="str">
        <f ca="1">IF(F178&lt;&gt;"",ABS(MIN(-0.75*('CDO Bespoke'!Q179+'CDO Bespoke'!T179)+'CDO Bespoke'!T179,0)),"")</f>
        <v/>
      </c>
      <c r="H178" s="502" t="str">
        <f t="shared" ca="1" si="8"/>
        <v/>
      </c>
      <c r="I178" s="502" t="str">
        <f t="shared" ca="1" si="11"/>
        <v/>
      </c>
      <c r="J178" s="501" t="str">
        <f ca="1">IF('CDO Bespoke'!O179&lt;&gt;"",'CDO Bespoke'!O179,"")</f>
        <v/>
      </c>
      <c r="K178" s="502" t="str">
        <f ca="1">IF(J178&lt;&gt;"",ABS(MIN(-0.75*('CDO Bespoke'!K179+'CDO Bespoke'!T179)+'CDO Bespoke'!T179,0)),"")</f>
        <v/>
      </c>
      <c r="L178" s="502" t="str">
        <f t="shared" ca="1" si="9"/>
        <v/>
      </c>
      <c r="M178" s="506" t="str">
        <f t="shared" ca="1" si="10"/>
        <v/>
      </c>
      <c r="O178" s="511" t="str">
        <f ca="1">IF('CDO Bespoke'!C203&lt;&gt;"",'CDO Bespoke'!C203,"")</f>
        <v/>
      </c>
      <c r="P178" s="513" t="str" cm="1">
        <f t="array" aca="1" ref="P178" ca="1">IF($O178&lt;&gt;"",-TRANSPOSE(INDEX(getcds('CDO Bespoke'!$C203,P$13,'CDO Bespoke'!$G203/10000,'CDO Bespoke'!F203,'CDO Bespoke'!D203,'CDO Bespoke'!$C$13,'CDO Bespoke'!$C$14,'CDO Bespoke'!$C$15,'CDO Bespoke'!$C$8,,,TRUE,TRUE,FALSE,'CDO Bespoke'!$C$29:'CDO Bespoke'!$C$31,'CDO Bespoke'!$C$33),{5})),"")</f>
        <v/>
      </c>
      <c r="Q178" s="524" t="str" cm="1">
        <f t="array" aca="1" ref="Q178" ca="1">IF($O178&lt;&gt;"",-TRANSPOSE(INDEX(getcds('CDO Bespoke'!$C203,Q$13,'CDO Bespoke'!$G203/10000,'CDO Bespoke'!G203,'CDO Bespoke'!E203,'CDO Bespoke'!$C$13,'CDO Bespoke'!$C$14,'CDO Bespoke'!$C$15,'CDO Bespoke'!$C$8,,,TRUE,TRUE,FALSE,'CDO Bespoke'!$C$29:'CDO Bespoke'!$C$31,'CDO Bespoke'!$C$33),{5})),"")</f>
        <v/>
      </c>
      <c r="R178" s="524" t="str" cm="1">
        <f t="array" aca="1" ref="R178" ca="1">IF($O178&lt;&gt;"",-TRANSPOSE(INDEX(getcds('CDO Bespoke'!$C203,R$13,'CDO Bespoke'!$G203/10000,'CDO Bespoke'!H203,'CDO Bespoke'!F203,'CDO Bespoke'!$C$13,'CDO Bespoke'!$C$14,'CDO Bespoke'!$C$15,'CDO Bespoke'!$C$8,,,TRUE,TRUE,FALSE,'CDO Bespoke'!$C$29:'CDO Bespoke'!$C$31,'CDO Bespoke'!$C$33),{5})),"")</f>
        <v/>
      </c>
      <c r="S178" s="524" t="str" cm="1">
        <f t="array" aca="1" ref="S178" ca="1">IF($O178&lt;&gt;"",-TRANSPOSE(INDEX(getcds('CDO Bespoke'!$C203,S$13,'CDO Bespoke'!$G203/10000,'CDO Bespoke'!I203,'CDO Bespoke'!G203,'CDO Bespoke'!$C$13,'CDO Bespoke'!$C$14,'CDO Bespoke'!$C$15,'CDO Bespoke'!$C$8,,,TRUE,TRUE,FALSE,'CDO Bespoke'!$C$29:'CDO Bespoke'!$C$31,'CDO Bespoke'!$C$33),{5})),"")</f>
        <v/>
      </c>
      <c r="T178" s="514" t="str" cm="1">
        <f t="array" aca="1" ref="T178" ca="1">IF($O178&lt;&gt;"",-TRANSPOSE(INDEX(getcds('CDO Bespoke'!$C203,T$13,'CDO Bespoke'!$G203/10000,'CDO Bespoke'!J203,'CDO Bespoke'!H203,'CDO Bespoke'!$C$13,'CDO Bespoke'!$C$14,'CDO Bespoke'!$C$15,'CDO Bespoke'!$C$8,,,TRUE,TRUE,FALSE,'CDO Bespoke'!$C$29:'CDO Bespoke'!$C$31,'CDO Bespoke'!$C$33),{5})),"")</f>
        <v/>
      </c>
      <c r="U178" s="493"/>
      <c r="V178" s="513"/>
      <c r="W178" s="572"/>
      <c r="X178" s="572"/>
      <c r="Y178" s="572"/>
      <c r="Z178" s="572"/>
      <c r="AA178" s="572"/>
      <c r="AB178" s="572"/>
      <c r="AC178" s="572"/>
      <c r="AD178" s="572"/>
      <c r="AE178" s="514"/>
    </row>
    <row r="179" spans="6:31" s="281" customFormat="1" ht="12" thickBot="1">
      <c r="F179" s="501" t="str">
        <f ca="1">IF('CDO Bespoke'!O180&lt;&gt;"",'CDO Bespoke'!O180,"")</f>
        <v/>
      </c>
      <c r="G179" s="502" t="str">
        <f ca="1">IF(F179&lt;&gt;"",ABS(MIN(-0.75*('CDO Bespoke'!Q180+'CDO Bespoke'!T180)+'CDO Bespoke'!T180,0)),"")</f>
        <v/>
      </c>
      <c r="H179" s="502" t="str">
        <f t="shared" ca="1" si="8"/>
        <v/>
      </c>
      <c r="I179" s="502" t="str">
        <f t="shared" ca="1" si="11"/>
        <v/>
      </c>
      <c r="J179" s="501" t="str">
        <f ca="1">IF('CDO Bespoke'!O180&lt;&gt;"",'CDO Bespoke'!O180,"")</f>
        <v/>
      </c>
      <c r="K179" s="502" t="str">
        <f ca="1">IF(J179&lt;&gt;"",ABS(MIN(-0.75*('CDO Bespoke'!K180+'CDO Bespoke'!T180)+'CDO Bespoke'!T180,0)),"")</f>
        <v/>
      </c>
      <c r="L179" s="502" t="str">
        <f t="shared" ca="1" si="9"/>
        <v/>
      </c>
      <c r="M179" s="506" t="str">
        <f t="shared" ca="1" si="10"/>
        <v/>
      </c>
      <c r="O179" s="511" t="str">
        <f ca="1">IF('CDO Bespoke'!C204&lt;&gt;"",'CDO Bespoke'!C204,"")</f>
        <v/>
      </c>
      <c r="P179" s="513" t="str" cm="1">
        <f t="array" aca="1" ref="P179" ca="1">IF($O179&lt;&gt;"",-TRANSPOSE(INDEX(getcds('CDO Bespoke'!$C204,P$13,'CDO Bespoke'!$G204/10000,'CDO Bespoke'!F204,'CDO Bespoke'!D204,'CDO Bespoke'!$C$13,'CDO Bespoke'!$C$14,'CDO Bespoke'!$C$15,'CDO Bespoke'!$C$8,,,TRUE,TRUE,FALSE,'CDO Bespoke'!$C$29:'CDO Bespoke'!$C$31,'CDO Bespoke'!$C$33),{5})),"")</f>
        <v/>
      </c>
      <c r="Q179" s="524" t="str" cm="1">
        <f t="array" aca="1" ref="Q179" ca="1">IF($O179&lt;&gt;"",-TRANSPOSE(INDEX(getcds('CDO Bespoke'!$C204,Q$13,'CDO Bespoke'!$G204/10000,'CDO Bespoke'!G204,'CDO Bespoke'!E204,'CDO Bespoke'!$C$13,'CDO Bespoke'!$C$14,'CDO Bespoke'!$C$15,'CDO Bespoke'!$C$8,,,TRUE,TRUE,FALSE,'CDO Bespoke'!$C$29:'CDO Bespoke'!$C$31,'CDO Bespoke'!$C$33),{5})),"")</f>
        <v/>
      </c>
      <c r="R179" s="524" t="str" cm="1">
        <f t="array" aca="1" ref="R179" ca="1">IF($O179&lt;&gt;"",-TRANSPOSE(INDEX(getcds('CDO Bespoke'!$C204,R$13,'CDO Bespoke'!$G204/10000,'CDO Bespoke'!H204,'CDO Bespoke'!F204,'CDO Bespoke'!$C$13,'CDO Bespoke'!$C$14,'CDO Bespoke'!$C$15,'CDO Bespoke'!$C$8,,,TRUE,TRUE,FALSE,'CDO Bespoke'!$C$29:'CDO Bespoke'!$C$31,'CDO Bespoke'!$C$33),{5})),"")</f>
        <v/>
      </c>
      <c r="S179" s="524" t="str" cm="1">
        <f t="array" aca="1" ref="S179" ca="1">IF($O179&lt;&gt;"",-TRANSPOSE(INDEX(getcds('CDO Bespoke'!$C204,S$13,'CDO Bespoke'!$G204/10000,'CDO Bespoke'!I204,'CDO Bespoke'!G204,'CDO Bespoke'!$C$13,'CDO Bespoke'!$C$14,'CDO Bespoke'!$C$15,'CDO Bespoke'!$C$8,,,TRUE,TRUE,FALSE,'CDO Bespoke'!$C$29:'CDO Bespoke'!$C$31,'CDO Bespoke'!$C$33),{5})),"")</f>
        <v/>
      </c>
      <c r="T179" s="514" t="str" cm="1">
        <f t="array" aca="1" ref="T179" ca="1">IF($O179&lt;&gt;"",-TRANSPOSE(INDEX(getcds('CDO Bespoke'!$C204,T$13,'CDO Bespoke'!$G204/10000,'CDO Bespoke'!J204,'CDO Bespoke'!H204,'CDO Bespoke'!$C$13,'CDO Bespoke'!$C$14,'CDO Bespoke'!$C$15,'CDO Bespoke'!$C$8,,,TRUE,TRUE,FALSE,'CDO Bespoke'!$C$29:'CDO Bespoke'!$C$31,'CDO Bespoke'!$C$33),{5})),"")</f>
        <v/>
      </c>
      <c r="U179" s="493"/>
      <c r="V179" s="513"/>
      <c r="W179" s="572"/>
      <c r="X179" s="572"/>
      <c r="Y179" s="572"/>
      <c r="Z179" s="572"/>
      <c r="AA179" s="572"/>
      <c r="AB179" s="572"/>
      <c r="AC179" s="572"/>
      <c r="AD179" s="572"/>
      <c r="AE179" s="514"/>
    </row>
    <row r="180" spans="6:31" s="281" customFormat="1" ht="12" thickBot="1">
      <c r="F180" s="501" t="str">
        <f ca="1">IF('CDO Bespoke'!O181&lt;&gt;"",'CDO Bespoke'!O181,"")</f>
        <v/>
      </c>
      <c r="G180" s="502" t="str">
        <f ca="1">IF(F180&lt;&gt;"",ABS(MIN(-0.75*('CDO Bespoke'!Q181+'CDO Bespoke'!T181)+'CDO Bespoke'!T181,0)),"")</f>
        <v/>
      </c>
      <c r="H180" s="502" t="str">
        <f t="shared" ca="1" si="8"/>
        <v/>
      </c>
      <c r="I180" s="502" t="str">
        <f t="shared" ca="1" si="11"/>
        <v/>
      </c>
      <c r="J180" s="501" t="str">
        <f ca="1">IF('CDO Bespoke'!O181&lt;&gt;"",'CDO Bespoke'!O181,"")</f>
        <v/>
      </c>
      <c r="K180" s="502" t="str">
        <f ca="1">IF(J180&lt;&gt;"",ABS(MIN(-0.75*('CDO Bespoke'!K181+'CDO Bespoke'!T181)+'CDO Bespoke'!T181,0)),"")</f>
        <v/>
      </c>
      <c r="L180" s="502" t="str">
        <f t="shared" ca="1" si="9"/>
        <v/>
      </c>
      <c r="M180" s="506" t="str">
        <f t="shared" ca="1" si="10"/>
        <v/>
      </c>
      <c r="O180" s="511" t="str">
        <f ca="1">IF('CDO Bespoke'!C205&lt;&gt;"",'CDO Bespoke'!C205,"")</f>
        <v/>
      </c>
      <c r="P180" s="513" t="str" cm="1">
        <f t="array" aca="1" ref="P180" ca="1">IF($O180&lt;&gt;"",-TRANSPOSE(INDEX(getcds('CDO Bespoke'!$C205,P$13,'CDO Bespoke'!$G205/10000,'CDO Bespoke'!F205,'CDO Bespoke'!D205,'CDO Bespoke'!$C$13,'CDO Bespoke'!$C$14,'CDO Bespoke'!$C$15,'CDO Bespoke'!$C$8,,,TRUE,TRUE,FALSE,'CDO Bespoke'!$C$29:'CDO Bespoke'!$C$31,'CDO Bespoke'!$C$33),{5})),"")</f>
        <v/>
      </c>
      <c r="Q180" s="524" t="str" cm="1">
        <f t="array" aca="1" ref="Q180" ca="1">IF($O180&lt;&gt;"",-TRANSPOSE(INDEX(getcds('CDO Bespoke'!$C205,Q$13,'CDO Bespoke'!$G205/10000,'CDO Bespoke'!G205,'CDO Bespoke'!E205,'CDO Bespoke'!$C$13,'CDO Bespoke'!$C$14,'CDO Bespoke'!$C$15,'CDO Bespoke'!$C$8,,,TRUE,TRUE,FALSE,'CDO Bespoke'!$C$29:'CDO Bespoke'!$C$31,'CDO Bespoke'!$C$33),{5})),"")</f>
        <v/>
      </c>
      <c r="R180" s="524" t="str" cm="1">
        <f t="array" aca="1" ref="R180" ca="1">IF($O180&lt;&gt;"",-TRANSPOSE(INDEX(getcds('CDO Bespoke'!$C205,R$13,'CDO Bespoke'!$G205/10000,'CDO Bespoke'!H205,'CDO Bespoke'!F205,'CDO Bespoke'!$C$13,'CDO Bespoke'!$C$14,'CDO Bespoke'!$C$15,'CDO Bespoke'!$C$8,,,TRUE,TRUE,FALSE,'CDO Bespoke'!$C$29:'CDO Bespoke'!$C$31,'CDO Bespoke'!$C$33),{5})),"")</f>
        <v/>
      </c>
      <c r="S180" s="524" t="str" cm="1">
        <f t="array" aca="1" ref="S180" ca="1">IF($O180&lt;&gt;"",-TRANSPOSE(INDEX(getcds('CDO Bespoke'!$C205,S$13,'CDO Bespoke'!$G205/10000,'CDO Bespoke'!I205,'CDO Bespoke'!G205,'CDO Bespoke'!$C$13,'CDO Bespoke'!$C$14,'CDO Bespoke'!$C$15,'CDO Bespoke'!$C$8,,,TRUE,TRUE,FALSE,'CDO Bespoke'!$C$29:'CDO Bespoke'!$C$31,'CDO Bespoke'!$C$33),{5})),"")</f>
        <v/>
      </c>
      <c r="T180" s="514" t="str" cm="1">
        <f t="array" aca="1" ref="T180" ca="1">IF($O180&lt;&gt;"",-TRANSPOSE(INDEX(getcds('CDO Bespoke'!$C205,T$13,'CDO Bespoke'!$G205/10000,'CDO Bespoke'!J205,'CDO Bespoke'!H205,'CDO Bespoke'!$C$13,'CDO Bespoke'!$C$14,'CDO Bespoke'!$C$15,'CDO Bespoke'!$C$8,,,TRUE,TRUE,FALSE,'CDO Bespoke'!$C$29:'CDO Bespoke'!$C$31,'CDO Bespoke'!$C$33),{5})),"")</f>
        <v/>
      </c>
      <c r="U180" s="493"/>
      <c r="V180" s="513"/>
      <c r="W180" s="572"/>
      <c r="X180" s="572"/>
      <c r="Y180" s="572"/>
      <c r="Z180" s="572"/>
      <c r="AA180" s="572"/>
      <c r="AB180" s="572"/>
      <c r="AC180" s="572"/>
      <c r="AD180" s="572"/>
      <c r="AE180" s="514"/>
    </row>
    <row r="181" spans="6:31" s="281" customFormat="1" ht="12" thickBot="1">
      <c r="F181" s="501" t="str">
        <f ca="1">IF('CDO Bespoke'!O182&lt;&gt;"",'CDO Bespoke'!O182,"")</f>
        <v/>
      </c>
      <c r="G181" s="502" t="str">
        <f ca="1">IF(F181&lt;&gt;"",ABS(MIN(-0.75*('CDO Bespoke'!Q182+'CDO Bespoke'!T182)+'CDO Bespoke'!T182,0)),"")</f>
        <v/>
      </c>
      <c r="H181" s="502" t="str">
        <f t="shared" ca="1" si="8"/>
        <v/>
      </c>
      <c r="I181" s="502" t="str">
        <f t="shared" ca="1" si="11"/>
        <v/>
      </c>
      <c r="J181" s="501" t="str">
        <f ca="1">IF('CDO Bespoke'!O182&lt;&gt;"",'CDO Bespoke'!O182,"")</f>
        <v/>
      </c>
      <c r="K181" s="502" t="str">
        <f ca="1">IF(J181&lt;&gt;"",ABS(MIN(-0.75*('CDO Bespoke'!K182+'CDO Bespoke'!T182)+'CDO Bespoke'!T182,0)),"")</f>
        <v/>
      </c>
      <c r="L181" s="502" t="str">
        <f t="shared" ca="1" si="9"/>
        <v/>
      </c>
      <c r="M181" s="506" t="str">
        <f t="shared" ca="1" si="10"/>
        <v/>
      </c>
      <c r="O181" s="511" t="str">
        <f ca="1">IF('CDO Bespoke'!C206&lt;&gt;"",'CDO Bespoke'!C206,"")</f>
        <v/>
      </c>
      <c r="P181" s="513" t="str" cm="1">
        <f t="array" aca="1" ref="P181" ca="1">IF($O181&lt;&gt;"",-TRANSPOSE(INDEX(getcds('CDO Bespoke'!$C206,P$13,'CDO Bespoke'!$G206/10000,'CDO Bespoke'!F206,'CDO Bespoke'!D206,'CDO Bespoke'!$C$13,'CDO Bespoke'!$C$14,'CDO Bespoke'!$C$15,'CDO Bespoke'!$C$8,,,TRUE,TRUE,FALSE,'CDO Bespoke'!$C$29:'CDO Bespoke'!$C$31,'CDO Bespoke'!$C$33),{5})),"")</f>
        <v/>
      </c>
      <c r="Q181" s="524" t="str" cm="1">
        <f t="array" aca="1" ref="Q181" ca="1">IF($O181&lt;&gt;"",-TRANSPOSE(INDEX(getcds('CDO Bespoke'!$C206,Q$13,'CDO Bespoke'!$G206/10000,'CDO Bespoke'!G206,'CDO Bespoke'!E206,'CDO Bespoke'!$C$13,'CDO Bespoke'!$C$14,'CDO Bespoke'!$C$15,'CDO Bespoke'!$C$8,,,TRUE,TRUE,FALSE,'CDO Bespoke'!$C$29:'CDO Bespoke'!$C$31,'CDO Bespoke'!$C$33),{5})),"")</f>
        <v/>
      </c>
      <c r="R181" s="524" t="str" cm="1">
        <f t="array" aca="1" ref="R181" ca="1">IF($O181&lt;&gt;"",-TRANSPOSE(INDEX(getcds('CDO Bespoke'!$C206,R$13,'CDO Bespoke'!$G206/10000,'CDO Bespoke'!H206,'CDO Bespoke'!F206,'CDO Bespoke'!$C$13,'CDO Bespoke'!$C$14,'CDO Bespoke'!$C$15,'CDO Bespoke'!$C$8,,,TRUE,TRUE,FALSE,'CDO Bespoke'!$C$29:'CDO Bespoke'!$C$31,'CDO Bespoke'!$C$33),{5})),"")</f>
        <v/>
      </c>
      <c r="S181" s="524" t="str" cm="1">
        <f t="array" aca="1" ref="S181" ca="1">IF($O181&lt;&gt;"",-TRANSPOSE(INDEX(getcds('CDO Bespoke'!$C206,S$13,'CDO Bespoke'!$G206/10000,'CDO Bespoke'!I206,'CDO Bespoke'!G206,'CDO Bespoke'!$C$13,'CDO Bespoke'!$C$14,'CDO Bespoke'!$C$15,'CDO Bespoke'!$C$8,,,TRUE,TRUE,FALSE,'CDO Bespoke'!$C$29:'CDO Bespoke'!$C$31,'CDO Bespoke'!$C$33),{5})),"")</f>
        <v/>
      </c>
      <c r="T181" s="514" t="str" cm="1">
        <f t="array" aca="1" ref="T181" ca="1">IF($O181&lt;&gt;"",-TRANSPOSE(INDEX(getcds('CDO Bespoke'!$C206,T$13,'CDO Bespoke'!$G206/10000,'CDO Bespoke'!J206,'CDO Bespoke'!H206,'CDO Bespoke'!$C$13,'CDO Bespoke'!$C$14,'CDO Bespoke'!$C$15,'CDO Bespoke'!$C$8,,,TRUE,TRUE,FALSE,'CDO Bespoke'!$C$29:'CDO Bespoke'!$C$31,'CDO Bespoke'!$C$33),{5})),"")</f>
        <v/>
      </c>
      <c r="U181" s="493"/>
      <c r="V181" s="513"/>
      <c r="W181" s="572"/>
      <c r="X181" s="572"/>
      <c r="Y181" s="572"/>
      <c r="Z181" s="572"/>
      <c r="AA181" s="572"/>
      <c r="AB181" s="572"/>
      <c r="AC181" s="572"/>
      <c r="AD181" s="572"/>
      <c r="AE181" s="514"/>
    </row>
    <row r="182" spans="6:31" s="281" customFormat="1" ht="12" thickBot="1">
      <c r="F182" s="501" t="str">
        <f ca="1">IF('CDO Bespoke'!O183&lt;&gt;"",'CDO Bespoke'!O183,"")</f>
        <v/>
      </c>
      <c r="G182" s="502" t="str">
        <f ca="1">IF(F182&lt;&gt;"",ABS(MIN(-0.75*('CDO Bespoke'!Q183+'CDO Bespoke'!T183)+'CDO Bespoke'!T183,0)),"")</f>
        <v/>
      </c>
      <c r="H182" s="502" t="str">
        <f t="shared" ca="1" si="8"/>
        <v/>
      </c>
      <c r="I182" s="502" t="str">
        <f t="shared" ca="1" si="11"/>
        <v/>
      </c>
      <c r="J182" s="501" t="str">
        <f ca="1">IF('CDO Bespoke'!O183&lt;&gt;"",'CDO Bespoke'!O183,"")</f>
        <v/>
      </c>
      <c r="K182" s="502" t="str">
        <f ca="1">IF(J182&lt;&gt;"",ABS(MIN(-0.75*('CDO Bespoke'!K183+'CDO Bespoke'!T183)+'CDO Bespoke'!T183,0)),"")</f>
        <v/>
      </c>
      <c r="L182" s="502" t="str">
        <f t="shared" ca="1" si="9"/>
        <v/>
      </c>
      <c r="M182" s="506" t="str">
        <f t="shared" ca="1" si="10"/>
        <v/>
      </c>
      <c r="O182" s="511" t="str">
        <f ca="1">IF('CDO Bespoke'!C207&lt;&gt;"",'CDO Bespoke'!C207,"")</f>
        <v/>
      </c>
      <c r="P182" s="513" t="str" cm="1">
        <f t="array" aca="1" ref="P182" ca="1">IF($O182&lt;&gt;"",-TRANSPOSE(INDEX(getcds('CDO Bespoke'!$C207,P$13,'CDO Bespoke'!$G207/10000,'CDO Bespoke'!F207,'CDO Bespoke'!D207,'CDO Bespoke'!$C$13,'CDO Bespoke'!$C$14,'CDO Bespoke'!$C$15,'CDO Bespoke'!$C$8,,,TRUE,TRUE,FALSE,'CDO Bespoke'!$C$29:'CDO Bespoke'!$C$31,'CDO Bespoke'!$C$33),{5})),"")</f>
        <v/>
      </c>
      <c r="Q182" s="524" t="str" cm="1">
        <f t="array" aca="1" ref="Q182" ca="1">IF($O182&lt;&gt;"",-TRANSPOSE(INDEX(getcds('CDO Bespoke'!$C207,Q$13,'CDO Bespoke'!$G207/10000,'CDO Bespoke'!G207,'CDO Bespoke'!E207,'CDO Bespoke'!$C$13,'CDO Bespoke'!$C$14,'CDO Bespoke'!$C$15,'CDO Bespoke'!$C$8,,,TRUE,TRUE,FALSE,'CDO Bespoke'!$C$29:'CDO Bespoke'!$C$31,'CDO Bespoke'!$C$33),{5})),"")</f>
        <v/>
      </c>
      <c r="R182" s="524" t="str" cm="1">
        <f t="array" aca="1" ref="R182" ca="1">IF($O182&lt;&gt;"",-TRANSPOSE(INDEX(getcds('CDO Bespoke'!$C207,R$13,'CDO Bespoke'!$G207/10000,'CDO Bespoke'!H207,'CDO Bespoke'!F207,'CDO Bespoke'!$C$13,'CDO Bespoke'!$C$14,'CDO Bespoke'!$C$15,'CDO Bespoke'!$C$8,,,TRUE,TRUE,FALSE,'CDO Bespoke'!$C$29:'CDO Bespoke'!$C$31,'CDO Bespoke'!$C$33),{5})),"")</f>
        <v/>
      </c>
      <c r="S182" s="524" t="str" cm="1">
        <f t="array" aca="1" ref="S182" ca="1">IF($O182&lt;&gt;"",-TRANSPOSE(INDEX(getcds('CDO Bespoke'!$C207,S$13,'CDO Bespoke'!$G207/10000,'CDO Bespoke'!I207,'CDO Bespoke'!G207,'CDO Bespoke'!$C$13,'CDO Bespoke'!$C$14,'CDO Bespoke'!$C$15,'CDO Bespoke'!$C$8,,,TRUE,TRUE,FALSE,'CDO Bespoke'!$C$29:'CDO Bespoke'!$C$31,'CDO Bespoke'!$C$33),{5})),"")</f>
        <v/>
      </c>
      <c r="T182" s="514" t="str" cm="1">
        <f t="array" aca="1" ref="T182" ca="1">IF($O182&lt;&gt;"",-TRANSPOSE(INDEX(getcds('CDO Bespoke'!$C207,T$13,'CDO Bespoke'!$G207/10000,'CDO Bespoke'!J207,'CDO Bespoke'!H207,'CDO Bespoke'!$C$13,'CDO Bespoke'!$C$14,'CDO Bespoke'!$C$15,'CDO Bespoke'!$C$8,,,TRUE,TRUE,FALSE,'CDO Bespoke'!$C$29:'CDO Bespoke'!$C$31,'CDO Bespoke'!$C$33),{5})),"")</f>
        <v/>
      </c>
      <c r="U182" s="493"/>
      <c r="V182" s="513"/>
      <c r="W182" s="572"/>
      <c r="X182" s="572"/>
      <c r="Y182" s="572"/>
      <c r="Z182" s="572"/>
      <c r="AA182" s="572"/>
      <c r="AB182" s="572"/>
      <c r="AC182" s="572"/>
      <c r="AD182" s="572"/>
      <c r="AE182" s="514"/>
    </row>
    <row r="183" spans="6:31" s="281" customFormat="1" ht="12" thickBot="1">
      <c r="F183" s="501" t="str">
        <f ca="1">IF('CDO Bespoke'!O184&lt;&gt;"",'CDO Bespoke'!O184,"")</f>
        <v/>
      </c>
      <c r="G183" s="502" t="str">
        <f ca="1">IF(F183&lt;&gt;"",ABS(MIN(-0.75*('CDO Bespoke'!Q184+'CDO Bespoke'!T184)+'CDO Bespoke'!T184,0)),"")</f>
        <v/>
      </c>
      <c r="H183" s="502" t="str">
        <f t="shared" ca="1" si="8"/>
        <v/>
      </c>
      <c r="I183" s="502" t="str">
        <f t="shared" ca="1" si="11"/>
        <v/>
      </c>
      <c r="J183" s="501" t="str">
        <f ca="1">IF('CDO Bespoke'!O184&lt;&gt;"",'CDO Bespoke'!O184,"")</f>
        <v/>
      </c>
      <c r="K183" s="502" t="str">
        <f ca="1">IF(J183&lt;&gt;"",ABS(MIN(-0.75*('CDO Bespoke'!K184+'CDO Bespoke'!T184)+'CDO Bespoke'!T184,0)),"")</f>
        <v/>
      </c>
      <c r="L183" s="502" t="str">
        <f t="shared" ca="1" si="9"/>
        <v/>
      </c>
      <c r="M183" s="506" t="str">
        <f t="shared" ca="1" si="10"/>
        <v/>
      </c>
      <c r="O183" s="511" t="str">
        <f ca="1">IF('CDO Bespoke'!C208&lt;&gt;"",'CDO Bespoke'!C208,"")</f>
        <v/>
      </c>
      <c r="P183" s="513" t="str" cm="1">
        <f t="array" aca="1" ref="P183" ca="1">IF($O183&lt;&gt;"",-TRANSPOSE(INDEX(getcds('CDO Bespoke'!$C208,P$13,'CDO Bespoke'!$G208/10000,'CDO Bespoke'!F208,'CDO Bespoke'!D208,'CDO Bespoke'!$C$13,'CDO Bespoke'!$C$14,'CDO Bespoke'!$C$15,'CDO Bespoke'!$C$8,,,TRUE,TRUE,FALSE,'CDO Bespoke'!$C$29:'CDO Bespoke'!$C$31,'CDO Bespoke'!$C$33),{5})),"")</f>
        <v/>
      </c>
      <c r="Q183" s="524" t="str" cm="1">
        <f t="array" aca="1" ref="Q183" ca="1">IF($O183&lt;&gt;"",-TRANSPOSE(INDEX(getcds('CDO Bespoke'!$C208,Q$13,'CDO Bespoke'!$G208/10000,'CDO Bespoke'!G208,'CDO Bespoke'!E208,'CDO Bespoke'!$C$13,'CDO Bespoke'!$C$14,'CDO Bespoke'!$C$15,'CDO Bespoke'!$C$8,,,TRUE,TRUE,FALSE,'CDO Bespoke'!$C$29:'CDO Bespoke'!$C$31,'CDO Bespoke'!$C$33),{5})),"")</f>
        <v/>
      </c>
      <c r="R183" s="524" t="str" cm="1">
        <f t="array" aca="1" ref="R183" ca="1">IF($O183&lt;&gt;"",-TRANSPOSE(INDEX(getcds('CDO Bespoke'!$C208,R$13,'CDO Bespoke'!$G208/10000,'CDO Bespoke'!H208,'CDO Bespoke'!F208,'CDO Bespoke'!$C$13,'CDO Bespoke'!$C$14,'CDO Bespoke'!$C$15,'CDO Bespoke'!$C$8,,,TRUE,TRUE,FALSE,'CDO Bespoke'!$C$29:'CDO Bespoke'!$C$31,'CDO Bespoke'!$C$33),{5})),"")</f>
        <v/>
      </c>
      <c r="S183" s="524" t="str" cm="1">
        <f t="array" aca="1" ref="S183" ca="1">IF($O183&lt;&gt;"",-TRANSPOSE(INDEX(getcds('CDO Bespoke'!$C208,S$13,'CDO Bespoke'!$G208/10000,'CDO Bespoke'!I208,'CDO Bespoke'!G208,'CDO Bespoke'!$C$13,'CDO Bespoke'!$C$14,'CDO Bespoke'!$C$15,'CDO Bespoke'!$C$8,,,TRUE,TRUE,FALSE,'CDO Bespoke'!$C$29:'CDO Bespoke'!$C$31,'CDO Bespoke'!$C$33),{5})),"")</f>
        <v/>
      </c>
      <c r="T183" s="514" t="str" cm="1">
        <f t="array" aca="1" ref="T183" ca="1">IF($O183&lt;&gt;"",-TRANSPOSE(INDEX(getcds('CDO Bespoke'!$C208,T$13,'CDO Bespoke'!$G208/10000,'CDO Bespoke'!J208,'CDO Bespoke'!H208,'CDO Bespoke'!$C$13,'CDO Bespoke'!$C$14,'CDO Bespoke'!$C$15,'CDO Bespoke'!$C$8,,,TRUE,TRUE,FALSE,'CDO Bespoke'!$C$29:'CDO Bespoke'!$C$31,'CDO Bespoke'!$C$33),{5})),"")</f>
        <v/>
      </c>
      <c r="U183" s="493"/>
      <c r="V183" s="513"/>
      <c r="W183" s="572"/>
      <c r="X183" s="572"/>
      <c r="Y183" s="572"/>
      <c r="Z183" s="572"/>
      <c r="AA183" s="572"/>
      <c r="AB183" s="572"/>
      <c r="AC183" s="572"/>
      <c r="AD183" s="572"/>
      <c r="AE183" s="514"/>
    </row>
    <row r="184" spans="6:31" s="281" customFormat="1" ht="12" thickBot="1">
      <c r="F184" s="501" t="str">
        <f ca="1">IF('CDO Bespoke'!O185&lt;&gt;"",'CDO Bespoke'!O185,"")</f>
        <v/>
      </c>
      <c r="G184" s="502" t="str">
        <f ca="1">IF(F184&lt;&gt;"",ABS(MIN(-0.75*('CDO Bespoke'!Q185+'CDO Bespoke'!T185)+'CDO Bespoke'!T185,0)),"")</f>
        <v/>
      </c>
      <c r="H184" s="502" t="str">
        <f t="shared" ca="1" si="8"/>
        <v/>
      </c>
      <c r="I184" s="502" t="str">
        <f t="shared" ca="1" si="11"/>
        <v/>
      </c>
      <c r="J184" s="501" t="str">
        <f ca="1">IF('CDO Bespoke'!O185&lt;&gt;"",'CDO Bespoke'!O185,"")</f>
        <v/>
      </c>
      <c r="K184" s="502" t="str">
        <f ca="1">IF(J184&lt;&gt;"",ABS(MIN(-0.75*('CDO Bespoke'!K185+'CDO Bespoke'!T185)+'CDO Bespoke'!T185,0)),"")</f>
        <v/>
      </c>
      <c r="L184" s="502" t="str">
        <f t="shared" ca="1" si="9"/>
        <v/>
      </c>
      <c r="M184" s="506" t="str">
        <f t="shared" ca="1" si="10"/>
        <v/>
      </c>
      <c r="O184" s="511" t="str">
        <f ca="1">IF('CDO Bespoke'!C209&lt;&gt;"",'CDO Bespoke'!C209,"")</f>
        <v/>
      </c>
      <c r="P184" s="513" t="str" cm="1">
        <f t="array" aca="1" ref="P184" ca="1">IF($O184&lt;&gt;"",-TRANSPOSE(INDEX(getcds('CDO Bespoke'!$C209,P$13,'CDO Bespoke'!$G209/10000,'CDO Bespoke'!F209,'CDO Bespoke'!D209,'CDO Bespoke'!$C$13,'CDO Bespoke'!$C$14,'CDO Bespoke'!$C$15,'CDO Bespoke'!$C$8,,,TRUE,TRUE,FALSE,'CDO Bespoke'!$C$29:'CDO Bespoke'!$C$31,'CDO Bespoke'!$C$33),{5})),"")</f>
        <v/>
      </c>
      <c r="Q184" s="524" t="str" cm="1">
        <f t="array" aca="1" ref="Q184" ca="1">IF($O184&lt;&gt;"",-TRANSPOSE(INDEX(getcds('CDO Bespoke'!$C209,Q$13,'CDO Bespoke'!$G209/10000,'CDO Bespoke'!G209,'CDO Bespoke'!E209,'CDO Bespoke'!$C$13,'CDO Bespoke'!$C$14,'CDO Bespoke'!$C$15,'CDO Bespoke'!$C$8,,,TRUE,TRUE,FALSE,'CDO Bespoke'!$C$29:'CDO Bespoke'!$C$31,'CDO Bespoke'!$C$33),{5})),"")</f>
        <v/>
      </c>
      <c r="R184" s="524" t="str" cm="1">
        <f t="array" aca="1" ref="R184" ca="1">IF($O184&lt;&gt;"",-TRANSPOSE(INDEX(getcds('CDO Bespoke'!$C209,R$13,'CDO Bespoke'!$G209/10000,'CDO Bespoke'!H209,'CDO Bespoke'!F209,'CDO Bespoke'!$C$13,'CDO Bespoke'!$C$14,'CDO Bespoke'!$C$15,'CDO Bespoke'!$C$8,,,TRUE,TRUE,FALSE,'CDO Bespoke'!$C$29:'CDO Bespoke'!$C$31,'CDO Bespoke'!$C$33),{5})),"")</f>
        <v/>
      </c>
      <c r="S184" s="524" t="str" cm="1">
        <f t="array" aca="1" ref="S184" ca="1">IF($O184&lt;&gt;"",-TRANSPOSE(INDEX(getcds('CDO Bespoke'!$C209,S$13,'CDO Bespoke'!$G209/10000,'CDO Bespoke'!I209,'CDO Bespoke'!G209,'CDO Bespoke'!$C$13,'CDO Bespoke'!$C$14,'CDO Bespoke'!$C$15,'CDO Bespoke'!$C$8,,,TRUE,TRUE,FALSE,'CDO Bespoke'!$C$29:'CDO Bespoke'!$C$31,'CDO Bespoke'!$C$33),{5})),"")</f>
        <v/>
      </c>
      <c r="T184" s="514" t="str" cm="1">
        <f t="array" aca="1" ref="T184" ca="1">IF($O184&lt;&gt;"",-TRANSPOSE(INDEX(getcds('CDO Bespoke'!$C209,T$13,'CDO Bespoke'!$G209/10000,'CDO Bespoke'!J209,'CDO Bespoke'!H209,'CDO Bespoke'!$C$13,'CDO Bespoke'!$C$14,'CDO Bespoke'!$C$15,'CDO Bespoke'!$C$8,,,TRUE,TRUE,FALSE,'CDO Bespoke'!$C$29:'CDO Bespoke'!$C$31,'CDO Bespoke'!$C$33),{5})),"")</f>
        <v/>
      </c>
      <c r="U184" s="493"/>
      <c r="V184" s="513"/>
      <c r="W184" s="572"/>
      <c r="X184" s="572"/>
      <c r="Y184" s="572"/>
      <c r="Z184" s="572"/>
      <c r="AA184" s="572"/>
      <c r="AB184" s="572"/>
      <c r="AC184" s="572"/>
      <c r="AD184" s="572"/>
      <c r="AE184" s="514"/>
    </row>
    <row r="185" spans="6:31" s="281" customFormat="1" ht="12" thickBot="1">
      <c r="F185" s="501" t="str">
        <f ca="1">IF('CDO Bespoke'!O186&lt;&gt;"",'CDO Bespoke'!O186,"")</f>
        <v/>
      </c>
      <c r="G185" s="502" t="str">
        <f ca="1">IF(F185&lt;&gt;"",ABS(MIN(-0.75*('CDO Bespoke'!Q186+'CDO Bespoke'!T186)+'CDO Bespoke'!T186,0)),"")</f>
        <v/>
      </c>
      <c r="H185" s="502" t="str">
        <f t="shared" ca="1" si="8"/>
        <v/>
      </c>
      <c r="I185" s="502" t="str">
        <f t="shared" ca="1" si="11"/>
        <v/>
      </c>
      <c r="J185" s="501" t="str">
        <f ca="1">IF('CDO Bespoke'!O186&lt;&gt;"",'CDO Bespoke'!O186,"")</f>
        <v/>
      </c>
      <c r="K185" s="502" t="str">
        <f ca="1">IF(J185&lt;&gt;"",ABS(MIN(-0.75*('CDO Bespoke'!K186+'CDO Bespoke'!T186)+'CDO Bespoke'!T186,0)),"")</f>
        <v/>
      </c>
      <c r="L185" s="502" t="str">
        <f t="shared" ca="1" si="9"/>
        <v/>
      </c>
      <c r="M185" s="506" t="str">
        <f t="shared" ca="1" si="10"/>
        <v/>
      </c>
      <c r="O185" s="511" t="str">
        <f ca="1">IF('CDO Bespoke'!C210&lt;&gt;"",'CDO Bespoke'!C210,"")</f>
        <v/>
      </c>
      <c r="P185" s="513" t="str" cm="1">
        <f t="array" aca="1" ref="P185" ca="1">IF($O185&lt;&gt;"",-TRANSPOSE(INDEX(getcds('CDO Bespoke'!$C210,P$13,'CDO Bespoke'!$G210/10000,'CDO Bespoke'!F210,'CDO Bespoke'!D210,'CDO Bespoke'!$C$13,'CDO Bespoke'!$C$14,'CDO Bespoke'!$C$15,'CDO Bespoke'!$C$8,,,TRUE,TRUE,FALSE,'CDO Bespoke'!$C$29:'CDO Bespoke'!$C$31,'CDO Bespoke'!$C$33),{5})),"")</f>
        <v/>
      </c>
      <c r="Q185" s="524" t="str" cm="1">
        <f t="array" aca="1" ref="Q185" ca="1">IF($O185&lt;&gt;"",-TRANSPOSE(INDEX(getcds('CDO Bespoke'!$C210,Q$13,'CDO Bespoke'!$G210/10000,'CDO Bespoke'!G210,'CDO Bespoke'!E210,'CDO Bespoke'!$C$13,'CDO Bespoke'!$C$14,'CDO Bespoke'!$C$15,'CDO Bespoke'!$C$8,,,TRUE,TRUE,FALSE,'CDO Bespoke'!$C$29:'CDO Bespoke'!$C$31,'CDO Bespoke'!$C$33),{5})),"")</f>
        <v/>
      </c>
      <c r="R185" s="524" t="str" cm="1">
        <f t="array" aca="1" ref="R185" ca="1">IF($O185&lt;&gt;"",-TRANSPOSE(INDEX(getcds('CDO Bespoke'!$C210,R$13,'CDO Bespoke'!$G210/10000,'CDO Bespoke'!H210,'CDO Bespoke'!F210,'CDO Bespoke'!$C$13,'CDO Bespoke'!$C$14,'CDO Bespoke'!$C$15,'CDO Bespoke'!$C$8,,,TRUE,TRUE,FALSE,'CDO Bespoke'!$C$29:'CDO Bespoke'!$C$31,'CDO Bespoke'!$C$33),{5})),"")</f>
        <v/>
      </c>
      <c r="S185" s="524" t="str" cm="1">
        <f t="array" aca="1" ref="S185" ca="1">IF($O185&lt;&gt;"",-TRANSPOSE(INDEX(getcds('CDO Bespoke'!$C210,S$13,'CDO Bespoke'!$G210/10000,'CDO Bespoke'!I210,'CDO Bespoke'!G210,'CDO Bespoke'!$C$13,'CDO Bespoke'!$C$14,'CDO Bespoke'!$C$15,'CDO Bespoke'!$C$8,,,TRUE,TRUE,FALSE,'CDO Bespoke'!$C$29:'CDO Bespoke'!$C$31,'CDO Bespoke'!$C$33),{5})),"")</f>
        <v/>
      </c>
      <c r="T185" s="514" t="str" cm="1">
        <f t="array" aca="1" ref="T185" ca="1">IF($O185&lt;&gt;"",-TRANSPOSE(INDEX(getcds('CDO Bespoke'!$C210,T$13,'CDO Bespoke'!$G210/10000,'CDO Bespoke'!J210,'CDO Bespoke'!H210,'CDO Bespoke'!$C$13,'CDO Bespoke'!$C$14,'CDO Bespoke'!$C$15,'CDO Bespoke'!$C$8,,,TRUE,TRUE,FALSE,'CDO Bespoke'!$C$29:'CDO Bespoke'!$C$31,'CDO Bespoke'!$C$33),{5})),"")</f>
        <v/>
      </c>
      <c r="U185" s="493"/>
      <c r="V185" s="513"/>
      <c r="W185" s="572"/>
      <c r="X185" s="572"/>
      <c r="Y185" s="572"/>
      <c r="Z185" s="572"/>
      <c r="AA185" s="572"/>
      <c r="AB185" s="572"/>
      <c r="AC185" s="572"/>
      <c r="AD185" s="572"/>
      <c r="AE185" s="514"/>
    </row>
    <row r="186" spans="6:31" s="281" customFormat="1" ht="12" thickBot="1">
      <c r="F186" s="501" t="str">
        <f ca="1">IF('CDO Bespoke'!O187&lt;&gt;"",'CDO Bespoke'!O187,"")</f>
        <v/>
      </c>
      <c r="G186" s="502" t="str">
        <f ca="1">IF(F186&lt;&gt;"",ABS(MIN(-0.75*('CDO Bespoke'!Q187+'CDO Bespoke'!T187)+'CDO Bespoke'!T187,0)),"")</f>
        <v/>
      </c>
      <c r="H186" s="502" t="str">
        <f t="shared" ca="1" si="8"/>
        <v/>
      </c>
      <c r="I186" s="502" t="str">
        <f t="shared" ca="1" si="11"/>
        <v/>
      </c>
      <c r="J186" s="501" t="str">
        <f ca="1">IF('CDO Bespoke'!O187&lt;&gt;"",'CDO Bespoke'!O187,"")</f>
        <v/>
      </c>
      <c r="K186" s="502" t="str">
        <f ca="1">IF(J186&lt;&gt;"",ABS(MIN(-0.75*('CDO Bespoke'!K187+'CDO Bespoke'!T187)+'CDO Bespoke'!T187,0)),"")</f>
        <v/>
      </c>
      <c r="L186" s="502" t="str">
        <f t="shared" ca="1" si="9"/>
        <v/>
      </c>
      <c r="M186" s="506" t="str">
        <f t="shared" ca="1" si="10"/>
        <v/>
      </c>
      <c r="O186" s="511" t="str">
        <f ca="1">IF('CDO Bespoke'!C211&lt;&gt;"",'CDO Bespoke'!C211,"")</f>
        <v/>
      </c>
      <c r="P186" s="513" t="str" cm="1">
        <f t="array" aca="1" ref="P186" ca="1">IF($O186&lt;&gt;"",-TRANSPOSE(INDEX(getcds('CDO Bespoke'!$C211,P$13,'CDO Bespoke'!$G211/10000,'CDO Bespoke'!F211,'CDO Bespoke'!D211,'CDO Bespoke'!$C$13,'CDO Bespoke'!$C$14,'CDO Bespoke'!$C$15,'CDO Bespoke'!$C$8,,,TRUE,TRUE,FALSE,'CDO Bespoke'!$C$29:'CDO Bespoke'!$C$31,'CDO Bespoke'!$C$33),{5})),"")</f>
        <v/>
      </c>
      <c r="Q186" s="524" t="str" cm="1">
        <f t="array" aca="1" ref="Q186" ca="1">IF($O186&lt;&gt;"",-TRANSPOSE(INDEX(getcds('CDO Bespoke'!$C211,Q$13,'CDO Bespoke'!$G211/10000,'CDO Bespoke'!G211,'CDO Bespoke'!E211,'CDO Bespoke'!$C$13,'CDO Bespoke'!$C$14,'CDO Bespoke'!$C$15,'CDO Bespoke'!$C$8,,,TRUE,TRUE,FALSE,'CDO Bespoke'!$C$29:'CDO Bespoke'!$C$31,'CDO Bespoke'!$C$33),{5})),"")</f>
        <v/>
      </c>
      <c r="R186" s="524" t="str" cm="1">
        <f t="array" aca="1" ref="R186" ca="1">IF($O186&lt;&gt;"",-TRANSPOSE(INDEX(getcds('CDO Bespoke'!$C211,R$13,'CDO Bespoke'!$G211/10000,'CDO Bespoke'!H211,'CDO Bespoke'!F211,'CDO Bespoke'!$C$13,'CDO Bespoke'!$C$14,'CDO Bespoke'!$C$15,'CDO Bespoke'!$C$8,,,TRUE,TRUE,FALSE,'CDO Bespoke'!$C$29:'CDO Bespoke'!$C$31,'CDO Bespoke'!$C$33),{5})),"")</f>
        <v/>
      </c>
      <c r="S186" s="524" t="str" cm="1">
        <f t="array" aca="1" ref="S186" ca="1">IF($O186&lt;&gt;"",-TRANSPOSE(INDEX(getcds('CDO Bespoke'!$C211,S$13,'CDO Bespoke'!$G211/10000,'CDO Bespoke'!I211,'CDO Bespoke'!G211,'CDO Bespoke'!$C$13,'CDO Bespoke'!$C$14,'CDO Bespoke'!$C$15,'CDO Bespoke'!$C$8,,,TRUE,TRUE,FALSE,'CDO Bespoke'!$C$29:'CDO Bespoke'!$C$31,'CDO Bespoke'!$C$33),{5})),"")</f>
        <v/>
      </c>
      <c r="T186" s="514" t="str" cm="1">
        <f t="array" aca="1" ref="T186" ca="1">IF($O186&lt;&gt;"",-TRANSPOSE(INDEX(getcds('CDO Bespoke'!$C211,T$13,'CDO Bespoke'!$G211/10000,'CDO Bespoke'!J211,'CDO Bespoke'!H211,'CDO Bespoke'!$C$13,'CDO Bespoke'!$C$14,'CDO Bespoke'!$C$15,'CDO Bespoke'!$C$8,,,TRUE,TRUE,FALSE,'CDO Bespoke'!$C$29:'CDO Bespoke'!$C$31,'CDO Bespoke'!$C$33),{5})),"")</f>
        <v/>
      </c>
      <c r="U186" s="493"/>
      <c r="V186" s="513"/>
      <c r="W186" s="572"/>
      <c r="X186" s="572"/>
      <c r="Y186" s="572"/>
      <c r="Z186" s="572"/>
      <c r="AA186" s="572"/>
      <c r="AB186" s="572"/>
      <c r="AC186" s="572"/>
      <c r="AD186" s="572"/>
      <c r="AE186" s="514"/>
    </row>
    <row r="187" spans="6:31" s="281" customFormat="1" ht="12" thickBot="1">
      <c r="F187" s="501" t="str">
        <f ca="1">IF('CDO Bespoke'!O188&lt;&gt;"",'CDO Bespoke'!O188,"")</f>
        <v/>
      </c>
      <c r="G187" s="502" t="str">
        <f ca="1">IF(F187&lt;&gt;"",ABS(MIN(-0.75*('CDO Bespoke'!Q188+'CDO Bespoke'!T188)+'CDO Bespoke'!T188,0)),"")</f>
        <v/>
      </c>
      <c r="H187" s="502" t="str">
        <f t="shared" ca="1" si="8"/>
        <v/>
      </c>
      <c r="I187" s="502" t="str">
        <f t="shared" ca="1" si="11"/>
        <v/>
      </c>
      <c r="J187" s="501" t="str">
        <f ca="1">IF('CDO Bespoke'!O188&lt;&gt;"",'CDO Bespoke'!O188,"")</f>
        <v/>
      </c>
      <c r="K187" s="502" t="str">
        <f ca="1">IF(J187&lt;&gt;"",ABS(MIN(-0.75*('CDO Bespoke'!K188+'CDO Bespoke'!T188)+'CDO Bespoke'!T188,0)),"")</f>
        <v/>
      </c>
      <c r="L187" s="502" t="str">
        <f t="shared" ca="1" si="9"/>
        <v/>
      </c>
      <c r="M187" s="506" t="str">
        <f t="shared" ca="1" si="10"/>
        <v/>
      </c>
      <c r="O187" s="511" t="str">
        <f ca="1">IF('CDO Bespoke'!C212&lt;&gt;"",'CDO Bespoke'!C212,"")</f>
        <v/>
      </c>
      <c r="P187" s="513" t="str" cm="1">
        <f t="array" aca="1" ref="P187" ca="1">IF($O187&lt;&gt;"",-TRANSPOSE(INDEX(getcds('CDO Bespoke'!$C212,P$13,'CDO Bespoke'!$G212/10000,'CDO Bespoke'!F212,'CDO Bespoke'!D212,'CDO Bespoke'!$C$13,'CDO Bespoke'!$C$14,'CDO Bespoke'!$C$15,'CDO Bespoke'!$C$8,,,TRUE,TRUE,FALSE,'CDO Bespoke'!$C$29:'CDO Bespoke'!$C$31,'CDO Bespoke'!$C$33),{5})),"")</f>
        <v/>
      </c>
      <c r="Q187" s="524" t="str" cm="1">
        <f t="array" aca="1" ref="Q187" ca="1">IF($O187&lt;&gt;"",-TRANSPOSE(INDEX(getcds('CDO Bespoke'!$C212,Q$13,'CDO Bespoke'!$G212/10000,'CDO Bespoke'!G212,'CDO Bespoke'!E212,'CDO Bespoke'!$C$13,'CDO Bespoke'!$C$14,'CDO Bespoke'!$C$15,'CDO Bespoke'!$C$8,,,TRUE,TRUE,FALSE,'CDO Bespoke'!$C$29:'CDO Bespoke'!$C$31,'CDO Bespoke'!$C$33),{5})),"")</f>
        <v/>
      </c>
      <c r="R187" s="524" t="str" cm="1">
        <f t="array" aca="1" ref="R187" ca="1">IF($O187&lt;&gt;"",-TRANSPOSE(INDEX(getcds('CDO Bespoke'!$C212,R$13,'CDO Bespoke'!$G212/10000,'CDO Bespoke'!H212,'CDO Bespoke'!F212,'CDO Bespoke'!$C$13,'CDO Bespoke'!$C$14,'CDO Bespoke'!$C$15,'CDO Bespoke'!$C$8,,,TRUE,TRUE,FALSE,'CDO Bespoke'!$C$29:'CDO Bespoke'!$C$31,'CDO Bespoke'!$C$33),{5})),"")</f>
        <v/>
      </c>
      <c r="S187" s="524" t="str" cm="1">
        <f t="array" aca="1" ref="S187" ca="1">IF($O187&lt;&gt;"",-TRANSPOSE(INDEX(getcds('CDO Bespoke'!$C212,S$13,'CDO Bespoke'!$G212/10000,'CDO Bespoke'!I212,'CDO Bespoke'!G212,'CDO Bespoke'!$C$13,'CDO Bespoke'!$C$14,'CDO Bespoke'!$C$15,'CDO Bespoke'!$C$8,,,TRUE,TRUE,FALSE,'CDO Bespoke'!$C$29:'CDO Bespoke'!$C$31,'CDO Bespoke'!$C$33),{5})),"")</f>
        <v/>
      </c>
      <c r="T187" s="514" t="str" cm="1">
        <f t="array" aca="1" ref="T187" ca="1">IF($O187&lt;&gt;"",-TRANSPOSE(INDEX(getcds('CDO Bespoke'!$C212,T$13,'CDO Bespoke'!$G212/10000,'CDO Bespoke'!J212,'CDO Bespoke'!H212,'CDO Bespoke'!$C$13,'CDO Bespoke'!$C$14,'CDO Bespoke'!$C$15,'CDO Bespoke'!$C$8,,,TRUE,TRUE,FALSE,'CDO Bespoke'!$C$29:'CDO Bespoke'!$C$31,'CDO Bespoke'!$C$33),{5})),"")</f>
        <v/>
      </c>
      <c r="U187" s="493"/>
      <c r="V187" s="513"/>
      <c r="W187" s="572"/>
      <c r="X187" s="572"/>
      <c r="Y187" s="572"/>
      <c r="Z187" s="572"/>
      <c r="AA187" s="572"/>
      <c r="AB187" s="572"/>
      <c r="AC187" s="572"/>
      <c r="AD187" s="572"/>
      <c r="AE187" s="514"/>
    </row>
    <row r="188" spans="6:31" s="281" customFormat="1" ht="12" thickBot="1">
      <c r="F188" s="501" t="str">
        <f ca="1">IF('CDO Bespoke'!O189&lt;&gt;"",'CDO Bespoke'!O189,"")</f>
        <v/>
      </c>
      <c r="G188" s="502" t="str">
        <f ca="1">IF(F188&lt;&gt;"",ABS(MIN(-0.75*('CDO Bespoke'!Q189+'CDO Bespoke'!T189)+'CDO Bespoke'!T189,0)),"")</f>
        <v/>
      </c>
      <c r="H188" s="502" t="str">
        <f t="shared" ca="1" si="8"/>
        <v/>
      </c>
      <c r="I188" s="502" t="str">
        <f t="shared" ca="1" si="11"/>
        <v/>
      </c>
      <c r="J188" s="501" t="str">
        <f ca="1">IF('CDO Bespoke'!O189&lt;&gt;"",'CDO Bespoke'!O189,"")</f>
        <v/>
      </c>
      <c r="K188" s="502" t="str">
        <f ca="1">IF(J188&lt;&gt;"",ABS(MIN(-0.75*('CDO Bespoke'!K189+'CDO Bespoke'!T189)+'CDO Bespoke'!T189,0)),"")</f>
        <v/>
      </c>
      <c r="L188" s="502" t="str">
        <f t="shared" ca="1" si="9"/>
        <v/>
      </c>
      <c r="M188" s="506" t="str">
        <f t="shared" ca="1" si="10"/>
        <v/>
      </c>
      <c r="O188" s="511" t="str">
        <f ca="1">IF('CDO Bespoke'!C213&lt;&gt;"",'CDO Bespoke'!C213,"")</f>
        <v/>
      </c>
      <c r="P188" s="513" t="str" cm="1">
        <f t="array" aca="1" ref="P188" ca="1">IF($O188&lt;&gt;"",-TRANSPOSE(INDEX(getcds('CDO Bespoke'!$C213,P$13,'CDO Bespoke'!$G213/10000,'CDO Bespoke'!F213,'CDO Bespoke'!D213,'CDO Bespoke'!$C$13,'CDO Bespoke'!$C$14,'CDO Bespoke'!$C$15,'CDO Bespoke'!$C$8,,,TRUE,TRUE,FALSE,'CDO Bespoke'!$C$29:'CDO Bespoke'!$C$31,'CDO Bespoke'!$C$33),{5})),"")</f>
        <v/>
      </c>
      <c r="Q188" s="524" t="str" cm="1">
        <f t="array" aca="1" ref="Q188" ca="1">IF($O188&lt;&gt;"",-TRANSPOSE(INDEX(getcds('CDO Bespoke'!$C213,Q$13,'CDO Bespoke'!$G213/10000,'CDO Bespoke'!G213,'CDO Bespoke'!E213,'CDO Bespoke'!$C$13,'CDO Bespoke'!$C$14,'CDO Bespoke'!$C$15,'CDO Bespoke'!$C$8,,,TRUE,TRUE,FALSE,'CDO Bespoke'!$C$29:'CDO Bespoke'!$C$31,'CDO Bespoke'!$C$33),{5})),"")</f>
        <v/>
      </c>
      <c r="R188" s="524" t="str" cm="1">
        <f t="array" aca="1" ref="R188" ca="1">IF($O188&lt;&gt;"",-TRANSPOSE(INDEX(getcds('CDO Bespoke'!$C213,R$13,'CDO Bespoke'!$G213/10000,'CDO Bespoke'!H213,'CDO Bespoke'!F213,'CDO Bespoke'!$C$13,'CDO Bespoke'!$C$14,'CDO Bespoke'!$C$15,'CDO Bespoke'!$C$8,,,TRUE,TRUE,FALSE,'CDO Bespoke'!$C$29:'CDO Bespoke'!$C$31,'CDO Bespoke'!$C$33),{5})),"")</f>
        <v/>
      </c>
      <c r="S188" s="524" t="str" cm="1">
        <f t="array" aca="1" ref="S188" ca="1">IF($O188&lt;&gt;"",-TRANSPOSE(INDEX(getcds('CDO Bespoke'!$C213,S$13,'CDO Bespoke'!$G213/10000,'CDO Bespoke'!I213,'CDO Bespoke'!G213,'CDO Bespoke'!$C$13,'CDO Bespoke'!$C$14,'CDO Bespoke'!$C$15,'CDO Bespoke'!$C$8,,,TRUE,TRUE,FALSE,'CDO Bespoke'!$C$29:'CDO Bespoke'!$C$31,'CDO Bespoke'!$C$33),{5})),"")</f>
        <v/>
      </c>
      <c r="T188" s="514" t="str" cm="1">
        <f t="array" aca="1" ref="T188" ca="1">IF($O188&lt;&gt;"",-TRANSPOSE(INDEX(getcds('CDO Bespoke'!$C213,T$13,'CDO Bespoke'!$G213/10000,'CDO Bespoke'!J213,'CDO Bespoke'!H213,'CDO Bespoke'!$C$13,'CDO Bespoke'!$C$14,'CDO Bespoke'!$C$15,'CDO Bespoke'!$C$8,,,TRUE,TRUE,FALSE,'CDO Bespoke'!$C$29:'CDO Bespoke'!$C$31,'CDO Bespoke'!$C$33),{5})),"")</f>
        <v/>
      </c>
      <c r="U188" s="493"/>
      <c r="V188" s="513"/>
      <c r="W188" s="572"/>
      <c r="X188" s="572"/>
      <c r="Y188" s="572"/>
      <c r="Z188" s="572"/>
      <c r="AA188" s="572"/>
      <c r="AB188" s="572"/>
      <c r="AC188" s="572"/>
      <c r="AD188" s="572"/>
      <c r="AE188" s="514"/>
    </row>
    <row r="189" spans="6:31" s="281" customFormat="1" ht="12" thickBot="1">
      <c r="F189" s="501" t="str">
        <f ca="1">IF('CDO Bespoke'!O190&lt;&gt;"",'CDO Bespoke'!O190,"")</f>
        <v/>
      </c>
      <c r="G189" s="502" t="str">
        <f ca="1">IF(F189&lt;&gt;"",ABS(MIN(-0.75*('CDO Bespoke'!Q190+'CDO Bespoke'!T190)+'CDO Bespoke'!T190,0)),"")</f>
        <v/>
      </c>
      <c r="H189" s="502" t="str">
        <f t="shared" ca="1" si="8"/>
        <v/>
      </c>
      <c r="I189" s="502" t="str">
        <f t="shared" ca="1" si="11"/>
        <v/>
      </c>
      <c r="J189" s="501" t="str">
        <f ca="1">IF('CDO Bespoke'!O190&lt;&gt;"",'CDO Bespoke'!O190,"")</f>
        <v/>
      </c>
      <c r="K189" s="502" t="str">
        <f ca="1">IF(J189&lt;&gt;"",ABS(MIN(-0.75*('CDO Bespoke'!K190+'CDO Bespoke'!T190)+'CDO Bespoke'!T190,0)),"")</f>
        <v/>
      </c>
      <c r="L189" s="502" t="str">
        <f t="shared" ca="1" si="9"/>
        <v/>
      </c>
      <c r="M189" s="506" t="str">
        <f t="shared" ca="1" si="10"/>
        <v/>
      </c>
      <c r="O189" s="511" t="str">
        <f ca="1">IF('CDO Bespoke'!C214&lt;&gt;"",'CDO Bespoke'!C214,"")</f>
        <v/>
      </c>
      <c r="P189" s="513" t="str" cm="1">
        <f t="array" aca="1" ref="P189" ca="1">IF($O189&lt;&gt;"",-TRANSPOSE(INDEX(getcds('CDO Bespoke'!$C214,P$13,'CDO Bespoke'!$G214/10000,'CDO Bespoke'!F214,'CDO Bespoke'!D214,'CDO Bespoke'!$C$13,'CDO Bespoke'!$C$14,'CDO Bespoke'!$C$15,'CDO Bespoke'!$C$8,,,TRUE,TRUE,FALSE,'CDO Bespoke'!$C$29:'CDO Bespoke'!$C$31,'CDO Bespoke'!$C$33),{5})),"")</f>
        <v/>
      </c>
      <c r="Q189" s="524" t="str" cm="1">
        <f t="array" aca="1" ref="Q189" ca="1">IF($O189&lt;&gt;"",-TRANSPOSE(INDEX(getcds('CDO Bespoke'!$C214,Q$13,'CDO Bespoke'!$G214/10000,'CDO Bespoke'!G214,'CDO Bespoke'!E214,'CDO Bespoke'!$C$13,'CDO Bespoke'!$C$14,'CDO Bespoke'!$C$15,'CDO Bespoke'!$C$8,,,TRUE,TRUE,FALSE,'CDO Bespoke'!$C$29:'CDO Bespoke'!$C$31,'CDO Bespoke'!$C$33),{5})),"")</f>
        <v/>
      </c>
      <c r="R189" s="524" t="str" cm="1">
        <f t="array" aca="1" ref="R189" ca="1">IF($O189&lt;&gt;"",-TRANSPOSE(INDEX(getcds('CDO Bespoke'!$C214,R$13,'CDO Bespoke'!$G214/10000,'CDO Bespoke'!H214,'CDO Bespoke'!F214,'CDO Bespoke'!$C$13,'CDO Bespoke'!$C$14,'CDO Bespoke'!$C$15,'CDO Bespoke'!$C$8,,,TRUE,TRUE,FALSE,'CDO Bespoke'!$C$29:'CDO Bespoke'!$C$31,'CDO Bespoke'!$C$33),{5})),"")</f>
        <v/>
      </c>
      <c r="S189" s="524" t="str" cm="1">
        <f t="array" aca="1" ref="S189" ca="1">IF($O189&lt;&gt;"",-TRANSPOSE(INDEX(getcds('CDO Bespoke'!$C214,S$13,'CDO Bespoke'!$G214/10000,'CDO Bespoke'!I214,'CDO Bespoke'!G214,'CDO Bespoke'!$C$13,'CDO Bespoke'!$C$14,'CDO Bespoke'!$C$15,'CDO Bespoke'!$C$8,,,TRUE,TRUE,FALSE,'CDO Bespoke'!$C$29:'CDO Bespoke'!$C$31,'CDO Bespoke'!$C$33),{5})),"")</f>
        <v/>
      </c>
      <c r="T189" s="514" t="str" cm="1">
        <f t="array" aca="1" ref="T189" ca="1">IF($O189&lt;&gt;"",-TRANSPOSE(INDEX(getcds('CDO Bespoke'!$C214,T$13,'CDO Bespoke'!$G214/10000,'CDO Bespoke'!J214,'CDO Bespoke'!H214,'CDO Bespoke'!$C$13,'CDO Bespoke'!$C$14,'CDO Bespoke'!$C$15,'CDO Bespoke'!$C$8,,,TRUE,TRUE,FALSE,'CDO Bespoke'!$C$29:'CDO Bespoke'!$C$31,'CDO Bespoke'!$C$33),{5})),"")</f>
        <v/>
      </c>
      <c r="U189" s="493"/>
      <c r="V189" s="513"/>
      <c r="W189" s="572"/>
      <c r="X189" s="572"/>
      <c r="Y189" s="572"/>
      <c r="Z189" s="572"/>
      <c r="AA189" s="572"/>
      <c r="AB189" s="572"/>
      <c r="AC189" s="572"/>
      <c r="AD189" s="572"/>
      <c r="AE189" s="514"/>
    </row>
    <row r="190" spans="6:31" s="281" customFormat="1" ht="12" thickBot="1">
      <c r="F190" s="501" t="str">
        <f ca="1">IF('CDO Bespoke'!O191&lt;&gt;"",'CDO Bespoke'!O191,"")</f>
        <v/>
      </c>
      <c r="G190" s="502" t="str">
        <f ca="1">IF(F190&lt;&gt;"",ABS(MIN(-0.75*('CDO Bespoke'!Q191+'CDO Bespoke'!T191)+'CDO Bespoke'!T191,0)),"")</f>
        <v/>
      </c>
      <c r="H190" s="502" t="str">
        <f t="shared" ca="1" si="8"/>
        <v/>
      </c>
      <c r="I190" s="502" t="str">
        <f t="shared" ca="1" si="11"/>
        <v/>
      </c>
      <c r="J190" s="501" t="str">
        <f ca="1">IF('CDO Bespoke'!O191&lt;&gt;"",'CDO Bespoke'!O191,"")</f>
        <v/>
      </c>
      <c r="K190" s="502" t="str">
        <f ca="1">IF(J190&lt;&gt;"",ABS(MIN(-0.75*('CDO Bespoke'!K191+'CDO Bespoke'!T191)+'CDO Bespoke'!T191,0)),"")</f>
        <v/>
      </c>
      <c r="L190" s="502" t="str">
        <f t="shared" ca="1" si="9"/>
        <v/>
      </c>
      <c r="M190" s="506" t="str">
        <f t="shared" ca="1" si="10"/>
        <v/>
      </c>
      <c r="O190" s="511" t="str">
        <f ca="1">IF('CDO Bespoke'!C215&lt;&gt;"",'CDO Bespoke'!C215,"")</f>
        <v/>
      </c>
      <c r="P190" s="513" t="str" cm="1">
        <f t="array" aca="1" ref="P190" ca="1">IF($O190&lt;&gt;"",-TRANSPOSE(INDEX(getcds('CDO Bespoke'!$C215,P$13,'CDO Bespoke'!$G215/10000,'CDO Bespoke'!F215,'CDO Bespoke'!D215,'CDO Bespoke'!$C$13,'CDO Bespoke'!$C$14,'CDO Bespoke'!$C$15,'CDO Bespoke'!$C$8,,,TRUE,TRUE,FALSE,'CDO Bespoke'!$C$29:'CDO Bespoke'!$C$31,'CDO Bespoke'!$C$33),{5})),"")</f>
        <v/>
      </c>
      <c r="Q190" s="524" t="str" cm="1">
        <f t="array" aca="1" ref="Q190" ca="1">IF($O190&lt;&gt;"",-TRANSPOSE(INDEX(getcds('CDO Bespoke'!$C215,Q$13,'CDO Bespoke'!$G215/10000,'CDO Bespoke'!G215,'CDO Bespoke'!E215,'CDO Bespoke'!$C$13,'CDO Bespoke'!$C$14,'CDO Bespoke'!$C$15,'CDO Bespoke'!$C$8,,,TRUE,TRUE,FALSE,'CDO Bespoke'!$C$29:'CDO Bespoke'!$C$31,'CDO Bespoke'!$C$33),{5})),"")</f>
        <v/>
      </c>
      <c r="R190" s="524" t="str" cm="1">
        <f t="array" aca="1" ref="R190" ca="1">IF($O190&lt;&gt;"",-TRANSPOSE(INDEX(getcds('CDO Bespoke'!$C215,R$13,'CDO Bespoke'!$G215/10000,'CDO Bespoke'!H215,'CDO Bespoke'!F215,'CDO Bespoke'!$C$13,'CDO Bespoke'!$C$14,'CDO Bespoke'!$C$15,'CDO Bespoke'!$C$8,,,TRUE,TRUE,FALSE,'CDO Bespoke'!$C$29:'CDO Bespoke'!$C$31,'CDO Bespoke'!$C$33),{5})),"")</f>
        <v/>
      </c>
      <c r="S190" s="524" t="str" cm="1">
        <f t="array" aca="1" ref="S190" ca="1">IF($O190&lt;&gt;"",-TRANSPOSE(INDEX(getcds('CDO Bespoke'!$C215,S$13,'CDO Bespoke'!$G215/10000,'CDO Bespoke'!I215,'CDO Bespoke'!G215,'CDO Bespoke'!$C$13,'CDO Bespoke'!$C$14,'CDO Bespoke'!$C$15,'CDO Bespoke'!$C$8,,,TRUE,TRUE,FALSE,'CDO Bespoke'!$C$29:'CDO Bespoke'!$C$31,'CDO Bespoke'!$C$33),{5})),"")</f>
        <v/>
      </c>
      <c r="T190" s="514" t="str" cm="1">
        <f t="array" aca="1" ref="T190" ca="1">IF($O190&lt;&gt;"",-TRANSPOSE(INDEX(getcds('CDO Bespoke'!$C215,T$13,'CDO Bespoke'!$G215/10000,'CDO Bespoke'!J215,'CDO Bespoke'!H215,'CDO Bespoke'!$C$13,'CDO Bespoke'!$C$14,'CDO Bespoke'!$C$15,'CDO Bespoke'!$C$8,,,TRUE,TRUE,FALSE,'CDO Bespoke'!$C$29:'CDO Bespoke'!$C$31,'CDO Bespoke'!$C$33),{5})),"")</f>
        <v/>
      </c>
      <c r="U190" s="493"/>
      <c r="V190" s="513"/>
      <c r="W190" s="572"/>
      <c r="X190" s="572"/>
      <c r="Y190" s="572"/>
      <c r="Z190" s="572"/>
      <c r="AA190" s="572"/>
      <c r="AB190" s="572"/>
      <c r="AC190" s="572"/>
      <c r="AD190" s="572"/>
      <c r="AE190" s="514"/>
    </row>
    <row r="191" spans="6:31" s="281" customFormat="1" ht="12" thickBot="1">
      <c r="F191" s="501" t="str">
        <f ca="1">IF('CDO Bespoke'!O192&lt;&gt;"",'CDO Bespoke'!O192,"")</f>
        <v/>
      </c>
      <c r="G191" s="502" t="str">
        <f ca="1">IF(F191&lt;&gt;"",ABS(MIN(-0.75*('CDO Bespoke'!Q192+'CDO Bespoke'!T192)+'CDO Bespoke'!T192,0)),"")</f>
        <v/>
      </c>
      <c r="H191" s="502" t="str">
        <f t="shared" ca="1" si="8"/>
        <v/>
      </c>
      <c r="I191" s="502" t="str">
        <f t="shared" ca="1" si="11"/>
        <v/>
      </c>
      <c r="J191" s="501" t="str">
        <f ca="1">IF('CDO Bespoke'!O192&lt;&gt;"",'CDO Bespoke'!O192,"")</f>
        <v/>
      </c>
      <c r="K191" s="502" t="str">
        <f ca="1">IF(J191&lt;&gt;"",ABS(MIN(-0.75*('CDO Bespoke'!K192+'CDO Bespoke'!T192)+'CDO Bespoke'!T192,0)),"")</f>
        <v/>
      </c>
      <c r="L191" s="502" t="str">
        <f t="shared" ca="1" si="9"/>
        <v/>
      </c>
      <c r="M191" s="506" t="str">
        <f t="shared" ca="1" si="10"/>
        <v/>
      </c>
      <c r="O191" s="511" t="str">
        <f ca="1">IF('CDO Bespoke'!C216&lt;&gt;"",'CDO Bespoke'!C216,"")</f>
        <v/>
      </c>
      <c r="P191" s="513" t="str" cm="1">
        <f t="array" aca="1" ref="P191" ca="1">IF($O191&lt;&gt;"",-TRANSPOSE(INDEX(getcds('CDO Bespoke'!$C216,P$13,'CDO Bespoke'!$G216/10000,'CDO Bespoke'!F216,'CDO Bespoke'!D216,'CDO Bespoke'!$C$13,'CDO Bespoke'!$C$14,'CDO Bespoke'!$C$15,'CDO Bespoke'!$C$8,,,TRUE,TRUE,FALSE,'CDO Bespoke'!$C$29:'CDO Bespoke'!$C$31,'CDO Bespoke'!$C$33),{5})),"")</f>
        <v/>
      </c>
      <c r="Q191" s="524" t="str" cm="1">
        <f t="array" aca="1" ref="Q191" ca="1">IF($O191&lt;&gt;"",-TRANSPOSE(INDEX(getcds('CDO Bespoke'!$C216,Q$13,'CDO Bespoke'!$G216/10000,'CDO Bespoke'!G216,'CDO Bespoke'!E216,'CDO Bespoke'!$C$13,'CDO Bespoke'!$C$14,'CDO Bespoke'!$C$15,'CDO Bespoke'!$C$8,,,TRUE,TRUE,FALSE,'CDO Bespoke'!$C$29:'CDO Bespoke'!$C$31,'CDO Bespoke'!$C$33),{5})),"")</f>
        <v/>
      </c>
      <c r="R191" s="524" t="str" cm="1">
        <f t="array" aca="1" ref="R191" ca="1">IF($O191&lt;&gt;"",-TRANSPOSE(INDEX(getcds('CDO Bespoke'!$C216,R$13,'CDO Bespoke'!$G216/10000,'CDO Bespoke'!H216,'CDO Bespoke'!F216,'CDO Bespoke'!$C$13,'CDO Bespoke'!$C$14,'CDO Bespoke'!$C$15,'CDO Bespoke'!$C$8,,,TRUE,TRUE,FALSE,'CDO Bespoke'!$C$29:'CDO Bespoke'!$C$31,'CDO Bespoke'!$C$33),{5})),"")</f>
        <v/>
      </c>
      <c r="S191" s="524" t="str" cm="1">
        <f t="array" aca="1" ref="S191" ca="1">IF($O191&lt;&gt;"",-TRANSPOSE(INDEX(getcds('CDO Bespoke'!$C216,S$13,'CDO Bespoke'!$G216/10000,'CDO Bespoke'!I216,'CDO Bespoke'!G216,'CDO Bespoke'!$C$13,'CDO Bespoke'!$C$14,'CDO Bespoke'!$C$15,'CDO Bespoke'!$C$8,,,TRUE,TRUE,FALSE,'CDO Bespoke'!$C$29:'CDO Bespoke'!$C$31,'CDO Bespoke'!$C$33),{5})),"")</f>
        <v/>
      </c>
      <c r="T191" s="514" t="str" cm="1">
        <f t="array" aca="1" ref="T191" ca="1">IF($O191&lt;&gt;"",-TRANSPOSE(INDEX(getcds('CDO Bespoke'!$C216,T$13,'CDO Bespoke'!$G216/10000,'CDO Bespoke'!J216,'CDO Bespoke'!H216,'CDO Bespoke'!$C$13,'CDO Bespoke'!$C$14,'CDO Bespoke'!$C$15,'CDO Bespoke'!$C$8,,,TRUE,TRUE,FALSE,'CDO Bespoke'!$C$29:'CDO Bespoke'!$C$31,'CDO Bespoke'!$C$33),{5})),"")</f>
        <v/>
      </c>
      <c r="U191" s="493"/>
      <c r="V191" s="513"/>
      <c r="W191" s="572"/>
      <c r="X191" s="572"/>
      <c r="Y191" s="572"/>
      <c r="Z191" s="572"/>
      <c r="AA191" s="572"/>
      <c r="AB191" s="572"/>
      <c r="AC191" s="572"/>
      <c r="AD191" s="572"/>
      <c r="AE191" s="514"/>
    </row>
    <row r="192" spans="6:31" s="281" customFormat="1" ht="12" thickBot="1">
      <c r="F192" s="501" t="str">
        <f ca="1">IF('CDO Bespoke'!O193&lt;&gt;"",'CDO Bespoke'!O193,"")</f>
        <v/>
      </c>
      <c r="G192" s="502" t="str">
        <f ca="1">IF(F192&lt;&gt;"",ABS(MIN(-0.75*('CDO Bespoke'!Q193+'CDO Bespoke'!T193)+'CDO Bespoke'!T193,0)),"")</f>
        <v/>
      </c>
      <c r="H192" s="502" t="str">
        <f t="shared" ca="1" si="8"/>
        <v/>
      </c>
      <c r="I192" s="502" t="str">
        <f t="shared" ca="1" si="11"/>
        <v/>
      </c>
      <c r="J192" s="501" t="str">
        <f ca="1">IF('CDO Bespoke'!O193&lt;&gt;"",'CDO Bespoke'!O193,"")</f>
        <v/>
      </c>
      <c r="K192" s="502" t="str">
        <f ca="1">IF(J192&lt;&gt;"",ABS(MIN(-0.75*('CDO Bespoke'!K193+'CDO Bespoke'!T193)+'CDO Bespoke'!T193,0)),"")</f>
        <v/>
      </c>
      <c r="L192" s="502" t="str">
        <f t="shared" ca="1" si="9"/>
        <v/>
      </c>
      <c r="M192" s="506" t="str">
        <f t="shared" ca="1" si="10"/>
        <v/>
      </c>
      <c r="O192" s="511" t="str">
        <f ca="1">IF('CDO Bespoke'!C217&lt;&gt;"",'CDO Bespoke'!C217,"")</f>
        <v/>
      </c>
      <c r="P192" s="513" t="str" cm="1">
        <f t="array" aca="1" ref="P192" ca="1">IF($O192&lt;&gt;"",-TRANSPOSE(INDEX(getcds('CDO Bespoke'!$C217,P$13,'CDO Bespoke'!$G217/10000,'CDO Bespoke'!F217,'CDO Bespoke'!D217,'CDO Bespoke'!$C$13,'CDO Bespoke'!$C$14,'CDO Bespoke'!$C$15,'CDO Bespoke'!$C$8,,,TRUE,TRUE,FALSE,'CDO Bespoke'!$C$29:'CDO Bespoke'!$C$31,'CDO Bespoke'!$C$33),{5})),"")</f>
        <v/>
      </c>
      <c r="Q192" s="524" t="str" cm="1">
        <f t="array" aca="1" ref="Q192" ca="1">IF($O192&lt;&gt;"",-TRANSPOSE(INDEX(getcds('CDO Bespoke'!$C217,Q$13,'CDO Bespoke'!$G217/10000,'CDO Bespoke'!G217,'CDO Bespoke'!E217,'CDO Bespoke'!$C$13,'CDO Bespoke'!$C$14,'CDO Bespoke'!$C$15,'CDO Bespoke'!$C$8,,,TRUE,TRUE,FALSE,'CDO Bespoke'!$C$29:'CDO Bespoke'!$C$31,'CDO Bespoke'!$C$33),{5})),"")</f>
        <v/>
      </c>
      <c r="R192" s="524" t="str" cm="1">
        <f t="array" aca="1" ref="R192" ca="1">IF($O192&lt;&gt;"",-TRANSPOSE(INDEX(getcds('CDO Bespoke'!$C217,R$13,'CDO Bespoke'!$G217/10000,'CDO Bespoke'!H217,'CDO Bespoke'!F217,'CDO Bespoke'!$C$13,'CDO Bespoke'!$C$14,'CDO Bespoke'!$C$15,'CDO Bespoke'!$C$8,,,TRUE,TRUE,FALSE,'CDO Bespoke'!$C$29:'CDO Bespoke'!$C$31,'CDO Bespoke'!$C$33),{5})),"")</f>
        <v/>
      </c>
      <c r="S192" s="524" t="str" cm="1">
        <f t="array" aca="1" ref="S192" ca="1">IF($O192&lt;&gt;"",-TRANSPOSE(INDEX(getcds('CDO Bespoke'!$C217,S$13,'CDO Bespoke'!$G217/10000,'CDO Bespoke'!I217,'CDO Bespoke'!G217,'CDO Bespoke'!$C$13,'CDO Bespoke'!$C$14,'CDO Bespoke'!$C$15,'CDO Bespoke'!$C$8,,,TRUE,TRUE,FALSE,'CDO Bespoke'!$C$29:'CDO Bespoke'!$C$31,'CDO Bespoke'!$C$33),{5})),"")</f>
        <v/>
      </c>
      <c r="T192" s="514" t="str" cm="1">
        <f t="array" aca="1" ref="T192" ca="1">IF($O192&lt;&gt;"",-TRANSPOSE(INDEX(getcds('CDO Bespoke'!$C217,T$13,'CDO Bespoke'!$G217/10000,'CDO Bespoke'!J217,'CDO Bespoke'!H217,'CDO Bespoke'!$C$13,'CDO Bespoke'!$C$14,'CDO Bespoke'!$C$15,'CDO Bespoke'!$C$8,,,TRUE,TRUE,FALSE,'CDO Bespoke'!$C$29:'CDO Bespoke'!$C$31,'CDO Bespoke'!$C$33),{5})),"")</f>
        <v/>
      </c>
      <c r="U192" s="493"/>
      <c r="V192" s="513"/>
      <c r="W192" s="572"/>
      <c r="X192" s="572"/>
      <c r="Y192" s="572"/>
      <c r="Z192" s="572"/>
      <c r="AA192" s="572"/>
      <c r="AB192" s="572"/>
      <c r="AC192" s="572"/>
      <c r="AD192" s="572"/>
      <c r="AE192" s="514"/>
    </row>
    <row r="193" spans="6:31" s="281" customFormat="1" ht="12" thickBot="1">
      <c r="F193" s="501" t="str">
        <f ca="1">IF('CDO Bespoke'!O194&lt;&gt;"",'CDO Bespoke'!O194,"")</f>
        <v/>
      </c>
      <c r="G193" s="502" t="str">
        <f ca="1">IF(F193&lt;&gt;"",ABS(MIN(-0.75*('CDO Bespoke'!Q194+'CDO Bespoke'!T194)+'CDO Bespoke'!T194,0)),"")</f>
        <v/>
      </c>
      <c r="H193" s="502" t="str">
        <f t="shared" ca="1" si="8"/>
        <v/>
      </c>
      <c r="I193" s="502" t="str">
        <f t="shared" ca="1" si="11"/>
        <v/>
      </c>
      <c r="J193" s="501" t="str">
        <f ca="1">IF('CDO Bespoke'!O194&lt;&gt;"",'CDO Bespoke'!O194,"")</f>
        <v/>
      </c>
      <c r="K193" s="502" t="str">
        <f ca="1">IF(J193&lt;&gt;"",ABS(MIN(-0.75*('CDO Bespoke'!K194+'CDO Bespoke'!T194)+'CDO Bespoke'!T194,0)),"")</f>
        <v/>
      </c>
      <c r="L193" s="502" t="str">
        <f t="shared" ca="1" si="9"/>
        <v/>
      </c>
      <c r="M193" s="506" t="str">
        <f t="shared" ca="1" si="10"/>
        <v/>
      </c>
      <c r="O193" s="511" t="str">
        <f ca="1">IF('CDO Bespoke'!C218&lt;&gt;"",'CDO Bespoke'!C218,"")</f>
        <v/>
      </c>
      <c r="P193" s="513" t="str" cm="1">
        <f t="array" aca="1" ref="P193" ca="1">IF($O193&lt;&gt;"",-TRANSPOSE(INDEX(getcds('CDO Bespoke'!$C218,P$13,'CDO Bespoke'!$G218/10000,'CDO Bespoke'!F218,'CDO Bespoke'!D218,'CDO Bespoke'!$C$13,'CDO Bespoke'!$C$14,'CDO Bespoke'!$C$15,'CDO Bespoke'!$C$8,,,TRUE,TRUE,FALSE,'CDO Bespoke'!$C$29:'CDO Bespoke'!$C$31,'CDO Bespoke'!$C$33),{5})),"")</f>
        <v/>
      </c>
      <c r="Q193" s="524" t="str" cm="1">
        <f t="array" aca="1" ref="Q193" ca="1">IF($O193&lt;&gt;"",-TRANSPOSE(INDEX(getcds('CDO Bespoke'!$C218,Q$13,'CDO Bespoke'!$G218/10000,'CDO Bespoke'!G218,'CDO Bespoke'!E218,'CDO Bespoke'!$C$13,'CDO Bespoke'!$C$14,'CDO Bespoke'!$C$15,'CDO Bespoke'!$C$8,,,TRUE,TRUE,FALSE,'CDO Bespoke'!$C$29:'CDO Bespoke'!$C$31,'CDO Bespoke'!$C$33),{5})),"")</f>
        <v/>
      </c>
      <c r="R193" s="524" t="str" cm="1">
        <f t="array" aca="1" ref="R193" ca="1">IF($O193&lt;&gt;"",-TRANSPOSE(INDEX(getcds('CDO Bespoke'!$C218,R$13,'CDO Bespoke'!$G218/10000,'CDO Bespoke'!H218,'CDO Bespoke'!F218,'CDO Bespoke'!$C$13,'CDO Bespoke'!$C$14,'CDO Bespoke'!$C$15,'CDO Bespoke'!$C$8,,,TRUE,TRUE,FALSE,'CDO Bespoke'!$C$29:'CDO Bespoke'!$C$31,'CDO Bespoke'!$C$33),{5})),"")</f>
        <v/>
      </c>
      <c r="S193" s="524" t="str" cm="1">
        <f t="array" aca="1" ref="S193" ca="1">IF($O193&lt;&gt;"",-TRANSPOSE(INDEX(getcds('CDO Bespoke'!$C218,S$13,'CDO Bespoke'!$G218/10000,'CDO Bespoke'!I218,'CDO Bespoke'!G218,'CDO Bespoke'!$C$13,'CDO Bespoke'!$C$14,'CDO Bespoke'!$C$15,'CDO Bespoke'!$C$8,,,TRUE,TRUE,FALSE,'CDO Bespoke'!$C$29:'CDO Bespoke'!$C$31,'CDO Bespoke'!$C$33),{5})),"")</f>
        <v/>
      </c>
      <c r="T193" s="514" t="str" cm="1">
        <f t="array" aca="1" ref="T193" ca="1">IF($O193&lt;&gt;"",-TRANSPOSE(INDEX(getcds('CDO Bespoke'!$C218,T$13,'CDO Bespoke'!$G218/10000,'CDO Bespoke'!J218,'CDO Bespoke'!H218,'CDO Bespoke'!$C$13,'CDO Bespoke'!$C$14,'CDO Bespoke'!$C$15,'CDO Bespoke'!$C$8,,,TRUE,TRUE,FALSE,'CDO Bespoke'!$C$29:'CDO Bespoke'!$C$31,'CDO Bespoke'!$C$33),{5})),"")</f>
        <v/>
      </c>
      <c r="U193" s="493"/>
      <c r="V193" s="513"/>
      <c r="W193" s="572"/>
      <c r="X193" s="572"/>
      <c r="Y193" s="572"/>
      <c r="Z193" s="572"/>
      <c r="AA193" s="572"/>
      <c r="AB193" s="572"/>
      <c r="AC193" s="572"/>
      <c r="AD193" s="572"/>
      <c r="AE193" s="514"/>
    </row>
    <row r="194" spans="6:31" s="281" customFormat="1" ht="12" thickBot="1">
      <c r="F194" s="501" t="str">
        <f ca="1">IF('CDO Bespoke'!O195&lt;&gt;"",'CDO Bespoke'!O195,"")</f>
        <v/>
      </c>
      <c r="G194" s="502" t="str">
        <f ca="1">IF(F194&lt;&gt;"",ABS(MIN(-0.75*('CDO Bespoke'!Q195+'CDO Bespoke'!T195)+'CDO Bespoke'!T195,0)),"")</f>
        <v/>
      </c>
      <c r="H194" s="502" t="str">
        <f t="shared" ca="1" si="8"/>
        <v/>
      </c>
      <c r="I194" s="502" t="str">
        <f t="shared" ca="1" si="11"/>
        <v/>
      </c>
      <c r="J194" s="501" t="str">
        <f ca="1">IF('CDO Bespoke'!O195&lt;&gt;"",'CDO Bespoke'!O195,"")</f>
        <v/>
      </c>
      <c r="K194" s="502" t="str">
        <f ca="1">IF(J194&lt;&gt;"",ABS(MIN(-0.75*('CDO Bespoke'!K195+'CDO Bespoke'!T195)+'CDO Bespoke'!T195,0)),"")</f>
        <v/>
      </c>
      <c r="L194" s="502" t="str">
        <f t="shared" ca="1" si="9"/>
        <v/>
      </c>
      <c r="M194" s="506" t="str">
        <f t="shared" ca="1" si="10"/>
        <v/>
      </c>
      <c r="O194" s="511" t="str">
        <f ca="1">IF('CDO Bespoke'!C219&lt;&gt;"",'CDO Bespoke'!C219,"")</f>
        <v/>
      </c>
      <c r="P194" s="513" t="str" cm="1">
        <f t="array" aca="1" ref="P194" ca="1">IF($O194&lt;&gt;"",-TRANSPOSE(INDEX(getcds('CDO Bespoke'!$C219,P$13,'CDO Bespoke'!$G219/10000,'CDO Bespoke'!F219,'CDO Bespoke'!D219,'CDO Bespoke'!$C$13,'CDO Bespoke'!$C$14,'CDO Bespoke'!$C$15,'CDO Bespoke'!$C$8,,,TRUE,TRUE,FALSE,'CDO Bespoke'!$C$29:'CDO Bespoke'!$C$31,'CDO Bespoke'!$C$33),{5})),"")</f>
        <v/>
      </c>
      <c r="Q194" s="524" t="str" cm="1">
        <f t="array" aca="1" ref="Q194" ca="1">IF($O194&lt;&gt;"",-TRANSPOSE(INDEX(getcds('CDO Bespoke'!$C219,Q$13,'CDO Bespoke'!$G219/10000,'CDO Bespoke'!G219,'CDO Bespoke'!E219,'CDO Bespoke'!$C$13,'CDO Bespoke'!$C$14,'CDO Bespoke'!$C$15,'CDO Bespoke'!$C$8,,,TRUE,TRUE,FALSE,'CDO Bespoke'!$C$29:'CDO Bespoke'!$C$31,'CDO Bespoke'!$C$33),{5})),"")</f>
        <v/>
      </c>
      <c r="R194" s="524" t="str" cm="1">
        <f t="array" aca="1" ref="R194" ca="1">IF($O194&lt;&gt;"",-TRANSPOSE(INDEX(getcds('CDO Bespoke'!$C219,R$13,'CDO Bespoke'!$G219/10000,'CDO Bespoke'!H219,'CDO Bespoke'!F219,'CDO Bespoke'!$C$13,'CDO Bespoke'!$C$14,'CDO Bespoke'!$C$15,'CDO Bespoke'!$C$8,,,TRUE,TRUE,FALSE,'CDO Bespoke'!$C$29:'CDO Bespoke'!$C$31,'CDO Bespoke'!$C$33),{5})),"")</f>
        <v/>
      </c>
      <c r="S194" s="524" t="str" cm="1">
        <f t="array" aca="1" ref="S194" ca="1">IF($O194&lt;&gt;"",-TRANSPOSE(INDEX(getcds('CDO Bespoke'!$C219,S$13,'CDO Bespoke'!$G219/10000,'CDO Bespoke'!I219,'CDO Bespoke'!G219,'CDO Bespoke'!$C$13,'CDO Bespoke'!$C$14,'CDO Bespoke'!$C$15,'CDO Bespoke'!$C$8,,,TRUE,TRUE,FALSE,'CDO Bespoke'!$C$29:'CDO Bespoke'!$C$31,'CDO Bespoke'!$C$33),{5})),"")</f>
        <v/>
      </c>
      <c r="T194" s="514" t="str" cm="1">
        <f t="array" aca="1" ref="T194" ca="1">IF($O194&lt;&gt;"",-TRANSPOSE(INDEX(getcds('CDO Bespoke'!$C219,T$13,'CDO Bespoke'!$G219/10000,'CDO Bespoke'!J219,'CDO Bespoke'!H219,'CDO Bespoke'!$C$13,'CDO Bespoke'!$C$14,'CDO Bespoke'!$C$15,'CDO Bespoke'!$C$8,,,TRUE,TRUE,FALSE,'CDO Bespoke'!$C$29:'CDO Bespoke'!$C$31,'CDO Bespoke'!$C$33),{5})),"")</f>
        <v/>
      </c>
      <c r="U194" s="493"/>
      <c r="V194" s="513"/>
      <c r="W194" s="572"/>
      <c r="X194" s="572"/>
      <c r="Y194" s="572"/>
      <c r="Z194" s="572"/>
      <c r="AA194" s="572"/>
      <c r="AB194" s="572"/>
      <c r="AC194" s="572"/>
      <c r="AD194" s="572"/>
      <c r="AE194" s="514"/>
    </row>
    <row r="195" spans="6:31" s="281" customFormat="1" ht="12" thickBot="1">
      <c r="F195" s="501" t="str">
        <f ca="1">IF('CDO Bespoke'!O196&lt;&gt;"",'CDO Bespoke'!O196,"")</f>
        <v/>
      </c>
      <c r="G195" s="502" t="str">
        <f ca="1">IF(F195&lt;&gt;"",ABS(MIN(-0.75*('CDO Bespoke'!Q196+'CDO Bespoke'!T196)+'CDO Bespoke'!T196,0)),"")</f>
        <v/>
      </c>
      <c r="H195" s="502" t="str">
        <f t="shared" ca="1" si="8"/>
        <v/>
      </c>
      <c r="I195" s="502" t="str">
        <f t="shared" ca="1" si="11"/>
        <v/>
      </c>
      <c r="J195" s="501" t="str">
        <f ca="1">IF('CDO Bespoke'!O196&lt;&gt;"",'CDO Bespoke'!O196,"")</f>
        <v/>
      </c>
      <c r="K195" s="502" t="str">
        <f ca="1">IF(J195&lt;&gt;"",ABS(MIN(-0.75*('CDO Bespoke'!K196+'CDO Bespoke'!T196)+'CDO Bespoke'!T196,0)),"")</f>
        <v/>
      </c>
      <c r="L195" s="502" t="str">
        <f t="shared" ca="1" si="9"/>
        <v/>
      </c>
      <c r="M195" s="506" t="str">
        <f t="shared" ca="1" si="10"/>
        <v/>
      </c>
      <c r="O195" s="511" t="str">
        <f ca="1">IF('CDO Bespoke'!C220&lt;&gt;"",'CDO Bespoke'!C220,"")</f>
        <v/>
      </c>
      <c r="P195" s="513" t="str" cm="1">
        <f t="array" aca="1" ref="P195" ca="1">IF($O195&lt;&gt;"",-TRANSPOSE(INDEX(getcds('CDO Bespoke'!$C220,P$13,'CDO Bespoke'!$G220/10000,'CDO Bespoke'!F220,'CDO Bespoke'!D220,'CDO Bespoke'!$C$13,'CDO Bespoke'!$C$14,'CDO Bespoke'!$C$15,'CDO Bespoke'!$C$8,,,TRUE,TRUE,FALSE,'CDO Bespoke'!$C$29:'CDO Bespoke'!$C$31,'CDO Bespoke'!$C$33),{5})),"")</f>
        <v/>
      </c>
      <c r="Q195" s="524" t="str" cm="1">
        <f t="array" aca="1" ref="Q195" ca="1">IF($O195&lt;&gt;"",-TRANSPOSE(INDEX(getcds('CDO Bespoke'!$C220,Q$13,'CDO Bespoke'!$G220/10000,'CDO Bespoke'!G220,'CDO Bespoke'!E220,'CDO Bespoke'!$C$13,'CDO Bespoke'!$C$14,'CDO Bespoke'!$C$15,'CDO Bespoke'!$C$8,,,TRUE,TRUE,FALSE,'CDO Bespoke'!$C$29:'CDO Bespoke'!$C$31,'CDO Bespoke'!$C$33),{5})),"")</f>
        <v/>
      </c>
      <c r="R195" s="524" t="str" cm="1">
        <f t="array" aca="1" ref="R195" ca="1">IF($O195&lt;&gt;"",-TRANSPOSE(INDEX(getcds('CDO Bespoke'!$C220,R$13,'CDO Bespoke'!$G220/10000,'CDO Bespoke'!H220,'CDO Bespoke'!F220,'CDO Bespoke'!$C$13,'CDO Bespoke'!$C$14,'CDO Bespoke'!$C$15,'CDO Bespoke'!$C$8,,,TRUE,TRUE,FALSE,'CDO Bespoke'!$C$29:'CDO Bespoke'!$C$31,'CDO Bespoke'!$C$33),{5})),"")</f>
        <v/>
      </c>
      <c r="S195" s="524" t="str" cm="1">
        <f t="array" aca="1" ref="S195" ca="1">IF($O195&lt;&gt;"",-TRANSPOSE(INDEX(getcds('CDO Bespoke'!$C220,S$13,'CDO Bespoke'!$G220/10000,'CDO Bespoke'!I220,'CDO Bespoke'!G220,'CDO Bespoke'!$C$13,'CDO Bespoke'!$C$14,'CDO Bespoke'!$C$15,'CDO Bespoke'!$C$8,,,TRUE,TRUE,FALSE,'CDO Bespoke'!$C$29:'CDO Bespoke'!$C$31,'CDO Bespoke'!$C$33),{5})),"")</f>
        <v/>
      </c>
      <c r="T195" s="514" t="str" cm="1">
        <f t="array" aca="1" ref="T195" ca="1">IF($O195&lt;&gt;"",-TRANSPOSE(INDEX(getcds('CDO Bespoke'!$C220,T$13,'CDO Bespoke'!$G220/10000,'CDO Bespoke'!J220,'CDO Bespoke'!H220,'CDO Bespoke'!$C$13,'CDO Bespoke'!$C$14,'CDO Bespoke'!$C$15,'CDO Bespoke'!$C$8,,,TRUE,TRUE,FALSE,'CDO Bespoke'!$C$29:'CDO Bespoke'!$C$31,'CDO Bespoke'!$C$33),{5})),"")</f>
        <v/>
      </c>
      <c r="U195" s="493"/>
      <c r="V195" s="513"/>
      <c r="W195" s="572"/>
      <c r="X195" s="572"/>
      <c r="Y195" s="572"/>
      <c r="Z195" s="572"/>
      <c r="AA195" s="572"/>
      <c r="AB195" s="572"/>
      <c r="AC195" s="572"/>
      <c r="AD195" s="572"/>
      <c r="AE195" s="514"/>
    </row>
    <row r="196" spans="6:31" s="281" customFormat="1" ht="12" thickBot="1">
      <c r="F196" s="501" t="str">
        <f ca="1">IF('CDO Bespoke'!O197&lt;&gt;"",'CDO Bespoke'!O197,"")</f>
        <v/>
      </c>
      <c r="G196" s="502" t="str">
        <f ca="1">IF(F196&lt;&gt;"",ABS(MIN(-0.75*('CDO Bespoke'!Q197+'CDO Bespoke'!T197)+'CDO Bespoke'!T197,0)),"")</f>
        <v/>
      </c>
      <c r="H196" s="502" t="str">
        <f t="shared" ca="1" si="8"/>
        <v/>
      </c>
      <c r="I196" s="502" t="str">
        <f t="shared" ca="1" si="11"/>
        <v/>
      </c>
      <c r="J196" s="501" t="str">
        <f ca="1">IF('CDO Bespoke'!O197&lt;&gt;"",'CDO Bespoke'!O197,"")</f>
        <v/>
      </c>
      <c r="K196" s="502" t="str">
        <f ca="1">IF(J196&lt;&gt;"",ABS(MIN(-0.75*('CDO Bespoke'!K197+'CDO Bespoke'!T197)+'CDO Bespoke'!T197,0)),"")</f>
        <v/>
      </c>
      <c r="L196" s="502" t="str">
        <f t="shared" ca="1" si="9"/>
        <v/>
      </c>
      <c r="M196" s="506" t="str">
        <f t="shared" ca="1" si="10"/>
        <v/>
      </c>
      <c r="O196" s="511" t="str">
        <f ca="1">IF('CDO Bespoke'!C221&lt;&gt;"",'CDO Bespoke'!C221,"")</f>
        <v/>
      </c>
      <c r="P196" s="513" t="str" cm="1">
        <f t="array" aca="1" ref="P196" ca="1">IF($O196&lt;&gt;"",-TRANSPOSE(INDEX(getcds('CDO Bespoke'!$C221,P$13,'CDO Bespoke'!$G221/10000,'CDO Bespoke'!F221,'CDO Bespoke'!D221,'CDO Bespoke'!$C$13,'CDO Bespoke'!$C$14,'CDO Bespoke'!$C$15,'CDO Bespoke'!$C$8,,,TRUE,TRUE,FALSE,'CDO Bespoke'!$C$29:'CDO Bespoke'!$C$31,'CDO Bespoke'!$C$33),{5})),"")</f>
        <v/>
      </c>
      <c r="Q196" s="524" t="str" cm="1">
        <f t="array" aca="1" ref="Q196" ca="1">IF($O196&lt;&gt;"",-TRANSPOSE(INDEX(getcds('CDO Bespoke'!$C221,Q$13,'CDO Bespoke'!$G221/10000,'CDO Bespoke'!G221,'CDO Bespoke'!E221,'CDO Bespoke'!$C$13,'CDO Bespoke'!$C$14,'CDO Bespoke'!$C$15,'CDO Bespoke'!$C$8,,,TRUE,TRUE,FALSE,'CDO Bespoke'!$C$29:'CDO Bespoke'!$C$31,'CDO Bespoke'!$C$33),{5})),"")</f>
        <v/>
      </c>
      <c r="R196" s="524" t="str" cm="1">
        <f t="array" aca="1" ref="R196" ca="1">IF($O196&lt;&gt;"",-TRANSPOSE(INDEX(getcds('CDO Bespoke'!$C221,R$13,'CDO Bespoke'!$G221/10000,'CDO Bespoke'!H221,'CDO Bespoke'!F221,'CDO Bespoke'!$C$13,'CDO Bespoke'!$C$14,'CDO Bespoke'!$C$15,'CDO Bespoke'!$C$8,,,TRUE,TRUE,FALSE,'CDO Bespoke'!$C$29:'CDO Bespoke'!$C$31,'CDO Bespoke'!$C$33),{5})),"")</f>
        <v/>
      </c>
      <c r="S196" s="524" t="str" cm="1">
        <f t="array" aca="1" ref="S196" ca="1">IF($O196&lt;&gt;"",-TRANSPOSE(INDEX(getcds('CDO Bespoke'!$C221,S$13,'CDO Bespoke'!$G221/10000,'CDO Bespoke'!I221,'CDO Bespoke'!G221,'CDO Bespoke'!$C$13,'CDO Bespoke'!$C$14,'CDO Bespoke'!$C$15,'CDO Bespoke'!$C$8,,,TRUE,TRUE,FALSE,'CDO Bespoke'!$C$29:'CDO Bespoke'!$C$31,'CDO Bespoke'!$C$33),{5})),"")</f>
        <v/>
      </c>
      <c r="T196" s="514" t="str" cm="1">
        <f t="array" aca="1" ref="T196" ca="1">IF($O196&lt;&gt;"",-TRANSPOSE(INDEX(getcds('CDO Bespoke'!$C221,T$13,'CDO Bespoke'!$G221/10000,'CDO Bespoke'!J221,'CDO Bespoke'!H221,'CDO Bespoke'!$C$13,'CDO Bespoke'!$C$14,'CDO Bespoke'!$C$15,'CDO Bespoke'!$C$8,,,TRUE,TRUE,FALSE,'CDO Bespoke'!$C$29:'CDO Bespoke'!$C$31,'CDO Bespoke'!$C$33),{5})),"")</f>
        <v/>
      </c>
      <c r="U196" s="493"/>
      <c r="V196" s="513"/>
      <c r="W196" s="572"/>
      <c r="X196" s="572"/>
      <c r="Y196" s="572"/>
      <c r="Z196" s="572"/>
      <c r="AA196" s="572"/>
      <c r="AB196" s="572"/>
      <c r="AC196" s="572"/>
      <c r="AD196" s="572"/>
      <c r="AE196" s="514"/>
    </row>
    <row r="197" spans="6:31" s="281" customFormat="1" ht="12" thickBot="1">
      <c r="F197" s="501" t="str">
        <f ca="1">IF('CDO Bespoke'!O198&lt;&gt;"",'CDO Bespoke'!O198,"")</f>
        <v/>
      </c>
      <c r="G197" s="502" t="str">
        <f ca="1">IF(F197&lt;&gt;"",ABS(MIN(-0.75*('CDO Bespoke'!Q198+'CDO Bespoke'!T198)+'CDO Bespoke'!T198,0)),"")</f>
        <v/>
      </c>
      <c r="H197" s="502" t="str">
        <f t="shared" ca="1" si="8"/>
        <v/>
      </c>
      <c r="I197" s="502" t="str">
        <f t="shared" ca="1" si="11"/>
        <v/>
      </c>
      <c r="J197" s="501" t="str">
        <f ca="1">IF('CDO Bespoke'!O198&lt;&gt;"",'CDO Bespoke'!O198,"")</f>
        <v/>
      </c>
      <c r="K197" s="502" t="str">
        <f ca="1">IF(J197&lt;&gt;"",ABS(MIN(-0.75*('CDO Bespoke'!K198+'CDO Bespoke'!T198)+'CDO Bespoke'!T198,0)),"")</f>
        <v/>
      </c>
      <c r="L197" s="502" t="str">
        <f t="shared" ca="1" si="9"/>
        <v/>
      </c>
      <c r="M197" s="506" t="str">
        <f t="shared" ca="1" si="10"/>
        <v/>
      </c>
      <c r="O197" s="511" t="str">
        <f ca="1">IF('CDO Bespoke'!C222&lt;&gt;"",'CDO Bespoke'!C222,"")</f>
        <v/>
      </c>
      <c r="P197" s="513" t="str" cm="1">
        <f t="array" aca="1" ref="P197" ca="1">IF($O197&lt;&gt;"",-TRANSPOSE(INDEX(getcds('CDO Bespoke'!$C222,P$13,'CDO Bespoke'!$G222/10000,'CDO Bespoke'!F222,'CDO Bespoke'!D222,'CDO Bespoke'!$C$13,'CDO Bespoke'!$C$14,'CDO Bespoke'!$C$15,'CDO Bespoke'!$C$8,,,TRUE,TRUE,FALSE,'CDO Bespoke'!$C$29:'CDO Bespoke'!$C$31,'CDO Bespoke'!$C$33),{5})),"")</f>
        <v/>
      </c>
      <c r="Q197" s="524" t="str" cm="1">
        <f t="array" aca="1" ref="Q197" ca="1">IF($O197&lt;&gt;"",-TRANSPOSE(INDEX(getcds('CDO Bespoke'!$C222,Q$13,'CDO Bespoke'!$G222/10000,'CDO Bespoke'!G222,'CDO Bespoke'!E222,'CDO Bespoke'!$C$13,'CDO Bespoke'!$C$14,'CDO Bespoke'!$C$15,'CDO Bespoke'!$C$8,,,TRUE,TRUE,FALSE,'CDO Bespoke'!$C$29:'CDO Bespoke'!$C$31,'CDO Bespoke'!$C$33),{5})),"")</f>
        <v/>
      </c>
      <c r="R197" s="524" t="str" cm="1">
        <f t="array" aca="1" ref="R197" ca="1">IF($O197&lt;&gt;"",-TRANSPOSE(INDEX(getcds('CDO Bespoke'!$C222,R$13,'CDO Bespoke'!$G222/10000,'CDO Bespoke'!H222,'CDO Bespoke'!F222,'CDO Bespoke'!$C$13,'CDO Bespoke'!$C$14,'CDO Bespoke'!$C$15,'CDO Bespoke'!$C$8,,,TRUE,TRUE,FALSE,'CDO Bespoke'!$C$29:'CDO Bespoke'!$C$31,'CDO Bespoke'!$C$33),{5})),"")</f>
        <v/>
      </c>
      <c r="S197" s="524" t="str" cm="1">
        <f t="array" aca="1" ref="S197" ca="1">IF($O197&lt;&gt;"",-TRANSPOSE(INDEX(getcds('CDO Bespoke'!$C222,S$13,'CDO Bespoke'!$G222/10000,'CDO Bespoke'!I222,'CDO Bespoke'!G222,'CDO Bespoke'!$C$13,'CDO Bespoke'!$C$14,'CDO Bespoke'!$C$15,'CDO Bespoke'!$C$8,,,TRUE,TRUE,FALSE,'CDO Bespoke'!$C$29:'CDO Bespoke'!$C$31,'CDO Bespoke'!$C$33),{5})),"")</f>
        <v/>
      </c>
      <c r="T197" s="514" t="str" cm="1">
        <f t="array" aca="1" ref="T197" ca="1">IF($O197&lt;&gt;"",-TRANSPOSE(INDEX(getcds('CDO Bespoke'!$C222,T$13,'CDO Bespoke'!$G222/10000,'CDO Bespoke'!J222,'CDO Bespoke'!H222,'CDO Bespoke'!$C$13,'CDO Bespoke'!$C$14,'CDO Bespoke'!$C$15,'CDO Bespoke'!$C$8,,,TRUE,TRUE,FALSE,'CDO Bespoke'!$C$29:'CDO Bespoke'!$C$31,'CDO Bespoke'!$C$33),{5})),"")</f>
        <v/>
      </c>
      <c r="U197" s="493"/>
      <c r="V197" s="513"/>
      <c r="W197" s="572"/>
      <c r="X197" s="572"/>
      <c r="Y197" s="572"/>
      <c r="Z197" s="572"/>
      <c r="AA197" s="572"/>
      <c r="AB197" s="572"/>
      <c r="AC197" s="572"/>
      <c r="AD197" s="572"/>
      <c r="AE197" s="514"/>
    </row>
    <row r="198" spans="6:31" s="281" customFormat="1" ht="12" thickBot="1">
      <c r="F198" s="501" t="str">
        <f ca="1">IF('CDO Bespoke'!O199&lt;&gt;"",'CDO Bespoke'!O199,"")</f>
        <v/>
      </c>
      <c r="G198" s="502" t="str">
        <f ca="1">IF(F198&lt;&gt;"",ABS(MIN(-0.75*('CDO Bespoke'!Q199+'CDO Bespoke'!T199)+'CDO Bespoke'!T199,0)),"")</f>
        <v/>
      </c>
      <c r="H198" s="502" t="str">
        <f t="shared" ca="1" si="8"/>
        <v/>
      </c>
      <c r="I198" s="502" t="str">
        <f t="shared" ca="1" si="11"/>
        <v/>
      </c>
      <c r="J198" s="501" t="str">
        <f ca="1">IF('CDO Bespoke'!O199&lt;&gt;"",'CDO Bespoke'!O199,"")</f>
        <v/>
      </c>
      <c r="K198" s="502" t="str">
        <f ca="1">IF(J198&lt;&gt;"",ABS(MIN(-0.75*('CDO Bespoke'!K199+'CDO Bespoke'!T199)+'CDO Bespoke'!T199,0)),"")</f>
        <v/>
      </c>
      <c r="L198" s="502" t="str">
        <f t="shared" ca="1" si="9"/>
        <v/>
      </c>
      <c r="M198" s="506" t="str">
        <f t="shared" ca="1" si="10"/>
        <v/>
      </c>
      <c r="O198" s="511" t="str">
        <f ca="1">IF('CDO Bespoke'!C223&lt;&gt;"",'CDO Bespoke'!C223,"")</f>
        <v/>
      </c>
      <c r="P198" s="513" t="str" cm="1">
        <f t="array" aca="1" ref="P198" ca="1">IF($O198&lt;&gt;"",-TRANSPOSE(INDEX(getcds('CDO Bespoke'!$C223,P$13,'CDO Bespoke'!$G223/10000,'CDO Bespoke'!F223,'CDO Bespoke'!D223,'CDO Bespoke'!$C$13,'CDO Bespoke'!$C$14,'CDO Bespoke'!$C$15,'CDO Bespoke'!$C$8,,,TRUE,TRUE,FALSE,'CDO Bespoke'!$C$29:'CDO Bespoke'!$C$31,'CDO Bespoke'!$C$33),{5})),"")</f>
        <v/>
      </c>
      <c r="Q198" s="524" t="str" cm="1">
        <f t="array" aca="1" ref="Q198" ca="1">IF($O198&lt;&gt;"",-TRANSPOSE(INDEX(getcds('CDO Bespoke'!$C223,Q$13,'CDO Bespoke'!$G223/10000,'CDO Bespoke'!G223,'CDO Bespoke'!E223,'CDO Bespoke'!$C$13,'CDO Bespoke'!$C$14,'CDO Bespoke'!$C$15,'CDO Bespoke'!$C$8,,,TRUE,TRUE,FALSE,'CDO Bespoke'!$C$29:'CDO Bespoke'!$C$31,'CDO Bespoke'!$C$33),{5})),"")</f>
        <v/>
      </c>
      <c r="R198" s="524" t="str" cm="1">
        <f t="array" aca="1" ref="R198" ca="1">IF($O198&lt;&gt;"",-TRANSPOSE(INDEX(getcds('CDO Bespoke'!$C223,R$13,'CDO Bespoke'!$G223/10000,'CDO Bespoke'!H223,'CDO Bespoke'!F223,'CDO Bespoke'!$C$13,'CDO Bespoke'!$C$14,'CDO Bespoke'!$C$15,'CDO Bespoke'!$C$8,,,TRUE,TRUE,FALSE,'CDO Bespoke'!$C$29:'CDO Bespoke'!$C$31,'CDO Bespoke'!$C$33),{5})),"")</f>
        <v/>
      </c>
      <c r="S198" s="524" t="str" cm="1">
        <f t="array" aca="1" ref="S198" ca="1">IF($O198&lt;&gt;"",-TRANSPOSE(INDEX(getcds('CDO Bespoke'!$C223,S$13,'CDO Bespoke'!$G223/10000,'CDO Bespoke'!I223,'CDO Bespoke'!G223,'CDO Bespoke'!$C$13,'CDO Bespoke'!$C$14,'CDO Bespoke'!$C$15,'CDO Bespoke'!$C$8,,,TRUE,TRUE,FALSE,'CDO Bespoke'!$C$29:'CDO Bespoke'!$C$31,'CDO Bespoke'!$C$33),{5})),"")</f>
        <v/>
      </c>
      <c r="T198" s="514" t="str" cm="1">
        <f t="array" aca="1" ref="T198" ca="1">IF($O198&lt;&gt;"",-TRANSPOSE(INDEX(getcds('CDO Bespoke'!$C223,T$13,'CDO Bespoke'!$G223/10000,'CDO Bespoke'!J223,'CDO Bespoke'!H223,'CDO Bespoke'!$C$13,'CDO Bespoke'!$C$14,'CDO Bespoke'!$C$15,'CDO Bespoke'!$C$8,,,TRUE,TRUE,FALSE,'CDO Bespoke'!$C$29:'CDO Bespoke'!$C$31,'CDO Bespoke'!$C$33),{5})),"")</f>
        <v/>
      </c>
      <c r="U198" s="493"/>
      <c r="V198" s="513"/>
      <c r="W198" s="572"/>
      <c r="X198" s="572"/>
      <c r="Y198" s="572"/>
      <c r="Z198" s="572"/>
      <c r="AA198" s="572"/>
      <c r="AB198" s="572"/>
      <c r="AC198" s="572"/>
      <c r="AD198" s="572"/>
      <c r="AE198" s="514"/>
    </row>
    <row r="199" spans="6:31" s="281" customFormat="1" ht="12" thickBot="1">
      <c r="F199" s="501" t="str">
        <f ca="1">IF('CDO Bespoke'!O200&lt;&gt;"",'CDO Bespoke'!O200,"")</f>
        <v/>
      </c>
      <c r="G199" s="502" t="str">
        <f ca="1">IF(F199&lt;&gt;"",ABS(MIN(-0.75*('CDO Bespoke'!Q200+'CDO Bespoke'!T200)+'CDO Bespoke'!T200,0)),"")</f>
        <v/>
      </c>
      <c r="H199" s="502" t="str">
        <f t="shared" ca="1" si="8"/>
        <v/>
      </c>
      <c r="I199" s="502" t="str">
        <f t="shared" ca="1" si="11"/>
        <v/>
      </c>
      <c r="J199" s="501" t="str">
        <f ca="1">IF('CDO Bespoke'!O200&lt;&gt;"",'CDO Bespoke'!O200,"")</f>
        <v/>
      </c>
      <c r="K199" s="502" t="str">
        <f ca="1">IF(J199&lt;&gt;"",ABS(MIN(-0.75*('CDO Bespoke'!K200+'CDO Bespoke'!T200)+'CDO Bespoke'!T200,0)),"")</f>
        <v/>
      </c>
      <c r="L199" s="502" t="str">
        <f t="shared" ca="1" si="9"/>
        <v/>
      </c>
      <c r="M199" s="506" t="str">
        <f t="shared" ca="1" si="10"/>
        <v/>
      </c>
      <c r="O199" s="511" t="str">
        <f ca="1">IF('CDO Bespoke'!C224&lt;&gt;"",'CDO Bespoke'!C224,"")</f>
        <v/>
      </c>
      <c r="P199" s="513" t="str" cm="1">
        <f t="array" aca="1" ref="P199" ca="1">IF($O199&lt;&gt;"",-TRANSPOSE(INDEX(getcds('CDO Bespoke'!$C224,P$13,'CDO Bespoke'!$G224/10000,'CDO Bespoke'!F224,'CDO Bespoke'!D224,'CDO Bespoke'!$C$13,'CDO Bespoke'!$C$14,'CDO Bespoke'!$C$15,'CDO Bespoke'!$C$8,,,TRUE,TRUE,FALSE,'CDO Bespoke'!$C$29:'CDO Bespoke'!$C$31,'CDO Bespoke'!$C$33),{5})),"")</f>
        <v/>
      </c>
      <c r="Q199" s="524" t="str" cm="1">
        <f t="array" aca="1" ref="Q199" ca="1">IF($O199&lt;&gt;"",-TRANSPOSE(INDEX(getcds('CDO Bespoke'!$C224,Q$13,'CDO Bespoke'!$G224/10000,'CDO Bespoke'!G224,'CDO Bespoke'!E224,'CDO Bespoke'!$C$13,'CDO Bespoke'!$C$14,'CDO Bespoke'!$C$15,'CDO Bespoke'!$C$8,,,TRUE,TRUE,FALSE,'CDO Bespoke'!$C$29:'CDO Bespoke'!$C$31,'CDO Bespoke'!$C$33),{5})),"")</f>
        <v/>
      </c>
      <c r="R199" s="524" t="str" cm="1">
        <f t="array" aca="1" ref="R199" ca="1">IF($O199&lt;&gt;"",-TRANSPOSE(INDEX(getcds('CDO Bespoke'!$C224,R$13,'CDO Bespoke'!$G224/10000,'CDO Bespoke'!H224,'CDO Bespoke'!F224,'CDO Bespoke'!$C$13,'CDO Bespoke'!$C$14,'CDO Bespoke'!$C$15,'CDO Bespoke'!$C$8,,,TRUE,TRUE,FALSE,'CDO Bespoke'!$C$29:'CDO Bespoke'!$C$31,'CDO Bespoke'!$C$33),{5})),"")</f>
        <v/>
      </c>
      <c r="S199" s="524" t="str" cm="1">
        <f t="array" aca="1" ref="S199" ca="1">IF($O199&lt;&gt;"",-TRANSPOSE(INDEX(getcds('CDO Bespoke'!$C224,S$13,'CDO Bespoke'!$G224/10000,'CDO Bespoke'!I224,'CDO Bespoke'!G224,'CDO Bespoke'!$C$13,'CDO Bespoke'!$C$14,'CDO Bespoke'!$C$15,'CDO Bespoke'!$C$8,,,TRUE,TRUE,FALSE,'CDO Bespoke'!$C$29:'CDO Bespoke'!$C$31,'CDO Bespoke'!$C$33),{5})),"")</f>
        <v/>
      </c>
      <c r="T199" s="514" t="str" cm="1">
        <f t="array" aca="1" ref="T199" ca="1">IF($O199&lt;&gt;"",-TRANSPOSE(INDEX(getcds('CDO Bespoke'!$C224,T$13,'CDO Bespoke'!$G224/10000,'CDO Bespoke'!J224,'CDO Bespoke'!H224,'CDO Bespoke'!$C$13,'CDO Bespoke'!$C$14,'CDO Bespoke'!$C$15,'CDO Bespoke'!$C$8,,,TRUE,TRUE,FALSE,'CDO Bespoke'!$C$29:'CDO Bespoke'!$C$31,'CDO Bespoke'!$C$33),{5})),"")</f>
        <v/>
      </c>
      <c r="U199" s="493"/>
      <c r="V199" s="513"/>
      <c r="W199" s="572"/>
      <c r="X199" s="572"/>
      <c r="Y199" s="572"/>
      <c r="Z199" s="572"/>
      <c r="AA199" s="572"/>
      <c r="AB199" s="572"/>
      <c r="AC199" s="572"/>
      <c r="AD199" s="572"/>
      <c r="AE199" s="514"/>
    </row>
    <row r="200" spans="6:31" s="281" customFormat="1" ht="12" thickBot="1">
      <c r="F200" s="501" t="str">
        <f ca="1">IF('CDO Bespoke'!O201&lt;&gt;"",'CDO Bespoke'!O201,"")</f>
        <v/>
      </c>
      <c r="G200" s="502" t="str">
        <f ca="1">IF(F200&lt;&gt;"",ABS(MIN(-0.75*('CDO Bespoke'!Q201+'CDO Bespoke'!T201)+'CDO Bespoke'!T201,0)),"")</f>
        <v/>
      </c>
      <c r="H200" s="502" t="str">
        <f t="shared" ca="1" si="8"/>
        <v/>
      </c>
      <c r="I200" s="502" t="str">
        <f t="shared" ca="1" si="11"/>
        <v/>
      </c>
      <c r="J200" s="501" t="str">
        <f ca="1">IF('CDO Bespoke'!O201&lt;&gt;"",'CDO Bespoke'!O201,"")</f>
        <v/>
      </c>
      <c r="K200" s="502" t="str">
        <f ca="1">IF(J200&lt;&gt;"",ABS(MIN(-0.75*('CDO Bespoke'!K201+'CDO Bespoke'!T201)+'CDO Bespoke'!T201,0)),"")</f>
        <v/>
      </c>
      <c r="L200" s="502" t="str">
        <f t="shared" ca="1" si="9"/>
        <v/>
      </c>
      <c r="M200" s="506" t="str">
        <f t="shared" ca="1" si="10"/>
        <v/>
      </c>
      <c r="O200" s="511" t="str">
        <f ca="1">IF('CDO Bespoke'!C225&lt;&gt;"",'CDO Bespoke'!C225,"")</f>
        <v/>
      </c>
      <c r="P200" s="513" t="str" cm="1">
        <f t="array" aca="1" ref="P200" ca="1">IF($O200&lt;&gt;"",-TRANSPOSE(INDEX(getcds('CDO Bespoke'!$C225,P$13,'CDO Bespoke'!$G225/10000,'CDO Bespoke'!F225,'CDO Bespoke'!D225,'CDO Bespoke'!$C$13,'CDO Bespoke'!$C$14,'CDO Bespoke'!$C$15,'CDO Bespoke'!$C$8,,,TRUE,TRUE,FALSE,'CDO Bespoke'!$C$29:'CDO Bespoke'!$C$31,'CDO Bespoke'!$C$33),{5})),"")</f>
        <v/>
      </c>
      <c r="Q200" s="524" t="str" cm="1">
        <f t="array" aca="1" ref="Q200" ca="1">IF($O200&lt;&gt;"",-TRANSPOSE(INDEX(getcds('CDO Bespoke'!$C225,Q$13,'CDO Bespoke'!$G225/10000,'CDO Bespoke'!G225,'CDO Bespoke'!E225,'CDO Bespoke'!$C$13,'CDO Bespoke'!$C$14,'CDO Bespoke'!$C$15,'CDO Bespoke'!$C$8,,,TRUE,TRUE,FALSE,'CDO Bespoke'!$C$29:'CDO Bespoke'!$C$31,'CDO Bespoke'!$C$33),{5})),"")</f>
        <v/>
      </c>
      <c r="R200" s="524" t="str" cm="1">
        <f t="array" aca="1" ref="R200" ca="1">IF($O200&lt;&gt;"",-TRANSPOSE(INDEX(getcds('CDO Bespoke'!$C225,R$13,'CDO Bespoke'!$G225/10000,'CDO Bespoke'!H225,'CDO Bespoke'!F225,'CDO Bespoke'!$C$13,'CDO Bespoke'!$C$14,'CDO Bespoke'!$C$15,'CDO Bespoke'!$C$8,,,TRUE,TRUE,FALSE,'CDO Bespoke'!$C$29:'CDO Bespoke'!$C$31,'CDO Bespoke'!$C$33),{5})),"")</f>
        <v/>
      </c>
      <c r="S200" s="524" t="str" cm="1">
        <f t="array" aca="1" ref="S200" ca="1">IF($O200&lt;&gt;"",-TRANSPOSE(INDEX(getcds('CDO Bespoke'!$C225,S$13,'CDO Bespoke'!$G225/10000,'CDO Bespoke'!I225,'CDO Bespoke'!G225,'CDO Bespoke'!$C$13,'CDO Bespoke'!$C$14,'CDO Bespoke'!$C$15,'CDO Bespoke'!$C$8,,,TRUE,TRUE,FALSE,'CDO Bespoke'!$C$29:'CDO Bespoke'!$C$31,'CDO Bespoke'!$C$33),{5})),"")</f>
        <v/>
      </c>
      <c r="T200" s="514" t="str" cm="1">
        <f t="array" aca="1" ref="T200" ca="1">IF($O200&lt;&gt;"",-TRANSPOSE(INDEX(getcds('CDO Bespoke'!$C225,T$13,'CDO Bespoke'!$G225/10000,'CDO Bespoke'!J225,'CDO Bespoke'!H225,'CDO Bespoke'!$C$13,'CDO Bespoke'!$C$14,'CDO Bespoke'!$C$15,'CDO Bespoke'!$C$8,,,TRUE,TRUE,FALSE,'CDO Bespoke'!$C$29:'CDO Bespoke'!$C$31,'CDO Bespoke'!$C$33),{5})),"")</f>
        <v/>
      </c>
      <c r="U200" s="493"/>
      <c r="V200" s="513"/>
      <c r="W200" s="572"/>
      <c r="X200" s="572"/>
      <c r="Y200" s="572"/>
      <c r="Z200" s="572"/>
      <c r="AA200" s="572"/>
      <c r="AB200" s="572"/>
      <c r="AC200" s="572"/>
      <c r="AD200" s="572"/>
      <c r="AE200" s="514"/>
    </row>
    <row r="201" spans="6:31" s="281" customFormat="1" ht="12" thickBot="1">
      <c r="F201" s="501" t="str">
        <f ca="1">IF('CDO Bespoke'!O202&lt;&gt;"",'CDO Bespoke'!O202,"")</f>
        <v/>
      </c>
      <c r="G201" s="502" t="str">
        <f ca="1">IF(F201&lt;&gt;"",ABS(MIN(-0.75*('CDO Bespoke'!Q202+'CDO Bespoke'!T202)+'CDO Bespoke'!T202,0)),"")</f>
        <v/>
      </c>
      <c r="H201" s="502" t="str">
        <f t="shared" ca="1" si="8"/>
        <v/>
      </c>
      <c r="I201" s="502" t="str">
        <f t="shared" ca="1" si="11"/>
        <v/>
      </c>
      <c r="J201" s="501" t="str">
        <f ca="1">IF('CDO Bespoke'!O202&lt;&gt;"",'CDO Bespoke'!O202,"")</f>
        <v/>
      </c>
      <c r="K201" s="502" t="str">
        <f ca="1">IF(J201&lt;&gt;"",ABS(MIN(-0.75*('CDO Bespoke'!K202+'CDO Bespoke'!T202)+'CDO Bespoke'!T202,0)),"")</f>
        <v/>
      </c>
      <c r="L201" s="502" t="str">
        <f t="shared" ca="1" si="9"/>
        <v/>
      </c>
      <c r="M201" s="506" t="str">
        <f t="shared" ca="1" si="10"/>
        <v/>
      </c>
      <c r="O201" s="511" t="str">
        <f ca="1">IF('CDO Bespoke'!C226&lt;&gt;"",'CDO Bespoke'!C226,"")</f>
        <v/>
      </c>
      <c r="P201" s="513" t="str" cm="1">
        <f t="array" aca="1" ref="P201" ca="1">IF($O201&lt;&gt;"",-TRANSPOSE(INDEX(getcds('CDO Bespoke'!$C226,P$13,'CDO Bespoke'!$G226/10000,'CDO Bespoke'!F226,'CDO Bespoke'!D226,'CDO Bespoke'!$C$13,'CDO Bespoke'!$C$14,'CDO Bespoke'!$C$15,'CDO Bespoke'!$C$8,,,TRUE,TRUE,FALSE,'CDO Bespoke'!$C$29:'CDO Bespoke'!$C$31,'CDO Bespoke'!$C$33),{5})),"")</f>
        <v/>
      </c>
      <c r="Q201" s="524" t="str" cm="1">
        <f t="array" aca="1" ref="Q201" ca="1">IF($O201&lt;&gt;"",-TRANSPOSE(INDEX(getcds('CDO Bespoke'!$C226,Q$13,'CDO Bespoke'!$G226/10000,'CDO Bespoke'!G226,'CDO Bespoke'!E226,'CDO Bespoke'!$C$13,'CDO Bespoke'!$C$14,'CDO Bespoke'!$C$15,'CDO Bespoke'!$C$8,,,TRUE,TRUE,FALSE,'CDO Bespoke'!$C$29:'CDO Bespoke'!$C$31,'CDO Bespoke'!$C$33),{5})),"")</f>
        <v/>
      </c>
      <c r="R201" s="524" t="str" cm="1">
        <f t="array" aca="1" ref="R201" ca="1">IF($O201&lt;&gt;"",-TRANSPOSE(INDEX(getcds('CDO Bespoke'!$C226,R$13,'CDO Bespoke'!$G226/10000,'CDO Bespoke'!H226,'CDO Bespoke'!F226,'CDO Bespoke'!$C$13,'CDO Bespoke'!$C$14,'CDO Bespoke'!$C$15,'CDO Bespoke'!$C$8,,,TRUE,TRUE,FALSE,'CDO Bespoke'!$C$29:'CDO Bespoke'!$C$31,'CDO Bespoke'!$C$33),{5})),"")</f>
        <v/>
      </c>
      <c r="S201" s="524" t="str" cm="1">
        <f t="array" aca="1" ref="S201" ca="1">IF($O201&lt;&gt;"",-TRANSPOSE(INDEX(getcds('CDO Bespoke'!$C226,S$13,'CDO Bespoke'!$G226/10000,'CDO Bespoke'!I226,'CDO Bespoke'!G226,'CDO Bespoke'!$C$13,'CDO Bespoke'!$C$14,'CDO Bespoke'!$C$15,'CDO Bespoke'!$C$8,,,TRUE,TRUE,FALSE,'CDO Bespoke'!$C$29:'CDO Bespoke'!$C$31,'CDO Bespoke'!$C$33),{5})),"")</f>
        <v/>
      </c>
      <c r="T201" s="514" t="str" cm="1">
        <f t="array" aca="1" ref="T201" ca="1">IF($O201&lt;&gt;"",-TRANSPOSE(INDEX(getcds('CDO Bespoke'!$C226,T$13,'CDO Bespoke'!$G226/10000,'CDO Bespoke'!J226,'CDO Bespoke'!H226,'CDO Bespoke'!$C$13,'CDO Bespoke'!$C$14,'CDO Bespoke'!$C$15,'CDO Bespoke'!$C$8,,,TRUE,TRUE,FALSE,'CDO Bespoke'!$C$29:'CDO Bespoke'!$C$31,'CDO Bespoke'!$C$33),{5})),"")</f>
        <v/>
      </c>
      <c r="U201" s="493"/>
      <c r="V201" s="513"/>
      <c r="W201" s="572"/>
      <c r="X201" s="572"/>
      <c r="Y201" s="572"/>
      <c r="Z201" s="572"/>
      <c r="AA201" s="572"/>
      <c r="AB201" s="572"/>
      <c r="AC201" s="572"/>
      <c r="AD201" s="572"/>
      <c r="AE201" s="514"/>
    </row>
    <row r="202" spans="6:31" s="281" customFormat="1" ht="12" thickBot="1">
      <c r="F202" s="501" t="str">
        <f ca="1">IF('CDO Bespoke'!O203&lt;&gt;"",'CDO Bespoke'!O203,"")</f>
        <v/>
      </c>
      <c r="G202" s="502" t="str">
        <f ca="1">IF(F202&lt;&gt;"",ABS(MIN(-0.75*('CDO Bespoke'!Q203+'CDO Bespoke'!T203)+'CDO Bespoke'!T203,0)),"")</f>
        <v/>
      </c>
      <c r="H202" s="502" t="str">
        <f t="shared" ca="1" si="8"/>
        <v/>
      </c>
      <c r="I202" s="502" t="str">
        <f t="shared" ca="1" si="11"/>
        <v/>
      </c>
      <c r="J202" s="501" t="str">
        <f ca="1">IF('CDO Bespoke'!O203&lt;&gt;"",'CDO Bespoke'!O203,"")</f>
        <v/>
      </c>
      <c r="K202" s="502" t="str">
        <f ca="1">IF(J202&lt;&gt;"",ABS(MIN(-0.75*('CDO Bespoke'!K203+'CDO Bespoke'!T203)+'CDO Bespoke'!T203,0)),"")</f>
        <v/>
      </c>
      <c r="L202" s="502" t="str">
        <f t="shared" ca="1" si="9"/>
        <v/>
      </c>
      <c r="M202" s="506" t="str">
        <f t="shared" ca="1" si="10"/>
        <v/>
      </c>
      <c r="O202" s="511" t="str">
        <f ca="1">IF('CDO Bespoke'!C227&lt;&gt;"",'CDO Bespoke'!C227,"")</f>
        <v/>
      </c>
      <c r="P202" s="513" t="str" cm="1">
        <f t="array" aca="1" ref="P202" ca="1">IF($O202&lt;&gt;"",-TRANSPOSE(INDEX(getcds('CDO Bespoke'!$C227,P$13,'CDO Bespoke'!$G227/10000,'CDO Bespoke'!F227,'CDO Bespoke'!D227,'CDO Bespoke'!$C$13,'CDO Bespoke'!$C$14,'CDO Bespoke'!$C$15,'CDO Bespoke'!$C$8,,,TRUE,TRUE,FALSE,'CDO Bespoke'!$C$29:'CDO Bespoke'!$C$31,'CDO Bespoke'!$C$33),{5})),"")</f>
        <v/>
      </c>
      <c r="Q202" s="524" t="str" cm="1">
        <f t="array" aca="1" ref="Q202" ca="1">IF($O202&lt;&gt;"",-TRANSPOSE(INDEX(getcds('CDO Bespoke'!$C227,Q$13,'CDO Bespoke'!$G227/10000,'CDO Bespoke'!G227,'CDO Bespoke'!E227,'CDO Bespoke'!$C$13,'CDO Bespoke'!$C$14,'CDO Bespoke'!$C$15,'CDO Bespoke'!$C$8,,,TRUE,TRUE,FALSE,'CDO Bespoke'!$C$29:'CDO Bespoke'!$C$31,'CDO Bespoke'!$C$33),{5})),"")</f>
        <v/>
      </c>
      <c r="R202" s="524" t="str" cm="1">
        <f t="array" aca="1" ref="R202" ca="1">IF($O202&lt;&gt;"",-TRANSPOSE(INDEX(getcds('CDO Bespoke'!$C227,R$13,'CDO Bespoke'!$G227/10000,'CDO Bespoke'!H227,'CDO Bespoke'!F227,'CDO Bespoke'!$C$13,'CDO Bespoke'!$C$14,'CDO Bespoke'!$C$15,'CDO Bespoke'!$C$8,,,TRUE,TRUE,FALSE,'CDO Bespoke'!$C$29:'CDO Bespoke'!$C$31,'CDO Bespoke'!$C$33),{5})),"")</f>
        <v/>
      </c>
      <c r="S202" s="524" t="str" cm="1">
        <f t="array" aca="1" ref="S202" ca="1">IF($O202&lt;&gt;"",-TRANSPOSE(INDEX(getcds('CDO Bespoke'!$C227,S$13,'CDO Bespoke'!$G227/10000,'CDO Bespoke'!I227,'CDO Bespoke'!G227,'CDO Bespoke'!$C$13,'CDO Bespoke'!$C$14,'CDO Bespoke'!$C$15,'CDO Bespoke'!$C$8,,,TRUE,TRUE,FALSE,'CDO Bespoke'!$C$29:'CDO Bespoke'!$C$31,'CDO Bespoke'!$C$33),{5})),"")</f>
        <v/>
      </c>
      <c r="T202" s="514" t="str" cm="1">
        <f t="array" aca="1" ref="T202" ca="1">IF($O202&lt;&gt;"",-TRANSPOSE(INDEX(getcds('CDO Bespoke'!$C227,T$13,'CDO Bespoke'!$G227/10000,'CDO Bespoke'!J227,'CDO Bespoke'!H227,'CDO Bespoke'!$C$13,'CDO Bespoke'!$C$14,'CDO Bespoke'!$C$15,'CDO Bespoke'!$C$8,,,TRUE,TRUE,FALSE,'CDO Bespoke'!$C$29:'CDO Bespoke'!$C$31,'CDO Bespoke'!$C$33),{5})),"")</f>
        <v/>
      </c>
      <c r="U202" s="493"/>
      <c r="V202" s="513"/>
      <c r="W202" s="572"/>
      <c r="X202" s="572"/>
      <c r="Y202" s="572"/>
      <c r="Z202" s="572"/>
      <c r="AA202" s="572"/>
      <c r="AB202" s="572"/>
      <c r="AC202" s="572"/>
      <c r="AD202" s="572"/>
      <c r="AE202" s="514"/>
    </row>
    <row r="203" spans="6:31" s="281" customFormat="1" ht="12" thickBot="1">
      <c r="F203" s="501" t="str">
        <f ca="1">IF('CDO Bespoke'!O204&lt;&gt;"",'CDO Bespoke'!O204,"")</f>
        <v/>
      </c>
      <c r="G203" s="502" t="str">
        <f ca="1">IF(F203&lt;&gt;"",ABS(MIN(-0.75*('CDO Bespoke'!Q204+'CDO Bespoke'!T204)+'CDO Bespoke'!T204,0)),"")</f>
        <v/>
      </c>
      <c r="H203" s="502" t="str">
        <f t="shared" ca="1" si="8"/>
        <v/>
      </c>
      <c r="I203" s="502" t="str">
        <f t="shared" ca="1" si="11"/>
        <v/>
      </c>
      <c r="J203" s="501" t="str">
        <f ca="1">IF('CDO Bespoke'!O204&lt;&gt;"",'CDO Bespoke'!O204,"")</f>
        <v/>
      </c>
      <c r="K203" s="502" t="str">
        <f ca="1">IF(J203&lt;&gt;"",ABS(MIN(-0.75*('CDO Bespoke'!K204+'CDO Bespoke'!T204)+'CDO Bespoke'!T204,0)),"")</f>
        <v/>
      </c>
      <c r="L203" s="502" t="str">
        <f t="shared" ca="1" si="9"/>
        <v/>
      </c>
      <c r="M203" s="506" t="str">
        <f t="shared" ca="1" si="10"/>
        <v/>
      </c>
      <c r="O203" s="511" t="str">
        <f ca="1">IF('CDO Bespoke'!C228&lt;&gt;"",'CDO Bespoke'!C228,"")</f>
        <v/>
      </c>
      <c r="P203" s="513" t="str" cm="1">
        <f t="array" aca="1" ref="P203" ca="1">IF($O203&lt;&gt;"",-TRANSPOSE(INDEX(getcds('CDO Bespoke'!$C228,P$13,'CDO Bespoke'!$G228/10000,'CDO Bespoke'!F228,'CDO Bespoke'!D228,'CDO Bespoke'!$C$13,'CDO Bespoke'!$C$14,'CDO Bespoke'!$C$15,'CDO Bespoke'!$C$8,,,TRUE,TRUE,FALSE,'CDO Bespoke'!$C$29:'CDO Bespoke'!$C$31,'CDO Bespoke'!$C$33),{5})),"")</f>
        <v/>
      </c>
      <c r="Q203" s="524" t="str" cm="1">
        <f t="array" aca="1" ref="Q203" ca="1">IF($O203&lt;&gt;"",-TRANSPOSE(INDEX(getcds('CDO Bespoke'!$C228,Q$13,'CDO Bespoke'!$G228/10000,'CDO Bespoke'!G228,'CDO Bespoke'!E228,'CDO Bespoke'!$C$13,'CDO Bespoke'!$C$14,'CDO Bespoke'!$C$15,'CDO Bespoke'!$C$8,,,TRUE,TRUE,FALSE,'CDO Bespoke'!$C$29:'CDO Bespoke'!$C$31,'CDO Bespoke'!$C$33),{5})),"")</f>
        <v/>
      </c>
      <c r="R203" s="524" t="str" cm="1">
        <f t="array" aca="1" ref="R203" ca="1">IF($O203&lt;&gt;"",-TRANSPOSE(INDEX(getcds('CDO Bespoke'!$C228,R$13,'CDO Bespoke'!$G228/10000,'CDO Bespoke'!H228,'CDO Bespoke'!F228,'CDO Bespoke'!$C$13,'CDO Bespoke'!$C$14,'CDO Bespoke'!$C$15,'CDO Bespoke'!$C$8,,,TRUE,TRUE,FALSE,'CDO Bespoke'!$C$29:'CDO Bespoke'!$C$31,'CDO Bespoke'!$C$33),{5})),"")</f>
        <v/>
      </c>
      <c r="S203" s="524" t="str" cm="1">
        <f t="array" aca="1" ref="S203" ca="1">IF($O203&lt;&gt;"",-TRANSPOSE(INDEX(getcds('CDO Bespoke'!$C228,S$13,'CDO Bespoke'!$G228/10000,'CDO Bespoke'!I228,'CDO Bespoke'!G228,'CDO Bespoke'!$C$13,'CDO Bespoke'!$C$14,'CDO Bespoke'!$C$15,'CDO Bespoke'!$C$8,,,TRUE,TRUE,FALSE,'CDO Bespoke'!$C$29:'CDO Bespoke'!$C$31,'CDO Bespoke'!$C$33),{5})),"")</f>
        <v/>
      </c>
      <c r="T203" s="514" t="str" cm="1">
        <f t="array" aca="1" ref="T203" ca="1">IF($O203&lt;&gt;"",-TRANSPOSE(INDEX(getcds('CDO Bespoke'!$C228,T$13,'CDO Bespoke'!$G228/10000,'CDO Bespoke'!J228,'CDO Bespoke'!H228,'CDO Bespoke'!$C$13,'CDO Bespoke'!$C$14,'CDO Bespoke'!$C$15,'CDO Bespoke'!$C$8,,,TRUE,TRUE,FALSE,'CDO Bespoke'!$C$29:'CDO Bespoke'!$C$31,'CDO Bespoke'!$C$33),{5})),"")</f>
        <v/>
      </c>
      <c r="U203" s="493"/>
      <c r="V203" s="513"/>
      <c r="W203" s="572"/>
      <c r="X203" s="572"/>
      <c r="Y203" s="572"/>
      <c r="Z203" s="572"/>
      <c r="AA203" s="572"/>
      <c r="AB203" s="572"/>
      <c r="AC203" s="572"/>
      <c r="AD203" s="572"/>
      <c r="AE203" s="514"/>
    </row>
    <row r="204" spans="6:31" s="281" customFormat="1" ht="12" thickBot="1">
      <c r="F204" s="501" t="str">
        <f ca="1">IF('CDO Bespoke'!O205&lt;&gt;"",'CDO Bespoke'!O205,"")</f>
        <v/>
      </c>
      <c r="G204" s="502" t="str">
        <f ca="1">IF(F204&lt;&gt;"",ABS(MIN(-0.75*('CDO Bespoke'!Q205+'CDO Bespoke'!T205)+'CDO Bespoke'!T205,0)),"")</f>
        <v/>
      </c>
      <c r="H204" s="502" t="str">
        <f t="shared" ca="1" si="8"/>
        <v/>
      </c>
      <c r="I204" s="502" t="str">
        <f t="shared" ca="1" si="11"/>
        <v/>
      </c>
      <c r="J204" s="501" t="str">
        <f ca="1">IF('CDO Bespoke'!O205&lt;&gt;"",'CDO Bespoke'!O205,"")</f>
        <v/>
      </c>
      <c r="K204" s="502" t="str">
        <f ca="1">IF(J204&lt;&gt;"",ABS(MIN(-0.75*('CDO Bespoke'!K205+'CDO Bespoke'!T205)+'CDO Bespoke'!T205,0)),"")</f>
        <v/>
      </c>
      <c r="L204" s="502" t="str">
        <f t="shared" ca="1" si="9"/>
        <v/>
      </c>
      <c r="M204" s="506" t="str">
        <f t="shared" ca="1" si="10"/>
        <v/>
      </c>
      <c r="O204" s="511" t="str">
        <f ca="1">IF('CDO Bespoke'!C229&lt;&gt;"",'CDO Bespoke'!C229,"")</f>
        <v/>
      </c>
      <c r="P204" s="513" t="str" cm="1">
        <f t="array" aca="1" ref="P204" ca="1">IF($O204&lt;&gt;"",-TRANSPOSE(INDEX(getcds('CDO Bespoke'!$C229,P$13,'CDO Bespoke'!$G229/10000,'CDO Bespoke'!F229,'CDO Bespoke'!D229,'CDO Bespoke'!$C$13,'CDO Bespoke'!$C$14,'CDO Bespoke'!$C$15,'CDO Bespoke'!$C$8,,,TRUE,TRUE,FALSE,'CDO Bespoke'!$C$29:'CDO Bespoke'!$C$31,'CDO Bespoke'!$C$33),{5})),"")</f>
        <v/>
      </c>
      <c r="Q204" s="524" t="str" cm="1">
        <f t="array" aca="1" ref="Q204" ca="1">IF($O204&lt;&gt;"",-TRANSPOSE(INDEX(getcds('CDO Bespoke'!$C229,Q$13,'CDO Bespoke'!$G229/10000,'CDO Bespoke'!G229,'CDO Bespoke'!E229,'CDO Bespoke'!$C$13,'CDO Bespoke'!$C$14,'CDO Bespoke'!$C$15,'CDO Bespoke'!$C$8,,,TRUE,TRUE,FALSE,'CDO Bespoke'!$C$29:'CDO Bespoke'!$C$31,'CDO Bespoke'!$C$33),{5})),"")</f>
        <v/>
      </c>
      <c r="R204" s="524" t="str" cm="1">
        <f t="array" aca="1" ref="R204" ca="1">IF($O204&lt;&gt;"",-TRANSPOSE(INDEX(getcds('CDO Bespoke'!$C229,R$13,'CDO Bespoke'!$G229/10000,'CDO Bespoke'!H229,'CDO Bespoke'!F229,'CDO Bespoke'!$C$13,'CDO Bespoke'!$C$14,'CDO Bespoke'!$C$15,'CDO Bespoke'!$C$8,,,TRUE,TRUE,FALSE,'CDO Bespoke'!$C$29:'CDO Bespoke'!$C$31,'CDO Bespoke'!$C$33),{5})),"")</f>
        <v/>
      </c>
      <c r="S204" s="524" t="str" cm="1">
        <f t="array" aca="1" ref="S204" ca="1">IF($O204&lt;&gt;"",-TRANSPOSE(INDEX(getcds('CDO Bespoke'!$C229,S$13,'CDO Bespoke'!$G229/10000,'CDO Bespoke'!I229,'CDO Bespoke'!G229,'CDO Bespoke'!$C$13,'CDO Bespoke'!$C$14,'CDO Bespoke'!$C$15,'CDO Bespoke'!$C$8,,,TRUE,TRUE,FALSE,'CDO Bespoke'!$C$29:'CDO Bespoke'!$C$31,'CDO Bespoke'!$C$33),{5})),"")</f>
        <v/>
      </c>
      <c r="T204" s="514" t="str" cm="1">
        <f t="array" aca="1" ref="T204" ca="1">IF($O204&lt;&gt;"",-TRANSPOSE(INDEX(getcds('CDO Bespoke'!$C229,T$13,'CDO Bespoke'!$G229/10000,'CDO Bespoke'!J229,'CDO Bespoke'!H229,'CDO Bespoke'!$C$13,'CDO Bespoke'!$C$14,'CDO Bespoke'!$C$15,'CDO Bespoke'!$C$8,,,TRUE,TRUE,FALSE,'CDO Bespoke'!$C$29:'CDO Bespoke'!$C$31,'CDO Bespoke'!$C$33),{5})),"")</f>
        <v/>
      </c>
      <c r="U204" s="493"/>
      <c r="V204" s="513"/>
      <c r="W204" s="572"/>
      <c r="X204" s="572"/>
      <c r="Y204" s="572"/>
      <c r="Z204" s="572"/>
      <c r="AA204" s="572"/>
      <c r="AB204" s="572"/>
      <c r="AC204" s="572"/>
      <c r="AD204" s="572"/>
      <c r="AE204" s="514"/>
    </row>
    <row r="205" spans="6:31" s="281" customFormat="1" ht="12" thickBot="1">
      <c r="F205" s="501" t="str">
        <f ca="1">IF('CDO Bespoke'!O206&lt;&gt;"",'CDO Bespoke'!O206,"")</f>
        <v/>
      </c>
      <c r="G205" s="502" t="str">
        <f ca="1">IF(F205&lt;&gt;"",ABS(MIN(-0.75*('CDO Bespoke'!Q206+'CDO Bespoke'!T206)+'CDO Bespoke'!T206,0)),"")</f>
        <v/>
      </c>
      <c r="H205" s="502" t="str">
        <f t="shared" ca="1" si="8"/>
        <v/>
      </c>
      <c r="I205" s="502" t="str">
        <f t="shared" ca="1" si="11"/>
        <v/>
      </c>
      <c r="J205" s="501" t="str">
        <f ca="1">IF('CDO Bespoke'!O206&lt;&gt;"",'CDO Bespoke'!O206,"")</f>
        <v/>
      </c>
      <c r="K205" s="502" t="str">
        <f ca="1">IF(J205&lt;&gt;"",ABS(MIN(-0.75*('CDO Bespoke'!K206+'CDO Bespoke'!T206)+'CDO Bespoke'!T206,0)),"")</f>
        <v/>
      </c>
      <c r="L205" s="502" t="str">
        <f t="shared" ca="1" si="9"/>
        <v/>
      </c>
      <c r="M205" s="506" t="str">
        <f t="shared" ca="1" si="10"/>
        <v/>
      </c>
      <c r="O205" s="511" t="str">
        <f ca="1">IF('CDO Bespoke'!C230&lt;&gt;"",'CDO Bespoke'!C230,"")</f>
        <v/>
      </c>
      <c r="P205" s="513" t="str" cm="1">
        <f t="array" aca="1" ref="P205" ca="1">IF($O205&lt;&gt;"",-TRANSPOSE(INDEX(getcds('CDO Bespoke'!$C230,P$13,'CDO Bespoke'!$G230/10000,'CDO Bespoke'!F230,'CDO Bespoke'!D230,'CDO Bespoke'!$C$13,'CDO Bespoke'!$C$14,'CDO Bespoke'!$C$15,'CDO Bespoke'!$C$8,,,TRUE,TRUE,FALSE,'CDO Bespoke'!$C$29:'CDO Bespoke'!$C$31,'CDO Bespoke'!$C$33),{5})),"")</f>
        <v/>
      </c>
      <c r="Q205" s="524" t="str" cm="1">
        <f t="array" aca="1" ref="Q205" ca="1">IF($O205&lt;&gt;"",-TRANSPOSE(INDEX(getcds('CDO Bespoke'!$C230,Q$13,'CDO Bespoke'!$G230/10000,'CDO Bespoke'!G230,'CDO Bespoke'!E230,'CDO Bespoke'!$C$13,'CDO Bespoke'!$C$14,'CDO Bespoke'!$C$15,'CDO Bespoke'!$C$8,,,TRUE,TRUE,FALSE,'CDO Bespoke'!$C$29:'CDO Bespoke'!$C$31,'CDO Bespoke'!$C$33),{5})),"")</f>
        <v/>
      </c>
      <c r="R205" s="524" t="str" cm="1">
        <f t="array" aca="1" ref="R205" ca="1">IF($O205&lt;&gt;"",-TRANSPOSE(INDEX(getcds('CDO Bespoke'!$C230,R$13,'CDO Bespoke'!$G230/10000,'CDO Bespoke'!H230,'CDO Bespoke'!F230,'CDO Bespoke'!$C$13,'CDO Bespoke'!$C$14,'CDO Bespoke'!$C$15,'CDO Bespoke'!$C$8,,,TRUE,TRUE,FALSE,'CDO Bespoke'!$C$29:'CDO Bespoke'!$C$31,'CDO Bespoke'!$C$33),{5})),"")</f>
        <v/>
      </c>
      <c r="S205" s="524" t="str" cm="1">
        <f t="array" aca="1" ref="S205" ca="1">IF($O205&lt;&gt;"",-TRANSPOSE(INDEX(getcds('CDO Bespoke'!$C230,S$13,'CDO Bespoke'!$G230/10000,'CDO Bespoke'!I230,'CDO Bespoke'!G230,'CDO Bespoke'!$C$13,'CDO Bespoke'!$C$14,'CDO Bespoke'!$C$15,'CDO Bespoke'!$C$8,,,TRUE,TRUE,FALSE,'CDO Bespoke'!$C$29:'CDO Bespoke'!$C$31,'CDO Bespoke'!$C$33),{5})),"")</f>
        <v/>
      </c>
      <c r="T205" s="514" t="str" cm="1">
        <f t="array" aca="1" ref="T205" ca="1">IF($O205&lt;&gt;"",-TRANSPOSE(INDEX(getcds('CDO Bespoke'!$C230,T$13,'CDO Bespoke'!$G230/10000,'CDO Bespoke'!J230,'CDO Bespoke'!H230,'CDO Bespoke'!$C$13,'CDO Bespoke'!$C$14,'CDO Bespoke'!$C$15,'CDO Bespoke'!$C$8,,,TRUE,TRUE,FALSE,'CDO Bespoke'!$C$29:'CDO Bespoke'!$C$31,'CDO Bespoke'!$C$33),{5})),"")</f>
        <v/>
      </c>
      <c r="U205" s="493"/>
      <c r="V205" s="513"/>
      <c r="W205" s="572"/>
      <c r="X205" s="572"/>
      <c r="Y205" s="572"/>
      <c r="Z205" s="572"/>
      <c r="AA205" s="572"/>
      <c r="AB205" s="572"/>
      <c r="AC205" s="572"/>
      <c r="AD205" s="572"/>
      <c r="AE205" s="514"/>
    </row>
    <row r="206" spans="6:31" s="281" customFormat="1" ht="12" thickBot="1">
      <c r="F206" s="501" t="str">
        <f ca="1">IF('CDO Bespoke'!O207&lt;&gt;"",'CDO Bespoke'!O207,"")</f>
        <v/>
      </c>
      <c r="G206" s="502" t="str">
        <f ca="1">IF(F206&lt;&gt;"",ABS(MIN(-0.75*('CDO Bespoke'!Q207+'CDO Bespoke'!T207)+'CDO Bespoke'!T207,0)),"")</f>
        <v/>
      </c>
      <c r="H206" s="502" t="str">
        <f t="shared" ca="1" si="8"/>
        <v/>
      </c>
      <c r="I206" s="502" t="str">
        <f t="shared" ca="1" si="11"/>
        <v/>
      </c>
      <c r="J206" s="501" t="str">
        <f ca="1">IF('CDO Bespoke'!O207&lt;&gt;"",'CDO Bespoke'!O207,"")</f>
        <v/>
      </c>
      <c r="K206" s="502" t="str">
        <f ca="1">IF(J206&lt;&gt;"",ABS(MIN(-0.75*('CDO Bespoke'!K207+'CDO Bespoke'!T207)+'CDO Bespoke'!T207,0)),"")</f>
        <v/>
      </c>
      <c r="L206" s="502" t="str">
        <f t="shared" ca="1" si="9"/>
        <v/>
      </c>
      <c r="M206" s="506" t="str">
        <f t="shared" ca="1" si="10"/>
        <v/>
      </c>
      <c r="O206" s="511" t="str">
        <f ca="1">IF('CDO Bespoke'!C231&lt;&gt;"",'CDO Bespoke'!C231,"")</f>
        <v/>
      </c>
      <c r="P206" s="513" t="str" cm="1">
        <f t="array" aca="1" ref="P206" ca="1">IF($O206&lt;&gt;"",-TRANSPOSE(INDEX(getcds('CDO Bespoke'!$C231,P$13,'CDO Bespoke'!$G231/10000,'CDO Bespoke'!F231,'CDO Bespoke'!D231,'CDO Bespoke'!$C$13,'CDO Bespoke'!$C$14,'CDO Bespoke'!$C$15,'CDO Bespoke'!$C$8,,,TRUE,TRUE,FALSE,'CDO Bespoke'!$C$29:'CDO Bespoke'!$C$31,'CDO Bespoke'!$C$33),{5})),"")</f>
        <v/>
      </c>
      <c r="Q206" s="524" t="str" cm="1">
        <f t="array" aca="1" ref="Q206" ca="1">IF($O206&lt;&gt;"",-TRANSPOSE(INDEX(getcds('CDO Bespoke'!$C231,Q$13,'CDO Bespoke'!$G231/10000,'CDO Bespoke'!G231,'CDO Bespoke'!E231,'CDO Bespoke'!$C$13,'CDO Bespoke'!$C$14,'CDO Bespoke'!$C$15,'CDO Bespoke'!$C$8,,,TRUE,TRUE,FALSE,'CDO Bespoke'!$C$29:'CDO Bespoke'!$C$31,'CDO Bespoke'!$C$33),{5})),"")</f>
        <v/>
      </c>
      <c r="R206" s="524" t="str" cm="1">
        <f t="array" aca="1" ref="R206" ca="1">IF($O206&lt;&gt;"",-TRANSPOSE(INDEX(getcds('CDO Bespoke'!$C231,R$13,'CDO Bespoke'!$G231/10000,'CDO Bespoke'!H231,'CDO Bespoke'!F231,'CDO Bespoke'!$C$13,'CDO Bespoke'!$C$14,'CDO Bespoke'!$C$15,'CDO Bespoke'!$C$8,,,TRUE,TRUE,FALSE,'CDO Bespoke'!$C$29:'CDO Bespoke'!$C$31,'CDO Bespoke'!$C$33),{5})),"")</f>
        <v/>
      </c>
      <c r="S206" s="524" t="str" cm="1">
        <f t="array" aca="1" ref="S206" ca="1">IF($O206&lt;&gt;"",-TRANSPOSE(INDEX(getcds('CDO Bespoke'!$C231,S$13,'CDO Bespoke'!$G231/10000,'CDO Bespoke'!I231,'CDO Bespoke'!G231,'CDO Bespoke'!$C$13,'CDO Bespoke'!$C$14,'CDO Bespoke'!$C$15,'CDO Bespoke'!$C$8,,,TRUE,TRUE,FALSE,'CDO Bespoke'!$C$29:'CDO Bespoke'!$C$31,'CDO Bespoke'!$C$33),{5})),"")</f>
        <v/>
      </c>
      <c r="T206" s="514" t="str" cm="1">
        <f t="array" aca="1" ref="T206" ca="1">IF($O206&lt;&gt;"",-TRANSPOSE(INDEX(getcds('CDO Bespoke'!$C231,T$13,'CDO Bespoke'!$G231/10000,'CDO Bespoke'!J231,'CDO Bespoke'!H231,'CDO Bespoke'!$C$13,'CDO Bespoke'!$C$14,'CDO Bespoke'!$C$15,'CDO Bespoke'!$C$8,,,TRUE,TRUE,FALSE,'CDO Bespoke'!$C$29:'CDO Bespoke'!$C$31,'CDO Bespoke'!$C$33),{5})),"")</f>
        <v/>
      </c>
      <c r="U206" s="493"/>
      <c r="V206" s="513"/>
      <c r="W206" s="572"/>
      <c r="X206" s="572"/>
      <c r="Y206" s="572"/>
      <c r="Z206" s="572"/>
      <c r="AA206" s="572"/>
      <c r="AB206" s="572"/>
      <c r="AC206" s="572"/>
      <c r="AD206" s="572"/>
      <c r="AE206" s="514"/>
    </row>
    <row r="207" spans="6:31" s="281" customFormat="1" ht="12" thickBot="1">
      <c r="F207" s="501" t="str">
        <f ca="1">IF('CDO Bespoke'!O208&lt;&gt;"",'CDO Bespoke'!O208,"")</f>
        <v/>
      </c>
      <c r="G207" s="502" t="str">
        <f ca="1">IF(F207&lt;&gt;"",ABS(MIN(-0.75*('CDO Bespoke'!Q208+'CDO Bespoke'!T208)+'CDO Bespoke'!T208,0)),"")</f>
        <v/>
      </c>
      <c r="H207" s="502" t="str">
        <f t="shared" ref="H207:H270" ca="1" si="12">IF(F207&lt;&gt;"",IF($G$8,MAX(F207-G207,0),F207),"")</f>
        <v/>
      </c>
      <c r="I207" s="502" t="str">
        <f t="shared" ca="1" si="11"/>
        <v/>
      </c>
      <c r="J207" s="501" t="str">
        <f ca="1">IF('CDO Bespoke'!O208&lt;&gt;"",'CDO Bespoke'!O208,"")</f>
        <v/>
      </c>
      <c r="K207" s="502" t="str">
        <f ca="1">IF(J207&lt;&gt;"",ABS(MIN(-0.75*('CDO Bespoke'!K208+'CDO Bespoke'!T208)+'CDO Bespoke'!T208,0)),"")</f>
        <v/>
      </c>
      <c r="L207" s="502" t="str">
        <f t="shared" ref="L207:L270" ca="1" si="13">IF(J207&lt;&gt;"",IF($G$8,MAX(J207-K207,0),J207),"")</f>
        <v/>
      </c>
      <c r="M207" s="506" t="str">
        <f t="shared" ref="M207:M270" ca="1" si="14">IF(J207&lt;&gt;"",IF($G$8,0,K207),"")</f>
        <v/>
      </c>
      <c r="O207" s="511" t="str">
        <f ca="1">IF('CDO Bespoke'!C232&lt;&gt;"",'CDO Bespoke'!C232,"")</f>
        <v/>
      </c>
      <c r="P207" s="513" t="str" cm="1">
        <f t="array" aca="1" ref="P207" ca="1">IF($O207&lt;&gt;"",-TRANSPOSE(INDEX(getcds('CDO Bespoke'!$C232,P$13,'CDO Bespoke'!$G232/10000,'CDO Bespoke'!F232,'CDO Bespoke'!D232,'CDO Bespoke'!$C$13,'CDO Bespoke'!$C$14,'CDO Bespoke'!$C$15,'CDO Bespoke'!$C$8,,,TRUE,TRUE,FALSE,'CDO Bespoke'!$C$29:'CDO Bespoke'!$C$31,'CDO Bespoke'!$C$33),{5})),"")</f>
        <v/>
      </c>
      <c r="Q207" s="524" t="str" cm="1">
        <f t="array" aca="1" ref="Q207" ca="1">IF($O207&lt;&gt;"",-TRANSPOSE(INDEX(getcds('CDO Bespoke'!$C232,Q$13,'CDO Bespoke'!$G232/10000,'CDO Bespoke'!G232,'CDO Bespoke'!E232,'CDO Bespoke'!$C$13,'CDO Bespoke'!$C$14,'CDO Bespoke'!$C$15,'CDO Bespoke'!$C$8,,,TRUE,TRUE,FALSE,'CDO Bespoke'!$C$29:'CDO Bespoke'!$C$31,'CDO Bespoke'!$C$33),{5})),"")</f>
        <v/>
      </c>
      <c r="R207" s="524" t="str" cm="1">
        <f t="array" aca="1" ref="R207" ca="1">IF($O207&lt;&gt;"",-TRANSPOSE(INDEX(getcds('CDO Bespoke'!$C232,R$13,'CDO Bespoke'!$G232/10000,'CDO Bespoke'!H232,'CDO Bespoke'!F232,'CDO Bespoke'!$C$13,'CDO Bespoke'!$C$14,'CDO Bespoke'!$C$15,'CDO Bespoke'!$C$8,,,TRUE,TRUE,FALSE,'CDO Bespoke'!$C$29:'CDO Bespoke'!$C$31,'CDO Bespoke'!$C$33),{5})),"")</f>
        <v/>
      </c>
      <c r="S207" s="524" t="str" cm="1">
        <f t="array" aca="1" ref="S207" ca="1">IF($O207&lt;&gt;"",-TRANSPOSE(INDEX(getcds('CDO Bespoke'!$C232,S$13,'CDO Bespoke'!$G232/10000,'CDO Bespoke'!I232,'CDO Bespoke'!G232,'CDO Bespoke'!$C$13,'CDO Bespoke'!$C$14,'CDO Bespoke'!$C$15,'CDO Bespoke'!$C$8,,,TRUE,TRUE,FALSE,'CDO Bespoke'!$C$29:'CDO Bespoke'!$C$31,'CDO Bespoke'!$C$33),{5})),"")</f>
        <v/>
      </c>
      <c r="T207" s="514" t="str" cm="1">
        <f t="array" aca="1" ref="T207" ca="1">IF($O207&lt;&gt;"",-TRANSPOSE(INDEX(getcds('CDO Bespoke'!$C232,T$13,'CDO Bespoke'!$G232/10000,'CDO Bespoke'!J232,'CDO Bespoke'!H232,'CDO Bespoke'!$C$13,'CDO Bespoke'!$C$14,'CDO Bespoke'!$C$15,'CDO Bespoke'!$C$8,,,TRUE,TRUE,FALSE,'CDO Bespoke'!$C$29:'CDO Bespoke'!$C$31,'CDO Bespoke'!$C$33),{5})),"")</f>
        <v/>
      </c>
      <c r="U207" s="493"/>
      <c r="V207" s="513"/>
      <c r="W207" s="572"/>
      <c r="X207" s="572"/>
      <c r="Y207" s="572"/>
      <c r="Z207" s="572"/>
      <c r="AA207" s="572"/>
      <c r="AB207" s="572"/>
      <c r="AC207" s="572"/>
      <c r="AD207" s="572"/>
      <c r="AE207" s="514"/>
    </row>
    <row r="208" spans="6:31" s="281" customFormat="1" ht="12" thickBot="1">
      <c r="F208" s="501" t="str">
        <f ca="1">IF('CDO Bespoke'!O209&lt;&gt;"",'CDO Bespoke'!O209,"")</f>
        <v/>
      </c>
      <c r="G208" s="502" t="str">
        <f ca="1">IF(F208&lt;&gt;"",ABS(MIN(-0.75*('CDO Bespoke'!Q209+'CDO Bespoke'!T209)+'CDO Bespoke'!T209,0)),"")</f>
        <v/>
      </c>
      <c r="H208" s="502" t="str">
        <f t="shared" ca="1" si="12"/>
        <v/>
      </c>
      <c r="I208" s="502" t="str">
        <f t="shared" ref="I208:I271" ca="1" si="15">IF(F208&lt;&gt;"",IF($G$8,0,G208),"")</f>
        <v/>
      </c>
      <c r="J208" s="501" t="str">
        <f ca="1">IF('CDO Bespoke'!O209&lt;&gt;"",'CDO Bespoke'!O209,"")</f>
        <v/>
      </c>
      <c r="K208" s="502" t="str">
        <f ca="1">IF(J208&lt;&gt;"",ABS(MIN(-0.75*('CDO Bespoke'!K209+'CDO Bespoke'!T209)+'CDO Bespoke'!T209,0)),"")</f>
        <v/>
      </c>
      <c r="L208" s="502" t="str">
        <f t="shared" ca="1" si="13"/>
        <v/>
      </c>
      <c r="M208" s="506" t="str">
        <f t="shared" ca="1" si="14"/>
        <v/>
      </c>
      <c r="O208" s="511" t="str">
        <f ca="1">IF('CDO Bespoke'!C233&lt;&gt;"",'CDO Bespoke'!C233,"")</f>
        <v/>
      </c>
      <c r="P208" s="513" t="str" cm="1">
        <f t="array" aca="1" ref="P208" ca="1">IF($O208&lt;&gt;"",-TRANSPOSE(INDEX(getcds('CDO Bespoke'!$C233,P$13,'CDO Bespoke'!$G233/10000,'CDO Bespoke'!F233,'CDO Bespoke'!D233,'CDO Bespoke'!$C$13,'CDO Bespoke'!$C$14,'CDO Bespoke'!$C$15,'CDO Bespoke'!$C$8,,,TRUE,TRUE,FALSE,'CDO Bespoke'!$C$29:'CDO Bespoke'!$C$31,'CDO Bespoke'!$C$33),{5})),"")</f>
        <v/>
      </c>
      <c r="Q208" s="524" t="str" cm="1">
        <f t="array" aca="1" ref="Q208" ca="1">IF($O208&lt;&gt;"",-TRANSPOSE(INDEX(getcds('CDO Bespoke'!$C233,Q$13,'CDO Bespoke'!$G233/10000,'CDO Bespoke'!G233,'CDO Bespoke'!E233,'CDO Bespoke'!$C$13,'CDO Bespoke'!$C$14,'CDO Bespoke'!$C$15,'CDO Bespoke'!$C$8,,,TRUE,TRUE,FALSE,'CDO Bespoke'!$C$29:'CDO Bespoke'!$C$31,'CDO Bespoke'!$C$33),{5})),"")</f>
        <v/>
      </c>
      <c r="R208" s="524" t="str" cm="1">
        <f t="array" aca="1" ref="R208" ca="1">IF($O208&lt;&gt;"",-TRANSPOSE(INDEX(getcds('CDO Bespoke'!$C233,R$13,'CDO Bespoke'!$G233/10000,'CDO Bespoke'!H233,'CDO Bespoke'!F233,'CDO Bespoke'!$C$13,'CDO Bespoke'!$C$14,'CDO Bespoke'!$C$15,'CDO Bespoke'!$C$8,,,TRUE,TRUE,FALSE,'CDO Bespoke'!$C$29:'CDO Bespoke'!$C$31,'CDO Bespoke'!$C$33),{5})),"")</f>
        <v/>
      </c>
      <c r="S208" s="524" t="str" cm="1">
        <f t="array" aca="1" ref="S208" ca="1">IF($O208&lt;&gt;"",-TRANSPOSE(INDEX(getcds('CDO Bespoke'!$C233,S$13,'CDO Bespoke'!$G233/10000,'CDO Bespoke'!I233,'CDO Bespoke'!G233,'CDO Bespoke'!$C$13,'CDO Bespoke'!$C$14,'CDO Bespoke'!$C$15,'CDO Bespoke'!$C$8,,,TRUE,TRUE,FALSE,'CDO Bespoke'!$C$29:'CDO Bespoke'!$C$31,'CDO Bespoke'!$C$33),{5})),"")</f>
        <v/>
      </c>
      <c r="T208" s="514" t="str" cm="1">
        <f t="array" aca="1" ref="T208" ca="1">IF($O208&lt;&gt;"",-TRANSPOSE(INDEX(getcds('CDO Bespoke'!$C233,T$13,'CDO Bespoke'!$G233/10000,'CDO Bespoke'!J233,'CDO Bespoke'!H233,'CDO Bespoke'!$C$13,'CDO Bespoke'!$C$14,'CDO Bespoke'!$C$15,'CDO Bespoke'!$C$8,,,TRUE,TRUE,FALSE,'CDO Bespoke'!$C$29:'CDO Bespoke'!$C$31,'CDO Bespoke'!$C$33),{5})),"")</f>
        <v/>
      </c>
      <c r="U208" s="493"/>
      <c r="V208" s="513"/>
      <c r="W208" s="572"/>
      <c r="X208" s="572"/>
      <c r="Y208" s="572"/>
      <c r="Z208" s="572"/>
      <c r="AA208" s="572"/>
      <c r="AB208" s="572"/>
      <c r="AC208" s="572"/>
      <c r="AD208" s="572"/>
      <c r="AE208" s="514"/>
    </row>
    <row r="209" spans="6:31" s="281" customFormat="1" ht="12" thickBot="1">
      <c r="F209" s="501" t="str">
        <f ca="1">IF('CDO Bespoke'!O210&lt;&gt;"",'CDO Bespoke'!O210,"")</f>
        <v/>
      </c>
      <c r="G209" s="502" t="str">
        <f ca="1">IF(F209&lt;&gt;"",ABS(MIN(-0.75*('CDO Bespoke'!Q210+'CDO Bespoke'!T210)+'CDO Bespoke'!T210,0)),"")</f>
        <v/>
      </c>
      <c r="H209" s="502" t="str">
        <f t="shared" ca="1" si="12"/>
        <v/>
      </c>
      <c r="I209" s="502" t="str">
        <f t="shared" ca="1" si="15"/>
        <v/>
      </c>
      <c r="J209" s="501" t="str">
        <f ca="1">IF('CDO Bespoke'!O210&lt;&gt;"",'CDO Bespoke'!O210,"")</f>
        <v/>
      </c>
      <c r="K209" s="502" t="str">
        <f ca="1">IF(J209&lt;&gt;"",ABS(MIN(-0.75*('CDO Bespoke'!K210+'CDO Bespoke'!T210)+'CDO Bespoke'!T210,0)),"")</f>
        <v/>
      </c>
      <c r="L209" s="502" t="str">
        <f t="shared" ca="1" si="13"/>
        <v/>
      </c>
      <c r="M209" s="506" t="str">
        <f t="shared" ca="1" si="14"/>
        <v/>
      </c>
      <c r="O209" s="511" t="str">
        <f ca="1">IF('CDO Bespoke'!C234&lt;&gt;"",'CDO Bespoke'!C234,"")</f>
        <v/>
      </c>
      <c r="P209" s="513" t="str" cm="1">
        <f t="array" aca="1" ref="P209" ca="1">IF($O209&lt;&gt;"",-TRANSPOSE(INDEX(getcds('CDO Bespoke'!$C234,P$13,'CDO Bespoke'!$G234/10000,'CDO Bespoke'!F234,'CDO Bespoke'!D234,'CDO Bespoke'!$C$13,'CDO Bespoke'!$C$14,'CDO Bespoke'!$C$15,'CDO Bespoke'!$C$8,,,TRUE,TRUE,FALSE,'CDO Bespoke'!$C$29:'CDO Bespoke'!$C$31,'CDO Bespoke'!$C$33),{5})),"")</f>
        <v/>
      </c>
      <c r="Q209" s="524" t="str" cm="1">
        <f t="array" aca="1" ref="Q209" ca="1">IF($O209&lt;&gt;"",-TRANSPOSE(INDEX(getcds('CDO Bespoke'!$C234,Q$13,'CDO Bespoke'!$G234/10000,'CDO Bespoke'!G234,'CDO Bespoke'!E234,'CDO Bespoke'!$C$13,'CDO Bespoke'!$C$14,'CDO Bespoke'!$C$15,'CDO Bespoke'!$C$8,,,TRUE,TRUE,FALSE,'CDO Bespoke'!$C$29:'CDO Bespoke'!$C$31,'CDO Bespoke'!$C$33),{5})),"")</f>
        <v/>
      </c>
      <c r="R209" s="524" t="str" cm="1">
        <f t="array" aca="1" ref="R209" ca="1">IF($O209&lt;&gt;"",-TRANSPOSE(INDEX(getcds('CDO Bespoke'!$C234,R$13,'CDO Bespoke'!$G234/10000,'CDO Bespoke'!H234,'CDO Bespoke'!F234,'CDO Bespoke'!$C$13,'CDO Bespoke'!$C$14,'CDO Bespoke'!$C$15,'CDO Bespoke'!$C$8,,,TRUE,TRUE,FALSE,'CDO Bespoke'!$C$29:'CDO Bespoke'!$C$31,'CDO Bespoke'!$C$33),{5})),"")</f>
        <v/>
      </c>
      <c r="S209" s="524" t="str" cm="1">
        <f t="array" aca="1" ref="S209" ca="1">IF($O209&lt;&gt;"",-TRANSPOSE(INDEX(getcds('CDO Bespoke'!$C234,S$13,'CDO Bespoke'!$G234/10000,'CDO Bespoke'!I234,'CDO Bespoke'!G234,'CDO Bespoke'!$C$13,'CDO Bespoke'!$C$14,'CDO Bespoke'!$C$15,'CDO Bespoke'!$C$8,,,TRUE,TRUE,FALSE,'CDO Bespoke'!$C$29:'CDO Bespoke'!$C$31,'CDO Bespoke'!$C$33),{5})),"")</f>
        <v/>
      </c>
      <c r="T209" s="514" t="str" cm="1">
        <f t="array" aca="1" ref="T209" ca="1">IF($O209&lt;&gt;"",-TRANSPOSE(INDEX(getcds('CDO Bespoke'!$C234,T$13,'CDO Bespoke'!$G234/10000,'CDO Bespoke'!J234,'CDO Bespoke'!H234,'CDO Bespoke'!$C$13,'CDO Bespoke'!$C$14,'CDO Bespoke'!$C$15,'CDO Bespoke'!$C$8,,,TRUE,TRUE,FALSE,'CDO Bespoke'!$C$29:'CDO Bespoke'!$C$31,'CDO Bespoke'!$C$33),{5})),"")</f>
        <v/>
      </c>
      <c r="U209" s="493"/>
      <c r="V209" s="513"/>
      <c r="W209" s="572"/>
      <c r="X209" s="572"/>
      <c r="Y209" s="572"/>
      <c r="Z209" s="572"/>
      <c r="AA209" s="572"/>
      <c r="AB209" s="572"/>
      <c r="AC209" s="572"/>
      <c r="AD209" s="572"/>
      <c r="AE209" s="514"/>
    </row>
    <row r="210" spans="6:31" s="281" customFormat="1" ht="12" thickBot="1">
      <c r="F210" s="501" t="str">
        <f ca="1">IF('CDO Bespoke'!O211&lt;&gt;"",'CDO Bespoke'!O211,"")</f>
        <v/>
      </c>
      <c r="G210" s="502" t="str">
        <f ca="1">IF(F210&lt;&gt;"",ABS(MIN(-0.75*('CDO Bespoke'!Q211+'CDO Bespoke'!T211)+'CDO Bespoke'!T211,0)),"")</f>
        <v/>
      </c>
      <c r="H210" s="502" t="str">
        <f t="shared" ca="1" si="12"/>
        <v/>
      </c>
      <c r="I210" s="502" t="str">
        <f t="shared" ca="1" si="15"/>
        <v/>
      </c>
      <c r="J210" s="501" t="str">
        <f ca="1">IF('CDO Bespoke'!O211&lt;&gt;"",'CDO Bespoke'!O211,"")</f>
        <v/>
      </c>
      <c r="K210" s="502" t="str">
        <f ca="1">IF(J210&lt;&gt;"",ABS(MIN(-0.75*('CDO Bespoke'!K211+'CDO Bespoke'!T211)+'CDO Bespoke'!T211,0)),"")</f>
        <v/>
      </c>
      <c r="L210" s="502" t="str">
        <f t="shared" ca="1" si="13"/>
        <v/>
      </c>
      <c r="M210" s="506" t="str">
        <f t="shared" ca="1" si="14"/>
        <v/>
      </c>
      <c r="O210" s="511" t="str">
        <f ca="1">IF('CDO Bespoke'!C235&lt;&gt;"",'CDO Bespoke'!C235,"")</f>
        <v/>
      </c>
      <c r="P210" s="513" t="str" cm="1">
        <f t="array" aca="1" ref="P210" ca="1">IF($O210&lt;&gt;"",-TRANSPOSE(INDEX(getcds('CDO Bespoke'!$C235,P$13,'CDO Bespoke'!$G235/10000,'CDO Bespoke'!F235,'CDO Bespoke'!D235,'CDO Bespoke'!$C$13,'CDO Bespoke'!$C$14,'CDO Bespoke'!$C$15,'CDO Bespoke'!$C$8,,,TRUE,TRUE,FALSE,'CDO Bespoke'!$C$29:'CDO Bespoke'!$C$31,'CDO Bespoke'!$C$33),{5})),"")</f>
        <v/>
      </c>
      <c r="Q210" s="524" t="str" cm="1">
        <f t="array" aca="1" ref="Q210" ca="1">IF($O210&lt;&gt;"",-TRANSPOSE(INDEX(getcds('CDO Bespoke'!$C235,Q$13,'CDO Bespoke'!$G235/10000,'CDO Bespoke'!G235,'CDO Bespoke'!E235,'CDO Bespoke'!$C$13,'CDO Bespoke'!$C$14,'CDO Bespoke'!$C$15,'CDO Bespoke'!$C$8,,,TRUE,TRUE,FALSE,'CDO Bespoke'!$C$29:'CDO Bespoke'!$C$31,'CDO Bespoke'!$C$33),{5})),"")</f>
        <v/>
      </c>
      <c r="R210" s="524" t="str" cm="1">
        <f t="array" aca="1" ref="R210" ca="1">IF($O210&lt;&gt;"",-TRANSPOSE(INDEX(getcds('CDO Bespoke'!$C235,R$13,'CDO Bespoke'!$G235/10000,'CDO Bespoke'!H235,'CDO Bespoke'!F235,'CDO Bespoke'!$C$13,'CDO Bespoke'!$C$14,'CDO Bespoke'!$C$15,'CDO Bespoke'!$C$8,,,TRUE,TRUE,FALSE,'CDO Bespoke'!$C$29:'CDO Bespoke'!$C$31,'CDO Bespoke'!$C$33),{5})),"")</f>
        <v/>
      </c>
      <c r="S210" s="524" t="str" cm="1">
        <f t="array" aca="1" ref="S210" ca="1">IF($O210&lt;&gt;"",-TRANSPOSE(INDEX(getcds('CDO Bespoke'!$C235,S$13,'CDO Bespoke'!$G235/10000,'CDO Bespoke'!I235,'CDO Bespoke'!G235,'CDO Bespoke'!$C$13,'CDO Bespoke'!$C$14,'CDO Bespoke'!$C$15,'CDO Bespoke'!$C$8,,,TRUE,TRUE,FALSE,'CDO Bespoke'!$C$29:'CDO Bespoke'!$C$31,'CDO Bespoke'!$C$33),{5})),"")</f>
        <v/>
      </c>
      <c r="T210" s="514" t="str" cm="1">
        <f t="array" aca="1" ref="T210" ca="1">IF($O210&lt;&gt;"",-TRANSPOSE(INDEX(getcds('CDO Bespoke'!$C235,T$13,'CDO Bespoke'!$G235/10000,'CDO Bespoke'!J235,'CDO Bespoke'!H235,'CDO Bespoke'!$C$13,'CDO Bespoke'!$C$14,'CDO Bespoke'!$C$15,'CDO Bespoke'!$C$8,,,TRUE,TRUE,FALSE,'CDO Bespoke'!$C$29:'CDO Bespoke'!$C$31,'CDO Bespoke'!$C$33),{5})),"")</f>
        <v/>
      </c>
      <c r="U210" s="493"/>
      <c r="V210" s="513"/>
      <c r="W210" s="572"/>
      <c r="X210" s="572"/>
      <c r="Y210" s="572"/>
      <c r="Z210" s="572"/>
      <c r="AA210" s="572"/>
      <c r="AB210" s="572"/>
      <c r="AC210" s="572"/>
      <c r="AD210" s="572"/>
      <c r="AE210" s="514"/>
    </row>
    <row r="211" spans="6:31" s="281" customFormat="1" ht="12" thickBot="1">
      <c r="F211" s="501" t="str">
        <f ca="1">IF('CDO Bespoke'!O212&lt;&gt;"",'CDO Bespoke'!O212,"")</f>
        <v/>
      </c>
      <c r="G211" s="502" t="str">
        <f ca="1">IF(F211&lt;&gt;"",ABS(MIN(-0.75*('CDO Bespoke'!Q212+'CDO Bespoke'!T212)+'CDO Bespoke'!T212,0)),"")</f>
        <v/>
      </c>
      <c r="H211" s="502" t="str">
        <f t="shared" ca="1" si="12"/>
        <v/>
      </c>
      <c r="I211" s="502" t="str">
        <f t="shared" ca="1" si="15"/>
        <v/>
      </c>
      <c r="J211" s="501" t="str">
        <f ca="1">IF('CDO Bespoke'!O212&lt;&gt;"",'CDO Bespoke'!O212,"")</f>
        <v/>
      </c>
      <c r="K211" s="502" t="str">
        <f ca="1">IF(J211&lt;&gt;"",ABS(MIN(-0.75*('CDO Bespoke'!K212+'CDO Bespoke'!T212)+'CDO Bespoke'!T212,0)),"")</f>
        <v/>
      </c>
      <c r="L211" s="502" t="str">
        <f t="shared" ca="1" si="13"/>
        <v/>
      </c>
      <c r="M211" s="506" t="str">
        <f t="shared" ca="1" si="14"/>
        <v/>
      </c>
      <c r="O211" s="511" t="str">
        <f ca="1">IF('CDO Bespoke'!C236&lt;&gt;"",'CDO Bespoke'!C236,"")</f>
        <v/>
      </c>
      <c r="P211" s="513" t="str" cm="1">
        <f t="array" aca="1" ref="P211" ca="1">IF($O211&lt;&gt;"",-TRANSPOSE(INDEX(getcds('CDO Bespoke'!$C236,P$13,'CDO Bespoke'!$G236/10000,'CDO Bespoke'!F236,'CDO Bespoke'!D236,'CDO Bespoke'!$C$13,'CDO Bespoke'!$C$14,'CDO Bespoke'!$C$15,'CDO Bespoke'!$C$8,,,TRUE,TRUE,FALSE,'CDO Bespoke'!$C$29:'CDO Bespoke'!$C$31,'CDO Bespoke'!$C$33),{5})),"")</f>
        <v/>
      </c>
      <c r="Q211" s="524" t="str" cm="1">
        <f t="array" aca="1" ref="Q211" ca="1">IF($O211&lt;&gt;"",-TRANSPOSE(INDEX(getcds('CDO Bespoke'!$C236,Q$13,'CDO Bespoke'!$G236/10000,'CDO Bespoke'!G236,'CDO Bespoke'!E236,'CDO Bespoke'!$C$13,'CDO Bespoke'!$C$14,'CDO Bespoke'!$C$15,'CDO Bespoke'!$C$8,,,TRUE,TRUE,FALSE,'CDO Bespoke'!$C$29:'CDO Bespoke'!$C$31,'CDO Bespoke'!$C$33),{5})),"")</f>
        <v/>
      </c>
      <c r="R211" s="524" t="str" cm="1">
        <f t="array" aca="1" ref="R211" ca="1">IF($O211&lt;&gt;"",-TRANSPOSE(INDEX(getcds('CDO Bespoke'!$C236,R$13,'CDO Bespoke'!$G236/10000,'CDO Bespoke'!H236,'CDO Bespoke'!F236,'CDO Bespoke'!$C$13,'CDO Bespoke'!$C$14,'CDO Bespoke'!$C$15,'CDO Bespoke'!$C$8,,,TRUE,TRUE,FALSE,'CDO Bespoke'!$C$29:'CDO Bespoke'!$C$31,'CDO Bespoke'!$C$33),{5})),"")</f>
        <v/>
      </c>
      <c r="S211" s="524" t="str" cm="1">
        <f t="array" aca="1" ref="S211" ca="1">IF($O211&lt;&gt;"",-TRANSPOSE(INDEX(getcds('CDO Bespoke'!$C236,S$13,'CDO Bespoke'!$G236/10000,'CDO Bespoke'!I236,'CDO Bespoke'!G236,'CDO Bespoke'!$C$13,'CDO Bespoke'!$C$14,'CDO Bespoke'!$C$15,'CDO Bespoke'!$C$8,,,TRUE,TRUE,FALSE,'CDO Bespoke'!$C$29:'CDO Bespoke'!$C$31,'CDO Bespoke'!$C$33),{5})),"")</f>
        <v/>
      </c>
      <c r="T211" s="514" t="str" cm="1">
        <f t="array" aca="1" ref="T211" ca="1">IF($O211&lt;&gt;"",-TRANSPOSE(INDEX(getcds('CDO Bespoke'!$C236,T$13,'CDO Bespoke'!$G236/10000,'CDO Bespoke'!J236,'CDO Bespoke'!H236,'CDO Bespoke'!$C$13,'CDO Bespoke'!$C$14,'CDO Bespoke'!$C$15,'CDO Bespoke'!$C$8,,,TRUE,TRUE,FALSE,'CDO Bespoke'!$C$29:'CDO Bespoke'!$C$31,'CDO Bespoke'!$C$33),{5})),"")</f>
        <v/>
      </c>
      <c r="U211" s="493"/>
      <c r="V211" s="513"/>
      <c r="W211" s="572"/>
      <c r="X211" s="572"/>
      <c r="Y211" s="572"/>
      <c r="Z211" s="572"/>
      <c r="AA211" s="572"/>
      <c r="AB211" s="572"/>
      <c r="AC211" s="572"/>
      <c r="AD211" s="572"/>
      <c r="AE211" s="514"/>
    </row>
    <row r="212" spans="6:31" s="281" customFormat="1" ht="12" thickBot="1">
      <c r="F212" s="501" t="str">
        <f ca="1">IF('CDO Bespoke'!O213&lt;&gt;"",'CDO Bespoke'!O213,"")</f>
        <v/>
      </c>
      <c r="G212" s="502" t="str">
        <f ca="1">IF(F212&lt;&gt;"",ABS(MIN(-0.75*('CDO Bespoke'!Q213+'CDO Bespoke'!T213)+'CDO Bespoke'!T213,0)),"")</f>
        <v/>
      </c>
      <c r="H212" s="502" t="str">
        <f t="shared" ca="1" si="12"/>
        <v/>
      </c>
      <c r="I212" s="502" t="str">
        <f t="shared" ca="1" si="15"/>
        <v/>
      </c>
      <c r="J212" s="501" t="str">
        <f ca="1">IF('CDO Bespoke'!O213&lt;&gt;"",'CDO Bespoke'!O213,"")</f>
        <v/>
      </c>
      <c r="K212" s="502" t="str">
        <f ca="1">IF(J212&lt;&gt;"",ABS(MIN(-0.75*('CDO Bespoke'!K213+'CDO Bespoke'!T213)+'CDO Bespoke'!T213,0)),"")</f>
        <v/>
      </c>
      <c r="L212" s="502" t="str">
        <f t="shared" ca="1" si="13"/>
        <v/>
      </c>
      <c r="M212" s="506" t="str">
        <f t="shared" ca="1" si="14"/>
        <v/>
      </c>
      <c r="O212" s="511" t="str">
        <f ca="1">IF('CDO Bespoke'!C237&lt;&gt;"",'CDO Bespoke'!C237,"")</f>
        <v/>
      </c>
      <c r="P212" s="513" t="str" cm="1">
        <f t="array" aca="1" ref="P212" ca="1">IF($O212&lt;&gt;"",-TRANSPOSE(INDEX(getcds('CDO Bespoke'!$C237,P$13,'CDO Bespoke'!$G237/10000,'CDO Bespoke'!F237,'CDO Bespoke'!D237,'CDO Bespoke'!$C$13,'CDO Bespoke'!$C$14,'CDO Bespoke'!$C$15,'CDO Bespoke'!$C$8,,,TRUE,TRUE,FALSE,'CDO Bespoke'!$C$29:'CDO Bespoke'!$C$31,'CDO Bespoke'!$C$33),{5})),"")</f>
        <v/>
      </c>
      <c r="Q212" s="524" t="str" cm="1">
        <f t="array" aca="1" ref="Q212" ca="1">IF($O212&lt;&gt;"",-TRANSPOSE(INDEX(getcds('CDO Bespoke'!$C237,Q$13,'CDO Bespoke'!$G237/10000,'CDO Bespoke'!G237,'CDO Bespoke'!E237,'CDO Bespoke'!$C$13,'CDO Bespoke'!$C$14,'CDO Bespoke'!$C$15,'CDO Bespoke'!$C$8,,,TRUE,TRUE,FALSE,'CDO Bespoke'!$C$29:'CDO Bespoke'!$C$31,'CDO Bespoke'!$C$33),{5})),"")</f>
        <v/>
      </c>
      <c r="R212" s="524" t="str" cm="1">
        <f t="array" aca="1" ref="R212" ca="1">IF($O212&lt;&gt;"",-TRANSPOSE(INDEX(getcds('CDO Bespoke'!$C237,R$13,'CDO Bespoke'!$G237/10000,'CDO Bespoke'!H237,'CDO Bespoke'!F237,'CDO Bespoke'!$C$13,'CDO Bespoke'!$C$14,'CDO Bespoke'!$C$15,'CDO Bespoke'!$C$8,,,TRUE,TRUE,FALSE,'CDO Bespoke'!$C$29:'CDO Bespoke'!$C$31,'CDO Bespoke'!$C$33),{5})),"")</f>
        <v/>
      </c>
      <c r="S212" s="524" t="str" cm="1">
        <f t="array" aca="1" ref="S212" ca="1">IF($O212&lt;&gt;"",-TRANSPOSE(INDEX(getcds('CDO Bespoke'!$C237,S$13,'CDO Bespoke'!$G237/10000,'CDO Bespoke'!I237,'CDO Bespoke'!G237,'CDO Bespoke'!$C$13,'CDO Bespoke'!$C$14,'CDO Bespoke'!$C$15,'CDO Bespoke'!$C$8,,,TRUE,TRUE,FALSE,'CDO Bespoke'!$C$29:'CDO Bespoke'!$C$31,'CDO Bespoke'!$C$33),{5})),"")</f>
        <v/>
      </c>
      <c r="T212" s="514" t="str" cm="1">
        <f t="array" aca="1" ref="T212" ca="1">IF($O212&lt;&gt;"",-TRANSPOSE(INDEX(getcds('CDO Bespoke'!$C237,T$13,'CDO Bespoke'!$G237/10000,'CDO Bespoke'!J237,'CDO Bespoke'!H237,'CDO Bespoke'!$C$13,'CDO Bespoke'!$C$14,'CDO Bespoke'!$C$15,'CDO Bespoke'!$C$8,,,TRUE,TRUE,FALSE,'CDO Bespoke'!$C$29:'CDO Bespoke'!$C$31,'CDO Bespoke'!$C$33),{5})),"")</f>
        <v/>
      </c>
      <c r="U212" s="493"/>
      <c r="V212" s="513"/>
      <c r="W212" s="572"/>
      <c r="X212" s="572"/>
      <c r="Y212" s="572"/>
      <c r="Z212" s="572"/>
      <c r="AA212" s="572"/>
      <c r="AB212" s="572"/>
      <c r="AC212" s="572"/>
      <c r="AD212" s="572"/>
      <c r="AE212" s="514"/>
    </row>
    <row r="213" spans="6:31" s="281" customFormat="1" ht="12" thickBot="1">
      <c r="F213" s="501" t="str">
        <f ca="1">IF('CDO Bespoke'!O214&lt;&gt;"",'CDO Bespoke'!O214,"")</f>
        <v/>
      </c>
      <c r="G213" s="502" t="str">
        <f ca="1">IF(F213&lt;&gt;"",ABS(MIN(-0.75*('CDO Bespoke'!Q214+'CDO Bespoke'!T214)+'CDO Bespoke'!T214,0)),"")</f>
        <v/>
      </c>
      <c r="H213" s="502" t="str">
        <f t="shared" ca="1" si="12"/>
        <v/>
      </c>
      <c r="I213" s="502" t="str">
        <f t="shared" ca="1" si="15"/>
        <v/>
      </c>
      <c r="J213" s="501" t="str">
        <f ca="1">IF('CDO Bespoke'!O214&lt;&gt;"",'CDO Bespoke'!O214,"")</f>
        <v/>
      </c>
      <c r="K213" s="502" t="str">
        <f ca="1">IF(J213&lt;&gt;"",ABS(MIN(-0.75*('CDO Bespoke'!K214+'CDO Bespoke'!T214)+'CDO Bespoke'!T214,0)),"")</f>
        <v/>
      </c>
      <c r="L213" s="502" t="str">
        <f t="shared" ca="1" si="13"/>
        <v/>
      </c>
      <c r="M213" s="506" t="str">
        <f t="shared" ca="1" si="14"/>
        <v/>
      </c>
      <c r="O213" s="511" t="str">
        <f ca="1">IF('CDO Bespoke'!C238&lt;&gt;"",'CDO Bespoke'!C238,"")</f>
        <v/>
      </c>
      <c r="P213" s="513" t="str" cm="1">
        <f t="array" aca="1" ref="P213" ca="1">IF($O213&lt;&gt;"",-TRANSPOSE(INDEX(getcds('CDO Bespoke'!$C238,P$13,'CDO Bespoke'!$G238/10000,'CDO Bespoke'!F238,'CDO Bespoke'!D238,'CDO Bespoke'!$C$13,'CDO Bespoke'!$C$14,'CDO Bespoke'!$C$15,'CDO Bespoke'!$C$8,,,TRUE,TRUE,FALSE,'CDO Bespoke'!$C$29:'CDO Bespoke'!$C$31,'CDO Bespoke'!$C$33),{5})),"")</f>
        <v/>
      </c>
      <c r="Q213" s="524" t="str" cm="1">
        <f t="array" aca="1" ref="Q213" ca="1">IF($O213&lt;&gt;"",-TRANSPOSE(INDEX(getcds('CDO Bespoke'!$C238,Q$13,'CDO Bespoke'!$G238/10000,'CDO Bespoke'!G238,'CDO Bespoke'!E238,'CDO Bespoke'!$C$13,'CDO Bespoke'!$C$14,'CDO Bespoke'!$C$15,'CDO Bespoke'!$C$8,,,TRUE,TRUE,FALSE,'CDO Bespoke'!$C$29:'CDO Bespoke'!$C$31,'CDO Bespoke'!$C$33),{5})),"")</f>
        <v/>
      </c>
      <c r="R213" s="524" t="str" cm="1">
        <f t="array" aca="1" ref="R213" ca="1">IF($O213&lt;&gt;"",-TRANSPOSE(INDEX(getcds('CDO Bespoke'!$C238,R$13,'CDO Bespoke'!$G238/10000,'CDO Bespoke'!H238,'CDO Bespoke'!F238,'CDO Bespoke'!$C$13,'CDO Bespoke'!$C$14,'CDO Bespoke'!$C$15,'CDO Bespoke'!$C$8,,,TRUE,TRUE,FALSE,'CDO Bespoke'!$C$29:'CDO Bespoke'!$C$31,'CDO Bespoke'!$C$33),{5})),"")</f>
        <v/>
      </c>
      <c r="S213" s="524" t="str" cm="1">
        <f t="array" aca="1" ref="S213" ca="1">IF($O213&lt;&gt;"",-TRANSPOSE(INDEX(getcds('CDO Bespoke'!$C238,S$13,'CDO Bespoke'!$G238/10000,'CDO Bespoke'!I238,'CDO Bespoke'!G238,'CDO Bespoke'!$C$13,'CDO Bespoke'!$C$14,'CDO Bespoke'!$C$15,'CDO Bespoke'!$C$8,,,TRUE,TRUE,FALSE,'CDO Bespoke'!$C$29:'CDO Bespoke'!$C$31,'CDO Bespoke'!$C$33),{5})),"")</f>
        <v/>
      </c>
      <c r="T213" s="514" t="str" cm="1">
        <f t="array" aca="1" ref="T213" ca="1">IF($O213&lt;&gt;"",-TRANSPOSE(INDEX(getcds('CDO Bespoke'!$C238,T$13,'CDO Bespoke'!$G238/10000,'CDO Bespoke'!J238,'CDO Bespoke'!H238,'CDO Bespoke'!$C$13,'CDO Bespoke'!$C$14,'CDO Bespoke'!$C$15,'CDO Bespoke'!$C$8,,,TRUE,TRUE,FALSE,'CDO Bespoke'!$C$29:'CDO Bespoke'!$C$31,'CDO Bespoke'!$C$33),{5})),"")</f>
        <v/>
      </c>
      <c r="U213" s="493"/>
      <c r="V213" s="513"/>
      <c r="W213" s="572"/>
      <c r="X213" s="572"/>
      <c r="Y213" s="572"/>
      <c r="Z213" s="572"/>
      <c r="AA213" s="572"/>
      <c r="AB213" s="572"/>
      <c r="AC213" s="572"/>
      <c r="AD213" s="572"/>
      <c r="AE213" s="514"/>
    </row>
    <row r="214" spans="6:31" s="281" customFormat="1" ht="12" thickBot="1">
      <c r="F214" s="501" t="str">
        <f ca="1">IF('CDO Bespoke'!O215&lt;&gt;"",'CDO Bespoke'!O215,"")</f>
        <v/>
      </c>
      <c r="G214" s="502" t="str">
        <f ca="1">IF(F214&lt;&gt;"",ABS(MIN(-0.75*('CDO Bespoke'!Q215+'CDO Bespoke'!T215)+'CDO Bespoke'!T215,0)),"")</f>
        <v/>
      </c>
      <c r="H214" s="502" t="str">
        <f t="shared" ca="1" si="12"/>
        <v/>
      </c>
      <c r="I214" s="502" t="str">
        <f t="shared" ca="1" si="15"/>
        <v/>
      </c>
      <c r="J214" s="501" t="str">
        <f ca="1">IF('CDO Bespoke'!O215&lt;&gt;"",'CDO Bespoke'!O215,"")</f>
        <v/>
      </c>
      <c r="K214" s="502" t="str">
        <f ca="1">IF(J214&lt;&gt;"",ABS(MIN(-0.75*('CDO Bespoke'!K215+'CDO Bespoke'!T215)+'CDO Bespoke'!T215,0)),"")</f>
        <v/>
      </c>
      <c r="L214" s="502" t="str">
        <f t="shared" ca="1" si="13"/>
        <v/>
      </c>
      <c r="M214" s="506" t="str">
        <f t="shared" ca="1" si="14"/>
        <v/>
      </c>
      <c r="O214" s="511" t="str">
        <f ca="1">IF('CDO Bespoke'!C239&lt;&gt;"",'CDO Bespoke'!C239,"")</f>
        <v/>
      </c>
      <c r="P214" s="513" t="str" cm="1">
        <f t="array" aca="1" ref="P214" ca="1">IF($O214&lt;&gt;"",-TRANSPOSE(INDEX(getcds('CDO Bespoke'!$C239,P$13,'CDO Bespoke'!$G239/10000,'CDO Bespoke'!F239,'CDO Bespoke'!D239,'CDO Bespoke'!$C$13,'CDO Bespoke'!$C$14,'CDO Bespoke'!$C$15,'CDO Bespoke'!$C$8,,,TRUE,TRUE,FALSE,'CDO Bespoke'!$C$29:'CDO Bespoke'!$C$31,'CDO Bespoke'!$C$33),{5})),"")</f>
        <v/>
      </c>
      <c r="Q214" s="524" t="str" cm="1">
        <f t="array" aca="1" ref="Q214" ca="1">IF($O214&lt;&gt;"",-TRANSPOSE(INDEX(getcds('CDO Bespoke'!$C239,Q$13,'CDO Bespoke'!$G239/10000,'CDO Bespoke'!G239,'CDO Bespoke'!E239,'CDO Bespoke'!$C$13,'CDO Bespoke'!$C$14,'CDO Bespoke'!$C$15,'CDO Bespoke'!$C$8,,,TRUE,TRUE,FALSE,'CDO Bespoke'!$C$29:'CDO Bespoke'!$C$31,'CDO Bespoke'!$C$33),{5})),"")</f>
        <v/>
      </c>
      <c r="R214" s="524" t="str" cm="1">
        <f t="array" aca="1" ref="R214" ca="1">IF($O214&lt;&gt;"",-TRANSPOSE(INDEX(getcds('CDO Bespoke'!$C239,R$13,'CDO Bespoke'!$G239/10000,'CDO Bespoke'!H239,'CDO Bespoke'!F239,'CDO Bespoke'!$C$13,'CDO Bespoke'!$C$14,'CDO Bespoke'!$C$15,'CDO Bespoke'!$C$8,,,TRUE,TRUE,FALSE,'CDO Bespoke'!$C$29:'CDO Bespoke'!$C$31,'CDO Bespoke'!$C$33),{5})),"")</f>
        <v/>
      </c>
      <c r="S214" s="524" t="str" cm="1">
        <f t="array" aca="1" ref="S214" ca="1">IF($O214&lt;&gt;"",-TRANSPOSE(INDEX(getcds('CDO Bespoke'!$C239,S$13,'CDO Bespoke'!$G239/10000,'CDO Bespoke'!I239,'CDO Bespoke'!G239,'CDO Bespoke'!$C$13,'CDO Bespoke'!$C$14,'CDO Bespoke'!$C$15,'CDO Bespoke'!$C$8,,,TRUE,TRUE,FALSE,'CDO Bespoke'!$C$29:'CDO Bespoke'!$C$31,'CDO Bespoke'!$C$33),{5})),"")</f>
        <v/>
      </c>
      <c r="T214" s="514" t="str" cm="1">
        <f t="array" aca="1" ref="T214" ca="1">IF($O214&lt;&gt;"",-TRANSPOSE(INDEX(getcds('CDO Bespoke'!$C239,T$13,'CDO Bespoke'!$G239/10000,'CDO Bespoke'!J239,'CDO Bespoke'!H239,'CDO Bespoke'!$C$13,'CDO Bespoke'!$C$14,'CDO Bespoke'!$C$15,'CDO Bespoke'!$C$8,,,TRUE,TRUE,FALSE,'CDO Bespoke'!$C$29:'CDO Bespoke'!$C$31,'CDO Bespoke'!$C$33),{5})),"")</f>
        <v/>
      </c>
      <c r="U214" s="493"/>
      <c r="V214" s="513"/>
      <c r="W214" s="572"/>
      <c r="X214" s="572"/>
      <c r="Y214" s="572"/>
      <c r="Z214" s="572"/>
      <c r="AA214" s="572"/>
      <c r="AB214" s="572"/>
      <c r="AC214" s="572"/>
      <c r="AD214" s="572"/>
      <c r="AE214" s="514"/>
    </row>
    <row r="215" spans="6:31" s="281" customFormat="1" ht="12" thickBot="1">
      <c r="F215" s="501" t="str">
        <f ca="1">IF('CDO Bespoke'!O216&lt;&gt;"",'CDO Bespoke'!O216,"")</f>
        <v/>
      </c>
      <c r="G215" s="502" t="str">
        <f ca="1">IF(F215&lt;&gt;"",ABS(MIN(-0.75*('CDO Bespoke'!Q216+'CDO Bespoke'!T216)+'CDO Bespoke'!T216,0)),"")</f>
        <v/>
      </c>
      <c r="H215" s="502" t="str">
        <f t="shared" ca="1" si="12"/>
        <v/>
      </c>
      <c r="I215" s="502" t="str">
        <f t="shared" ca="1" si="15"/>
        <v/>
      </c>
      <c r="J215" s="501" t="str">
        <f ca="1">IF('CDO Bespoke'!O216&lt;&gt;"",'CDO Bespoke'!O216,"")</f>
        <v/>
      </c>
      <c r="K215" s="502" t="str">
        <f ca="1">IF(J215&lt;&gt;"",ABS(MIN(-0.75*('CDO Bespoke'!K216+'CDO Bespoke'!T216)+'CDO Bespoke'!T216,0)),"")</f>
        <v/>
      </c>
      <c r="L215" s="502" t="str">
        <f t="shared" ca="1" si="13"/>
        <v/>
      </c>
      <c r="M215" s="506" t="str">
        <f t="shared" ca="1" si="14"/>
        <v/>
      </c>
      <c r="O215" s="511" t="str">
        <f ca="1">IF('CDO Bespoke'!C240&lt;&gt;"",'CDO Bespoke'!C240,"")</f>
        <v/>
      </c>
      <c r="P215" s="513" t="str" cm="1">
        <f t="array" aca="1" ref="P215" ca="1">IF($O215&lt;&gt;"",-TRANSPOSE(INDEX(getcds('CDO Bespoke'!$C240,P$13,'CDO Bespoke'!$G240/10000,'CDO Bespoke'!F240,'CDO Bespoke'!D240,'CDO Bespoke'!$C$13,'CDO Bespoke'!$C$14,'CDO Bespoke'!$C$15,'CDO Bespoke'!$C$8,,,TRUE,TRUE,FALSE,'CDO Bespoke'!$C$29:'CDO Bespoke'!$C$31,'CDO Bespoke'!$C$33),{5})),"")</f>
        <v/>
      </c>
      <c r="Q215" s="524" t="str" cm="1">
        <f t="array" aca="1" ref="Q215" ca="1">IF($O215&lt;&gt;"",-TRANSPOSE(INDEX(getcds('CDO Bespoke'!$C240,Q$13,'CDO Bespoke'!$G240/10000,'CDO Bespoke'!G240,'CDO Bespoke'!E240,'CDO Bespoke'!$C$13,'CDO Bespoke'!$C$14,'CDO Bespoke'!$C$15,'CDO Bespoke'!$C$8,,,TRUE,TRUE,FALSE,'CDO Bespoke'!$C$29:'CDO Bespoke'!$C$31,'CDO Bespoke'!$C$33),{5})),"")</f>
        <v/>
      </c>
      <c r="R215" s="524" t="str" cm="1">
        <f t="array" aca="1" ref="R215" ca="1">IF($O215&lt;&gt;"",-TRANSPOSE(INDEX(getcds('CDO Bespoke'!$C240,R$13,'CDO Bespoke'!$G240/10000,'CDO Bespoke'!H240,'CDO Bespoke'!F240,'CDO Bespoke'!$C$13,'CDO Bespoke'!$C$14,'CDO Bespoke'!$C$15,'CDO Bespoke'!$C$8,,,TRUE,TRUE,FALSE,'CDO Bespoke'!$C$29:'CDO Bespoke'!$C$31,'CDO Bespoke'!$C$33),{5})),"")</f>
        <v/>
      </c>
      <c r="S215" s="524" t="str" cm="1">
        <f t="array" aca="1" ref="S215" ca="1">IF($O215&lt;&gt;"",-TRANSPOSE(INDEX(getcds('CDO Bespoke'!$C240,S$13,'CDO Bespoke'!$G240/10000,'CDO Bespoke'!I240,'CDO Bespoke'!G240,'CDO Bespoke'!$C$13,'CDO Bespoke'!$C$14,'CDO Bespoke'!$C$15,'CDO Bespoke'!$C$8,,,TRUE,TRUE,FALSE,'CDO Bespoke'!$C$29:'CDO Bespoke'!$C$31,'CDO Bespoke'!$C$33),{5})),"")</f>
        <v/>
      </c>
      <c r="T215" s="514" t="str" cm="1">
        <f t="array" aca="1" ref="T215" ca="1">IF($O215&lt;&gt;"",-TRANSPOSE(INDEX(getcds('CDO Bespoke'!$C240,T$13,'CDO Bespoke'!$G240/10000,'CDO Bespoke'!J240,'CDO Bespoke'!H240,'CDO Bespoke'!$C$13,'CDO Bespoke'!$C$14,'CDO Bespoke'!$C$15,'CDO Bespoke'!$C$8,,,TRUE,TRUE,FALSE,'CDO Bespoke'!$C$29:'CDO Bespoke'!$C$31,'CDO Bespoke'!$C$33),{5})),"")</f>
        <v/>
      </c>
      <c r="U215" s="493"/>
      <c r="V215" s="513"/>
      <c r="W215" s="572"/>
      <c r="X215" s="572"/>
      <c r="Y215" s="572"/>
      <c r="Z215" s="572"/>
      <c r="AA215" s="572"/>
      <c r="AB215" s="572"/>
      <c r="AC215" s="572"/>
      <c r="AD215" s="572"/>
      <c r="AE215" s="514"/>
    </row>
    <row r="216" spans="6:31" s="281" customFormat="1" ht="12" thickBot="1">
      <c r="F216" s="501" t="str">
        <f ca="1">IF('CDO Bespoke'!O217&lt;&gt;"",'CDO Bespoke'!O217,"")</f>
        <v/>
      </c>
      <c r="G216" s="502" t="str">
        <f ca="1">IF(F216&lt;&gt;"",ABS(MIN(-0.75*('CDO Bespoke'!Q217+'CDO Bespoke'!T217)+'CDO Bespoke'!T217,0)),"")</f>
        <v/>
      </c>
      <c r="H216" s="502" t="str">
        <f t="shared" ca="1" si="12"/>
        <v/>
      </c>
      <c r="I216" s="502" t="str">
        <f t="shared" ca="1" si="15"/>
        <v/>
      </c>
      <c r="J216" s="501" t="str">
        <f ca="1">IF('CDO Bespoke'!O217&lt;&gt;"",'CDO Bespoke'!O217,"")</f>
        <v/>
      </c>
      <c r="K216" s="502" t="str">
        <f ca="1">IF(J216&lt;&gt;"",ABS(MIN(-0.75*('CDO Bespoke'!K217+'CDO Bespoke'!T217)+'CDO Bespoke'!T217,0)),"")</f>
        <v/>
      </c>
      <c r="L216" s="502" t="str">
        <f t="shared" ca="1" si="13"/>
        <v/>
      </c>
      <c r="M216" s="506" t="str">
        <f t="shared" ca="1" si="14"/>
        <v/>
      </c>
      <c r="O216" s="511" t="str">
        <f ca="1">IF('CDO Bespoke'!C241&lt;&gt;"",'CDO Bespoke'!C241,"")</f>
        <v/>
      </c>
      <c r="P216" s="513" t="str" cm="1">
        <f t="array" aca="1" ref="P216" ca="1">IF($O216&lt;&gt;"",-TRANSPOSE(INDEX(getcds('CDO Bespoke'!$C241,P$13,'CDO Bespoke'!$G241/10000,'CDO Bespoke'!F241,'CDO Bespoke'!D241,'CDO Bespoke'!$C$13,'CDO Bespoke'!$C$14,'CDO Bespoke'!$C$15,'CDO Bespoke'!$C$8,,,TRUE,TRUE,FALSE,'CDO Bespoke'!$C$29:'CDO Bespoke'!$C$31,'CDO Bespoke'!$C$33),{5})),"")</f>
        <v/>
      </c>
      <c r="Q216" s="524" t="str" cm="1">
        <f t="array" aca="1" ref="Q216" ca="1">IF($O216&lt;&gt;"",-TRANSPOSE(INDEX(getcds('CDO Bespoke'!$C241,Q$13,'CDO Bespoke'!$G241/10000,'CDO Bespoke'!G241,'CDO Bespoke'!E241,'CDO Bespoke'!$C$13,'CDO Bespoke'!$C$14,'CDO Bespoke'!$C$15,'CDO Bespoke'!$C$8,,,TRUE,TRUE,FALSE,'CDO Bespoke'!$C$29:'CDO Bespoke'!$C$31,'CDO Bespoke'!$C$33),{5})),"")</f>
        <v/>
      </c>
      <c r="R216" s="524" t="str" cm="1">
        <f t="array" aca="1" ref="R216" ca="1">IF($O216&lt;&gt;"",-TRANSPOSE(INDEX(getcds('CDO Bespoke'!$C241,R$13,'CDO Bespoke'!$G241/10000,'CDO Bespoke'!H241,'CDO Bespoke'!F241,'CDO Bespoke'!$C$13,'CDO Bespoke'!$C$14,'CDO Bespoke'!$C$15,'CDO Bespoke'!$C$8,,,TRUE,TRUE,FALSE,'CDO Bespoke'!$C$29:'CDO Bespoke'!$C$31,'CDO Bespoke'!$C$33),{5})),"")</f>
        <v/>
      </c>
      <c r="S216" s="524" t="str" cm="1">
        <f t="array" aca="1" ref="S216" ca="1">IF($O216&lt;&gt;"",-TRANSPOSE(INDEX(getcds('CDO Bespoke'!$C241,S$13,'CDO Bespoke'!$G241/10000,'CDO Bespoke'!I241,'CDO Bespoke'!G241,'CDO Bespoke'!$C$13,'CDO Bespoke'!$C$14,'CDO Bespoke'!$C$15,'CDO Bespoke'!$C$8,,,TRUE,TRUE,FALSE,'CDO Bespoke'!$C$29:'CDO Bespoke'!$C$31,'CDO Bespoke'!$C$33),{5})),"")</f>
        <v/>
      </c>
      <c r="T216" s="514" t="str" cm="1">
        <f t="array" aca="1" ref="T216" ca="1">IF($O216&lt;&gt;"",-TRANSPOSE(INDEX(getcds('CDO Bespoke'!$C241,T$13,'CDO Bespoke'!$G241/10000,'CDO Bespoke'!J241,'CDO Bespoke'!H241,'CDO Bespoke'!$C$13,'CDO Bespoke'!$C$14,'CDO Bespoke'!$C$15,'CDO Bespoke'!$C$8,,,TRUE,TRUE,FALSE,'CDO Bespoke'!$C$29:'CDO Bespoke'!$C$31,'CDO Bespoke'!$C$33),{5})),"")</f>
        <v/>
      </c>
      <c r="U216" s="493"/>
      <c r="V216" s="513"/>
      <c r="W216" s="572"/>
      <c r="X216" s="572"/>
      <c r="Y216" s="572"/>
      <c r="Z216" s="572"/>
      <c r="AA216" s="572"/>
      <c r="AB216" s="572"/>
      <c r="AC216" s="572"/>
      <c r="AD216" s="572"/>
      <c r="AE216" s="514"/>
    </row>
    <row r="217" spans="6:31" s="281" customFormat="1" ht="12" thickBot="1">
      <c r="F217" s="501" t="str">
        <f ca="1">IF('CDO Bespoke'!O218&lt;&gt;"",'CDO Bespoke'!O218,"")</f>
        <v/>
      </c>
      <c r="G217" s="502" t="str">
        <f ca="1">IF(F217&lt;&gt;"",ABS(MIN(-0.75*('CDO Bespoke'!Q218+'CDO Bespoke'!T218)+'CDO Bespoke'!T218,0)),"")</f>
        <v/>
      </c>
      <c r="H217" s="502" t="str">
        <f t="shared" ca="1" si="12"/>
        <v/>
      </c>
      <c r="I217" s="502" t="str">
        <f t="shared" ca="1" si="15"/>
        <v/>
      </c>
      <c r="J217" s="501" t="str">
        <f ca="1">IF('CDO Bespoke'!O218&lt;&gt;"",'CDO Bespoke'!O218,"")</f>
        <v/>
      </c>
      <c r="K217" s="502" t="str">
        <f ca="1">IF(J217&lt;&gt;"",ABS(MIN(-0.75*('CDO Bespoke'!K218+'CDO Bespoke'!T218)+'CDO Bespoke'!T218,0)),"")</f>
        <v/>
      </c>
      <c r="L217" s="502" t="str">
        <f t="shared" ca="1" si="13"/>
        <v/>
      </c>
      <c r="M217" s="506" t="str">
        <f t="shared" ca="1" si="14"/>
        <v/>
      </c>
      <c r="O217" s="511" t="str">
        <f ca="1">IF('CDO Bespoke'!C242&lt;&gt;"",'CDO Bespoke'!C242,"")</f>
        <v/>
      </c>
      <c r="P217" s="513" t="str" cm="1">
        <f t="array" aca="1" ref="P217" ca="1">IF($O217&lt;&gt;"",-TRANSPOSE(INDEX(getcds('CDO Bespoke'!$C242,P$13,'CDO Bespoke'!$G242/10000,'CDO Bespoke'!F242,'CDO Bespoke'!D242,'CDO Bespoke'!$C$13,'CDO Bespoke'!$C$14,'CDO Bespoke'!$C$15,'CDO Bespoke'!$C$8,,,TRUE,TRUE,FALSE,'CDO Bespoke'!$C$29:'CDO Bespoke'!$C$31,'CDO Bespoke'!$C$33),{5})),"")</f>
        <v/>
      </c>
      <c r="Q217" s="524" t="str" cm="1">
        <f t="array" aca="1" ref="Q217" ca="1">IF($O217&lt;&gt;"",-TRANSPOSE(INDEX(getcds('CDO Bespoke'!$C242,Q$13,'CDO Bespoke'!$G242/10000,'CDO Bespoke'!G242,'CDO Bespoke'!E242,'CDO Bespoke'!$C$13,'CDO Bespoke'!$C$14,'CDO Bespoke'!$C$15,'CDO Bespoke'!$C$8,,,TRUE,TRUE,FALSE,'CDO Bespoke'!$C$29:'CDO Bespoke'!$C$31,'CDO Bespoke'!$C$33),{5})),"")</f>
        <v/>
      </c>
      <c r="R217" s="524" t="str" cm="1">
        <f t="array" aca="1" ref="R217" ca="1">IF($O217&lt;&gt;"",-TRANSPOSE(INDEX(getcds('CDO Bespoke'!$C242,R$13,'CDO Bespoke'!$G242/10000,'CDO Bespoke'!H242,'CDO Bespoke'!F242,'CDO Bespoke'!$C$13,'CDO Bespoke'!$C$14,'CDO Bespoke'!$C$15,'CDO Bespoke'!$C$8,,,TRUE,TRUE,FALSE,'CDO Bespoke'!$C$29:'CDO Bespoke'!$C$31,'CDO Bespoke'!$C$33),{5})),"")</f>
        <v/>
      </c>
      <c r="S217" s="524" t="str" cm="1">
        <f t="array" aca="1" ref="S217" ca="1">IF($O217&lt;&gt;"",-TRANSPOSE(INDEX(getcds('CDO Bespoke'!$C242,S$13,'CDO Bespoke'!$G242/10000,'CDO Bespoke'!I242,'CDO Bespoke'!G242,'CDO Bespoke'!$C$13,'CDO Bespoke'!$C$14,'CDO Bespoke'!$C$15,'CDO Bespoke'!$C$8,,,TRUE,TRUE,FALSE,'CDO Bespoke'!$C$29:'CDO Bespoke'!$C$31,'CDO Bespoke'!$C$33),{5})),"")</f>
        <v/>
      </c>
      <c r="T217" s="514" t="str" cm="1">
        <f t="array" aca="1" ref="T217" ca="1">IF($O217&lt;&gt;"",-TRANSPOSE(INDEX(getcds('CDO Bespoke'!$C242,T$13,'CDO Bespoke'!$G242/10000,'CDO Bespoke'!J242,'CDO Bespoke'!H242,'CDO Bespoke'!$C$13,'CDO Bespoke'!$C$14,'CDO Bespoke'!$C$15,'CDO Bespoke'!$C$8,,,TRUE,TRUE,FALSE,'CDO Bespoke'!$C$29:'CDO Bespoke'!$C$31,'CDO Bespoke'!$C$33),{5})),"")</f>
        <v/>
      </c>
      <c r="U217" s="493"/>
      <c r="V217" s="513"/>
      <c r="W217" s="572"/>
      <c r="X217" s="572"/>
      <c r="Y217" s="572"/>
      <c r="Z217" s="572"/>
      <c r="AA217" s="572"/>
      <c r="AB217" s="572"/>
      <c r="AC217" s="572"/>
      <c r="AD217" s="572"/>
      <c r="AE217" s="514"/>
    </row>
    <row r="218" spans="6:31" s="281" customFormat="1" ht="12" thickBot="1">
      <c r="F218" s="501" t="str">
        <f ca="1">IF('CDO Bespoke'!O219&lt;&gt;"",'CDO Bespoke'!O219,"")</f>
        <v/>
      </c>
      <c r="G218" s="502" t="str">
        <f ca="1">IF(F218&lt;&gt;"",ABS(MIN(-0.75*('CDO Bespoke'!Q219+'CDO Bespoke'!T219)+'CDO Bespoke'!T219,0)),"")</f>
        <v/>
      </c>
      <c r="H218" s="502" t="str">
        <f t="shared" ca="1" si="12"/>
        <v/>
      </c>
      <c r="I218" s="502" t="str">
        <f t="shared" ca="1" si="15"/>
        <v/>
      </c>
      <c r="J218" s="501" t="str">
        <f ca="1">IF('CDO Bespoke'!O219&lt;&gt;"",'CDO Bespoke'!O219,"")</f>
        <v/>
      </c>
      <c r="K218" s="502" t="str">
        <f ca="1">IF(J218&lt;&gt;"",ABS(MIN(-0.75*('CDO Bespoke'!K219+'CDO Bespoke'!T219)+'CDO Bespoke'!T219,0)),"")</f>
        <v/>
      </c>
      <c r="L218" s="502" t="str">
        <f t="shared" ca="1" si="13"/>
        <v/>
      </c>
      <c r="M218" s="506" t="str">
        <f t="shared" ca="1" si="14"/>
        <v/>
      </c>
      <c r="O218" s="511" t="str">
        <f ca="1">IF('CDO Bespoke'!C243&lt;&gt;"",'CDO Bespoke'!C243,"")</f>
        <v/>
      </c>
      <c r="P218" s="513" t="str" cm="1">
        <f t="array" aca="1" ref="P218" ca="1">IF($O218&lt;&gt;"",-TRANSPOSE(INDEX(getcds('CDO Bespoke'!$C243,P$13,'CDO Bespoke'!$G243/10000,'CDO Bespoke'!F243,'CDO Bespoke'!D243,'CDO Bespoke'!$C$13,'CDO Bespoke'!$C$14,'CDO Bespoke'!$C$15,'CDO Bespoke'!$C$8,,,TRUE,TRUE,FALSE,'CDO Bespoke'!$C$29:'CDO Bespoke'!$C$31,'CDO Bespoke'!$C$33),{5})),"")</f>
        <v/>
      </c>
      <c r="Q218" s="524" t="str" cm="1">
        <f t="array" aca="1" ref="Q218" ca="1">IF($O218&lt;&gt;"",-TRANSPOSE(INDEX(getcds('CDO Bespoke'!$C243,Q$13,'CDO Bespoke'!$G243/10000,'CDO Bespoke'!G243,'CDO Bespoke'!E243,'CDO Bespoke'!$C$13,'CDO Bespoke'!$C$14,'CDO Bespoke'!$C$15,'CDO Bespoke'!$C$8,,,TRUE,TRUE,FALSE,'CDO Bespoke'!$C$29:'CDO Bespoke'!$C$31,'CDO Bespoke'!$C$33),{5})),"")</f>
        <v/>
      </c>
      <c r="R218" s="524" t="str" cm="1">
        <f t="array" aca="1" ref="R218" ca="1">IF($O218&lt;&gt;"",-TRANSPOSE(INDEX(getcds('CDO Bespoke'!$C243,R$13,'CDO Bespoke'!$G243/10000,'CDO Bespoke'!H243,'CDO Bespoke'!F243,'CDO Bespoke'!$C$13,'CDO Bespoke'!$C$14,'CDO Bespoke'!$C$15,'CDO Bespoke'!$C$8,,,TRUE,TRUE,FALSE,'CDO Bespoke'!$C$29:'CDO Bespoke'!$C$31,'CDO Bespoke'!$C$33),{5})),"")</f>
        <v/>
      </c>
      <c r="S218" s="524" t="str" cm="1">
        <f t="array" aca="1" ref="S218" ca="1">IF($O218&lt;&gt;"",-TRANSPOSE(INDEX(getcds('CDO Bespoke'!$C243,S$13,'CDO Bespoke'!$G243/10000,'CDO Bespoke'!I243,'CDO Bespoke'!G243,'CDO Bespoke'!$C$13,'CDO Bespoke'!$C$14,'CDO Bespoke'!$C$15,'CDO Bespoke'!$C$8,,,TRUE,TRUE,FALSE,'CDO Bespoke'!$C$29:'CDO Bespoke'!$C$31,'CDO Bespoke'!$C$33),{5})),"")</f>
        <v/>
      </c>
      <c r="T218" s="514" t="str" cm="1">
        <f t="array" aca="1" ref="T218" ca="1">IF($O218&lt;&gt;"",-TRANSPOSE(INDEX(getcds('CDO Bespoke'!$C243,T$13,'CDO Bespoke'!$G243/10000,'CDO Bespoke'!J243,'CDO Bespoke'!H243,'CDO Bespoke'!$C$13,'CDO Bespoke'!$C$14,'CDO Bespoke'!$C$15,'CDO Bespoke'!$C$8,,,TRUE,TRUE,FALSE,'CDO Bespoke'!$C$29:'CDO Bespoke'!$C$31,'CDO Bespoke'!$C$33),{5})),"")</f>
        <v/>
      </c>
      <c r="U218" s="493"/>
      <c r="V218" s="513"/>
      <c r="W218" s="572"/>
      <c r="X218" s="572"/>
      <c r="Y218" s="572"/>
      <c r="Z218" s="572"/>
      <c r="AA218" s="572"/>
      <c r="AB218" s="572"/>
      <c r="AC218" s="572"/>
      <c r="AD218" s="572"/>
      <c r="AE218" s="514"/>
    </row>
    <row r="219" spans="6:31" s="281" customFormat="1" ht="12" thickBot="1">
      <c r="F219" s="501" t="str">
        <f ca="1">IF('CDO Bespoke'!O220&lt;&gt;"",'CDO Bespoke'!O220,"")</f>
        <v/>
      </c>
      <c r="G219" s="502" t="str">
        <f ca="1">IF(F219&lt;&gt;"",ABS(MIN(-0.75*('CDO Bespoke'!Q220+'CDO Bespoke'!T220)+'CDO Bespoke'!T220,0)),"")</f>
        <v/>
      </c>
      <c r="H219" s="502" t="str">
        <f t="shared" ca="1" si="12"/>
        <v/>
      </c>
      <c r="I219" s="502" t="str">
        <f t="shared" ca="1" si="15"/>
        <v/>
      </c>
      <c r="J219" s="501" t="str">
        <f ca="1">IF('CDO Bespoke'!O220&lt;&gt;"",'CDO Bespoke'!O220,"")</f>
        <v/>
      </c>
      <c r="K219" s="502" t="str">
        <f ca="1">IF(J219&lt;&gt;"",ABS(MIN(-0.75*('CDO Bespoke'!K220+'CDO Bespoke'!T220)+'CDO Bespoke'!T220,0)),"")</f>
        <v/>
      </c>
      <c r="L219" s="502" t="str">
        <f t="shared" ca="1" si="13"/>
        <v/>
      </c>
      <c r="M219" s="506" t="str">
        <f t="shared" ca="1" si="14"/>
        <v/>
      </c>
      <c r="O219" s="511" t="str">
        <f ca="1">IF('CDO Bespoke'!C244&lt;&gt;"",'CDO Bespoke'!C244,"")</f>
        <v/>
      </c>
      <c r="P219" s="513" t="str" cm="1">
        <f t="array" aca="1" ref="P219" ca="1">IF($O219&lt;&gt;"",-TRANSPOSE(INDEX(getcds('CDO Bespoke'!$C244,P$13,'CDO Bespoke'!$G244/10000,'CDO Bespoke'!F244,'CDO Bespoke'!D244,'CDO Bespoke'!$C$13,'CDO Bespoke'!$C$14,'CDO Bespoke'!$C$15,'CDO Bespoke'!$C$8,,,TRUE,TRUE,FALSE,'CDO Bespoke'!$C$29:'CDO Bespoke'!$C$31,'CDO Bespoke'!$C$33),{5})),"")</f>
        <v/>
      </c>
      <c r="Q219" s="524" t="str" cm="1">
        <f t="array" aca="1" ref="Q219" ca="1">IF($O219&lt;&gt;"",-TRANSPOSE(INDEX(getcds('CDO Bespoke'!$C244,Q$13,'CDO Bespoke'!$G244/10000,'CDO Bespoke'!G244,'CDO Bespoke'!E244,'CDO Bespoke'!$C$13,'CDO Bespoke'!$C$14,'CDO Bespoke'!$C$15,'CDO Bespoke'!$C$8,,,TRUE,TRUE,FALSE,'CDO Bespoke'!$C$29:'CDO Bespoke'!$C$31,'CDO Bespoke'!$C$33),{5})),"")</f>
        <v/>
      </c>
      <c r="R219" s="524" t="str" cm="1">
        <f t="array" aca="1" ref="R219" ca="1">IF($O219&lt;&gt;"",-TRANSPOSE(INDEX(getcds('CDO Bespoke'!$C244,R$13,'CDO Bespoke'!$G244/10000,'CDO Bespoke'!H244,'CDO Bespoke'!F244,'CDO Bespoke'!$C$13,'CDO Bespoke'!$C$14,'CDO Bespoke'!$C$15,'CDO Bespoke'!$C$8,,,TRUE,TRUE,FALSE,'CDO Bespoke'!$C$29:'CDO Bespoke'!$C$31,'CDO Bespoke'!$C$33),{5})),"")</f>
        <v/>
      </c>
      <c r="S219" s="524" t="str" cm="1">
        <f t="array" aca="1" ref="S219" ca="1">IF($O219&lt;&gt;"",-TRANSPOSE(INDEX(getcds('CDO Bespoke'!$C244,S$13,'CDO Bespoke'!$G244/10000,'CDO Bespoke'!I244,'CDO Bespoke'!G244,'CDO Bespoke'!$C$13,'CDO Bespoke'!$C$14,'CDO Bespoke'!$C$15,'CDO Bespoke'!$C$8,,,TRUE,TRUE,FALSE,'CDO Bespoke'!$C$29:'CDO Bespoke'!$C$31,'CDO Bespoke'!$C$33),{5})),"")</f>
        <v/>
      </c>
      <c r="T219" s="514" t="str" cm="1">
        <f t="array" aca="1" ref="T219" ca="1">IF($O219&lt;&gt;"",-TRANSPOSE(INDEX(getcds('CDO Bespoke'!$C244,T$13,'CDO Bespoke'!$G244/10000,'CDO Bespoke'!J244,'CDO Bespoke'!H244,'CDO Bespoke'!$C$13,'CDO Bespoke'!$C$14,'CDO Bespoke'!$C$15,'CDO Bespoke'!$C$8,,,TRUE,TRUE,FALSE,'CDO Bespoke'!$C$29:'CDO Bespoke'!$C$31,'CDO Bespoke'!$C$33),{5})),"")</f>
        <v/>
      </c>
      <c r="U219" s="493"/>
      <c r="V219" s="513"/>
      <c r="W219" s="572"/>
      <c r="X219" s="572"/>
      <c r="Y219" s="572"/>
      <c r="Z219" s="572"/>
      <c r="AA219" s="572"/>
      <c r="AB219" s="572"/>
      <c r="AC219" s="572"/>
      <c r="AD219" s="572"/>
      <c r="AE219" s="514"/>
    </row>
    <row r="220" spans="6:31" s="281" customFormat="1" ht="12" thickBot="1">
      <c r="F220" s="501" t="str">
        <f ca="1">IF('CDO Bespoke'!O221&lt;&gt;"",'CDO Bespoke'!O221,"")</f>
        <v/>
      </c>
      <c r="G220" s="502" t="str">
        <f ca="1">IF(F220&lt;&gt;"",ABS(MIN(-0.75*('CDO Bespoke'!Q221+'CDO Bespoke'!T221)+'CDO Bespoke'!T221,0)),"")</f>
        <v/>
      </c>
      <c r="H220" s="502" t="str">
        <f t="shared" ca="1" si="12"/>
        <v/>
      </c>
      <c r="I220" s="502" t="str">
        <f t="shared" ca="1" si="15"/>
        <v/>
      </c>
      <c r="J220" s="501" t="str">
        <f ca="1">IF('CDO Bespoke'!O221&lt;&gt;"",'CDO Bespoke'!O221,"")</f>
        <v/>
      </c>
      <c r="K220" s="502" t="str">
        <f ca="1">IF(J220&lt;&gt;"",ABS(MIN(-0.75*('CDO Bespoke'!K221+'CDO Bespoke'!T221)+'CDO Bespoke'!T221,0)),"")</f>
        <v/>
      </c>
      <c r="L220" s="502" t="str">
        <f t="shared" ca="1" si="13"/>
        <v/>
      </c>
      <c r="M220" s="506" t="str">
        <f t="shared" ca="1" si="14"/>
        <v/>
      </c>
      <c r="O220" s="511" t="str">
        <f ca="1">IF('CDO Bespoke'!C245&lt;&gt;"",'CDO Bespoke'!C245,"")</f>
        <v/>
      </c>
      <c r="P220" s="513" t="str" cm="1">
        <f t="array" aca="1" ref="P220" ca="1">IF($O220&lt;&gt;"",-TRANSPOSE(INDEX(getcds('CDO Bespoke'!$C245,P$13,'CDO Bespoke'!$G245/10000,'CDO Bespoke'!F245,'CDO Bespoke'!D245,'CDO Bespoke'!$C$13,'CDO Bespoke'!$C$14,'CDO Bespoke'!$C$15,'CDO Bespoke'!$C$8,,,TRUE,TRUE,FALSE,'CDO Bespoke'!$C$29:'CDO Bespoke'!$C$31,'CDO Bespoke'!$C$33),{5})),"")</f>
        <v/>
      </c>
      <c r="Q220" s="524" t="str" cm="1">
        <f t="array" aca="1" ref="Q220" ca="1">IF($O220&lt;&gt;"",-TRANSPOSE(INDEX(getcds('CDO Bespoke'!$C245,Q$13,'CDO Bespoke'!$G245/10000,'CDO Bespoke'!G245,'CDO Bespoke'!E245,'CDO Bespoke'!$C$13,'CDO Bespoke'!$C$14,'CDO Bespoke'!$C$15,'CDO Bespoke'!$C$8,,,TRUE,TRUE,FALSE,'CDO Bespoke'!$C$29:'CDO Bespoke'!$C$31,'CDO Bespoke'!$C$33),{5})),"")</f>
        <v/>
      </c>
      <c r="R220" s="524" t="str" cm="1">
        <f t="array" aca="1" ref="R220" ca="1">IF($O220&lt;&gt;"",-TRANSPOSE(INDEX(getcds('CDO Bespoke'!$C245,R$13,'CDO Bespoke'!$G245/10000,'CDO Bespoke'!H245,'CDO Bespoke'!F245,'CDO Bespoke'!$C$13,'CDO Bespoke'!$C$14,'CDO Bespoke'!$C$15,'CDO Bespoke'!$C$8,,,TRUE,TRUE,FALSE,'CDO Bespoke'!$C$29:'CDO Bespoke'!$C$31,'CDO Bespoke'!$C$33),{5})),"")</f>
        <v/>
      </c>
      <c r="S220" s="524" t="str" cm="1">
        <f t="array" aca="1" ref="S220" ca="1">IF($O220&lt;&gt;"",-TRANSPOSE(INDEX(getcds('CDO Bespoke'!$C245,S$13,'CDO Bespoke'!$G245/10000,'CDO Bespoke'!I245,'CDO Bespoke'!G245,'CDO Bespoke'!$C$13,'CDO Bespoke'!$C$14,'CDO Bespoke'!$C$15,'CDO Bespoke'!$C$8,,,TRUE,TRUE,FALSE,'CDO Bespoke'!$C$29:'CDO Bespoke'!$C$31,'CDO Bespoke'!$C$33),{5})),"")</f>
        <v/>
      </c>
      <c r="T220" s="514" t="str" cm="1">
        <f t="array" aca="1" ref="T220" ca="1">IF($O220&lt;&gt;"",-TRANSPOSE(INDEX(getcds('CDO Bespoke'!$C245,T$13,'CDO Bespoke'!$G245/10000,'CDO Bespoke'!J245,'CDO Bespoke'!H245,'CDO Bespoke'!$C$13,'CDO Bespoke'!$C$14,'CDO Bespoke'!$C$15,'CDO Bespoke'!$C$8,,,TRUE,TRUE,FALSE,'CDO Bespoke'!$C$29:'CDO Bespoke'!$C$31,'CDO Bespoke'!$C$33),{5})),"")</f>
        <v/>
      </c>
      <c r="U220" s="493"/>
      <c r="V220" s="513"/>
      <c r="W220" s="572"/>
      <c r="X220" s="572"/>
      <c r="Y220" s="572"/>
      <c r="Z220" s="572"/>
      <c r="AA220" s="572"/>
      <c r="AB220" s="572"/>
      <c r="AC220" s="572"/>
      <c r="AD220" s="572"/>
      <c r="AE220" s="514"/>
    </row>
    <row r="221" spans="6:31" s="281" customFormat="1" ht="12" thickBot="1">
      <c r="F221" s="501" t="str">
        <f ca="1">IF('CDO Bespoke'!O222&lt;&gt;"",'CDO Bespoke'!O222,"")</f>
        <v/>
      </c>
      <c r="G221" s="502" t="str">
        <f ca="1">IF(F221&lt;&gt;"",ABS(MIN(-0.75*('CDO Bespoke'!Q222+'CDO Bespoke'!T222)+'CDO Bespoke'!T222,0)),"")</f>
        <v/>
      </c>
      <c r="H221" s="502" t="str">
        <f t="shared" ca="1" si="12"/>
        <v/>
      </c>
      <c r="I221" s="502" t="str">
        <f t="shared" ca="1" si="15"/>
        <v/>
      </c>
      <c r="J221" s="501" t="str">
        <f ca="1">IF('CDO Bespoke'!O222&lt;&gt;"",'CDO Bespoke'!O222,"")</f>
        <v/>
      </c>
      <c r="K221" s="502" t="str">
        <f ca="1">IF(J221&lt;&gt;"",ABS(MIN(-0.75*('CDO Bespoke'!K222+'CDO Bespoke'!T222)+'CDO Bespoke'!T222,0)),"")</f>
        <v/>
      </c>
      <c r="L221" s="502" t="str">
        <f t="shared" ca="1" si="13"/>
        <v/>
      </c>
      <c r="M221" s="506" t="str">
        <f t="shared" ca="1" si="14"/>
        <v/>
      </c>
      <c r="O221" s="511" t="str">
        <f ca="1">IF('CDO Bespoke'!C246&lt;&gt;"",'CDO Bespoke'!C246,"")</f>
        <v/>
      </c>
      <c r="P221" s="513" t="str" cm="1">
        <f t="array" aca="1" ref="P221" ca="1">IF($O221&lt;&gt;"",-TRANSPOSE(INDEX(getcds('CDO Bespoke'!$C246,P$13,'CDO Bespoke'!$G246/10000,'CDO Bespoke'!F246,'CDO Bespoke'!D246,'CDO Bespoke'!$C$13,'CDO Bespoke'!$C$14,'CDO Bespoke'!$C$15,'CDO Bespoke'!$C$8,,,TRUE,TRUE,FALSE,'CDO Bespoke'!$C$29:'CDO Bespoke'!$C$31,'CDO Bespoke'!$C$33),{5})),"")</f>
        <v/>
      </c>
      <c r="Q221" s="524" t="str" cm="1">
        <f t="array" aca="1" ref="Q221" ca="1">IF($O221&lt;&gt;"",-TRANSPOSE(INDEX(getcds('CDO Bespoke'!$C246,Q$13,'CDO Bespoke'!$G246/10000,'CDO Bespoke'!G246,'CDO Bespoke'!E246,'CDO Bespoke'!$C$13,'CDO Bespoke'!$C$14,'CDO Bespoke'!$C$15,'CDO Bespoke'!$C$8,,,TRUE,TRUE,FALSE,'CDO Bespoke'!$C$29:'CDO Bespoke'!$C$31,'CDO Bespoke'!$C$33),{5})),"")</f>
        <v/>
      </c>
      <c r="R221" s="524" t="str" cm="1">
        <f t="array" aca="1" ref="R221" ca="1">IF($O221&lt;&gt;"",-TRANSPOSE(INDEX(getcds('CDO Bespoke'!$C246,R$13,'CDO Bespoke'!$G246/10000,'CDO Bespoke'!H246,'CDO Bespoke'!F246,'CDO Bespoke'!$C$13,'CDO Bespoke'!$C$14,'CDO Bespoke'!$C$15,'CDO Bespoke'!$C$8,,,TRUE,TRUE,FALSE,'CDO Bespoke'!$C$29:'CDO Bespoke'!$C$31,'CDO Bespoke'!$C$33),{5})),"")</f>
        <v/>
      </c>
      <c r="S221" s="524" t="str" cm="1">
        <f t="array" aca="1" ref="S221" ca="1">IF($O221&lt;&gt;"",-TRANSPOSE(INDEX(getcds('CDO Bespoke'!$C246,S$13,'CDO Bespoke'!$G246/10000,'CDO Bespoke'!I246,'CDO Bespoke'!G246,'CDO Bespoke'!$C$13,'CDO Bespoke'!$C$14,'CDO Bespoke'!$C$15,'CDO Bespoke'!$C$8,,,TRUE,TRUE,FALSE,'CDO Bespoke'!$C$29:'CDO Bespoke'!$C$31,'CDO Bespoke'!$C$33),{5})),"")</f>
        <v/>
      </c>
      <c r="T221" s="514" t="str" cm="1">
        <f t="array" aca="1" ref="T221" ca="1">IF($O221&lt;&gt;"",-TRANSPOSE(INDEX(getcds('CDO Bespoke'!$C246,T$13,'CDO Bespoke'!$G246/10000,'CDO Bespoke'!J246,'CDO Bespoke'!H246,'CDO Bespoke'!$C$13,'CDO Bespoke'!$C$14,'CDO Bespoke'!$C$15,'CDO Bespoke'!$C$8,,,TRUE,TRUE,FALSE,'CDO Bespoke'!$C$29:'CDO Bespoke'!$C$31,'CDO Bespoke'!$C$33),{5})),"")</f>
        <v/>
      </c>
      <c r="U221" s="493"/>
      <c r="V221" s="513"/>
      <c r="W221" s="572"/>
      <c r="X221" s="572"/>
      <c r="Y221" s="572"/>
      <c r="Z221" s="572"/>
      <c r="AA221" s="572"/>
      <c r="AB221" s="572"/>
      <c r="AC221" s="572"/>
      <c r="AD221" s="572"/>
      <c r="AE221" s="514"/>
    </row>
    <row r="222" spans="6:31" s="281" customFormat="1" ht="12" thickBot="1">
      <c r="F222" s="501" t="str">
        <f ca="1">IF('CDO Bespoke'!O223&lt;&gt;"",'CDO Bespoke'!O223,"")</f>
        <v/>
      </c>
      <c r="G222" s="502" t="str">
        <f ca="1">IF(F222&lt;&gt;"",ABS(MIN(-0.75*('CDO Bespoke'!Q223+'CDO Bespoke'!T223)+'CDO Bespoke'!T223,0)),"")</f>
        <v/>
      </c>
      <c r="H222" s="502" t="str">
        <f t="shared" ca="1" si="12"/>
        <v/>
      </c>
      <c r="I222" s="502" t="str">
        <f t="shared" ca="1" si="15"/>
        <v/>
      </c>
      <c r="J222" s="501" t="str">
        <f ca="1">IF('CDO Bespoke'!O223&lt;&gt;"",'CDO Bespoke'!O223,"")</f>
        <v/>
      </c>
      <c r="K222" s="502" t="str">
        <f ca="1">IF(J222&lt;&gt;"",ABS(MIN(-0.75*('CDO Bespoke'!K223+'CDO Bespoke'!T223)+'CDO Bespoke'!T223,0)),"")</f>
        <v/>
      </c>
      <c r="L222" s="502" t="str">
        <f t="shared" ca="1" si="13"/>
        <v/>
      </c>
      <c r="M222" s="506" t="str">
        <f t="shared" ca="1" si="14"/>
        <v/>
      </c>
      <c r="O222" s="511" t="str">
        <f ca="1">IF('CDO Bespoke'!C247&lt;&gt;"",'CDO Bespoke'!C247,"")</f>
        <v/>
      </c>
      <c r="P222" s="513" t="str" cm="1">
        <f t="array" aca="1" ref="P222" ca="1">IF($O222&lt;&gt;"",-TRANSPOSE(INDEX(getcds('CDO Bespoke'!$C247,P$13,'CDO Bespoke'!$G247/10000,'CDO Bespoke'!F247,'CDO Bespoke'!D247,'CDO Bespoke'!$C$13,'CDO Bespoke'!$C$14,'CDO Bespoke'!$C$15,'CDO Bespoke'!$C$8,,,TRUE,TRUE,FALSE,'CDO Bespoke'!$C$29:'CDO Bespoke'!$C$31,'CDO Bespoke'!$C$33),{5})),"")</f>
        <v/>
      </c>
      <c r="Q222" s="524" t="str" cm="1">
        <f t="array" aca="1" ref="Q222" ca="1">IF($O222&lt;&gt;"",-TRANSPOSE(INDEX(getcds('CDO Bespoke'!$C247,Q$13,'CDO Bespoke'!$G247/10000,'CDO Bespoke'!G247,'CDO Bespoke'!E247,'CDO Bespoke'!$C$13,'CDO Bespoke'!$C$14,'CDO Bespoke'!$C$15,'CDO Bespoke'!$C$8,,,TRUE,TRUE,FALSE,'CDO Bespoke'!$C$29:'CDO Bespoke'!$C$31,'CDO Bespoke'!$C$33),{5})),"")</f>
        <v/>
      </c>
      <c r="R222" s="524" t="str" cm="1">
        <f t="array" aca="1" ref="R222" ca="1">IF($O222&lt;&gt;"",-TRANSPOSE(INDEX(getcds('CDO Bespoke'!$C247,R$13,'CDO Bespoke'!$G247/10000,'CDO Bespoke'!H247,'CDO Bespoke'!F247,'CDO Bespoke'!$C$13,'CDO Bespoke'!$C$14,'CDO Bespoke'!$C$15,'CDO Bespoke'!$C$8,,,TRUE,TRUE,FALSE,'CDO Bespoke'!$C$29:'CDO Bespoke'!$C$31,'CDO Bespoke'!$C$33),{5})),"")</f>
        <v/>
      </c>
      <c r="S222" s="524" t="str" cm="1">
        <f t="array" aca="1" ref="S222" ca="1">IF($O222&lt;&gt;"",-TRANSPOSE(INDEX(getcds('CDO Bespoke'!$C247,S$13,'CDO Bespoke'!$G247/10000,'CDO Bespoke'!I247,'CDO Bespoke'!G247,'CDO Bespoke'!$C$13,'CDO Bespoke'!$C$14,'CDO Bespoke'!$C$15,'CDO Bespoke'!$C$8,,,TRUE,TRUE,FALSE,'CDO Bespoke'!$C$29:'CDO Bespoke'!$C$31,'CDO Bespoke'!$C$33),{5})),"")</f>
        <v/>
      </c>
      <c r="T222" s="514" t="str" cm="1">
        <f t="array" aca="1" ref="T222" ca="1">IF($O222&lt;&gt;"",-TRANSPOSE(INDEX(getcds('CDO Bespoke'!$C247,T$13,'CDO Bespoke'!$G247/10000,'CDO Bespoke'!J247,'CDO Bespoke'!H247,'CDO Bespoke'!$C$13,'CDO Bespoke'!$C$14,'CDO Bespoke'!$C$15,'CDO Bespoke'!$C$8,,,TRUE,TRUE,FALSE,'CDO Bespoke'!$C$29:'CDO Bespoke'!$C$31,'CDO Bespoke'!$C$33),{5})),"")</f>
        <v/>
      </c>
      <c r="U222" s="493"/>
      <c r="V222" s="513"/>
      <c r="W222" s="572"/>
      <c r="X222" s="572"/>
      <c r="Y222" s="572"/>
      <c r="Z222" s="572"/>
      <c r="AA222" s="572"/>
      <c r="AB222" s="572"/>
      <c r="AC222" s="572"/>
      <c r="AD222" s="572"/>
      <c r="AE222" s="514"/>
    </row>
    <row r="223" spans="6:31" s="281" customFormat="1" ht="12" thickBot="1">
      <c r="F223" s="501" t="str">
        <f ca="1">IF('CDO Bespoke'!O224&lt;&gt;"",'CDO Bespoke'!O224,"")</f>
        <v/>
      </c>
      <c r="G223" s="502" t="str">
        <f ca="1">IF(F223&lt;&gt;"",ABS(MIN(-0.75*('CDO Bespoke'!Q224+'CDO Bespoke'!T224)+'CDO Bespoke'!T224,0)),"")</f>
        <v/>
      </c>
      <c r="H223" s="502" t="str">
        <f t="shared" ca="1" si="12"/>
        <v/>
      </c>
      <c r="I223" s="502" t="str">
        <f t="shared" ca="1" si="15"/>
        <v/>
      </c>
      <c r="J223" s="501" t="str">
        <f ca="1">IF('CDO Bespoke'!O224&lt;&gt;"",'CDO Bespoke'!O224,"")</f>
        <v/>
      </c>
      <c r="K223" s="502" t="str">
        <f ca="1">IF(J223&lt;&gt;"",ABS(MIN(-0.75*('CDO Bespoke'!K224+'CDO Bespoke'!T224)+'CDO Bespoke'!T224,0)),"")</f>
        <v/>
      </c>
      <c r="L223" s="502" t="str">
        <f t="shared" ca="1" si="13"/>
        <v/>
      </c>
      <c r="M223" s="506" t="str">
        <f t="shared" ca="1" si="14"/>
        <v/>
      </c>
      <c r="O223" s="511" t="str">
        <f ca="1">IF('CDO Bespoke'!C248&lt;&gt;"",'CDO Bespoke'!C248,"")</f>
        <v/>
      </c>
      <c r="P223" s="513" t="str" cm="1">
        <f t="array" aca="1" ref="P223" ca="1">IF($O223&lt;&gt;"",-TRANSPOSE(INDEX(getcds('CDO Bespoke'!$C248,P$13,'CDO Bespoke'!$G248/10000,'CDO Bespoke'!F248,'CDO Bespoke'!D248,'CDO Bespoke'!$C$13,'CDO Bespoke'!$C$14,'CDO Bespoke'!$C$15,'CDO Bespoke'!$C$8,,,TRUE,TRUE,FALSE,'CDO Bespoke'!$C$29:'CDO Bespoke'!$C$31,'CDO Bespoke'!$C$33),{5})),"")</f>
        <v/>
      </c>
      <c r="Q223" s="524" t="str" cm="1">
        <f t="array" aca="1" ref="Q223" ca="1">IF($O223&lt;&gt;"",-TRANSPOSE(INDEX(getcds('CDO Bespoke'!$C248,Q$13,'CDO Bespoke'!$G248/10000,'CDO Bespoke'!G248,'CDO Bespoke'!E248,'CDO Bespoke'!$C$13,'CDO Bespoke'!$C$14,'CDO Bespoke'!$C$15,'CDO Bespoke'!$C$8,,,TRUE,TRUE,FALSE,'CDO Bespoke'!$C$29:'CDO Bespoke'!$C$31,'CDO Bespoke'!$C$33),{5})),"")</f>
        <v/>
      </c>
      <c r="R223" s="524" t="str" cm="1">
        <f t="array" aca="1" ref="R223" ca="1">IF($O223&lt;&gt;"",-TRANSPOSE(INDEX(getcds('CDO Bespoke'!$C248,R$13,'CDO Bespoke'!$G248/10000,'CDO Bespoke'!H248,'CDO Bespoke'!F248,'CDO Bespoke'!$C$13,'CDO Bespoke'!$C$14,'CDO Bespoke'!$C$15,'CDO Bespoke'!$C$8,,,TRUE,TRUE,FALSE,'CDO Bespoke'!$C$29:'CDO Bespoke'!$C$31,'CDO Bespoke'!$C$33),{5})),"")</f>
        <v/>
      </c>
      <c r="S223" s="524" t="str" cm="1">
        <f t="array" aca="1" ref="S223" ca="1">IF($O223&lt;&gt;"",-TRANSPOSE(INDEX(getcds('CDO Bespoke'!$C248,S$13,'CDO Bespoke'!$G248/10000,'CDO Bespoke'!I248,'CDO Bespoke'!G248,'CDO Bespoke'!$C$13,'CDO Bespoke'!$C$14,'CDO Bespoke'!$C$15,'CDO Bespoke'!$C$8,,,TRUE,TRUE,FALSE,'CDO Bespoke'!$C$29:'CDO Bespoke'!$C$31,'CDO Bespoke'!$C$33),{5})),"")</f>
        <v/>
      </c>
      <c r="T223" s="514" t="str" cm="1">
        <f t="array" aca="1" ref="T223" ca="1">IF($O223&lt;&gt;"",-TRANSPOSE(INDEX(getcds('CDO Bespoke'!$C248,T$13,'CDO Bespoke'!$G248/10000,'CDO Bespoke'!J248,'CDO Bespoke'!H248,'CDO Bespoke'!$C$13,'CDO Bespoke'!$C$14,'CDO Bespoke'!$C$15,'CDO Bespoke'!$C$8,,,TRUE,TRUE,FALSE,'CDO Bespoke'!$C$29:'CDO Bespoke'!$C$31,'CDO Bespoke'!$C$33),{5})),"")</f>
        <v/>
      </c>
      <c r="U223" s="493"/>
      <c r="V223" s="513"/>
      <c r="W223" s="572"/>
      <c r="X223" s="572"/>
      <c r="Y223" s="572"/>
      <c r="Z223" s="572"/>
      <c r="AA223" s="572"/>
      <c r="AB223" s="572"/>
      <c r="AC223" s="572"/>
      <c r="AD223" s="572"/>
      <c r="AE223" s="514"/>
    </row>
    <row r="224" spans="6:31" s="281" customFormat="1" ht="12" thickBot="1">
      <c r="F224" s="501" t="str">
        <f ca="1">IF('CDO Bespoke'!O225&lt;&gt;"",'CDO Bespoke'!O225,"")</f>
        <v/>
      </c>
      <c r="G224" s="502" t="str">
        <f ca="1">IF(F224&lt;&gt;"",ABS(MIN(-0.75*('CDO Bespoke'!Q225+'CDO Bespoke'!T225)+'CDO Bespoke'!T225,0)),"")</f>
        <v/>
      </c>
      <c r="H224" s="502" t="str">
        <f t="shared" ca="1" si="12"/>
        <v/>
      </c>
      <c r="I224" s="502" t="str">
        <f t="shared" ca="1" si="15"/>
        <v/>
      </c>
      <c r="J224" s="501" t="str">
        <f ca="1">IF('CDO Bespoke'!O225&lt;&gt;"",'CDO Bespoke'!O225,"")</f>
        <v/>
      </c>
      <c r="K224" s="502" t="str">
        <f ca="1">IF(J224&lt;&gt;"",ABS(MIN(-0.75*('CDO Bespoke'!K225+'CDO Bespoke'!T225)+'CDO Bespoke'!T225,0)),"")</f>
        <v/>
      </c>
      <c r="L224" s="502" t="str">
        <f t="shared" ca="1" si="13"/>
        <v/>
      </c>
      <c r="M224" s="506" t="str">
        <f t="shared" ca="1" si="14"/>
        <v/>
      </c>
      <c r="O224" s="511" t="str">
        <f ca="1">IF('CDO Bespoke'!C249&lt;&gt;"",'CDO Bespoke'!C249,"")</f>
        <v/>
      </c>
      <c r="P224" s="513" t="str" cm="1">
        <f t="array" aca="1" ref="P224" ca="1">IF($O224&lt;&gt;"",-TRANSPOSE(INDEX(getcds('CDO Bespoke'!$C249,P$13,'CDO Bespoke'!$G249/10000,'CDO Bespoke'!F249,'CDO Bespoke'!D249,'CDO Bespoke'!$C$13,'CDO Bespoke'!$C$14,'CDO Bespoke'!$C$15,'CDO Bespoke'!$C$8,,,TRUE,TRUE,FALSE,'CDO Bespoke'!$C$29:'CDO Bespoke'!$C$31,'CDO Bespoke'!$C$33),{5})),"")</f>
        <v/>
      </c>
      <c r="Q224" s="524" t="str" cm="1">
        <f t="array" aca="1" ref="Q224" ca="1">IF($O224&lt;&gt;"",-TRANSPOSE(INDEX(getcds('CDO Bespoke'!$C249,Q$13,'CDO Bespoke'!$G249/10000,'CDO Bespoke'!G249,'CDO Bespoke'!E249,'CDO Bespoke'!$C$13,'CDO Bespoke'!$C$14,'CDO Bespoke'!$C$15,'CDO Bespoke'!$C$8,,,TRUE,TRUE,FALSE,'CDO Bespoke'!$C$29:'CDO Bespoke'!$C$31,'CDO Bespoke'!$C$33),{5})),"")</f>
        <v/>
      </c>
      <c r="R224" s="524" t="str" cm="1">
        <f t="array" aca="1" ref="R224" ca="1">IF($O224&lt;&gt;"",-TRANSPOSE(INDEX(getcds('CDO Bespoke'!$C249,R$13,'CDO Bespoke'!$G249/10000,'CDO Bespoke'!H249,'CDO Bespoke'!F249,'CDO Bespoke'!$C$13,'CDO Bespoke'!$C$14,'CDO Bespoke'!$C$15,'CDO Bespoke'!$C$8,,,TRUE,TRUE,FALSE,'CDO Bespoke'!$C$29:'CDO Bespoke'!$C$31,'CDO Bespoke'!$C$33),{5})),"")</f>
        <v/>
      </c>
      <c r="S224" s="524" t="str" cm="1">
        <f t="array" aca="1" ref="S224" ca="1">IF($O224&lt;&gt;"",-TRANSPOSE(INDEX(getcds('CDO Bespoke'!$C249,S$13,'CDO Bespoke'!$G249/10000,'CDO Bespoke'!I249,'CDO Bespoke'!G249,'CDO Bespoke'!$C$13,'CDO Bespoke'!$C$14,'CDO Bespoke'!$C$15,'CDO Bespoke'!$C$8,,,TRUE,TRUE,FALSE,'CDO Bespoke'!$C$29:'CDO Bespoke'!$C$31,'CDO Bespoke'!$C$33),{5})),"")</f>
        <v/>
      </c>
      <c r="T224" s="514" t="str" cm="1">
        <f t="array" aca="1" ref="T224" ca="1">IF($O224&lt;&gt;"",-TRANSPOSE(INDEX(getcds('CDO Bespoke'!$C249,T$13,'CDO Bespoke'!$G249/10000,'CDO Bespoke'!J249,'CDO Bespoke'!H249,'CDO Bespoke'!$C$13,'CDO Bespoke'!$C$14,'CDO Bespoke'!$C$15,'CDO Bespoke'!$C$8,,,TRUE,TRUE,FALSE,'CDO Bespoke'!$C$29:'CDO Bespoke'!$C$31,'CDO Bespoke'!$C$33),{5})),"")</f>
        <v/>
      </c>
      <c r="U224" s="493"/>
      <c r="V224" s="513"/>
      <c r="W224" s="572"/>
      <c r="X224" s="572"/>
      <c r="Y224" s="572"/>
      <c r="Z224" s="572"/>
      <c r="AA224" s="572"/>
      <c r="AB224" s="572"/>
      <c r="AC224" s="572"/>
      <c r="AD224" s="572"/>
      <c r="AE224" s="514"/>
    </row>
    <row r="225" spans="6:31" s="281" customFormat="1" ht="12" thickBot="1">
      <c r="F225" s="501" t="str">
        <f ca="1">IF('CDO Bespoke'!O226&lt;&gt;"",'CDO Bespoke'!O226,"")</f>
        <v/>
      </c>
      <c r="G225" s="502" t="str">
        <f ca="1">IF(F225&lt;&gt;"",ABS(MIN(-0.75*('CDO Bespoke'!Q226+'CDO Bespoke'!T226)+'CDO Bespoke'!T226,0)),"")</f>
        <v/>
      </c>
      <c r="H225" s="502" t="str">
        <f t="shared" ca="1" si="12"/>
        <v/>
      </c>
      <c r="I225" s="502" t="str">
        <f t="shared" ca="1" si="15"/>
        <v/>
      </c>
      <c r="J225" s="501" t="str">
        <f ca="1">IF('CDO Bespoke'!O226&lt;&gt;"",'CDO Bespoke'!O226,"")</f>
        <v/>
      </c>
      <c r="K225" s="502" t="str">
        <f ca="1">IF(J225&lt;&gt;"",ABS(MIN(-0.75*('CDO Bespoke'!K226+'CDO Bespoke'!T226)+'CDO Bespoke'!T226,0)),"")</f>
        <v/>
      </c>
      <c r="L225" s="502" t="str">
        <f t="shared" ca="1" si="13"/>
        <v/>
      </c>
      <c r="M225" s="506" t="str">
        <f t="shared" ca="1" si="14"/>
        <v/>
      </c>
      <c r="O225" s="511" t="str">
        <f ca="1">IF('CDO Bespoke'!C250&lt;&gt;"",'CDO Bespoke'!C250,"")</f>
        <v/>
      </c>
      <c r="P225" s="513" t="str" cm="1">
        <f t="array" aca="1" ref="P225" ca="1">IF($O225&lt;&gt;"",-TRANSPOSE(INDEX(getcds('CDO Bespoke'!$C250,P$13,'CDO Bespoke'!$G250/10000,'CDO Bespoke'!F250,'CDO Bespoke'!D250,'CDO Bespoke'!$C$13,'CDO Bespoke'!$C$14,'CDO Bespoke'!$C$15,'CDO Bespoke'!$C$8,,,TRUE,TRUE,FALSE,'CDO Bespoke'!$C$29:'CDO Bespoke'!$C$31,'CDO Bespoke'!$C$33),{5})),"")</f>
        <v/>
      </c>
      <c r="Q225" s="524" t="str" cm="1">
        <f t="array" aca="1" ref="Q225" ca="1">IF($O225&lt;&gt;"",-TRANSPOSE(INDEX(getcds('CDO Bespoke'!$C250,Q$13,'CDO Bespoke'!$G250/10000,'CDO Bespoke'!G250,'CDO Bespoke'!E250,'CDO Bespoke'!$C$13,'CDO Bespoke'!$C$14,'CDO Bespoke'!$C$15,'CDO Bespoke'!$C$8,,,TRUE,TRUE,FALSE,'CDO Bespoke'!$C$29:'CDO Bespoke'!$C$31,'CDO Bespoke'!$C$33),{5})),"")</f>
        <v/>
      </c>
      <c r="R225" s="524" t="str" cm="1">
        <f t="array" aca="1" ref="R225" ca="1">IF($O225&lt;&gt;"",-TRANSPOSE(INDEX(getcds('CDO Bespoke'!$C250,R$13,'CDO Bespoke'!$G250/10000,'CDO Bespoke'!H250,'CDO Bespoke'!F250,'CDO Bespoke'!$C$13,'CDO Bespoke'!$C$14,'CDO Bespoke'!$C$15,'CDO Bespoke'!$C$8,,,TRUE,TRUE,FALSE,'CDO Bespoke'!$C$29:'CDO Bespoke'!$C$31,'CDO Bespoke'!$C$33),{5})),"")</f>
        <v/>
      </c>
      <c r="S225" s="524" t="str" cm="1">
        <f t="array" aca="1" ref="S225" ca="1">IF($O225&lt;&gt;"",-TRANSPOSE(INDEX(getcds('CDO Bespoke'!$C250,S$13,'CDO Bespoke'!$G250/10000,'CDO Bespoke'!I250,'CDO Bespoke'!G250,'CDO Bespoke'!$C$13,'CDO Bespoke'!$C$14,'CDO Bespoke'!$C$15,'CDO Bespoke'!$C$8,,,TRUE,TRUE,FALSE,'CDO Bespoke'!$C$29:'CDO Bespoke'!$C$31,'CDO Bespoke'!$C$33),{5})),"")</f>
        <v/>
      </c>
      <c r="T225" s="514" t="str" cm="1">
        <f t="array" aca="1" ref="T225" ca="1">IF($O225&lt;&gt;"",-TRANSPOSE(INDEX(getcds('CDO Bespoke'!$C250,T$13,'CDO Bespoke'!$G250/10000,'CDO Bespoke'!J250,'CDO Bespoke'!H250,'CDO Bespoke'!$C$13,'CDO Bespoke'!$C$14,'CDO Bespoke'!$C$15,'CDO Bespoke'!$C$8,,,TRUE,TRUE,FALSE,'CDO Bespoke'!$C$29:'CDO Bespoke'!$C$31,'CDO Bespoke'!$C$33),{5})),"")</f>
        <v/>
      </c>
      <c r="U225" s="493"/>
      <c r="V225" s="513"/>
      <c r="W225" s="572"/>
      <c r="X225" s="572"/>
      <c r="Y225" s="572"/>
      <c r="Z225" s="572"/>
      <c r="AA225" s="572"/>
      <c r="AB225" s="572"/>
      <c r="AC225" s="572"/>
      <c r="AD225" s="572"/>
      <c r="AE225" s="514"/>
    </row>
    <row r="226" spans="6:31" s="281" customFormat="1" ht="12" thickBot="1">
      <c r="F226" s="501" t="str">
        <f ca="1">IF('CDO Bespoke'!O227&lt;&gt;"",'CDO Bespoke'!O227,"")</f>
        <v/>
      </c>
      <c r="G226" s="502" t="str">
        <f ca="1">IF(F226&lt;&gt;"",ABS(MIN(-0.75*('CDO Bespoke'!Q227+'CDO Bespoke'!T227)+'CDO Bespoke'!T227,0)),"")</f>
        <v/>
      </c>
      <c r="H226" s="502" t="str">
        <f t="shared" ca="1" si="12"/>
        <v/>
      </c>
      <c r="I226" s="502" t="str">
        <f t="shared" ca="1" si="15"/>
        <v/>
      </c>
      <c r="J226" s="501" t="str">
        <f ca="1">IF('CDO Bespoke'!O227&lt;&gt;"",'CDO Bespoke'!O227,"")</f>
        <v/>
      </c>
      <c r="K226" s="502" t="str">
        <f ca="1">IF(J226&lt;&gt;"",ABS(MIN(-0.75*('CDO Bespoke'!K227+'CDO Bespoke'!T227)+'CDO Bespoke'!T227,0)),"")</f>
        <v/>
      </c>
      <c r="L226" s="502" t="str">
        <f t="shared" ca="1" si="13"/>
        <v/>
      </c>
      <c r="M226" s="506" t="str">
        <f t="shared" ca="1" si="14"/>
        <v/>
      </c>
      <c r="O226" s="511" t="str">
        <f ca="1">IF('CDO Bespoke'!C251&lt;&gt;"",'CDO Bespoke'!C251,"")</f>
        <v/>
      </c>
      <c r="P226" s="513" t="str" cm="1">
        <f t="array" aca="1" ref="P226" ca="1">IF($O226&lt;&gt;"",-TRANSPOSE(INDEX(getcds('CDO Bespoke'!$C251,P$13,'CDO Bespoke'!$G251/10000,'CDO Bespoke'!F251,'CDO Bespoke'!D251,'CDO Bespoke'!$C$13,'CDO Bespoke'!$C$14,'CDO Bespoke'!$C$15,'CDO Bespoke'!$C$8,,,TRUE,TRUE,FALSE,'CDO Bespoke'!$C$29:'CDO Bespoke'!$C$31,'CDO Bespoke'!$C$33),{5})),"")</f>
        <v/>
      </c>
      <c r="Q226" s="524" t="str" cm="1">
        <f t="array" aca="1" ref="Q226" ca="1">IF($O226&lt;&gt;"",-TRANSPOSE(INDEX(getcds('CDO Bespoke'!$C251,Q$13,'CDO Bespoke'!$G251/10000,'CDO Bespoke'!G251,'CDO Bespoke'!E251,'CDO Bespoke'!$C$13,'CDO Bespoke'!$C$14,'CDO Bespoke'!$C$15,'CDO Bespoke'!$C$8,,,TRUE,TRUE,FALSE,'CDO Bespoke'!$C$29:'CDO Bespoke'!$C$31,'CDO Bespoke'!$C$33),{5})),"")</f>
        <v/>
      </c>
      <c r="R226" s="524" t="str" cm="1">
        <f t="array" aca="1" ref="R226" ca="1">IF($O226&lt;&gt;"",-TRANSPOSE(INDEX(getcds('CDO Bespoke'!$C251,R$13,'CDO Bespoke'!$G251/10000,'CDO Bespoke'!H251,'CDO Bespoke'!F251,'CDO Bespoke'!$C$13,'CDO Bespoke'!$C$14,'CDO Bespoke'!$C$15,'CDO Bespoke'!$C$8,,,TRUE,TRUE,FALSE,'CDO Bespoke'!$C$29:'CDO Bespoke'!$C$31,'CDO Bespoke'!$C$33),{5})),"")</f>
        <v/>
      </c>
      <c r="S226" s="524" t="str" cm="1">
        <f t="array" aca="1" ref="S226" ca="1">IF($O226&lt;&gt;"",-TRANSPOSE(INDEX(getcds('CDO Bespoke'!$C251,S$13,'CDO Bespoke'!$G251/10000,'CDO Bespoke'!I251,'CDO Bespoke'!G251,'CDO Bespoke'!$C$13,'CDO Bespoke'!$C$14,'CDO Bespoke'!$C$15,'CDO Bespoke'!$C$8,,,TRUE,TRUE,FALSE,'CDO Bespoke'!$C$29:'CDO Bespoke'!$C$31,'CDO Bespoke'!$C$33),{5})),"")</f>
        <v/>
      </c>
      <c r="T226" s="514" t="str" cm="1">
        <f t="array" aca="1" ref="T226" ca="1">IF($O226&lt;&gt;"",-TRANSPOSE(INDEX(getcds('CDO Bespoke'!$C251,T$13,'CDO Bespoke'!$G251/10000,'CDO Bespoke'!J251,'CDO Bespoke'!H251,'CDO Bespoke'!$C$13,'CDO Bespoke'!$C$14,'CDO Bespoke'!$C$15,'CDO Bespoke'!$C$8,,,TRUE,TRUE,FALSE,'CDO Bespoke'!$C$29:'CDO Bespoke'!$C$31,'CDO Bespoke'!$C$33),{5})),"")</f>
        <v/>
      </c>
      <c r="U226" s="493"/>
      <c r="V226" s="513"/>
      <c r="W226" s="572"/>
      <c r="X226" s="572"/>
      <c r="Y226" s="572"/>
      <c r="Z226" s="572"/>
      <c r="AA226" s="572"/>
      <c r="AB226" s="572"/>
      <c r="AC226" s="572"/>
      <c r="AD226" s="572"/>
      <c r="AE226" s="514"/>
    </row>
    <row r="227" spans="6:31" s="281" customFormat="1" ht="12" thickBot="1">
      <c r="F227" s="501" t="str">
        <f ca="1">IF('CDO Bespoke'!O228&lt;&gt;"",'CDO Bespoke'!O228,"")</f>
        <v/>
      </c>
      <c r="G227" s="502" t="str">
        <f ca="1">IF(F227&lt;&gt;"",ABS(MIN(-0.75*('CDO Bespoke'!Q228+'CDO Bespoke'!T228)+'CDO Bespoke'!T228,0)),"")</f>
        <v/>
      </c>
      <c r="H227" s="502" t="str">
        <f t="shared" ca="1" si="12"/>
        <v/>
      </c>
      <c r="I227" s="502" t="str">
        <f t="shared" ca="1" si="15"/>
        <v/>
      </c>
      <c r="J227" s="501" t="str">
        <f ca="1">IF('CDO Bespoke'!O228&lt;&gt;"",'CDO Bespoke'!O228,"")</f>
        <v/>
      </c>
      <c r="K227" s="502" t="str">
        <f ca="1">IF(J227&lt;&gt;"",ABS(MIN(-0.75*('CDO Bespoke'!K228+'CDO Bespoke'!T228)+'CDO Bespoke'!T228,0)),"")</f>
        <v/>
      </c>
      <c r="L227" s="502" t="str">
        <f t="shared" ca="1" si="13"/>
        <v/>
      </c>
      <c r="M227" s="506" t="str">
        <f t="shared" ca="1" si="14"/>
        <v/>
      </c>
      <c r="O227" s="511" t="str">
        <f ca="1">IF('CDO Bespoke'!C252&lt;&gt;"",'CDO Bespoke'!C252,"")</f>
        <v/>
      </c>
      <c r="P227" s="513" t="str" cm="1">
        <f t="array" aca="1" ref="P227" ca="1">IF($O227&lt;&gt;"",-TRANSPOSE(INDEX(getcds('CDO Bespoke'!$C252,P$13,'CDO Bespoke'!$G252/10000,'CDO Bespoke'!F252,'CDO Bespoke'!D252,'CDO Bespoke'!$C$13,'CDO Bespoke'!$C$14,'CDO Bespoke'!$C$15,'CDO Bespoke'!$C$8,,,TRUE,TRUE,FALSE,'CDO Bespoke'!$C$29:'CDO Bespoke'!$C$31,'CDO Bespoke'!$C$33),{5})),"")</f>
        <v/>
      </c>
      <c r="Q227" s="524" t="str" cm="1">
        <f t="array" aca="1" ref="Q227" ca="1">IF($O227&lt;&gt;"",-TRANSPOSE(INDEX(getcds('CDO Bespoke'!$C252,Q$13,'CDO Bespoke'!$G252/10000,'CDO Bespoke'!G252,'CDO Bespoke'!E252,'CDO Bespoke'!$C$13,'CDO Bespoke'!$C$14,'CDO Bespoke'!$C$15,'CDO Bespoke'!$C$8,,,TRUE,TRUE,FALSE,'CDO Bespoke'!$C$29:'CDO Bespoke'!$C$31,'CDO Bespoke'!$C$33),{5})),"")</f>
        <v/>
      </c>
      <c r="R227" s="524" t="str" cm="1">
        <f t="array" aca="1" ref="R227" ca="1">IF($O227&lt;&gt;"",-TRANSPOSE(INDEX(getcds('CDO Bespoke'!$C252,R$13,'CDO Bespoke'!$G252/10000,'CDO Bespoke'!H252,'CDO Bespoke'!F252,'CDO Bespoke'!$C$13,'CDO Bespoke'!$C$14,'CDO Bespoke'!$C$15,'CDO Bespoke'!$C$8,,,TRUE,TRUE,FALSE,'CDO Bespoke'!$C$29:'CDO Bespoke'!$C$31,'CDO Bespoke'!$C$33),{5})),"")</f>
        <v/>
      </c>
      <c r="S227" s="524" t="str" cm="1">
        <f t="array" aca="1" ref="S227" ca="1">IF($O227&lt;&gt;"",-TRANSPOSE(INDEX(getcds('CDO Bespoke'!$C252,S$13,'CDO Bespoke'!$G252/10000,'CDO Bespoke'!I252,'CDO Bespoke'!G252,'CDO Bespoke'!$C$13,'CDO Bespoke'!$C$14,'CDO Bespoke'!$C$15,'CDO Bespoke'!$C$8,,,TRUE,TRUE,FALSE,'CDO Bespoke'!$C$29:'CDO Bespoke'!$C$31,'CDO Bespoke'!$C$33),{5})),"")</f>
        <v/>
      </c>
      <c r="T227" s="514" t="str" cm="1">
        <f t="array" aca="1" ref="T227" ca="1">IF($O227&lt;&gt;"",-TRANSPOSE(INDEX(getcds('CDO Bespoke'!$C252,T$13,'CDO Bespoke'!$G252/10000,'CDO Bespoke'!J252,'CDO Bespoke'!H252,'CDO Bespoke'!$C$13,'CDO Bespoke'!$C$14,'CDO Bespoke'!$C$15,'CDO Bespoke'!$C$8,,,TRUE,TRUE,FALSE,'CDO Bespoke'!$C$29:'CDO Bespoke'!$C$31,'CDO Bespoke'!$C$33),{5})),"")</f>
        <v/>
      </c>
      <c r="U227" s="493"/>
      <c r="V227" s="513"/>
      <c r="W227" s="572"/>
      <c r="X227" s="572"/>
      <c r="Y227" s="572"/>
      <c r="Z227" s="572"/>
      <c r="AA227" s="572"/>
      <c r="AB227" s="572"/>
      <c r="AC227" s="572"/>
      <c r="AD227" s="572"/>
      <c r="AE227" s="514"/>
    </row>
    <row r="228" spans="6:31" s="281" customFormat="1" ht="12" thickBot="1">
      <c r="F228" s="501" t="str">
        <f ca="1">IF('CDO Bespoke'!O229&lt;&gt;"",'CDO Bespoke'!O229,"")</f>
        <v/>
      </c>
      <c r="G228" s="502" t="str">
        <f ca="1">IF(F228&lt;&gt;"",ABS(MIN(-0.75*('CDO Bespoke'!Q229+'CDO Bespoke'!T229)+'CDO Bespoke'!T229,0)),"")</f>
        <v/>
      </c>
      <c r="H228" s="502" t="str">
        <f t="shared" ca="1" si="12"/>
        <v/>
      </c>
      <c r="I228" s="502" t="str">
        <f t="shared" ca="1" si="15"/>
        <v/>
      </c>
      <c r="J228" s="501" t="str">
        <f ca="1">IF('CDO Bespoke'!O229&lt;&gt;"",'CDO Bespoke'!O229,"")</f>
        <v/>
      </c>
      <c r="K228" s="502" t="str">
        <f ca="1">IF(J228&lt;&gt;"",ABS(MIN(-0.75*('CDO Bespoke'!K229+'CDO Bespoke'!T229)+'CDO Bespoke'!T229,0)),"")</f>
        <v/>
      </c>
      <c r="L228" s="502" t="str">
        <f t="shared" ca="1" si="13"/>
        <v/>
      </c>
      <c r="M228" s="506" t="str">
        <f t="shared" ca="1" si="14"/>
        <v/>
      </c>
      <c r="O228" s="511" t="str">
        <f ca="1">IF('CDO Bespoke'!C253&lt;&gt;"",'CDO Bespoke'!C253,"")</f>
        <v/>
      </c>
      <c r="P228" s="513" t="str" cm="1">
        <f t="array" aca="1" ref="P228" ca="1">IF($O228&lt;&gt;"",-TRANSPOSE(INDEX(getcds('CDO Bespoke'!$C253,P$13,'CDO Bespoke'!$G253/10000,'CDO Bespoke'!F253,'CDO Bespoke'!D253,'CDO Bespoke'!$C$13,'CDO Bespoke'!$C$14,'CDO Bespoke'!$C$15,'CDO Bespoke'!$C$8,,,TRUE,TRUE,FALSE,'CDO Bespoke'!$C$29:'CDO Bespoke'!$C$31,'CDO Bespoke'!$C$33),{5})),"")</f>
        <v/>
      </c>
      <c r="Q228" s="524" t="str" cm="1">
        <f t="array" aca="1" ref="Q228" ca="1">IF($O228&lt;&gt;"",-TRANSPOSE(INDEX(getcds('CDO Bespoke'!$C253,Q$13,'CDO Bespoke'!$G253/10000,'CDO Bespoke'!G253,'CDO Bespoke'!E253,'CDO Bespoke'!$C$13,'CDO Bespoke'!$C$14,'CDO Bespoke'!$C$15,'CDO Bespoke'!$C$8,,,TRUE,TRUE,FALSE,'CDO Bespoke'!$C$29:'CDO Bespoke'!$C$31,'CDO Bespoke'!$C$33),{5})),"")</f>
        <v/>
      </c>
      <c r="R228" s="524" t="str" cm="1">
        <f t="array" aca="1" ref="R228" ca="1">IF($O228&lt;&gt;"",-TRANSPOSE(INDEX(getcds('CDO Bespoke'!$C253,R$13,'CDO Bespoke'!$G253/10000,'CDO Bespoke'!H253,'CDO Bespoke'!F253,'CDO Bespoke'!$C$13,'CDO Bespoke'!$C$14,'CDO Bespoke'!$C$15,'CDO Bespoke'!$C$8,,,TRUE,TRUE,FALSE,'CDO Bespoke'!$C$29:'CDO Bespoke'!$C$31,'CDO Bespoke'!$C$33),{5})),"")</f>
        <v/>
      </c>
      <c r="S228" s="524" t="str" cm="1">
        <f t="array" aca="1" ref="S228" ca="1">IF($O228&lt;&gt;"",-TRANSPOSE(INDEX(getcds('CDO Bespoke'!$C253,S$13,'CDO Bespoke'!$G253/10000,'CDO Bespoke'!I253,'CDO Bespoke'!G253,'CDO Bespoke'!$C$13,'CDO Bespoke'!$C$14,'CDO Bespoke'!$C$15,'CDO Bespoke'!$C$8,,,TRUE,TRUE,FALSE,'CDO Bespoke'!$C$29:'CDO Bespoke'!$C$31,'CDO Bespoke'!$C$33),{5})),"")</f>
        <v/>
      </c>
      <c r="T228" s="514" t="str" cm="1">
        <f t="array" aca="1" ref="T228" ca="1">IF($O228&lt;&gt;"",-TRANSPOSE(INDEX(getcds('CDO Bespoke'!$C253,T$13,'CDO Bespoke'!$G253/10000,'CDO Bespoke'!J253,'CDO Bespoke'!H253,'CDO Bespoke'!$C$13,'CDO Bespoke'!$C$14,'CDO Bespoke'!$C$15,'CDO Bespoke'!$C$8,,,TRUE,TRUE,FALSE,'CDO Bespoke'!$C$29:'CDO Bespoke'!$C$31,'CDO Bespoke'!$C$33),{5})),"")</f>
        <v/>
      </c>
      <c r="U228" s="493"/>
      <c r="V228" s="513"/>
      <c r="W228" s="572"/>
      <c r="X228" s="572"/>
      <c r="Y228" s="572"/>
      <c r="Z228" s="572"/>
      <c r="AA228" s="572"/>
      <c r="AB228" s="572"/>
      <c r="AC228" s="572"/>
      <c r="AD228" s="572"/>
      <c r="AE228" s="514"/>
    </row>
    <row r="229" spans="6:31" s="281" customFormat="1" ht="12" thickBot="1">
      <c r="F229" s="501" t="str">
        <f ca="1">IF('CDO Bespoke'!O230&lt;&gt;"",'CDO Bespoke'!O230,"")</f>
        <v/>
      </c>
      <c r="G229" s="502" t="str">
        <f ca="1">IF(F229&lt;&gt;"",ABS(MIN(-0.75*('CDO Bespoke'!Q230+'CDO Bespoke'!T230)+'CDO Bespoke'!T230,0)),"")</f>
        <v/>
      </c>
      <c r="H229" s="502" t="str">
        <f t="shared" ca="1" si="12"/>
        <v/>
      </c>
      <c r="I229" s="502" t="str">
        <f t="shared" ca="1" si="15"/>
        <v/>
      </c>
      <c r="J229" s="501" t="str">
        <f ca="1">IF('CDO Bespoke'!O230&lt;&gt;"",'CDO Bespoke'!O230,"")</f>
        <v/>
      </c>
      <c r="K229" s="502" t="str">
        <f ca="1">IF(J229&lt;&gt;"",ABS(MIN(-0.75*('CDO Bespoke'!K230+'CDO Bespoke'!T230)+'CDO Bespoke'!T230,0)),"")</f>
        <v/>
      </c>
      <c r="L229" s="502" t="str">
        <f t="shared" ca="1" si="13"/>
        <v/>
      </c>
      <c r="M229" s="506" t="str">
        <f t="shared" ca="1" si="14"/>
        <v/>
      </c>
      <c r="O229" s="511" t="str">
        <f ca="1">IF('CDO Bespoke'!C254&lt;&gt;"",'CDO Bespoke'!C254,"")</f>
        <v/>
      </c>
      <c r="P229" s="513" t="str" cm="1">
        <f t="array" aca="1" ref="P229" ca="1">IF($O229&lt;&gt;"",-TRANSPOSE(INDEX(getcds('CDO Bespoke'!$C254,P$13,'CDO Bespoke'!$G254/10000,'CDO Bespoke'!F254,'CDO Bespoke'!D254,'CDO Bespoke'!$C$13,'CDO Bespoke'!$C$14,'CDO Bespoke'!$C$15,'CDO Bespoke'!$C$8,,,TRUE,TRUE,FALSE,'CDO Bespoke'!$C$29:'CDO Bespoke'!$C$31,'CDO Bespoke'!$C$33),{5})),"")</f>
        <v/>
      </c>
      <c r="Q229" s="524" t="str" cm="1">
        <f t="array" aca="1" ref="Q229" ca="1">IF($O229&lt;&gt;"",-TRANSPOSE(INDEX(getcds('CDO Bespoke'!$C254,Q$13,'CDO Bespoke'!$G254/10000,'CDO Bespoke'!G254,'CDO Bespoke'!E254,'CDO Bespoke'!$C$13,'CDO Bespoke'!$C$14,'CDO Bespoke'!$C$15,'CDO Bespoke'!$C$8,,,TRUE,TRUE,FALSE,'CDO Bespoke'!$C$29:'CDO Bespoke'!$C$31,'CDO Bespoke'!$C$33),{5})),"")</f>
        <v/>
      </c>
      <c r="R229" s="524" t="str" cm="1">
        <f t="array" aca="1" ref="R229" ca="1">IF($O229&lt;&gt;"",-TRANSPOSE(INDEX(getcds('CDO Bespoke'!$C254,R$13,'CDO Bespoke'!$G254/10000,'CDO Bespoke'!H254,'CDO Bespoke'!F254,'CDO Bespoke'!$C$13,'CDO Bespoke'!$C$14,'CDO Bespoke'!$C$15,'CDO Bespoke'!$C$8,,,TRUE,TRUE,FALSE,'CDO Bespoke'!$C$29:'CDO Bespoke'!$C$31,'CDO Bespoke'!$C$33),{5})),"")</f>
        <v/>
      </c>
      <c r="S229" s="524" t="str" cm="1">
        <f t="array" aca="1" ref="S229" ca="1">IF($O229&lt;&gt;"",-TRANSPOSE(INDEX(getcds('CDO Bespoke'!$C254,S$13,'CDO Bespoke'!$G254/10000,'CDO Bespoke'!I254,'CDO Bespoke'!G254,'CDO Bespoke'!$C$13,'CDO Bespoke'!$C$14,'CDO Bespoke'!$C$15,'CDO Bespoke'!$C$8,,,TRUE,TRUE,FALSE,'CDO Bespoke'!$C$29:'CDO Bespoke'!$C$31,'CDO Bespoke'!$C$33),{5})),"")</f>
        <v/>
      </c>
      <c r="T229" s="514" t="str" cm="1">
        <f t="array" aca="1" ref="T229" ca="1">IF($O229&lt;&gt;"",-TRANSPOSE(INDEX(getcds('CDO Bespoke'!$C254,T$13,'CDO Bespoke'!$G254/10000,'CDO Bespoke'!J254,'CDO Bespoke'!H254,'CDO Bespoke'!$C$13,'CDO Bespoke'!$C$14,'CDO Bespoke'!$C$15,'CDO Bespoke'!$C$8,,,TRUE,TRUE,FALSE,'CDO Bespoke'!$C$29:'CDO Bespoke'!$C$31,'CDO Bespoke'!$C$33),{5})),"")</f>
        <v/>
      </c>
      <c r="U229" s="493"/>
      <c r="V229" s="513"/>
      <c r="W229" s="572"/>
      <c r="X229" s="572"/>
      <c r="Y229" s="572"/>
      <c r="Z229" s="572"/>
      <c r="AA229" s="572"/>
      <c r="AB229" s="572"/>
      <c r="AC229" s="572"/>
      <c r="AD229" s="572"/>
      <c r="AE229" s="514"/>
    </row>
    <row r="230" spans="6:31" s="281" customFormat="1" ht="12" thickBot="1">
      <c r="F230" s="501" t="str">
        <f ca="1">IF('CDO Bespoke'!O231&lt;&gt;"",'CDO Bespoke'!O231,"")</f>
        <v/>
      </c>
      <c r="G230" s="502" t="str">
        <f ca="1">IF(F230&lt;&gt;"",ABS(MIN(-0.75*('CDO Bespoke'!Q231+'CDO Bespoke'!T231)+'CDO Bespoke'!T231,0)),"")</f>
        <v/>
      </c>
      <c r="H230" s="502" t="str">
        <f t="shared" ca="1" si="12"/>
        <v/>
      </c>
      <c r="I230" s="502" t="str">
        <f t="shared" ca="1" si="15"/>
        <v/>
      </c>
      <c r="J230" s="501" t="str">
        <f ca="1">IF('CDO Bespoke'!O231&lt;&gt;"",'CDO Bespoke'!O231,"")</f>
        <v/>
      </c>
      <c r="K230" s="502" t="str">
        <f ca="1">IF(J230&lt;&gt;"",ABS(MIN(-0.75*('CDO Bespoke'!K231+'CDO Bespoke'!T231)+'CDO Bespoke'!T231,0)),"")</f>
        <v/>
      </c>
      <c r="L230" s="502" t="str">
        <f t="shared" ca="1" si="13"/>
        <v/>
      </c>
      <c r="M230" s="506" t="str">
        <f t="shared" ca="1" si="14"/>
        <v/>
      </c>
      <c r="O230" s="511" t="str">
        <f ca="1">IF('CDO Bespoke'!C255&lt;&gt;"",'CDO Bespoke'!C255,"")</f>
        <v/>
      </c>
      <c r="P230" s="513" t="str" cm="1">
        <f t="array" aca="1" ref="P230" ca="1">IF($O230&lt;&gt;"",-TRANSPOSE(INDEX(getcds('CDO Bespoke'!$C255,P$13,'CDO Bespoke'!$G255/10000,'CDO Bespoke'!F255,'CDO Bespoke'!D255,'CDO Bespoke'!$C$13,'CDO Bespoke'!$C$14,'CDO Bespoke'!$C$15,'CDO Bespoke'!$C$8,,,TRUE,TRUE,FALSE,'CDO Bespoke'!$C$29:'CDO Bespoke'!$C$31,'CDO Bespoke'!$C$33),{5})),"")</f>
        <v/>
      </c>
      <c r="Q230" s="524" t="str" cm="1">
        <f t="array" aca="1" ref="Q230" ca="1">IF($O230&lt;&gt;"",-TRANSPOSE(INDEX(getcds('CDO Bespoke'!$C255,Q$13,'CDO Bespoke'!$G255/10000,'CDO Bespoke'!G255,'CDO Bespoke'!E255,'CDO Bespoke'!$C$13,'CDO Bespoke'!$C$14,'CDO Bespoke'!$C$15,'CDO Bespoke'!$C$8,,,TRUE,TRUE,FALSE,'CDO Bespoke'!$C$29:'CDO Bespoke'!$C$31,'CDO Bespoke'!$C$33),{5})),"")</f>
        <v/>
      </c>
      <c r="R230" s="524" t="str" cm="1">
        <f t="array" aca="1" ref="R230" ca="1">IF($O230&lt;&gt;"",-TRANSPOSE(INDEX(getcds('CDO Bespoke'!$C255,R$13,'CDO Bespoke'!$G255/10000,'CDO Bespoke'!H255,'CDO Bespoke'!F255,'CDO Bespoke'!$C$13,'CDO Bespoke'!$C$14,'CDO Bespoke'!$C$15,'CDO Bespoke'!$C$8,,,TRUE,TRUE,FALSE,'CDO Bespoke'!$C$29:'CDO Bespoke'!$C$31,'CDO Bespoke'!$C$33),{5})),"")</f>
        <v/>
      </c>
      <c r="S230" s="524" t="str" cm="1">
        <f t="array" aca="1" ref="S230" ca="1">IF($O230&lt;&gt;"",-TRANSPOSE(INDEX(getcds('CDO Bespoke'!$C255,S$13,'CDO Bespoke'!$G255/10000,'CDO Bespoke'!I255,'CDO Bespoke'!G255,'CDO Bespoke'!$C$13,'CDO Bespoke'!$C$14,'CDO Bespoke'!$C$15,'CDO Bespoke'!$C$8,,,TRUE,TRUE,FALSE,'CDO Bespoke'!$C$29:'CDO Bespoke'!$C$31,'CDO Bespoke'!$C$33),{5})),"")</f>
        <v/>
      </c>
      <c r="T230" s="514" t="str" cm="1">
        <f t="array" aca="1" ref="T230" ca="1">IF($O230&lt;&gt;"",-TRANSPOSE(INDEX(getcds('CDO Bespoke'!$C255,T$13,'CDO Bespoke'!$G255/10000,'CDO Bespoke'!J255,'CDO Bespoke'!H255,'CDO Bespoke'!$C$13,'CDO Bespoke'!$C$14,'CDO Bespoke'!$C$15,'CDO Bespoke'!$C$8,,,TRUE,TRUE,FALSE,'CDO Bespoke'!$C$29:'CDO Bespoke'!$C$31,'CDO Bespoke'!$C$33),{5})),"")</f>
        <v/>
      </c>
      <c r="U230" s="493"/>
      <c r="V230" s="513"/>
      <c r="W230" s="572"/>
      <c r="X230" s="572"/>
      <c r="Y230" s="572"/>
      <c r="Z230" s="572"/>
      <c r="AA230" s="572"/>
      <c r="AB230" s="572"/>
      <c r="AC230" s="572"/>
      <c r="AD230" s="572"/>
      <c r="AE230" s="514"/>
    </row>
    <row r="231" spans="6:31" s="281" customFormat="1" ht="12" thickBot="1">
      <c r="F231" s="501" t="str">
        <f ca="1">IF('CDO Bespoke'!O232&lt;&gt;"",'CDO Bespoke'!O232,"")</f>
        <v/>
      </c>
      <c r="G231" s="502" t="str">
        <f ca="1">IF(F231&lt;&gt;"",ABS(MIN(-0.75*('CDO Bespoke'!Q232+'CDO Bespoke'!T232)+'CDO Bespoke'!T232,0)),"")</f>
        <v/>
      </c>
      <c r="H231" s="502" t="str">
        <f t="shared" ca="1" si="12"/>
        <v/>
      </c>
      <c r="I231" s="502" t="str">
        <f t="shared" ca="1" si="15"/>
        <v/>
      </c>
      <c r="J231" s="501" t="str">
        <f ca="1">IF('CDO Bespoke'!O232&lt;&gt;"",'CDO Bespoke'!O232,"")</f>
        <v/>
      </c>
      <c r="K231" s="502" t="str">
        <f ca="1">IF(J231&lt;&gt;"",ABS(MIN(-0.75*('CDO Bespoke'!K232+'CDO Bespoke'!T232)+'CDO Bespoke'!T232,0)),"")</f>
        <v/>
      </c>
      <c r="L231" s="502" t="str">
        <f t="shared" ca="1" si="13"/>
        <v/>
      </c>
      <c r="M231" s="506" t="str">
        <f t="shared" ca="1" si="14"/>
        <v/>
      </c>
      <c r="O231" s="511" t="str">
        <f ca="1">IF('CDO Bespoke'!C256&lt;&gt;"",'CDO Bespoke'!C256,"")</f>
        <v/>
      </c>
      <c r="P231" s="513" t="str" cm="1">
        <f t="array" aca="1" ref="P231" ca="1">IF($O231&lt;&gt;"",-TRANSPOSE(INDEX(getcds('CDO Bespoke'!$C256,P$13,'CDO Bespoke'!$G256/10000,'CDO Bespoke'!F256,'CDO Bespoke'!D256,'CDO Bespoke'!$C$13,'CDO Bespoke'!$C$14,'CDO Bespoke'!$C$15,'CDO Bespoke'!$C$8,,,TRUE,TRUE,FALSE,'CDO Bespoke'!$C$29:'CDO Bespoke'!$C$31,'CDO Bespoke'!$C$33),{5})),"")</f>
        <v/>
      </c>
      <c r="Q231" s="524" t="str" cm="1">
        <f t="array" aca="1" ref="Q231" ca="1">IF($O231&lt;&gt;"",-TRANSPOSE(INDEX(getcds('CDO Bespoke'!$C256,Q$13,'CDO Bespoke'!$G256/10000,'CDO Bespoke'!G256,'CDO Bespoke'!E256,'CDO Bespoke'!$C$13,'CDO Bespoke'!$C$14,'CDO Bespoke'!$C$15,'CDO Bespoke'!$C$8,,,TRUE,TRUE,FALSE,'CDO Bespoke'!$C$29:'CDO Bespoke'!$C$31,'CDO Bespoke'!$C$33),{5})),"")</f>
        <v/>
      </c>
      <c r="R231" s="524" t="str" cm="1">
        <f t="array" aca="1" ref="R231" ca="1">IF($O231&lt;&gt;"",-TRANSPOSE(INDEX(getcds('CDO Bespoke'!$C256,R$13,'CDO Bespoke'!$G256/10000,'CDO Bespoke'!H256,'CDO Bespoke'!F256,'CDO Bespoke'!$C$13,'CDO Bespoke'!$C$14,'CDO Bespoke'!$C$15,'CDO Bespoke'!$C$8,,,TRUE,TRUE,FALSE,'CDO Bespoke'!$C$29:'CDO Bespoke'!$C$31,'CDO Bespoke'!$C$33),{5})),"")</f>
        <v/>
      </c>
      <c r="S231" s="524" t="str" cm="1">
        <f t="array" aca="1" ref="S231" ca="1">IF($O231&lt;&gt;"",-TRANSPOSE(INDEX(getcds('CDO Bespoke'!$C256,S$13,'CDO Bespoke'!$G256/10000,'CDO Bespoke'!I256,'CDO Bespoke'!G256,'CDO Bespoke'!$C$13,'CDO Bespoke'!$C$14,'CDO Bespoke'!$C$15,'CDO Bespoke'!$C$8,,,TRUE,TRUE,FALSE,'CDO Bespoke'!$C$29:'CDO Bespoke'!$C$31,'CDO Bespoke'!$C$33),{5})),"")</f>
        <v/>
      </c>
      <c r="T231" s="514" t="str" cm="1">
        <f t="array" aca="1" ref="T231" ca="1">IF($O231&lt;&gt;"",-TRANSPOSE(INDEX(getcds('CDO Bespoke'!$C256,T$13,'CDO Bespoke'!$G256/10000,'CDO Bespoke'!J256,'CDO Bespoke'!H256,'CDO Bespoke'!$C$13,'CDO Bespoke'!$C$14,'CDO Bespoke'!$C$15,'CDO Bespoke'!$C$8,,,TRUE,TRUE,FALSE,'CDO Bespoke'!$C$29:'CDO Bespoke'!$C$31,'CDO Bespoke'!$C$33),{5})),"")</f>
        <v/>
      </c>
      <c r="U231" s="493"/>
      <c r="V231" s="513"/>
      <c r="W231" s="572"/>
      <c r="X231" s="572"/>
      <c r="Y231" s="572"/>
      <c r="Z231" s="572"/>
      <c r="AA231" s="572"/>
      <c r="AB231" s="572"/>
      <c r="AC231" s="572"/>
      <c r="AD231" s="572"/>
      <c r="AE231" s="514"/>
    </row>
    <row r="232" spans="6:31" s="281" customFormat="1" ht="12" thickBot="1">
      <c r="F232" s="501" t="str">
        <f ca="1">IF('CDO Bespoke'!O233&lt;&gt;"",'CDO Bespoke'!O233,"")</f>
        <v/>
      </c>
      <c r="G232" s="502" t="str">
        <f ca="1">IF(F232&lt;&gt;"",ABS(MIN(-0.75*('CDO Bespoke'!Q233+'CDO Bespoke'!T233)+'CDO Bespoke'!T233,0)),"")</f>
        <v/>
      </c>
      <c r="H232" s="502" t="str">
        <f t="shared" ca="1" si="12"/>
        <v/>
      </c>
      <c r="I232" s="502" t="str">
        <f t="shared" ca="1" si="15"/>
        <v/>
      </c>
      <c r="J232" s="501" t="str">
        <f ca="1">IF('CDO Bespoke'!O233&lt;&gt;"",'CDO Bespoke'!O233,"")</f>
        <v/>
      </c>
      <c r="K232" s="502" t="str">
        <f ca="1">IF(J232&lt;&gt;"",ABS(MIN(-0.75*('CDO Bespoke'!K233+'CDO Bespoke'!T233)+'CDO Bespoke'!T233,0)),"")</f>
        <v/>
      </c>
      <c r="L232" s="502" t="str">
        <f t="shared" ca="1" si="13"/>
        <v/>
      </c>
      <c r="M232" s="506" t="str">
        <f t="shared" ca="1" si="14"/>
        <v/>
      </c>
      <c r="O232" s="511" t="str">
        <f ca="1">IF('CDO Bespoke'!C257&lt;&gt;"",'CDO Bespoke'!C257,"")</f>
        <v/>
      </c>
      <c r="P232" s="513" t="str" cm="1">
        <f t="array" aca="1" ref="P232" ca="1">IF($O232&lt;&gt;"",-TRANSPOSE(INDEX(getcds('CDO Bespoke'!$C257,P$13,'CDO Bespoke'!$G257/10000,'CDO Bespoke'!F257,'CDO Bespoke'!D257,'CDO Bespoke'!$C$13,'CDO Bespoke'!$C$14,'CDO Bespoke'!$C$15,'CDO Bespoke'!$C$8,,,TRUE,TRUE,FALSE,'CDO Bespoke'!$C$29:'CDO Bespoke'!$C$31,'CDO Bespoke'!$C$33),{5})),"")</f>
        <v/>
      </c>
      <c r="Q232" s="524" t="str" cm="1">
        <f t="array" aca="1" ref="Q232" ca="1">IF($O232&lt;&gt;"",-TRANSPOSE(INDEX(getcds('CDO Bespoke'!$C257,Q$13,'CDO Bespoke'!$G257/10000,'CDO Bespoke'!G257,'CDO Bespoke'!E257,'CDO Bespoke'!$C$13,'CDO Bespoke'!$C$14,'CDO Bespoke'!$C$15,'CDO Bespoke'!$C$8,,,TRUE,TRUE,FALSE,'CDO Bespoke'!$C$29:'CDO Bespoke'!$C$31,'CDO Bespoke'!$C$33),{5})),"")</f>
        <v/>
      </c>
      <c r="R232" s="524" t="str" cm="1">
        <f t="array" aca="1" ref="R232" ca="1">IF($O232&lt;&gt;"",-TRANSPOSE(INDEX(getcds('CDO Bespoke'!$C257,R$13,'CDO Bespoke'!$G257/10000,'CDO Bespoke'!H257,'CDO Bespoke'!F257,'CDO Bespoke'!$C$13,'CDO Bespoke'!$C$14,'CDO Bespoke'!$C$15,'CDO Bespoke'!$C$8,,,TRUE,TRUE,FALSE,'CDO Bespoke'!$C$29:'CDO Bespoke'!$C$31,'CDO Bespoke'!$C$33),{5})),"")</f>
        <v/>
      </c>
      <c r="S232" s="524" t="str" cm="1">
        <f t="array" aca="1" ref="S232" ca="1">IF($O232&lt;&gt;"",-TRANSPOSE(INDEX(getcds('CDO Bespoke'!$C257,S$13,'CDO Bespoke'!$G257/10000,'CDO Bespoke'!I257,'CDO Bespoke'!G257,'CDO Bespoke'!$C$13,'CDO Bespoke'!$C$14,'CDO Bespoke'!$C$15,'CDO Bespoke'!$C$8,,,TRUE,TRUE,FALSE,'CDO Bespoke'!$C$29:'CDO Bespoke'!$C$31,'CDO Bespoke'!$C$33),{5})),"")</f>
        <v/>
      </c>
      <c r="T232" s="514" t="str" cm="1">
        <f t="array" aca="1" ref="T232" ca="1">IF($O232&lt;&gt;"",-TRANSPOSE(INDEX(getcds('CDO Bespoke'!$C257,T$13,'CDO Bespoke'!$G257/10000,'CDO Bespoke'!J257,'CDO Bespoke'!H257,'CDO Bespoke'!$C$13,'CDO Bespoke'!$C$14,'CDO Bespoke'!$C$15,'CDO Bespoke'!$C$8,,,TRUE,TRUE,FALSE,'CDO Bespoke'!$C$29:'CDO Bespoke'!$C$31,'CDO Bespoke'!$C$33),{5})),"")</f>
        <v/>
      </c>
      <c r="U232" s="493"/>
      <c r="V232" s="513"/>
      <c r="W232" s="572"/>
      <c r="X232" s="572"/>
      <c r="Y232" s="572"/>
      <c r="Z232" s="572"/>
      <c r="AA232" s="572"/>
      <c r="AB232" s="572"/>
      <c r="AC232" s="572"/>
      <c r="AD232" s="572"/>
      <c r="AE232" s="514"/>
    </row>
    <row r="233" spans="6:31" s="281" customFormat="1" ht="12" thickBot="1">
      <c r="F233" s="501" t="str">
        <f ca="1">IF('CDO Bespoke'!O234&lt;&gt;"",'CDO Bespoke'!O234,"")</f>
        <v/>
      </c>
      <c r="G233" s="502" t="str">
        <f ca="1">IF(F233&lt;&gt;"",ABS(MIN(-0.75*('CDO Bespoke'!Q234+'CDO Bespoke'!T234)+'CDO Bespoke'!T234,0)),"")</f>
        <v/>
      </c>
      <c r="H233" s="502" t="str">
        <f t="shared" ca="1" si="12"/>
        <v/>
      </c>
      <c r="I233" s="502" t="str">
        <f t="shared" ca="1" si="15"/>
        <v/>
      </c>
      <c r="J233" s="501" t="str">
        <f ca="1">IF('CDO Bespoke'!O234&lt;&gt;"",'CDO Bespoke'!O234,"")</f>
        <v/>
      </c>
      <c r="K233" s="502" t="str">
        <f ca="1">IF(J233&lt;&gt;"",ABS(MIN(-0.75*('CDO Bespoke'!K234+'CDO Bespoke'!T234)+'CDO Bespoke'!T234,0)),"")</f>
        <v/>
      </c>
      <c r="L233" s="502" t="str">
        <f t="shared" ca="1" si="13"/>
        <v/>
      </c>
      <c r="M233" s="506" t="str">
        <f t="shared" ca="1" si="14"/>
        <v/>
      </c>
      <c r="O233" s="511" t="str">
        <f ca="1">IF('CDO Bespoke'!C258&lt;&gt;"",'CDO Bespoke'!C258,"")</f>
        <v/>
      </c>
      <c r="P233" s="513" t="str" cm="1">
        <f t="array" aca="1" ref="P233" ca="1">IF($O233&lt;&gt;"",-TRANSPOSE(INDEX(getcds('CDO Bespoke'!$C258,P$13,'CDO Bespoke'!$G258/10000,'CDO Bespoke'!F258,'CDO Bespoke'!D258,'CDO Bespoke'!$C$13,'CDO Bespoke'!$C$14,'CDO Bespoke'!$C$15,'CDO Bespoke'!$C$8,,,TRUE,TRUE,FALSE,'CDO Bespoke'!$C$29:'CDO Bespoke'!$C$31,'CDO Bespoke'!$C$33),{5})),"")</f>
        <v/>
      </c>
      <c r="Q233" s="524" t="str" cm="1">
        <f t="array" aca="1" ref="Q233" ca="1">IF($O233&lt;&gt;"",-TRANSPOSE(INDEX(getcds('CDO Bespoke'!$C258,Q$13,'CDO Bespoke'!$G258/10000,'CDO Bespoke'!G258,'CDO Bespoke'!E258,'CDO Bespoke'!$C$13,'CDO Bespoke'!$C$14,'CDO Bespoke'!$C$15,'CDO Bespoke'!$C$8,,,TRUE,TRUE,FALSE,'CDO Bespoke'!$C$29:'CDO Bespoke'!$C$31,'CDO Bespoke'!$C$33),{5})),"")</f>
        <v/>
      </c>
      <c r="R233" s="524" t="str" cm="1">
        <f t="array" aca="1" ref="R233" ca="1">IF($O233&lt;&gt;"",-TRANSPOSE(INDEX(getcds('CDO Bespoke'!$C258,R$13,'CDO Bespoke'!$G258/10000,'CDO Bespoke'!H258,'CDO Bespoke'!F258,'CDO Bespoke'!$C$13,'CDO Bespoke'!$C$14,'CDO Bespoke'!$C$15,'CDO Bespoke'!$C$8,,,TRUE,TRUE,FALSE,'CDO Bespoke'!$C$29:'CDO Bespoke'!$C$31,'CDO Bespoke'!$C$33),{5})),"")</f>
        <v/>
      </c>
      <c r="S233" s="524" t="str" cm="1">
        <f t="array" aca="1" ref="S233" ca="1">IF($O233&lt;&gt;"",-TRANSPOSE(INDEX(getcds('CDO Bespoke'!$C258,S$13,'CDO Bespoke'!$G258/10000,'CDO Bespoke'!I258,'CDO Bespoke'!G258,'CDO Bespoke'!$C$13,'CDO Bespoke'!$C$14,'CDO Bespoke'!$C$15,'CDO Bespoke'!$C$8,,,TRUE,TRUE,FALSE,'CDO Bespoke'!$C$29:'CDO Bespoke'!$C$31,'CDO Bespoke'!$C$33),{5})),"")</f>
        <v/>
      </c>
      <c r="T233" s="514" t="str" cm="1">
        <f t="array" aca="1" ref="T233" ca="1">IF($O233&lt;&gt;"",-TRANSPOSE(INDEX(getcds('CDO Bespoke'!$C258,T$13,'CDO Bespoke'!$G258/10000,'CDO Bespoke'!J258,'CDO Bespoke'!H258,'CDO Bespoke'!$C$13,'CDO Bespoke'!$C$14,'CDO Bespoke'!$C$15,'CDO Bespoke'!$C$8,,,TRUE,TRUE,FALSE,'CDO Bespoke'!$C$29:'CDO Bespoke'!$C$31,'CDO Bespoke'!$C$33),{5})),"")</f>
        <v/>
      </c>
      <c r="U233" s="493"/>
      <c r="V233" s="513"/>
      <c r="W233" s="572"/>
      <c r="X233" s="572"/>
      <c r="Y233" s="572"/>
      <c r="Z233" s="572"/>
      <c r="AA233" s="572"/>
      <c r="AB233" s="572"/>
      <c r="AC233" s="572"/>
      <c r="AD233" s="572"/>
      <c r="AE233" s="514"/>
    </row>
    <row r="234" spans="6:31" s="281" customFormat="1" ht="12" thickBot="1">
      <c r="F234" s="501" t="str">
        <f ca="1">IF('CDO Bespoke'!O235&lt;&gt;"",'CDO Bespoke'!O235,"")</f>
        <v/>
      </c>
      <c r="G234" s="502" t="str">
        <f ca="1">IF(F234&lt;&gt;"",ABS(MIN(-0.75*('CDO Bespoke'!Q235+'CDO Bespoke'!T235)+'CDO Bespoke'!T235,0)),"")</f>
        <v/>
      </c>
      <c r="H234" s="502" t="str">
        <f t="shared" ca="1" si="12"/>
        <v/>
      </c>
      <c r="I234" s="502" t="str">
        <f t="shared" ca="1" si="15"/>
        <v/>
      </c>
      <c r="J234" s="501" t="str">
        <f ca="1">IF('CDO Bespoke'!O235&lt;&gt;"",'CDO Bespoke'!O235,"")</f>
        <v/>
      </c>
      <c r="K234" s="502" t="str">
        <f ca="1">IF(J234&lt;&gt;"",ABS(MIN(-0.75*('CDO Bespoke'!K235+'CDO Bespoke'!T235)+'CDO Bespoke'!T235,0)),"")</f>
        <v/>
      </c>
      <c r="L234" s="502" t="str">
        <f t="shared" ca="1" si="13"/>
        <v/>
      </c>
      <c r="M234" s="506" t="str">
        <f t="shared" ca="1" si="14"/>
        <v/>
      </c>
      <c r="O234" s="511" t="str">
        <f ca="1">IF('CDO Bespoke'!C259&lt;&gt;"",'CDO Bespoke'!C259,"")</f>
        <v/>
      </c>
      <c r="P234" s="513" t="str" cm="1">
        <f t="array" aca="1" ref="P234" ca="1">IF($O234&lt;&gt;"",-TRANSPOSE(INDEX(getcds('CDO Bespoke'!$C259,P$13,'CDO Bespoke'!$G259/10000,'CDO Bespoke'!F259,'CDO Bespoke'!D259,'CDO Bespoke'!$C$13,'CDO Bespoke'!$C$14,'CDO Bespoke'!$C$15,'CDO Bespoke'!$C$8,,,TRUE,TRUE,FALSE,'CDO Bespoke'!$C$29:'CDO Bespoke'!$C$31,'CDO Bespoke'!$C$33),{5})),"")</f>
        <v/>
      </c>
      <c r="Q234" s="524" t="str" cm="1">
        <f t="array" aca="1" ref="Q234" ca="1">IF($O234&lt;&gt;"",-TRANSPOSE(INDEX(getcds('CDO Bespoke'!$C259,Q$13,'CDO Bespoke'!$G259/10000,'CDO Bespoke'!G259,'CDO Bespoke'!E259,'CDO Bespoke'!$C$13,'CDO Bespoke'!$C$14,'CDO Bespoke'!$C$15,'CDO Bespoke'!$C$8,,,TRUE,TRUE,FALSE,'CDO Bespoke'!$C$29:'CDO Bespoke'!$C$31,'CDO Bespoke'!$C$33),{5})),"")</f>
        <v/>
      </c>
      <c r="R234" s="524" t="str" cm="1">
        <f t="array" aca="1" ref="R234" ca="1">IF($O234&lt;&gt;"",-TRANSPOSE(INDEX(getcds('CDO Bespoke'!$C259,R$13,'CDO Bespoke'!$G259/10000,'CDO Bespoke'!H259,'CDO Bespoke'!F259,'CDO Bespoke'!$C$13,'CDO Bespoke'!$C$14,'CDO Bespoke'!$C$15,'CDO Bespoke'!$C$8,,,TRUE,TRUE,FALSE,'CDO Bespoke'!$C$29:'CDO Bespoke'!$C$31,'CDO Bespoke'!$C$33),{5})),"")</f>
        <v/>
      </c>
      <c r="S234" s="524" t="str" cm="1">
        <f t="array" aca="1" ref="S234" ca="1">IF($O234&lt;&gt;"",-TRANSPOSE(INDEX(getcds('CDO Bespoke'!$C259,S$13,'CDO Bespoke'!$G259/10000,'CDO Bespoke'!I259,'CDO Bespoke'!G259,'CDO Bespoke'!$C$13,'CDO Bespoke'!$C$14,'CDO Bespoke'!$C$15,'CDO Bespoke'!$C$8,,,TRUE,TRUE,FALSE,'CDO Bespoke'!$C$29:'CDO Bespoke'!$C$31,'CDO Bespoke'!$C$33),{5})),"")</f>
        <v/>
      </c>
      <c r="T234" s="514" t="str" cm="1">
        <f t="array" aca="1" ref="T234" ca="1">IF($O234&lt;&gt;"",-TRANSPOSE(INDEX(getcds('CDO Bespoke'!$C259,T$13,'CDO Bespoke'!$G259/10000,'CDO Bespoke'!J259,'CDO Bespoke'!H259,'CDO Bespoke'!$C$13,'CDO Bespoke'!$C$14,'CDO Bespoke'!$C$15,'CDO Bespoke'!$C$8,,,TRUE,TRUE,FALSE,'CDO Bespoke'!$C$29:'CDO Bespoke'!$C$31,'CDO Bespoke'!$C$33),{5})),"")</f>
        <v/>
      </c>
      <c r="U234" s="493"/>
      <c r="V234" s="513"/>
      <c r="W234" s="572"/>
      <c r="X234" s="572"/>
      <c r="Y234" s="572"/>
      <c r="Z234" s="572"/>
      <c r="AA234" s="572"/>
      <c r="AB234" s="572"/>
      <c r="AC234" s="572"/>
      <c r="AD234" s="572"/>
      <c r="AE234" s="514"/>
    </row>
    <row r="235" spans="6:31" s="281" customFormat="1" ht="12" thickBot="1">
      <c r="F235" s="501" t="str">
        <f ca="1">IF('CDO Bespoke'!O236&lt;&gt;"",'CDO Bespoke'!O236,"")</f>
        <v/>
      </c>
      <c r="G235" s="502" t="str">
        <f ca="1">IF(F235&lt;&gt;"",ABS(MIN(-0.75*('CDO Bespoke'!Q236+'CDO Bespoke'!T236)+'CDO Bespoke'!T236,0)),"")</f>
        <v/>
      </c>
      <c r="H235" s="502" t="str">
        <f t="shared" ca="1" si="12"/>
        <v/>
      </c>
      <c r="I235" s="502" t="str">
        <f t="shared" ca="1" si="15"/>
        <v/>
      </c>
      <c r="J235" s="501" t="str">
        <f ca="1">IF('CDO Bespoke'!O236&lt;&gt;"",'CDO Bespoke'!O236,"")</f>
        <v/>
      </c>
      <c r="K235" s="502" t="str">
        <f ca="1">IF(J235&lt;&gt;"",ABS(MIN(-0.75*('CDO Bespoke'!K236+'CDO Bespoke'!T236)+'CDO Bespoke'!T236,0)),"")</f>
        <v/>
      </c>
      <c r="L235" s="502" t="str">
        <f t="shared" ca="1" si="13"/>
        <v/>
      </c>
      <c r="M235" s="506" t="str">
        <f t="shared" ca="1" si="14"/>
        <v/>
      </c>
      <c r="O235" s="511" t="str">
        <f ca="1">IF('CDO Bespoke'!C260&lt;&gt;"",'CDO Bespoke'!C260,"")</f>
        <v/>
      </c>
      <c r="P235" s="513" t="str" cm="1">
        <f t="array" aca="1" ref="P235" ca="1">IF($O235&lt;&gt;"",-TRANSPOSE(INDEX(getcds('CDO Bespoke'!$C260,P$13,'CDO Bespoke'!$G260/10000,'CDO Bespoke'!F260,'CDO Bespoke'!D260,'CDO Bespoke'!$C$13,'CDO Bespoke'!$C$14,'CDO Bespoke'!$C$15,'CDO Bespoke'!$C$8,,,TRUE,TRUE,FALSE,'CDO Bespoke'!$C$29:'CDO Bespoke'!$C$31,'CDO Bespoke'!$C$33),{5})),"")</f>
        <v/>
      </c>
      <c r="Q235" s="524" t="str" cm="1">
        <f t="array" aca="1" ref="Q235" ca="1">IF($O235&lt;&gt;"",-TRANSPOSE(INDEX(getcds('CDO Bespoke'!$C260,Q$13,'CDO Bespoke'!$G260/10000,'CDO Bespoke'!G260,'CDO Bespoke'!E260,'CDO Bespoke'!$C$13,'CDO Bespoke'!$C$14,'CDO Bespoke'!$C$15,'CDO Bespoke'!$C$8,,,TRUE,TRUE,FALSE,'CDO Bespoke'!$C$29:'CDO Bespoke'!$C$31,'CDO Bespoke'!$C$33),{5})),"")</f>
        <v/>
      </c>
      <c r="R235" s="524" t="str" cm="1">
        <f t="array" aca="1" ref="R235" ca="1">IF($O235&lt;&gt;"",-TRANSPOSE(INDEX(getcds('CDO Bespoke'!$C260,R$13,'CDO Bespoke'!$G260/10000,'CDO Bespoke'!H260,'CDO Bespoke'!F260,'CDO Bespoke'!$C$13,'CDO Bespoke'!$C$14,'CDO Bespoke'!$C$15,'CDO Bespoke'!$C$8,,,TRUE,TRUE,FALSE,'CDO Bespoke'!$C$29:'CDO Bespoke'!$C$31,'CDO Bespoke'!$C$33),{5})),"")</f>
        <v/>
      </c>
      <c r="S235" s="524" t="str" cm="1">
        <f t="array" aca="1" ref="S235" ca="1">IF($O235&lt;&gt;"",-TRANSPOSE(INDEX(getcds('CDO Bespoke'!$C260,S$13,'CDO Bespoke'!$G260/10000,'CDO Bespoke'!I260,'CDO Bespoke'!G260,'CDO Bespoke'!$C$13,'CDO Bespoke'!$C$14,'CDO Bespoke'!$C$15,'CDO Bespoke'!$C$8,,,TRUE,TRUE,FALSE,'CDO Bespoke'!$C$29:'CDO Bespoke'!$C$31,'CDO Bespoke'!$C$33),{5})),"")</f>
        <v/>
      </c>
      <c r="T235" s="514" t="str" cm="1">
        <f t="array" aca="1" ref="T235" ca="1">IF($O235&lt;&gt;"",-TRANSPOSE(INDEX(getcds('CDO Bespoke'!$C260,T$13,'CDO Bespoke'!$G260/10000,'CDO Bespoke'!J260,'CDO Bespoke'!H260,'CDO Bespoke'!$C$13,'CDO Bespoke'!$C$14,'CDO Bespoke'!$C$15,'CDO Bespoke'!$C$8,,,TRUE,TRUE,FALSE,'CDO Bespoke'!$C$29:'CDO Bespoke'!$C$31,'CDO Bespoke'!$C$33),{5})),"")</f>
        <v/>
      </c>
      <c r="U235" s="493"/>
      <c r="V235" s="513"/>
      <c r="W235" s="572"/>
      <c r="X235" s="572"/>
      <c r="Y235" s="572"/>
      <c r="Z235" s="572"/>
      <c r="AA235" s="572"/>
      <c r="AB235" s="572"/>
      <c r="AC235" s="572"/>
      <c r="AD235" s="572"/>
      <c r="AE235" s="514"/>
    </row>
    <row r="236" spans="6:31" s="281" customFormat="1" ht="12" thickBot="1">
      <c r="F236" s="501" t="str">
        <f ca="1">IF('CDO Bespoke'!O237&lt;&gt;"",'CDO Bespoke'!O237,"")</f>
        <v/>
      </c>
      <c r="G236" s="502" t="str">
        <f ca="1">IF(F236&lt;&gt;"",ABS(MIN(-0.75*('CDO Bespoke'!Q237+'CDO Bespoke'!T237)+'CDO Bespoke'!T237,0)),"")</f>
        <v/>
      </c>
      <c r="H236" s="502" t="str">
        <f t="shared" ca="1" si="12"/>
        <v/>
      </c>
      <c r="I236" s="502" t="str">
        <f t="shared" ca="1" si="15"/>
        <v/>
      </c>
      <c r="J236" s="501" t="str">
        <f ca="1">IF('CDO Bespoke'!O237&lt;&gt;"",'CDO Bespoke'!O237,"")</f>
        <v/>
      </c>
      <c r="K236" s="502" t="str">
        <f ca="1">IF(J236&lt;&gt;"",ABS(MIN(-0.75*('CDO Bespoke'!K237+'CDO Bespoke'!T237)+'CDO Bespoke'!T237,0)),"")</f>
        <v/>
      </c>
      <c r="L236" s="502" t="str">
        <f t="shared" ca="1" si="13"/>
        <v/>
      </c>
      <c r="M236" s="506" t="str">
        <f t="shared" ca="1" si="14"/>
        <v/>
      </c>
      <c r="O236" s="511" t="str">
        <f ca="1">IF('CDO Bespoke'!C261&lt;&gt;"",'CDO Bespoke'!C261,"")</f>
        <v/>
      </c>
      <c r="P236" s="513" t="str" cm="1">
        <f t="array" aca="1" ref="P236" ca="1">IF($O236&lt;&gt;"",-TRANSPOSE(INDEX(getcds('CDO Bespoke'!$C261,P$13,'CDO Bespoke'!$G261/10000,'CDO Bespoke'!F261,'CDO Bespoke'!D261,'CDO Bespoke'!$C$13,'CDO Bespoke'!$C$14,'CDO Bespoke'!$C$15,'CDO Bespoke'!$C$8,,,TRUE,TRUE,FALSE,'CDO Bespoke'!$C$29:'CDO Bespoke'!$C$31,'CDO Bespoke'!$C$33),{5})),"")</f>
        <v/>
      </c>
      <c r="Q236" s="524" t="str" cm="1">
        <f t="array" aca="1" ref="Q236" ca="1">IF($O236&lt;&gt;"",-TRANSPOSE(INDEX(getcds('CDO Bespoke'!$C261,Q$13,'CDO Bespoke'!$G261/10000,'CDO Bespoke'!G261,'CDO Bespoke'!E261,'CDO Bespoke'!$C$13,'CDO Bespoke'!$C$14,'CDO Bespoke'!$C$15,'CDO Bespoke'!$C$8,,,TRUE,TRUE,FALSE,'CDO Bespoke'!$C$29:'CDO Bespoke'!$C$31,'CDO Bespoke'!$C$33),{5})),"")</f>
        <v/>
      </c>
      <c r="R236" s="524" t="str" cm="1">
        <f t="array" aca="1" ref="R236" ca="1">IF($O236&lt;&gt;"",-TRANSPOSE(INDEX(getcds('CDO Bespoke'!$C261,R$13,'CDO Bespoke'!$G261/10000,'CDO Bespoke'!H261,'CDO Bespoke'!F261,'CDO Bespoke'!$C$13,'CDO Bespoke'!$C$14,'CDO Bespoke'!$C$15,'CDO Bespoke'!$C$8,,,TRUE,TRUE,FALSE,'CDO Bespoke'!$C$29:'CDO Bespoke'!$C$31,'CDO Bespoke'!$C$33),{5})),"")</f>
        <v/>
      </c>
      <c r="S236" s="524" t="str" cm="1">
        <f t="array" aca="1" ref="S236" ca="1">IF($O236&lt;&gt;"",-TRANSPOSE(INDEX(getcds('CDO Bespoke'!$C261,S$13,'CDO Bespoke'!$G261/10000,'CDO Bespoke'!I261,'CDO Bespoke'!G261,'CDO Bespoke'!$C$13,'CDO Bespoke'!$C$14,'CDO Bespoke'!$C$15,'CDO Bespoke'!$C$8,,,TRUE,TRUE,FALSE,'CDO Bespoke'!$C$29:'CDO Bespoke'!$C$31,'CDO Bespoke'!$C$33),{5})),"")</f>
        <v/>
      </c>
      <c r="T236" s="514" t="str" cm="1">
        <f t="array" aca="1" ref="T236" ca="1">IF($O236&lt;&gt;"",-TRANSPOSE(INDEX(getcds('CDO Bespoke'!$C261,T$13,'CDO Bespoke'!$G261/10000,'CDO Bespoke'!J261,'CDO Bespoke'!H261,'CDO Bespoke'!$C$13,'CDO Bespoke'!$C$14,'CDO Bespoke'!$C$15,'CDO Bespoke'!$C$8,,,TRUE,TRUE,FALSE,'CDO Bespoke'!$C$29:'CDO Bespoke'!$C$31,'CDO Bespoke'!$C$33),{5})),"")</f>
        <v/>
      </c>
      <c r="U236" s="493"/>
      <c r="V236" s="513"/>
      <c r="W236" s="572"/>
      <c r="X236" s="572"/>
      <c r="Y236" s="572"/>
      <c r="Z236" s="572"/>
      <c r="AA236" s="572"/>
      <c r="AB236" s="572"/>
      <c r="AC236" s="572"/>
      <c r="AD236" s="572"/>
      <c r="AE236" s="514"/>
    </row>
    <row r="237" spans="6:31" s="281" customFormat="1" ht="12" thickBot="1">
      <c r="F237" s="501" t="str">
        <f ca="1">IF('CDO Bespoke'!O238&lt;&gt;"",'CDO Bespoke'!O238,"")</f>
        <v/>
      </c>
      <c r="G237" s="502" t="str">
        <f ca="1">IF(F237&lt;&gt;"",ABS(MIN(-0.75*('CDO Bespoke'!Q238+'CDO Bespoke'!T238)+'CDO Bespoke'!T238,0)),"")</f>
        <v/>
      </c>
      <c r="H237" s="502" t="str">
        <f t="shared" ca="1" si="12"/>
        <v/>
      </c>
      <c r="I237" s="502" t="str">
        <f t="shared" ca="1" si="15"/>
        <v/>
      </c>
      <c r="J237" s="501" t="str">
        <f ca="1">IF('CDO Bespoke'!O238&lt;&gt;"",'CDO Bespoke'!O238,"")</f>
        <v/>
      </c>
      <c r="K237" s="502" t="str">
        <f ca="1">IF(J237&lt;&gt;"",ABS(MIN(-0.75*('CDO Bespoke'!K238+'CDO Bespoke'!T238)+'CDO Bespoke'!T238,0)),"")</f>
        <v/>
      </c>
      <c r="L237" s="502" t="str">
        <f t="shared" ca="1" si="13"/>
        <v/>
      </c>
      <c r="M237" s="506" t="str">
        <f t="shared" ca="1" si="14"/>
        <v/>
      </c>
      <c r="O237" s="511" t="str">
        <f ca="1">IF('CDO Bespoke'!C262&lt;&gt;"",'CDO Bespoke'!C262,"")</f>
        <v/>
      </c>
      <c r="P237" s="513" t="str" cm="1">
        <f t="array" aca="1" ref="P237" ca="1">IF($O237&lt;&gt;"",-TRANSPOSE(INDEX(getcds('CDO Bespoke'!$C262,P$13,'CDO Bespoke'!$G262/10000,'CDO Bespoke'!F262,'CDO Bespoke'!D262,'CDO Bespoke'!$C$13,'CDO Bespoke'!$C$14,'CDO Bespoke'!$C$15,'CDO Bespoke'!$C$8,,,TRUE,TRUE,FALSE,'CDO Bespoke'!$C$29:'CDO Bespoke'!$C$31,'CDO Bespoke'!$C$33),{5})),"")</f>
        <v/>
      </c>
      <c r="Q237" s="524" t="str" cm="1">
        <f t="array" aca="1" ref="Q237" ca="1">IF($O237&lt;&gt;"",-TRANSPOSE(INDEX(getcds('CDO Bespoke'!$C262,Q$13,'CDO Bespoke'!$G262/10000,'CDO Bespoke'!G262,'CDO Bespoke'!E262,'CDO Bespoke'!$C$13,'CDO Bespoke'!$C$14,'CDO Bespoke'!$C$15,'CDO Bespoke'!$C$8,,,TRUE,TRUE,FALSE,'CDO Bespoke'!$C$29:'CDO Bespoke'!$C$31,'CDO Bespoke'!$C$33),{5})),"")</f>
        <v/>
      </c>
      <c r="R237" s="524" t="str" cm="1">
        <f t="array" aca="1" ref="R237" ca="1">IF($O237&lt;&gt;"",-TRANSPOSE(INDEX(getcds('CDO Bespoke'!$C262,R$13,'CDO Bespoke'!$G262/10000,'CDO Bespoke'!H262,'CDO Bespoke'!F262,'CDO Bespoke'!$C$13,'CDO Bespoke'!$C$14,'CDO Bespoke'!$C$15,'CDO Bespoke'!$C$8,,,TRUE,TRUE,FALSE,'CDO Bespoke'!$C$29:'CDO Bespoke'!$C$31,'CDO Bespoke'!$C$33),{5})),"")</f>
        <v/>
      </c>
      <c r="S237" s="524" t="str" cm="1">
        <f t="array" aca="1" ref="S237" ca="1">IF($O237&lt;&gt;"",-TRANSPOSE(INDEX(getcds('CDO Bespoke'!$C262,S$13,'CDO Bespoke'!$G262/10000,'CDO Bespoke'!I262,'CDO Bespoke'!G262,'CDO Bespoke'!$C$13,'CDO Bespoke'!$C$14,'CDO Bespoke'!$C$15,'CDO Bespoke'!$C$8,,,TRUE,TRUE,FALSE,'CDO Bespoke'!$C$29:'CDO Bespoke'!$C$31,'CDO Bespoke'!$C$33),{5})),"")</f>
        <v/>
      </c>
      <c r="T237" s="514" t="str" cm="1">
        <f t="array" aca="1" ref="T237" ca="1">IF($O237&lt;&gt;"",-TRANSPOSE(INDEX(getcds('CDO Bespoke'!$C262,T$13,'CDO Bespoke'!$G262/10000,'CDO Bespoke'!J262,'CDO Bespoke'!H262,'CDO Bespoke'!$C$13,'CDO Bespoke'!$C$14,'CDO Bespoke'!$C$15,'CDO Bespoke'!$C$8,,,TRUE,TRUE,FALSE,'CDO Bespoke'!$C$29:'CDO Bespoke'!$C$31,'CDO Bespoke'!$C$33),{5})),"")</f>
        <v/>
      </c>
      <c r="U237" s="493"/>
      <c r="V237" s="513"/>
      <c r="W237" s="572"/>
      <c r="X237" s="572"/>
      <c r="Y237" s="572"/>
      <c r="Z237" s="572"/>
      <c r="AA237" s="572"/>
      <c r="AB237" s="572"/>
      <c r="AC237" s="572"/>
      <c r="AD237" s="572"/>
      <c r="AE237" s="514"/>
    </row>
    <row r="238" spans="6:31" s="281" customFormat="1" ht="12" thickBot="1">
      <c r="F238" s="501" t="str">
        <f ca="1">IF('CDO Bespoke'!O239&lt;&gt;"",'CDO Bespoke'!O239,"")</f>
        <v/>
      </c>
      <c r="G238" s="502" t="str">
        <f ca="1">IF(F238&lt;&gt;"",ABS(MIN(-0.75*('CDO Bespoke'!Q239+'CDO Bespoke'!T239)+'CDO Bespoke'!T239,0)),"")</f>
        <v/>
      </c>
      <c r="H238" s="502" t="str">
        <f t="shared" ca="1" si="12"/>
        <v/>
      </c>
      <c r="I238" s="502" t="str">
        <f t="shared" ca="1" si="15"/>
        <v/>
      </c>
      <c r="J238" s="501" t="str">
        <f ca="1">IF('CDO Bespoke'!O239&lt;&gt;"",'CDO Bespoke'!O239,"")</f>
        <v/>
      </c>
      <c r="K238" s="502" t="str">
        <f ca="1">IF(J238&lt;&gt;"",ABS(MIN(-0.75*('CDO Bespoke'!K239+'CDO Bespoke'!T239)+'CDO Bespoke'!T239,0)),"")</f>
        <v/>
      </c>
      <c r="L238" s="502" t="str">
        <f t="shared" ca="1" si="13"/>
        <v/>
      </c>
      <c r="M238" s="506" t="str">
        <f t="shared" ca="1" si="14"/>
        <v/>
      </c>
      <c r="O238" s="511" t="str">
        <f ca="1">IF('CDO Bespoke'!C263&lt;&gt;"",'CDO Bespoke'!C263,"")</f>
        <v/>
      </c>
      <c r="P238" s="513" t="str" cm="1">
        <f t="array" aca="1" ref="P238" ca="1">IF($O238&lt;&gt;"",-TRANSPOSE(INDEX(getcds('CDO Bespoke'!$C263,P$13,'CDO Bespoke'!$G263/10000,'CDO Bespoke'!F263,'CDO Bespoke'!D263,'CDO Bespoke'!$C$13,'CDO Bespoke'!$C$14,'CDO Bespoke'!$C$15,'CDO Bespoke'!$C$8,,,TRUE,TRUE,FALSE,'CDO Bespoke'!$C$29:'CDO Bespoke'!$C$31,'CDO Bespoke'!$C$33),{5})),"")</f>
        <v/>
      </c>
      <c r="Q238" s="524" t="str" cm="1">
        <f t="array" aca="1" ref="Q238" ca="1">IF($O238&lt;&gt;"",-TRANSPOSE(INDEX(getcds('CDO Bespoke'!$C263,Q$13,'CDO Bespoke'!$G263/10000,'CDO Bespoke'!G263,'CDO Bespoke'!E263,'CDO Bespoke'!$C$13,'CDO Bespoke'!$C$14,'CDO Bespoke'!$C$15,'CDO Bespoke'!$C$8,,,TRUE,TRUE,FALSE,'CDO Bespoke'!$C$29:'CDO Bespoke'!$C$31,'CDO Bespoke'!$C$33),{5})),"")</f>
        <v/>
      </c>
      <c r="R238" s="524" t="str" cm="1">
        <f t="array" aca="1" ref="R238" ca="1">IF($O238&lt;&gt;"",-TRANSPOSE(INDEX(getcds('CDO Bespoke'!$C263,R$13,'CDO Bespoke'!$G263/10000,'CDO Bespoke'!H263,'CDO Bespoke'!F263,'CDO Bespoke'!$C$13,'CDO Bespoke'!$C$14,'CDO Bespoke'!$C$15,'CDO Bespoke'!$C$8,,,TRUE,TRUE,FALSE,'CDO Bespoke'!$C$29:'CDO Bespoke'!$C$31,'CDO Bespoke'!$C$33),{5})),"")</f>
        <v/>
      </c>
      <c r="S238" s="524" t="str" cm="1">
        <f t="array" aca="1" ref="S238" ca="1">IF($O238&lt;&gt;"",-TRANSPOSE(INDEX(getcds('CDO Bespoke'!$C263,S$13,'CDO Bespoke'!$G263/10000,'CDO Bespoke'!I263,'CDO Bespoke'!G263,'CDO Bespoke'!$C$13,'CDO Bespoke'!$C$14,'CDO Bespoke'!$C$15,'CDO Bespoke'!$C$8,,,TRUE,TRUE,FALSE,'CDO Bespoke'!$C$29:'CDO Bespoke'!$C$31,'CDO Bespoke'!$C$33),{5})),"")</f>
        <v/>
      </c>
      <c r="T238" s="514" t="str" cm="1">
        <f t="array" aca="1" ref="T238" ca="1">IF($O238&lt;&gt;"",-TRANSPOSE(INDEX(getcds('CDO Bespoke'!$C263,T$13,'CDO Bespoke'!$G263/10000,'CDO Bespoke'!J263,'CDO Bespoke'!H263,'CDO Bespoke'!$C$13,'CDO Bespoke'!$C$14,'CDO Bespoke'!$C$15,'CDO Bespoke'!$C$8,,,TRUE,TRUE,FALSE,'CDO Bespoke'!$C$29:'CDO Bespoke'!$C$31,'CDO Bespoke'!$C$33),{5})),"")</f>
        <v/>
      </c>
      <c r="U238" s="493"/>
      <c r="V238" s="513"/>
      <c r="W238" s="572"/>
      <c r="X238" s="572"/>
      <c r="Y238" s="572"/>
      <c r="Z238" s="572"/>
      <c r="AA238" s="572"/>
      <c r="AB238" s="572"/>
      <c r="AC238" s="572"/>
      <c r="AD238" s="572"/>
      <c r="AE238" s="514"/>
    </row>
    <row r="239" spans="6:31" s="281" customFormat="1" ht="12" thickBot="1">
      <c r="F239" s="501" t="str">
        <f ca="1">IF('CDO Bespoke'!O240&lt;&gt;"",'CDO Bespoke'!O240,"")</f>
        <v/>
      </c>
      <c r="G239" s="502" t="str">
        <f ca="1">IF(F239&lt;&gt;"",ABS(MIN(-0.75*('CDO Bespoke'!Q240+'CDO Bespoke'!T240)+'CDO Bespoke'!T240,0)),"")</f>
        <v/>
      </c>
      <c r="H239" s="502" t="str">
        <f t="shared" ca="1" si="12"/>
        <v/>
      </c>
      <c r="I239" s="502" t="str">
        <f t="shared" ca="1" si="15"/>
        <v/>
      </c>
      <c r="J239" s="501" t="str">
        <f ca="1">IF('CDO Bespoke'!O240&lt;&gt;"",'CDO Bespoke'!O240,"")</f>
        <v/>
      </c>
      <c r="K239" s="502" t="str">
        <f ca="1">IF(J239&lt;&gt;"",ABS(MIN(-0.75*('CDO Bespoke'!K240+'CDO Bespoke'!T240)+'CDO Bespoke'!T240,0)),"")</f>
        <v/>
      </c>
      <c r="L239" s="502" t="str">
        <f t="shared" ca="1" si="13"/>
        <v/>
      </c>
      <c r="M239" s="506" t="str">
        <f t="shared" ca="1" si="14"/>
        <v/>
      </c>
      <c r="O239" s="511" t="str">
        <f ca="1">IF('CDO Bespoke'!C264&lt;&gt;"",'CDO Bespoke'!C264,"")</f>
        <v/>
      </c>
      <c r="P239" s="513" t="str" cm="1">
        <f t="array" aca="1" ref="P239" ca="1">IF($O239&lt;&gt;"",-TRANSPOSE(INDEX(getcds('CDO Bespoke'!$C264,P$13,'CDO Bespoke'!$G264/10000,'CDO Bespoke'!F264,'CDO Bespoke'!D264,'CDO Bespoke'!$C$13,'CDO Bespoke'!$C$14,'CDO Bespoke'!$C$15,'CDO Bespoke'!$C$8,,,TRUE,TRUE,FALSE,'CDO Bespoke'!$C$29:'CDO Bespoke'!$C$31,'CDO Bespoke'!$C$33),{5})),"")</f>
        <v/>
      </c>
      <c r="Q239" s="524" t="str" cm="1">
        <f t="array" aca="1" ref="Q239" ca="1">IF($O239&lt;&gt;"",-TRANSPOSE(INDEX(getcds('CDO Bespoke'!$C264,Q$13,'CDO Bespoke'!$G264/10000,'CDO Bespoke'!G264,'CDO Bespoke'!E264,'CDO Bespoke'!$C$13,'CDO Bespoke'!$C$14,'CDO Bespoke'!$C$15,'CDO Bespoke'!$C$8,,,TRUE,TRUE,FALSE,'CDO Bespoke'!$C$29:'CDO Bespoke'!$C$31,'CDO Bespoke'!$C$33),{5})),"")</f>
        <v/>
      </c>
      <c r="R239" s="524" t="str" cm="1">
        <f t="array" aca="1" ref="R239" ca="1">IF($O239&lt;&gt;"",-TRANSPOSE(INDEX(getcds('CDO Bespoke'!$C264,R$13,'CDO Bespoke'!$G264/10000,'CDO Bespoke'!H264,'CDO Bespoke'!F264,'CDO Bespoke'!$C$13,'CDO Bespoke'!$C$14,'CDO Bespoke'!$C$15,'CDO Bespoke'!$C$8,,,TRUE,TRUE,FALSE,'CDO Bespoke'!$C$29:'CDO Bespoke'!$C$31,'CDO Bespoke'!$C$33),{5})),"")</f>
        <v/>
      </c>
      <c r="S239" s="524" t="str" cm="1">
        <f t="array" aca="1" ref="S239" ca="1">IF($O239&lt;&gt;"",-TRANSPOSE(INDEX(getcds('CDO Bespoke'!$C264,S$13,'CDO Bespoke'!$G264/10000,'CDO Bespoke'!I264,'CDO Bespoke'!G264,'CDO Bespoke'!$C$13,'CDO Bespoke'!$C$14,'CDO Bespoke'!$C$15,'CDO Bespoke'!$C$8,,,TRUE,TRUE,FALSE,'CDO Bespoke'!$C$29:'CDO Bespoke'!$C$31,'CDO Bespoke'!$C$33),{5})),"")</f>
        <v/>
      </c>
      <c r="T239" s="514" t="str" cm="1">
        <f t="array" aca="1" ref="T239" ca="1">IF($O239&lt;&gt;"",-TRANSPOSE(INDEX(getcds('CDO Bespoke'!$C264,T$13,'CDO Bespoke'!$G264/10000,'CDO Bespoke'!J264,'CDO Bespoke'!H264,'CDO Bespoke'!$C$13,'CDO Bespoke'!$C$14,'CDO Bespoke'!$C$15,'CDO Bespoke'!$C$8,,,TRUE,TRUE,FALSE,'CDO Bespoke'!$C$29:'CDO Bespoke'!$C$31,'CDO Bespoke'!$C$33),{5})),"")</f>
        <v/>
      </c>
      <c r="U239" s="493"/>
      <c r="V239" s="513"/>
      <c r="W239" s="572"/>
      <c r="X239" s="572"/>
      <c r="Y239" s="572"/>
      <c r="Z239" s="572"/>
      <c r="AA239" s="572"/>
      <c r="AB239" s="572"/>
      <c r="AC239" s="572"/>
      <c r="AD239" s="572"/>
      <c r="AE239" s="514"/>
    </row>
    <row r="240" spans="6:31" s="281" customFormat="1" ht="12" thickBot="1">
      <c r="F240" s="501" t="str">
        <f ca="1">IF('CDO Bespoke'!O241&lt;&gt;"",'CDO Bespoke'!O241,"")</f>
        <v/>
      </c>
      <c r="G240" s="502" t="str">
        <f ca="1">IF(F240&lt;&gt;"",ABS(MIN(-0.75*('CDO Bespoke'!Q241+'CDO Bespoke'!T241)+'CDO Bespoke'!T241,0)),"")</f>
        <v/>
      </c>
      <c r="H240" s="502" t="str">
        <f t="shared" ca="1" si="12"/>
        <v/>
      </c>
      <c r="I240" s="502" t="str">
        <f t="shared" ca="1" si="15"/>
        <v/>
      </c>
      <c r="J240" s="501" t="str">
        <f ca="1">IF('CDO Bespoke'!O241&lt;&gt;"",'CDO Bespoke'!O241,"")</f>
        <v/>
      </c>
      <c r="K240" s="502" t="str">
        <f ca="1">IF(J240&lt;&gt;"",ABS(MIN(-0.75*('CDO Bespoke'!K241+'CDO Bespoke'!T241)+'CDO Bespoke'!T241,0)),"")</f>
        <v/>
      </c>
      <c r="L240" s="502" t="str">
        <f t="shared" ca="1" si="13"/>
        <v/>
      </c>
      <c r="M240" s="506" t="str">
        <f t="shared" ca="1" si="14"/>
        <v/>
      </c>
      <c r="O240" s="511" t="str">
        <f ca="1">IF('CDO Bespoke'!C265&lt;&gt;"",'CDO Bespoke'!C265,"")</f>
        <v/>
      </c>
      <c r="P240" s="513" t="str" cm="1">
        <f t="array" aca="1" ref="P240" ca="1">IF($O240&lt;&gt;"",-TRANSPOSE(INDEX(getcds('CDO Bespoke'!$C265,P$13,'CDO Bespoke'!$G265/10000,'CDO Bespoke'!F265,'CDO Bespoke'!D265,'CDO Bespoke'!$C$13,'CDO Bespoke'!$C$14,'CDO Bespoke'!$C$15,'CDO Bespoke'!$C$8,,,TRUE,TRUE,FALSE,'CDO Bespoke'!$C$29:'CDO Bespoke'!$C$31,'CDO Bespoke'!$C$33),{5})),"")</f>
        <v/>
      </c>
      <c r="Q240" s="524" t="str" cm="1">
        <f t="array" aca="1" ref="Q240" ca="1">IF($O240&lt;&gt;"",-TRANSPOSE(INDEX(getcds('CDO Bespoke'!$C265,Q$13,'CDO Bespoke'!$G265/10000,'CDO Bespoke'!G265,'CDO Bespoke'!E265,'CDO Bespoke'!$C$13,'CDO Bespoke'!$C$14,'CDO Bespoke'!$C$15,'CDO Bespoke'!$C$8,,,TRUE,TRUE,FALSE,'CDO Bespoke'!$C$29:'CDO Bespoke'!$C$31,'CDO Bespoke'!$C$33),{5})),"")</f>
        <v/>
      </c>
      <c r="R240" s="524" t="str" cm="1">
        <f t="array" aca="1" ref="R240" ca="1">IF($O240&lt;&gt;"",-TRANSPOSE(INDEX(getcds('CDO Bespoke'!$C265,R$13,'CDO Bespoke'!$G265/10000,'CDO Bespoke'!H265,'CDO Bespoke'!F265,'CDO Bespoke'!$C$13,'CDO Bespoke'!$C$14,'CDO Bespoke'!$C$15,'CDO Bespoke'!$C$8,,,TRUE,TRUE,FALSE,'CDO Bespoke'!$C$29:'CDO Bespoke'!$C$31,'CDO Bespoke'!$C$33),{5})),"")</f>
        <v/>
      </c>
      <c r="S240" s="524" t="str" cm="1">
        <f t="array" aca="1" ref="S240" ca="1">IF($O240&lt;&gt;"",-TRANSPOSE(INDEX(getcds('CDO Bespoke'!$C265,S$13,'CDO Bespoke'!$G265/10000,'CDO Bespoke'!I265,'CDO Bespoke'!G265,'CDO Bespoke'!$C$13,'CDO Bespoke'!$C$14,'CDO Bespoke'!$C$15,'CDO Bespoke'!$C$8,,,TRUE,TRUE,FALSE,'CDO Bespoke'!$C$29:'CDO Bespoke'!$C$31,'CDO Bespoke'!$C$33),{5})),"")</f>
        <v/>
      </c>
      <c r="T240" s="514" t="str" cm="1">
        <f t="array" aca="1" ref="T240" ca="1">IF($O240&lt;&gt;"",-TRANSPOSE(INDEX(getcds('CDO Bespoke'!$C265,T$13,'CDO Bespoke'!$G265/10000,'CDO Bespoke'!J265,'CDO Bespoke'!H265,'CDO Bespoke'!$C$13,'CDO Bespoke'!$C$14,'CDO Bespoke'!$C$15,'CDO Bespoke'!$C$8,,,TRUE,TRUE,FALSE,'CDO Bespoke'!$C$29:'CDO Bespoke'!$C$31,'CDO Bespoke'!$C$33),{5})),"")</f>
        <v/>
      </c>
      <c r="U240" s="493"/>
      <c r="V240" s="513"/>
      <c r="W240" s="572"/>
      <c r="X240" s="572"/>
      <c r="Y240" s="572"/>
      <c r="Z240" s="572"/>
      <c r="AA240" s="572"/>
      <c r="AB240" s="572"/>
      <c r="AC240" s="572"/>
      <c r="AD240" s="572"/>
      <c r="AE240" s="514"/>
    </row>
    <row r="241" spans="6:31" s="281" customFormat="1" ht="12" thickBot="1">
      <c r="F241" s="501" t="str">
        <f ca="1">IF('CDO Bespoke'!O242&lt;&gt;"",'CDO Bespoke'!O242,"")</f>
        <v/>
      </c>
      <c r="G241" s="502" t="str">
        <f ca="1">IF(F241&lt;&gt;"",ABS(MIN(-0.75*('CDO Bespoke'!Q242+'CDO Bespoke'!T242)+'CDO Bespoke'!T242,0)),"")</f>
        <v/>
      </c>
      <c r="H241" s="502" t="str">
        <f t="shared" ca="1" si="12"/>
        <v/>
      </c>
      <c r="I241" s="502" t="str">
        <f t="shared" ca="1" si="15"/>
        <v/>
      </c>
      <c r="J241" s="501" t="str">
        <f ca="1">IF('CDO Bespoke'!O242&lt;&gt;"",'CDO Bespoke'!O242,"")</f>
        <v/>
      </c>
      <c r="K241" s="502" t="str">
        <f ca="1">IF(J241&lt;&gt;"",ABS(MIN(-0.75*('CDO Bespoke'!K242+'CDO Bespoke'!T242)+'CDO Bespoke'!T242,0)),"")</f>
        <v/>
      </c>
      <c r="L241" s="502" t="str">
        <f t="shared" ca="1" si="13"/>
        <v/>
      </c>
      <c r="M241" s="506" t="str">
        <f t="shared" ca="1" si="14"/>
        <v/>
      </c>
      <c r="O241" s="511" t="str">
        <f ca="1">IF('CDO Bespoke'!C266&lt;&gt;"",'CDO Bespoke'!C266,"")</f>
        <v/>
      </c>
      <c r="P241" s="513" t="str" cm="1">
        <f t="array" aca="1" ref="P241" ca="1">IF($O241&lt;&gt;"",-TRANSPOSE(INDEX(getcds('CDO Bespoke'!$C266,P$13,'CDO Bespoke'!$G266/10000,'CDO Bespoke'!F266,'CDO Bespoke'!D266,'CDO Bespoke'!$C$13,'CDO Bespoke'!$C$14,'CDO Bespoke'!$C$15,'CDO Bespoke'!$C$8,,,TRUE,TRUE,FALSE,'CDO Bespoke'!$C$29:'CDO Bespoke'!$C$31,'CDO Bespoke'!$C$33),{5})),"")</f>
        <v/>
      </c>
      <c r="Q241" s="524" t="str" cm="1">
        <f t="array" aca="1" ref="Q241" ca="1">IF($O241&lt;&gt;"",-TRANSPOSE(INDEX(getcds('CDO Bespoke'!$C266,Q$13,'CDO Bespoke'!$G266/10000,'CDO Bespoke'!G266,'CDO Bespoke'!E266,'CDO Bespoke'!$C$13,'CDO Bespoke'!$C$14,'CDO Bespoke'!$C$15,'CDO Bespoke'!$C$8,,,TRUE,TRUE,FALSE,'CDO Bespoke'!$C$29:'CDO Bespoke'!$C$31,'CDO Bespoke'!$C$33),{5})),"")</f>
        <v/>
      </c>
      <c r="R241" s="524" t="str" cm="1">
        <f t="array" aca="1" ref="R241" ca="1">IF($O241&lt;&gt;"",-TRANSPOSE(INDEX(getcds('CDO Bespoke'!$C266,R$13,'CDO Bespoke'!$G266/10000,'CDO Bespoke'!H266,'CDO Bespoke'!F266,'CDO Bespoke'!$C$13,'CDO Bespoke'!$C$14,'CDO Bespoke'!$C$15,'CDO Bespoke'!$C$8,,,TRUE,TRUE,FALSE,'CDO Bespoke'!$C$29:'CDO Bespoke'!$C$31,'CDO Bespoke'!$C$33),{5})),"")</f>
        <v/>
      </c>
      <c r="S241" s="524" t="str" cm="1">
        <f t="array" aca="1" ref="S241" ca="1">IF($O241&lt;&gt;"",-TRANSPOSE(INDEX(getcds('CDO Bespoke'!$C266,S$13,'CDO Bespoke'!$G266/10000,'CDO Bespoke'!I266,'CDO Bespoke'!G266,'CDO Bespoke'!$C$13,'CDO Bespoke'!$C$14,'CDO Bespoke'!$C$15,'CDO Bespoke'!$C$8,,,TRUE,TRUE,FALSE,'CDO Bespoke'!$C$29:'CDO Bespoke'!$C$31,'CDO Bespoke'!$C$33),{5})),"")</f>
        <v/>
      </c>
      <c r="T241" s="514" t="str" cm="1">
        <f t="array" aca="1" ref="T241" ca="1">IF($O241&lt;&gt;"",-TRANSPOSE(INDEX(getcds('CDO Bespoke'!$C266,T$13,'CDO Bespoke'!$G266/10000,'CDO Bespoke'!J266,'CDO Bespoke'!H266,'CDO Bespoke'!$C$13,'CDO Bespoke'!$C$14,'CDO Bespoke'!$C$15,'CDO Bespoke'!$C$8,,,TRUE,TRUE,FALSE,'CDO Bespoke'!$C$29:'CDO Bespoke'!$C$31,'CDO Bespoke'!$C$33),{5})),"")</f>
        <v/>
      </c>
      <c r="U241" s="493"/>
      <c r="V241" s="513"/>
      <c r="W241" s="572"/>
      <c r="X241" s="572"/>
      <c r="Y241" s="572"/>
      <c r="Z241" s="572"/>
      <c r="AA241" s="572"/>
      <c r="AB241" s="572"/>
      <c r="AC241" s="572"/>
      <c r="AD241" s="572"/>
      <c r="AE241" s="514"/>
    </row>
    <row r="242" spans="6:31" s="281" customFormat="1" ht="12" thickBot="1">
      <c r="F242" s="501" t="str">
        <f ca="1">IF('CDO Bespoke'!O243&lt;&gt;"",'CDO Bespoke'!O243,"")</f>
        <v/>
      </c>
      <c r="G242" s="502" t="str">
        <f ca="1">IF(F242&lt;&gt;"",ABS(MIN(-0.75*('CDO Bespoke'!Q243+'CDO Bespoke'!T243)+'CDO Bespoke'!T243,0)),"")</f>
        <v/>
      </c>
      <c r="H242" s="502" t="str">
        <f t="shared" ca="1" si="12"/>
        <v/>
      </c>
      <c r="I242" s="502" t="str">
        <f t="shared" ca="1" si="15"/>
        <v/>
      </c>
      <c r="J242" s="501" t="str">
        <f ca="1">IF('CDO Bespoke'!O243&lt;&gt;"",'CDO Bespoke'!O243,"")</f>
        <v/>
      </c>
      <c r="K242" s="502" t="str">
        <f ca="1">IF(J242&lt;&gt;"",ABS(MIN(-0.75*('CDO Bespoke'!K243+'CDO Bespoke'!T243)+'CDO Bespoke'!T243,0)),"")</f>
        <v/>
      </c>
      <c r="L242" s="502" t="str">
        <f t="shared" ca="1" si="13"/>
        <v/>
      </c>
      <c r="M242" s="506" t="str">
        <f t="shared" ca="1" si="14"/>
        <v/>
      </c>
      <c r="O242" s="511" t="str">
        <f ca="1">IF('CDO Bespoke'!C267&lt;&gt;"",'CDO Bespoke'!C267,"")</f>
        <v/>
      </c>
      <c r="P242" s="513" t="str" cm="1">
        <f t="array" aca="1" ref="P242" ca="1">IF($O242&lt;&gt;"",-TRANSPOSE(INDEX(getcds('CDO Bespoke'!$C267,P$13,'CDO Bespoke'!$G267/10000,'CDO Bespoke'!F267,'CDO Bespoke'!D267,'CDO Bespoke'!$C$13,'CDO Bespoke'!$C$14,'CDO Bespoke'!$C$15,'CDO Bespoke'!$C$8,,,TRUE,TRUE,FALSE,'CDO Bespoke'!$C$29:'CDO Bespoke'!$C$31,'CDO Bespoke'!$C$33),{5})),"")</f>
        <v/>
      </c>
      <c r="Q242" s="524" t="str" cm="1">
        <f t="array" aca="1" ref="Q242" ca="1">IF($O242&lt;&gt;"",-TRANSPOSE(INDEX(getcds('CDO Bespoke'!$C267,Q$13,'CDO Bespoke'!$G267/10000,'CDO Bespoke'!G267,'CDO Bespoke'!E267,'CDO Bespoke'!$C$13,'CDO Bespoke'!$C$14,'CDO Bespoke'!$C$15,'CDO Bespoke'!$C$8,,,TRUE,TRUE,FALSE,'CDO Bespoke'!$C$29:'CDO Bespoke'!$C$31,'CDO Bespoke'!$C$33),{5})),"")</f>
        <v/>
      </c>
      <c r="R242" s="524" t="str" cm="1">
        <f t="array" aca="1" ref="R242" ca="1">IF($O242&lt;&gt;"",-TRANSPOSE(INDEX(getcds('CDO Bespoke'!$C267,R$13,'CDO Bespoke'!$G267/10000,'CDO Bespoke'!H267,'CDO Bespoke'!F267,'CDO Bespoke'!$C$13,'CDO Bespoke'!$C$14,'CDO Bespoke'!$C$15,'CDO Bespoke'!$C$8,,,TRUE,TRUE,FALSE,'CDO Bespoke'!$C$29:'CDO Bespoke'!$C$31,'CDO Bespoke'!$C$33),{5})),"")</f>
        <v/>
      </c>
      <c r="S242" s="524" t="str" cm="1">
        <f t="array" aca="1" ref="S242" ca="1">IF($O242&lt;&gt;"",-TRANSPOSE(INDEX(getcds('CDO Bespoke'!$C267,S$13,'CDO Bespoke'!$G267/10000,'CDO Bespoke'!I267,'CDO Bespoke'!G267,'CDO Bespoke'!$C$13,'CDO Bespoke'!$C$14,'CDO Bespoke'!$C$15,'CDO Bespoke'!$C$8,,,TRUE,TRUE,FALSE,'CDO Bespoke'!$C$29:'CDO Bespoke'!$C$31,'CDO Bespoke'!$C$33),{5})),"")</f>
        <v/>
      </c>
      <c r="T242" s="514" t="str" cm="1">
        <f t="array" aca="1" ref="T242" ca="1">IF($O242&lt;&gt;"",-TRANSPOSE(INDEX(getcds('CDO Bespoke'!$C267,T$13,'CDO Bespoke'!$G267/10000,'CDO Bespoke'!J267,'CDO Bespoke'!H267,'CDO Bespoke'!$C$13,'CDO Bespoke'!$C$14,'CDO Bespoke'!$C$15,'CDO Bespoke'!$C$8,,,TRUE,TRUE,FALSE,'CDO Bespoke'!$C$29:'CDO Bespoke'!$C$31,'CDO Bespoke'!$C$33),{5})),"")</f>
        <v/>
      </c>
      <c r="U242" s="493"/>
      <c r="V242" s="513"/>
      <c r="W242" s="572"/>
      <c r="X242" s="572"/>
      <c r="Y242" s="572"/>
      <c r="Z242" s="572"/>
      <c r="AA242" s="572"/>
      <c r="AB242" s="572"/>
      <c r="AC242" s="572"/>
      <c r="AD242" s="572"/>
      <c r="AE242" s="514"/>
    </row>
    <row r="243" spans="6:31" s="281" customFormat="1" ht="12" thickBot="1">
      <c r="F243" s="501" t="str">
        <f ca="1">IF('CDO Bespoke'!O244&lt;&gt;"",'CDO Bespoke'!O244,"")</f>
        <v/>
      </c>
      <c r="G243" s="502" t="str">
        <f ca="1">IF(F243&lt;&gt;"",ABS(MIN(-0.75*('CDO Bespoke'!Q244+'CDO Bespoke'!T244)+'CDO Bespoke'!T244,0)),"")</f>
        <v/>
      </c>
      <c r="H243" s="502" t="str">
        <f t="shared" ca="1" si="12"/>
        <v/>
      </c>
      <c r="I243" s="502" t="str">
        <f t="shared" ca="1" si="15"/>
        <v/>
      </c>
      <c r="J243" s="501" t="str">
        <f ca="1">IF('CDO Bespoke'!O244&lt;&gt;"",'CDO Bespoke'!O244,"")</f>
        <v/>
      </c>
      <c r="K243" s="502" t="str">
        <f ca="1">IF(J243&lt;&gt;"",ABS(MIN(-0.75*('CDO Bespoke'!K244+'CDO Bespoke'!T244)+'CDO Bespoke'!T244,0)),"")</f>
        <v/>
      </c>
      <c r="L243" s="502" t="str">
        <f t="shared" ca="1" si="13"/>
        <v/>
      </c>
      <c r="M243" s="506" t="str">
        <f t="shared" ca="1" si="14"/>
        <v/>
      </c>
      <c r="O243" s="511" t="str">
        <f ca="1">IF('CDO Bespoke'!C268&lt;&gt;"",'CDO Bespoke'!C268,"")</f>
        <v/>
      </c>
      <c r="P243" s="513" t="str" cm="1">
        <f t="array" aca="1" ref="P243" ca="1">IF($O243&lt;&gt;"",-TRANSPOSE(INDEX(getcds('CDO Bespoke'!$C268,P$13,'CDO Bespoke'!$G268/10000,'CDO Bespoke'!F268,'CDO Bespoke'!D268,'CDO Bespoke'!$C$13,'CDO Bespoke'!$C$14,'CDO Bespoke'!$C$15,'CDO Bespoke'!$C$8,,,TRUE,TRUE,FALSE,'CDO Bespoke'!$C$29:'CDO Bespoke'!$C$31,'CDO Bespoke'!$C$33),{5})),"")</f>
        <v/>
      </c>
      <c r="Q243" s="524" t="str" cm="1">
        <f t="array" aca="1" ref="Q243" ca="1">IF($O243&lt;&gt;"",-TRANSPOSE(INDEX(getcds('CDO Bespoke'!$C268,Q$13,'CDO Bespoke'!$G268/10000,'CDO Bespoke'!G268,'CDO Bespoke'!E268,'CDO Bespoke'!$C$13,'CDO Bespoke'!$C$14,'CDO Bespoke'!$C$15,'CDO Bespoke'!$C$8,,,TRUE,TRUE,FALSE,'CDO Bespoke'!$C$29:'CDO Bespoke'!$C$31,'CDO Bespoke'!$C$33),{5})),"")</f>
        <v/>
      </c>
      <c r="R243" s="524" t="str" cm="1">
        <f t="array" aca="1" ref="R243" ca="1">IF($O243&lt;&gt;"",-TRANSPOSE(INDEX(getcds('CDO Bespoke'!$C268,R$13,'CDO Bespoke'!$G268/10000,'CDO Bespoke'!H268,'CDO Bespoke'!F268,'CDO Bespoke'!$C$13,'CDO Bespoke'!$C$14,'CDO Bespoke'!$C$15,'CDO Bespoke'!$C$8,,,TRUE,TRUE,FALSE,'CDO Bespoke'!$C$29:'CDO Bespoke'!$C$31,'CDO Bespoke'!$C$33),{5})),"")</f>
        <v/>
      </c>
      <c r="S243" s="524" t="str" cm="1">
        <f t="array" aca="1" ref="S243" ca="1">IF($O243&lt;&gt;"",-TRANSPOSE(INDEX(getcds('CDO Bespoke'!$C268,S$13,'CDO Bespoke'!$G268/10000,'CDO Bespoke'!I268,'CDO Bespoke'!G268,'CDO Bespoke'!$C$13,'CDO Bespoke'!$C$14,'CDO Bespoke'!$C$15,'CDO Bespoke'!$C$8,,,TRUE,TRUE,FALSE,'CDO Bespoke'!$C$29:'CDO Bespoke'!$C$31,'CDO Bespoke'!$C$33),{5})),"")</f>
        <v/>
      </c>
      <c r="T243" s="514" t="str" cm="1">
        <f t="array" aca="1" ref="T243" ca="1">IF($O243&lt;&gt;"",-TRANSPOSE(INDEX(getcds('CDO Bespoke'!$C268,T$13,'CDO Bespoke'!$G268/10000,'CDO Bespoke'!J268,'CDO Bespoke'!H268,'CDO Bespoke'!$C$13,'CDO Bespoke'!$C$14,'CDO Bespoke'!$C$15,'CDO Bespoke'!$C$8,,,TRUE,TRUE,FALSE,'CDO Bespoke'!$C$29:'CDO Bespoke'!$C$31,'CDO Bespoke'!$C$33),{5})),"")</f>
        <v/>
      </c>
      <c r="U243" s="493"/>
      <c r="V243" s="513"/>
      <c r="W243" s="572"/>
      <c r="X243" s="572"/>
      <c r="Y243" s="572"/>
      <c r="Z243" s="572"/>
      <c r="AA243" s="572"/>
      <c r="AB243" s="572"/>
      <c r="AC243" s="572"/>
      <c r="AD243" s="572"/>
      <c r="AE243" s="514"/>
    </row>
    <row r="244" spans="6:31" s="281" customFormat="1" ht="12" thickBot="1">
      <c r="F244" s="501" t="str">
        <f ca="1">IF('CDO Bespoke'!O245&lt;&gt;"",'CDO Bespoke'!O245,"")</f>
        <v/>
      </c>
      <c r="G244" s="502" t="str">
        <f ca="1">IF(F244&lt;&gt;"",ABS(MIN(-0.75*('CDO Bespoke'!Q245+'CDO Bespoke'!T245)+'CDO Bespoke'!T245,0)),"")</f>
        <v/>
      </c>
      <c r="H244" s="502" t="str">
        <f t="shared" ca="1" si="12"/>
        <v/>
      </c>
      <c r="I244" s="502" t="str">
        <f t="shared" ca="1" si="15"/>
        <v/>
      </c>
      <c r="J244" s="501" t="str">
        <f ca="1">IF('CDO Bespoke'!O245&lt;&gt;"",'CDO Bespoke'!O245,"")</f>
        <v/>
      </c>
      <c r="K244" s="502" t="str">
        <f ca="1">IF(J244&lt;&gt;"",ABS(MIN(-0.75*('CDO Bespoke'!K245+'CDO Bespoke'!T245)+'CDO Bespoke'!T245,0)),"")</f>
        <v/>
      </c>
      <c r="L244" s="502" t="str">
        <f t="shared" ca="1" si="13"/>
        <v/>
      </c>
      <c r="M244" s="506" t="str">
        <f t="shared" ca="1" si="14"/>
        <v/>
      </c>
      <c r="O244" s="511" t="str">
        <f ca="1">IF('CDO Bespoke'!C269&lt;&gt;"",'CDO Bespoke'!C269,"")</f>
        <v/>
      </c>
      <c r="P244" s="513" t="str" cm="1">
        <f t="array" aca="1" ref="P244" ca="1">IF($O244&lt;&gt;"",-TRANSPOSE(INDEX(getcds('CDO Bespoke'!$C269,P$13,'CDO Bespoke'!$G269/10000,'CDO Bespoke'!F269,'CDO Bespoke'!D269,'CDO Bespoke'!$C$13,'CDO Bespoke'!$C$14,'CDO Bespoke'!$C$15,'CDO Bespoke'!$C$8,,,TRUE,TRUE,FALSE,'CDO Bespoke'!$C$29:'CDO Bespoke'!$C$31,'CDO Bespoke'!$C$33),{5})),"")</f>
        <v/>
      </c>
      <c r="Q244" s="524" t="str" cm="1">
        <f t="array" aca="1" ref="Q244" ca="1">IF($O244&lt;&gt;"",-TRANSPOSE(INDEX(getcds('CDO Bespoke'!$C269,Q$13,'CDO Bespoke'!$G269/10000,'CDO Bespoke'!G269,'CDO Bespoke'!E269,'CDO Bespoke'!$C$13,'CDO Bespoke'!$C$14,'CDO Bespoke'!$C$15,'CDO Bespoke'!$C$8,,,TRUE,TRUE,FALSE,'CDO Bespoke'!$C$29:'CDO Bespoke'!$C$31,'CDO Bespoke'!$C$33),{5})),"")</f>
        <v/>
      </c>
      <c r="R244" s="524" t="str" cm="1">
        <f t="array" aca="1" ref="R244" ca="1">IF($O244&lt;&gt;"",-TRANSPOSE(INDEX(getcds('CDO Bespoke'!$C269,R$13,'CDO Bespoke'!$G269/10000,'CDO Bespoke'!H269,'CDO Bespoke'!F269,'CDO Bespoke'!$C$13,'CDO Bespoke'!$C$14,'CDO Bespoke'!$C$15,'CDO Bespoke'!$C$8,,,TRUE,TRUE,FALSE,'CDO Bespoke'!$C$29:'CDO Bespoke'!$C$31,'CDO Bespoke'!$C$33),{5})),"")</f>
        <v/>
      </c>
      <c r="S244" s="524" t="str" cm="1">
        <f t="array" aca="1" ref="S244" ca="1">IF($O244&lt;&gt;"",-TRANSPOSE(INDEX(getcds('CDO Bespoke'!$C269,S$13,'CDO Bespoke'!$G269/10000,'CDO Bespoke'!I269,'CDO Bespoke'!G269,'CDO Bespoke'!$C$13,'CDO Bespoke'!$C$14,'CDO Bespoke'!$C$15,'CDO Bespoke'!$C$8,,,TRUE,TRUE,FALSE,'CDO Bespoke'!$C$29:'CDO Bespoke'!$C$31,'CDO Bespoke'!$C$33),{5})),"")</f>
        <v/>
      </c>
      <c r="T244" s="514" t="str" cm="1">
        <f t="array" aca="1" ref="T244" ca="1">IF($O244&lt;&gt;"",-TRANSPOSE(INDEX(getcds('CDO Bespoke'!$C269,T$13,'CDO Bespoke'!$G269/10000,'CDO Bespoke'!J269,'CDO Bespoke'!H269,'CDO Bespoke'!$C$13,'CDO Bespoke'!$C$14,'CDO Bespoke'!$C$15,'CDO Bespoke'!$C$8,,,TRUE,TRUE,FALSE,'CDO Bespoke'!$C$29:'CDO Bespoke'!$C$31,'CDO Bespoke'!$C$33),{5})),"")</f>
        <v/>
      </c>
      <c r="U244" s="493"/>
      <c r="V244" s="513"/>
      <c r="W244" s="572"/>
      <c r="X244" s="572"/>
      <c r="Y244" s="572"/>
      <c r="Z244" s="572"/>
      <c r="AA244" s="572"/>
      <c r="AB244" s="572"/>
      <c r="AC244" s="572"/>
      <c r="AD244" s="572"/>
      <c r="AE244" s="514"/>
    </row>
    <row r="245" spans="6:31" s="281" customFormat="1" ht="12" thickBot="1">
      <c r="F245" s="501" t="str">
        <f ca="1">IF('CDO Bespoke'!O246&lt;&gt;"",'CDO Bespoke'!O246,"")</f>
        <v/>
      </c>
      <c r="G245" s="502" t="str">
        <f ca="1">IF(F245&lt;&gt;"",ABS(MIN(-0.75*('CDO Bespoke'!Q246+'CDO Bespoke'!T246)+'CDO Bespoke'!T246,0)),"")</f>
        <v/>
      </c>
      <c r="H245" s="502" t="str">
        <f t="shared" ca="1" si="12"/>
        <v/>
      </c>
      <c r="I245" s="502" t="str">
        <f t="shared" ca="1" si="15"/>
        <v/>
      </c>
      <c r="J245" s="501" t="str">
        <f ca="1">IF('CDO Bespoke'!O246&lt;&gt;"",'CDO Bespoke'!O246,"")</f>
        <v/>
      </c>
      <c r="K245" s="502" t="str">
        <f ca="1">IF(J245&lt;&gt;"",ABS(MIN(-0.75*('CDO Bespoke'!K246+'CDO Bespoke'!T246)+'CDO Bespoke'!T246,0)),"")</f>
        <v/>
      </c>
      <c r="L245" s="502" t="str">
        <f t="shared" ca="1" si="13"/>
        <v/>
      </c>
      <c r="M245" s="506" t="str">
        <f t="shared" ca="1" si="14"/>
        <v/>
      </c>
      <c r="O245" s="511" t="str">
        <f ca="1">IF('CDO Bespoke'!C270&lt;&gt;"",'CDO Bespoke'!C270,"")</f>
        <v/>
      </c>
      <c r="P245" s="513" t="str" cm="1">
        <f t="array" aca="1" ref="P245" ca="1">IF($O245&lt;&gt;"",-TRANSPOSE(INDEX(getcds('CDO Bespoke'!$C270,P$13,'CDO Bespoke'!$G270/10000,'CDO Bespoke'!F270,'CDO Bespoke'!D270,'CDO Bespoke'!$C$13,'CDO Bespoke'!$C$14,'CDO Bespoke'!$C$15,'CDO Bespoke'!$C$8,,,TRUE,TRUE,FALSE,'CDO Bespoke'!$C$29:'CDO Bespoke'!$C$31,'CDO Bespoke'!$C$33),{5})),"")</f>
        <v/>
      </c>
      <c r="Q245" s="524" t="str" cm="1">
        <f t="array" aca="1" ref="Q245" ca="1">IF($O245&lt;&gt;"",-TRANSPOSE(INDEX(getcds('CDO Bespoke'!$C270,Q$13,'CDO Bespoke'!$G270/10000,'CDO Bespoke'!G270,'CDO Bespoke'!E270,'CDO Bespoke'!$C$13,'CDO Bespoke'!$C$14,'CDO Bespoke'!$C$15,'CDO Bespoke'!$C$8,,,TRUE,TRUE,FALSE,'CDO Bespoke'!$C$29:'CDO Bespoke'!$C$31,'CDO Bespoke'!$C$33),{5})),"")</f>
        <v/>
      </c>
      <c r="R245" s="524" t="str" cm="1">
        <f t="array" aca="1" ref="R245" ca="1">IF($O245&lt;&gt;"",-TRANSPOSE(INDEX(getcds('CDO Bespoke'!$C270,R$13,'CDO Bespoke'!$G270/10000,'CDO Bespoke'!H270,'CDO Bespoke'!F270,'CDO Bespoke'!$C$13,'CDO Bespoke'!$C$14,'CDO Bespoke'!$C$15,'CDO Bespoke'!$C$8,,,TRUE,TRUE,FALSE,'CDO Bespoke'!$C$29:'CDO Bespoke'!$C$31,'CDO Bespoke'!$C$33),{5})),"")</f>
        <v/>
      </c>
      <c r="S245" s="524" t="str" cm="1">
        <f t="array" aca="1" ref="S245" ca="1">IF($O245&lt;&gt;"",-TRANSPOSE(INDEX(getcds('CDO Bespoke'!$C270,S$13,'CDO Bespoke'!$G270/10000,'CDO Bespoke'!I270,'CDO Bespoke'!G270,'CDO Bespoke'!$C$13,'CDO Bespoke'!$C$14,'CDO Bespoke'!$C$15,'CDO Bespoke'!$C$8,,,TRUE,TRUE,FALSE,'CDO Bespoke'!$C$29:'CDO Bespoke'!$C$31,'CDO Bespoke'!$C$33),{5})),"")</f>
        <v/>
      </c>
      <c r="T245" s="514" t="str" cm="1">
        <f t="array" aca="1" ref="T245" ca="1">IF($O245&lt;&gt;"",-TRANSPOSE(INDEX(getcds('CDO Bespoke'!$C270,T$13,'CDO Bespoke'!$G270/10000,'CDO Bespoke'!J270,'CDO Bespoke'!H270,'CDO Bespoke'!$C$13,'CDO Bespoke'!$C$14,'CDO Bespoke'!$C$15,'CDO Bespoke'!$C$8,,,TRUE,TRUE,FALSE,'CDO Bespoke'!$C$29:'CDO Bespoke'!$C$31,'CDO Bespoke'!$C$33),{5})),"")</f>
        <v/>
      </c>
      <c r="U245" s="493"/>
      <c r="V245" s="513"/>
      <c r="W245" s="572"/>
      <c r="X245" s="572"/>
      <c r="Y245" s="572"/>
      <c r="Z245" s="572"/>
      <c r="AA245" s="572"/>
      <c r="AB245" s="572"/>
      <c r="AC245" s="572"/>
      <c r="AD245" s="572"/>
      <c r="AE245" s="514"/>
    </row>
    <row r="246" spans="6:31" s="281" customFormat="1" ht="12" thickBot="1">
      <c r="F246" s="501" t="str">
        <f ca="1">IF('CDO Bespoke'!O247&lt;&gt;"",'CDO Bespoke'!O247,"")</f>
        <v/>
      </c>
      <c r="G246" s="502" t="str">
        <f ca="1">IF(F246&lt;&gt;"",ABS(MIN(-0.75*('CDO Bespoke'!Q247+'CDO Bespoke'!T247)+'CDO Bespoke'!T247,0)),"")</f>
        <v/>
      </c>
      <c r="H246" s="502" t="str">
        <f t="shared" ca="1" si="12"/>
        <v/>
      </c>
      <c r="I246" s="502" t="str">
        <f t="shared" ca="1" si="15"/>
        <v/>
      </c>
      <c r="J246" s="501" t="str">
        <f ca="1">IF('CDO Bespoke'!O247&lt;&gt;"",'CDO Bespoke'!O247,"")</f>
        <v/>
      </c>
      <c r="K246" s="502" t="str">
        <f ca="1">IF(J246&lt;&gt;"",ABS(MIN(-0.75*('CDO Bespoke'!K247+'CDO Bespoke'!T247)+'CDO Bespoke'!T247,0)),"")</f>
        <v/>
      </c>
      <c r="L246" s="502" t="str">
        <f t="shared" ca="1" si="13"/>
        <v/>
      </c>
      <c r="M246" s="506" t="str">
        <f t="shared" ca="1" si="14"/>
        <v/>
      </c>
      <c r="O246" s="511" t="str">
        <f ca="1">IF('CDO Bespoke'!C271&lt;&gt;"",'CDO Bespoke'!C271,"")</f>
        <v/>
      </c>
      <c r="P246" s="513" t="str" cm="1">
        <f t="array" aca="1" ref="P246" ca="1">IF($O246&lt;&gt;"",-TRANSPOSE(INDEX(getcds('CDO Bespoke'!$C271,P$13,'CDO Bespoke'!$G271/10000,'CDO Bespoke'!F271,'CDO Bespoke'!D271,'CDO Bespoke'!$C$13,'CDO Bespoke'!$C$14,'CDO Bespoke'!$C$15,'CDO Bespoke'!$C$8,,,TRUE,TRUE,FALSE,'CDO Bespoke'!$C$29:'CDO Bespoke'!$C$31,'CDO Bespoke'!$C$33),{5})),"")</f>
        <v/>
      </c>
      <c r="Q246" s="524" t="str" cm="1">
        <f t="array" aca="1" ref="Q246" ca="1">IF($O246&lt;&gt;"",-TRANSPOSE(INDEX(getcds('CDO Bespoke'!$C271,Q$13,'CDO Bespoke'!$G271/10000,'CDO Bespoke'!G271,'CDO Bespoke'!E271,'CDO Bespoke'!$C$13,'CDO Bespoke'!$C$14,'CDO Bespoke'!$C$15,'CDO Bespoke'!$C$8,,,TRUE,TRUE,FALSE,'CDO Bespoke'!$C$29:'CDO Bespoke'!$C$31,'CDO Bespoke'!$C$33),{5})),"")</f>
        <v/>
      </c>
      <c r="R246" s="524" t="str" cm="1">
        <f t="array" aca="1" ref="R246" ca="1">IF($O246&lt;&gt;"",-TRANSPOSE(INDEX(getcds('CDO Bespoke'!$C271,R$13,'CDO Bespoke'!$G271/10000,'CDO Bespoke'!H271,'CDO Bespoke'!F271,'CDO Bespoke'!$C$13,'CDO Bespoke'!$C$14,'CDO Bespoke'!$C$15,'CDO Bespoke'!$C$8,,,TRUE,TRUE,FALSE,'CDO Bespoke'!$C$29:'CDO Bespoke'!$C$31,'CDO Bespoke'!$C$33),{5})),"")</f>
        <v/>
      </c>
      <c r="S246" s="524" t="str" cm="1">
        <f t="array" aca="1" ref="S246" ca="1">IF($O246&lt;&gt;"",-TRANSPOSE(INDEX(getcds('CDO Bespoke'!$C271,S$13,'CDO Bespoke'!$G271/10000,'CDO Bespoke'!I271,'CDO Bespoke'!G271,'CDO Bespoke'!$C$13,'CDO Bespoke'!$C$14,'CDO Bespoke'!$C$15,'CDO Bespoke'!$C$8,,,TRUE,TRUE,FALSE,'CDO Bespoke'!$C$29:'CDO Bespoke'!$C$31,'CDO Bespoke'!$C$33),{5})),"")</f>
        <v/>
      </c>
      <c r="T246" s="514" t="str" cm="1">
        <f t="array" aca="1" ref="T246" ca="1">IF($O246&lt;&gt;"",-TRANSPOSE(INDEX(getcds('CDO Bespoke'!$C271,T$13,'CDO Bespoke'!$G271/10000,'CDO Bespoke'!J271,'CDO Bespoke'!H271,'CDO Bespoke'!$C$13,'CDO Bespoke'!$C$14,'CDO Bespoke'!$C$15,'CDO Bespoke'!$C$8,,,TRUE,TRUE,FALSE,'CDO Bespoke'!$C$29:'CDO Bespoke'!$C$31,'CDO Bespoke'!$C$33),{5})),"")</f>
        <v/>
      </c>
      <c r="U246" s="493"/>
      <c r="V246" s="513"/>
      <c r="W246" s="572"/>
      <c r="X246" s="572"/>
      <c r="Y246" s="572"/>
      <c r="Z246" s="572"/>
      <c r="AA246" s="572"/>
      <c r="AB246" s="572"/>
      <c r="AC246" s="572"/>
      <c r="AD246" s="572"/>
      <c r="AE246" s="514"/>
    </row>
    <row r="247" spans="6:31" s="281" customFormat="1" ht="12" thickBot="1">
      <c r="F247" s="501" t="str">
        <f ca="1">IF('CDO Bespoke'!O248&lt;&gt;"",'CDO Bespoke'!O248,"")</f>
        <v/>
      </c>
      <c r="G247" s="502" t="str">
        <f ca="1">IF(F247&lt;&gt;"",ABS(MIN(-0.75*('CDO Bespoke'!Q248+'CDO Bespoke'!T248)+'CDO Bespoke'!T248,0)),"")</f>
        <v/>
      </c>
      <c r="H247" s="502" t="str">
        <f t="shared" ca="1" si="12"/>
        <v/>
      </c>
      <c r="I247" s="502" t="str">
        <f t="shared" ca="1" si="15"/>
        <v/>
      </c>
      <c r="J247" s="501" t="str">
        <f ca="1">IF('CDO Bespoke'!O248&lt;&gt;"",'CDO Bespoke'!O248,"")</f>
        <v/>
      </c>
      <c r="K247" s="502" t="str">
        <f ca="1">IF(J247&lt;&gt;"",ABS(MIN(-0.75*('CDO Bespoke'!K248+'CDO Bespoke'!T248)+'CDO Bespoke'!T248,0)),"")</f>
        <v/>
      </c>
      <c r="L247" s="502" t="str">
        <f t="shared" ca="1" si="13"/>
        <v/>
      </c>
      <c r="M247" s="506" t="str">
        <f t="shared" ca="1" si="14"/>
        <v/>
      </c>
      <c r="O247" s="511" t="str">
        <f ca="1">IF('CDO Bespoke'!C272&lt;&gt;"",'CDO Bespoke'!C272,"")</f>
        <v/>
      </c>
      <c r="P247" s="513" t="str" cm="1">
        <f t="array" aca="1" ref="P247" ca="1">IF($O247&lt;&gt;"",-TRANSPOSE(INDEX(getcds('CDO Bespoke'!$C272,P$13,'CDO Bespoke'!$G272/10000,'CDO Bespoke'!F272,'CDO Bespoke'!D272,'CDO Bespoke'!$C$13,'CDO Bespoke'!$C$14,'CDO Bespoke'!$C$15,'CDO Bespoke'!$C$8,,,TRUE,TRUE,FALSE,'CDO Bespoke'!$C$29:'CDO Bespoke'!$C$31,'CDO Bespoke'!$C$33),{5})),"")</f>
        <v/>
      </c>
      <c r="Q247" s="524" t="str" cm="1">
        <f t="array" aca="1" ref="Q247" ca="1">IF($O247&lt;&gt;"",-TRANSPOSE(INDEX(getcds('CDO Bespoke'!$C272,Q$13,'CDO Bespoke'!$G272/10000,'CDO Bespoke'!G272,'CDO Bespoke'!E272,'CDO Bespoke'!$C$13,'CDO Bespoke'!$C$14,'CDO Bespoke'!$C$15,'CDO Bespoke'!$C$8,,,TRUE,TRUE,FALSE,'CDO Bespoke'!$C$29:'CDO Bespoke'!$C$31,'CDO Bespoke'!$C$33),{5})),"")</f>
        <v/>
      </c>
      <c r="R247" s="524" t="str" cm="1">
        <f t="array" aca="1" ref="R247" ca="1">IF($O247&lt;&gt;"",-TRANSPOSE(INDEX(getcds('CDO Bespoke'!$C272,R$13,'CDO Bespoke'!$G272/10000,'CDO Bespoke'!H272,'CDO Bespoke'!F272,'CDO Bespoke'!$C$13,'CDO Bespoke'!$C$14,'CDO Bespoke'!$C$15,'CDO Bespoke'!$C$8,,,TRUE,TRUE,FALSE,'CDO Bespoke'!$C$29:'CDO Bespoke'!$C$31,'CDO Bespoke'!$C$33),{5})),"")</f>
        <v/>
      </c>
      <c r="S247" s="524" t="str" cm="1">
        <f t="array" aca="1" ref="S247" ca="1">IF($O247&lt;&gt;"",-TRANSPOSE(INDEX(getcds('CDO Bespoke'!$C272,S$13,'CDO Bespoke'!$G272/10000,'CDO Bespoke'!I272,'CDO Bespoke'!G272,'CDO Bespoke'!$C$13,'CDO Bespoke'!$C$14,'CDO Bespoke'!$C$15,'CDO Bespoke'!$C$8,,,TRUE,TRUE,FALSE,'CDO Bespoke'!$C$29:'CDO Bespoke'!$C$31,'CDO Bespoke'!$C$33),{5})),"")</f>
        <v/>
      </c>
      <c r="T247" s="514" t="str" cm="1">
        <f t="array" aca="1" ref="T247" ca="1">IF($O247&lt;&gt;"",-TRANSPOSE(INDEX(getcds('CDO Bespoke'!$C272,T$13,'CDO Bespoke'!$G272/10000,'CDO Bespoke'!J272,'CDO Bespoke'!H272,'CDO Bespoke'!$C$13,'CDO Bespoke'!$C$14,'CDO Bespoke'!$C$15,'CDO Bespoke'!$C$8,,,TRUE,TRUE,FALSE,'CDO Bespoke'!$C$29:'CDO Bespoke'!$C$31,'CDO Bespoke'!$C$33),{5})),"")</f>
        <v/>
      </c>
      <c r="U247" s="493"/>
      <c r="V247" s="513"/>
      <c r="W247" s="572"/>
      <c r="X247" s="572"/>
      <c r="Y247" s="572"/>
      <c r="Z247" s="572"/>
      <c r="AA247" s="572"/>
      <c r="AB247" s="572"/>
      <c r="AC247" s="572"/>
      <c r="AD247" s="572"/>
      <c r="AE247" s="514"/>
    </row>
    <row r="248" spans="6:31" s="281" customFormat="1" ht="12" thickBot="1">
      <c r="F248" s="501" t="str">
        <f ca="1">IF('CDO Bespoke'!O249&lt;&gt;"",'CDO Bespoke'!O249,"")</f>
        <v/>
      </c>
      <c r="G248" s="502" t="str">
        <f ca="1">IF(F248&lt;&gt;"",ABS(MIN(-0.75*('CDO Bespoke'!Q249+'CDO Bespoke'!T249)+'CDO Bespoke'!T249,0)),"")</f>
        <v/>
      </c>
      <c r="H248" s="502" t="str">
        <f t="shared" ca="1" si="12"/>
        <v/>
      </c>
      <c r="I248" s="502" t="str">
        <f t="shared" ca="1" si="15"/>
        <v/>
      </c>
      <c r="J248" s="501" t="str">
        <f ca="1">IF('CDO Bespoke'!O249&lt;&gt;"",'CDO Bespoke'!O249,"")</f>
        <v/>
      </c>
      <c r="K248" s="502" t="str">
        <f ca="1">IF(J248&lt;&gt;"",ABS(MIN(-0.75*('CDO Bespoke'!K249+'CDO Bespoke'!T249)+'CDO Bespoke'!T249,0)),"")</f>
        <v/>
      </c>
      <c r="L248" s="502" t="str">
        <f t="shared" ca="1" si="13"/>
        <v/>
      </c>
      <c r="M248" s="506" t="str">
        <f t="shared" ca="1" si="14"/>
        <v/>
      </c>
      <c r="O248" s="511" t="str">
        <f ca="1">IF('CDO Bespoke'!C273&lt;&gt;"",'CDO Bespoke'!C273,"")</f>
        <v/>
      </c>
      <c r="P248" s="513" t="str" cm="1">
        <f t="array" aca="1" ref="P248" ca="1">IF($O248&lt;&gt;"",-TRANSPOSE(INDEX(getcds('CDO Bespoke'!$C273,P$13,'CDO Bespoke'!$G273/10000,'CDO Bespoke'!F273,'CDO Bespoke'!D273,'CDO Bespoke'!$C$13,'CDO Bespoke'!$C$14,'CDO Bespoke'!$C$15,'CDO Bespoke'!$C$8,,,TRUE,TRUE,FALSE,'CDO Bespoke'!$C$29:'CDO Bespoke'!$C$31,'CDO Bespoke'!$C$33),{5})),"")</f>
        <v/>
      </c>
      <c r="Q248" s="524" t="str" cm="1">
        <f t="array" aca="1" ref="Q248" ca="1">IF($O248&lt;&gt;"",-TRANSPOSE(INDEX(getcds('CDO Bespoke'!$C273,Q$13,'CDO Bespoke'!$G273/10000,'CDO Bespoke'!G273,'CDO Bespoke'!E273,'CDO Bespoke'!$C$13,'CDO Bespoke'!$C$14,'CDO Bespoke'!$C$15,'CDO Bespoke'!$C$8,,,TRUE,TRUE,FALSE,'CDO Bespoke'!$C$29:'CDO Bespoke'!$C$31,'CDO Bespoke'!$C$33),{5})),"")</f>
        <v/>
      </c>
      <c r="R248" s="524" t="str" cm="1">
        <f t="array" aca="1" ref="R248" ca="1">IF($O248&lt;&gt;"",-TRANSPOSE(INDEX(getcds('CDO Bespoke'!$C273,R$13,'CDO Bespoke'!$G273/10000,'CDO Bespoke'!H273,'CDO Bespoke'!F273,'CDO Bespoke'!$C$13,'CDO Bespoke'!$C$14,'CDO Bespoke'!$C$15,'CDO Bespoke'!$C$8,,,TRUE,TRUE,FALSE,'CDO Bespoke'!$C$29:'CDO Bespoke'!$C$31,'CDO Bespoke'!$C$33),{5})),"")</f>
        <v/>
      </c>
      <c r="S248" s="524" t="str" cm="1">
        <f t="array" aca="1" ref="S248" ca="1">IF($O248&lt;&gt;"",-TRANSPOSE(INDEX(getcds('CDO Bespoke'!$C273,S$13,'CDO Bespoke'!$G273/10000,'CDO Bespoke'!I273,'CDO Bespoke'!G273,'CDO Bespoke'!$C$13,'CDO Bespoke'!$C$14,'CDO Bespoke'!$C$15,'CDO Bespoke'!$C$8,,,TRUE,TRUE,FALSE,'CDO Bespoke'!$C$29:'CDO Bespoke'!$C$31,'CDO Bespoke'!$C$33),{5})),"")</f>
        <v/>
      </c>
      <c r="T248" s="514" t="str" cm="1">
        <f t="array" aca="1" ref="T248" ca="1">IF($O248&lt;&gt;"",-TRANSPOSE(INDEX(getcds('CDO Bespoke'!$C273,T$13,'CDO Bespoke'!$G273/10000,'CDO Bespoke'!J273,'CDO Bespoke'!H273,'CDO Bespoke'!$C$13,'CDO Bespoke'!$C$14,'CDO Bespoke'!$C$15,'CDO Bespoke'!$C$8,,,TRUE,TRUE,FALSE,'CDO Bespoke'!$C$29:'CDO Bespoke'!$C$31,'CDO Bespoke'!$C$33),{5})),"")</f>
        <v/>
      </c>
      <c r="U248" s="493"/>
      <c r="V248" s="513"/>
      <c r="W248" s="572"/>
      <c r="X248" s="572"/>
      <c r="Y248" s="572"/>
      <c r="Z248" s="572"/>
      <c r="AA248" s="572"/>
      <c r="AB248" s="572"/>
      <c r="AC248" s="572"/>
      <c r="AD248" s="572"/>
      <c r="AE248" s="514"/>
    </row>
    <row r="249" spans="6:31" s="281" customFormat="1" ht="12" thickBot="1">
      <c r="F249" s="501" t="str">
        <f ca="1">IF('CDO Bespoke'!O250&lt;&gt;"",'CDO Bespoke'!O250,"")</f>
        <v/>
      </c>
      <c r="G249" s="502" t="str">
        <f ca="1">IF(F249&lt;&gt;"",ABS(MIN(-0.75*('CDO Bespoke'!Q250+'CDO Bespoke'!T250)+'CDO Bespoke'!T250,0)),"")</f>
        <v/>
      </c>
      <c r="H249" s="502" t="str">
        <f t="shared" ca="1" si="12"/>
        <v/>
      </c>
      <c r="I249" s="502" t="str">
        <f t="shared" ca="1" si="15"/>
        <v/>
      </c>
      <c r="J249" s="501" t="str">
        <f ca="1">IF('CDO Bespoke'!O250&lt;&gt;"",'CDO Bespoke'!O250,"")</f>
        <v/>
      </c>
      <c r="K249" s="502" t="str">
        <f ca="1">IF(J249&lt;&gt;"",ABS(MIN(-0.75*('CDO Bespoke'!K250+'CDO Bespoke'!T250)+'CDO Bespoke'!T250,0)),"")</f>
        <v/>
      </c>
      <c r="L249" s="502" t="str">
        <f t="shared" ca="1" si="13"/>
        <v/>
      </c>
      <c r="M249" s="506" t="str">
        <f t="shared" ca="1" si="14"/>
        <v/>
      </c>
      <c r="O249" s="511" t="str">
        <f ca="1">IF('CDO Bespoke'!C274&lt;&gt;"",'CDO Bespoke'!C274,"")</f>
        <v/>
      </c>
      <c r="P249" s="513" t="str" cm="1">
        <f t="array" aca="1" ref="P249" ca="1">IF($O249&lt;&gt;"",-TRANSPOSE(INDEX(getcds('CDO Bespoke'!$C274,P$13,'CDO Bespoke'!$G274/10000,'CDO Bespoke'!F274,'CDO Bespoke'!D274,'CDO Bespoke'!$C$13,'CDO Bespoke'!$C$14,'CDO Bespoke'!$C$15,'CDO Bespoke'!$C$8,,,TRUE,TRUE,FALSE,'CDO Bespoke'!$C$29:'CDO Bespoke'!$C$31,'CDO Bespoke'!$C$33),{5})),"")</f>
        <v/>
      </c>
      <c r="Q249" s="524" t="str" cm="1">
        <f t="array" aca="1" ref="Q249" ca="1">IF($O249&lt;&gt;"",-TRANSPOSE(INDEX(getcds('CDO Bespoke'!$C274,Q$13,'CDO Bespoke'!$G274/10000,'CDO Bespoke'!G274,'CDO Bespoke'!E274,'CDO Bespoke'!$C$13,'CDO Bespoke'!$C$14,'CDO Bespoke'!$C$15,'CDO Bespoke'!$C$8,,,TRUE,TRUE,FALSE,'CDO Bespoke'!$C$29:'CDO Bespoke'!$C$31,'CDO Bespoke'!$C$33),{5})),"")</f>
        <v/>
      </c>
      <c r="R249" s="524" t="str" cm="1">
        <f t="array" aca="1" ref="R249" ca="1">IF($O249&lt;&gt;"",-TRANSPOSE(INDEX(getcds('CDO Bespoke'!$C274,R$13,'CDO Bespoke'!$G274/10000,'CDO Bespoke'!H274,'CDO Bespoke'!F274,'CDO Bespoke'!$C$13,'CDO Bespoke'!$C$14,'CDO Bespoke'!$C$15,'CDO Bespoke'!$C$8,,,TRUE,TRUE,FALSE,'CDO Bespoke'!$C$29:'CDO Bespoke'!$C$31,'CDO Bespoke'!$C$33),{5})),"")</f>
        <v/>
      </c>
      <c r="S249" s="524" t="str" cm="1">
        <f t="array" aca="1" ref="S249" ca="1">IF($O249&lt;&gt;"",-TRANSPOSE(INDEX(getcds('CDO Bespoke'!$C274,S$13,'CDO Bespoke'!$G274/10000,'CDO Bespoke'!I274,'CDO Bespoke'!G274,'CDO Bespoke'!$C$13,'CDO Bespoke'!$C$14,'CDO Bespoke'!$C$15,'CDO Bespoke'!$C$8,,,TRUE,TRUE,FALSE,'CDO Bespoke'!$C$29:'CDO Bespoke'!$C$31,'CDO Bespoke'!$C$33),{5})),"")</f>
        <v/>
      </c>
      <c r="T249" s="514" t="str" cm="1">
        <f t="array" aca="1" ref="T249" ca="1">IF($O249&lt;&gt;"",-TRANSPOSE(INDEX(getcds('CDO Bespoke'!$C274,T$13,'CDO Bespoke'!$G274/10000,'CDO Bespoke'!J274,'CDO Bespoke'!H274,'CDO Bespoke'!$C$13,'CDO Bespoke'!$C$14,'CDO Bespoke'!$C$15,'CDO Bespoke'!$C$8,,,TRUE,TRUE,FALSE,'CDO Bespoke'!$C$29:'CDO Bespoke'!$C$31,'CDO Bespoke'!$C$33),{5})),"")</f>
        <v/>
      </c>
      <c r="U249" s="493"/>
      <c r="V249" s="513"/>
      <c r="W249" s="572"/>
      <c r="X249" s="572"/>
      <c r="Y249" s="572"/>
      <c r="Z249" s="572"/>
      <c r="AA249" s="572"/>
      <c r="AB249" s="572"/>
      <c r="AC249" s="572"/>
      <c r="AD249" s="572"/>
      <c r="AE249" s="514"/>
    </row>
    <row r="250" spans="6:31" s="281" customFormat="1" ht="12" thickBot="1">
      <c r="F250" s="501" t="str">
        <f ca="1">IF('CDO Bespoke'!O251&lt;&gt;"",'CDO Bespoke'!O251,"")</f>
        <v/>
      </c>
      <c r="G250" s="502" t="str">
        <f ca="1">IF(F250&lt;&gt;"",ABS(MIN(-0.75*('CDO Bespoke'!Q251+'CDO Bespoke'!T251)+'CDO Bespoke'!T251,0)),"")</f>
        <v/>
      </c>
      <c r="H250" s="502" t="str">
        <f t="shared" ca="1" si="12"/>
        <v/>
      </c>
      <c r="I250" s="502" t="str">
        <f t="shared" ca="1" si="15"/>
        <v/>
      </c>
      <c r="J250" s="501" t="str">
        <f ca="1">IF('CDO Bespoke'!O251&lt;&gt;"",'CDO Bespoke'!O251,"")</f>
        <v/>
      </c>
      <c r="K250" s="502" t="str">
        <f ca="1">IF(J250&lt;&gt;"",ABS(MIN(-0.75*('CDO Bespoke'!K251+'CDO Bespoke'!T251)+'CDO Bespoke'!T251,0)),"")</f>
        <v/>
      </c>
      <c r="L250" s="502" t="str">
        <f t="shared" ca="1" si="13"/>
        <v/>
      </c>
      <c r="M250" s="506" t="str">
        <f t="shared" ca="1" si="14"/>
        <v/>
      </c>
      <c r="O250" s="511" t="str">
        <f ca="1">IF('CDO Bespoke'!C275&lt;&gt;"",'CDO Bespoke'!C275,"")</f>
        <v/>
      </c>
      <c r="P250" s="513" t="str" cm="1">
        <f t="array" aca="1" ref="P250" ca="1">IF($O250&lt;&gt;"",-TRANSPOSE(INDEX(getcds('CDO Bespoke'!$C275,P$13,'CDO Bespoke'!$G275/10000,'CDO Bespoke'!F275,'CDO Bespoke'!D275,'CDO Bespoke'!$C$13,'CDO Bespoke'!$C$14,'CDO Bespoke'!$C$15,'CDO Bespoke'!$C$8,,,TRUE,TRUE,FALSE,'CDO Bespoke'!$C$29:'CDO Bespoke'!$C$31,'CDO Bespoke'!$C$33),{5})),"")</f>
        <v/>
      </c>
      <c r="Q250" s="524" t="str" cm="1">
        <f t="array" aca="1" ref="Q250" ca="1">IF($O250&lt;&gt;"",-TRANSPOSE(INDEX(getcds('CDO Bespoke'!$C275,Q$13,'CDO Bespoke'!$G275/10000,'CDO Bespoke'!G275,'CDO Bespoke'!E275,'CDO Bespoke'!$C$13,'CDO Bespoke'!$C$14,'CDO Bespoke'!$C$15,'CDO Bespoke'!$C$8,,,TRUE,TRUE,FALSE,'CDO Bespoke'!$C$29:'CDO Bespoke'!$C$31,'CDO Bespoke'!$C$33),{5})),"")</f>
        <v/>
      </c>
      <c r="R250" s="524" t="str" cm="1">
        <f t="array" aca="1" ref="R250" ca="1">IF($O250&lt;&gt;"",-TRANSPOSE(INDEX(getcds('CDO Bespoke'!$C275,R$13,'CDO Bespoke'!$G275/10000,'CDO Bespoke'!H275,'CDO Bespoke'!F275,'CDO Bespoke'!$C$13,'CDO Bespoke'!$C$14,'CDO Bespoke'!$C$15,'CDO Bespoke'!$C$8,,,TRUE,TRUE,FALSE,'CDO Bespoke'!$C$29:'CDO Bespoke'!$C$31,'CDO Bespoke'!$C$33),{5})),"")</f>
        <v/>
      </c>
      <c r="S250" s="524" t="str" cm="1">
        <f t="array" aca="1" ref="S250" ca="1">IF($O250&lt;&gt;"",-TRANSPOSE(INDEX(getcds('CDO Bespoke'!$C275,S$13,'CDO Bespoke'!$G275/10000,'CDO Bespoke'!I275,'CDO Bespoke'!G275,'CDO Bespoke'!$C$13,'CDO Bespoke'!$C$14,'CDO Bespoke'!$C$15,'CDO Bespoke'!$C$8,,,TRUE,TRUE,FALSE,'CDO Bespoke'!$C$29:'CDO Bespoke'!$C$31,'CDO Bespoke'!$C$33),{5})),"")</f>
        <v/>
      </c>
      <c r="T250" s="514" t="str" cm="1">
        <f t="array" aca="1" ref="T250" ca="1">IF($O250&lt;&gt;"",-TRANSPOSE(INDEX(getcds('CDO Bespoke'!$C275,T$13,'CDO Bespoke'!$G275/10000,'CDO Bespoke'!J275,'CDO Bespoke'!H275,'CDO Bespoke'!$C$13,'CDO Bespoke'!$C$14,'CDO Bespoke'!$C$15,'CDO Bespoke'!$C$8,,,TRUE,TRUE,FALSE,'CDO Bespoke'!$C$29:'CDO Bespoke'!$C$31,'CDO Bespoke'!$C$33),{5})),"")</f>
        <v/>
      </c>
      <c r="U250" s="493"/>
      <c r="V250" s="513"/>
      <c r="W250" s="572"/>
      <c r="X250" s="572"/>
      <c r="Y250" s="572"/>
      <c r="Z250" s="572"/>
      <c r="AA250" s="572"/>
      <c r="AB250" s="572"/>
      <c r="AC250" s="572"/>
      <c r="AD250" s="572"/>
      <c r="AE250" s="514"/>
    </row>
    <row r="251" spans="6:31" s="281" customFormat="1" ht="12" thickBot="1">
      <c r="F251" s="501" t="str">
        <f ca="1">IF('CDO Bespoke'!O252&lt;&gt;"",'CDO Bespoke'!O252,"")</f>
        <v/>
      </c>
      <c r="G251" s="502" t="str">
        <f ca="1">IF(F251&lt;&gt;"",ABS(MIN(-0.75*('CDO Bespoke'!Q252+'CDO Bespoke'!T252)+'CDO Bespoke'!T252,0)),"")</f>
        <v/>
      </c>
      <c r="H251" s="502" t="str">
        <f t="shared" ca="1" si="12"/>
        <v/>
      </c>
      <c r="I251" s="502" t="str">
        <f t="shared" ca="1" si="15"/>
        <v/>
      </c>
      <c r="J251" s="501" t="str">
        <f ca="1">IF('CDO Bespoke'!O252&lt;&gt;"",'CDO Bespoke'!O252,"")</f>
        <v/>
      </c>
      <c r="K251" s="502" t="str">
        <f ca="1">IF(J251&lt;&gt;"",ABS(MIN(-0.75*('CDO Bespoke'!K252+'CDO Bespoke'!T252)+'CDO Bespoke'!T252,0)),"")</f>
        <v/>
      </c>
      <c r="L251" s="502" t="str">
        <f t="shared" ca="1" si="13"/>
        <v/>
      </c>
      <c r="M251" s="506" t="str">
        <f t="shared" ca="1" si="14"/>
        <v/>
      </c>
      <c r="O251" s="511" t="str">
        <f ca="1">IF('CDO Bespoke'!C276&lt;&gt;"",'CDO Bespoke'!C276,"")</f>
        <v/>
      </c>
      <c r="P251" s="513" t="str" cm="1">
        <f t="array" aca="1" ref="P251" ca="1">IF($O251&lt;&gt;"",-TRANSPOSE(INDEX(getcds('CDO Bespoke'!$C276,P$13,'CDO Bespoke'!$G276/10000,'CDO Bespoke'!F276,'CDO Bespoke'!D276,'CDO Bespoke'!$C$13,'CDO Bespoke'!$C$14,'CDO Bespoke'!$C$15,'CDO Bespoke'!$C$8,,,TRUE,TRUE,FALSE,'CDO Bespoke'!$C$29:'CDO Bespoke'!$C$31,'CDO Bespoke'!$C$33),{5})),"")</f>
        <v/>
      </c>
      <c r="Q251" s="524" t="str" cm="1">
        <f t="array" aca="1" ref="Q251" ca="1">IF($O251&lt;&gt;"",-TRANSPOSE(INDEX(getcds('CDO Bespoke'!$C276,Q$13,'CDO Bespoke'!$G276/10000,'CDO Bespoke'!G276,'CDO Bespoke'!E276,'CDO Bespoke'!$C$13,'CDO Bespoke'!$C$14,'CDO Bespoke'!$C$15,'CDO Bespoke'!$C$8,,,TRUE,TRUE,FALSE,'CDO Bespoke'!$C$29:'CDO Bespoke'!$C$31,'CDO Bespoke'!$C$33),{5})),"")</f>
        <v/>
      </c>
      <c r="R251" s="524" t="str" cm="1">
        <f t="array" aca="1" ref="R251" ca="1">IF($O251&lt;&gt;"",-TRANSPOSE(INDEX(getcds('CDO Bespoke'!$C276,R$13,'CDO Bespoke'!$G276/10000,'CDO Bespoke'!H276,'CDO Bespoke'!F276,'CDO Bespoke'!$C$13,'CDO Bespoke'!$C$14,'CDO Bespoke'!$C$15,'CDO Bespoke'!$C$8,,,TRUE,TRUE,FALSE,'CDO Bespoke'!$C$29:'CDO Bespoke'!$C$31,'CDO Bespoke'!$C$33),{5})),"")</f>
        <v/>
      </c>
      <c r="S251" s="524" t="str" cm="1">
        <f t="array" aca="1" ref="S251" ca="1">IF($O251&lt;&gt;"",-TRANSPOSE(INDEX(getcds('CDO Bespoke'!$C276,S$13,'CDO Bespoke'!$G276/10000,'CDO Bespoke'!I276,'CDO Bespoke'!G276,'CDO Bespoke'!$C$13,'CDO Bespoke'!$C$14,'CDO Bespoke'!$C$15,'CDO Bespoke'!$C$8,,,TRUE,TRUE,FALSE,'CDO Bespoke'!$C$29:'CDO Bespoke'!$C$31,'CDO Bespoke'!$C$33),{5})),"")</f>
        <v/>
      </c>
      <c r="T251" s="514" t="str" cm="1">
        <f t="array" aca="1" ref="T251" ca="1">IF($O251&lt;&gt;"",-TRANSPOSE(INDEX(getcds('CDO Bespoke'!$C276,T$13,'CDO Bespoke'!$G276/10000,'CDO Bespoke'!J276,'CDO Bespoke'!H276,'CDO Bespoke'!$C$13,'CDO Bespoke'!$C$14,'CDO Bespoke'!$C$15,'CDO Bespoke'!$C$8,,,TRUE,TRUE,FALSE,'CDO Bespoke'!$C$29:'CDO Bespoke'!$C$31,'CDO Bespoke'!$C$33),{5})),"")</f>
        <v/>
      </c>
      <c r="U251" s="493"/>
      <c r="V251" s="513"/>
      <c r="W251" s="572"/>
      <c r="X251" s="572"/>
      <c r="Y251" s="572"/>
      <c r="Z251" s="572"/>
      <c r="AA251" s="572"/>
      <c r="AB251" s="572"/>
      <c r="AC251" s="572"/>
      <c r="AD251" s="572"/>
      <c r="AE251" s="514"/>
    </row>
    <row r="252" spans="6:31" s="281" customFormat="1" ht="12" thickBot="1">
      <c r="F252" s="501" t="str">
        <f ca="1">IF('CDO Bespoke'!O253&lt;&gt;"",'CDO Bespoke'!O253,"")</f>
        <v/>
      </c>
      <c r="G252" s="502" t="str">
        <f ca="1">IF(F252&lt;&gt;"",ABS(MIN(-0.75*('CDO Bespoke'!Q253+'CDO Bespoke'!T253)+'CDO Bespoke'!T253,0)),"")</f>
        <v/>
      </c>
      <c r="H252" s="502" t="str">
        <f t="shared" ca="1" si="12"/>
        <v/>
      </c>
      <c r="I252" s="502" t="str">
        <f t="shared" ca="1" si="15"/>
        <v/>
      </c>
      <c r="J252" s="501" t="str">
        <f ca="1">IF('CDO Bespoke'!O253&lt;&gt;"",'CDO Bespoke'!O253,"")</f>
        <v/>
      </c>
      <c r="K252" s="502" t="str">
        <f ca="1">IF(J252&lt;&gt;"",ABS(MIN(-0.75*('CDO Bespoke'!K253+'CDO Bespoke'!T253)+'CDO Bespoke'!T253,0)),"")</f>
        <v/>
      </c>
      <c r="L252" s="502" t="str">
        <f t="shared" ca="1" si="13"/>
        <v/>
      </c>
      <c r="M252" s="506" t="str">
        <f t="shared" ca="1" si="14"/>
        <v/>
      </c>
      <c r="O252" s="511" t="str">
        <f ca="1">IF('CDO Bespoke'!C277&lt;&gt;"",'CDO Bespoke'!C277,"")</f>
        <v/>
      </c>
      <c r="P252" s="513" t="str" cm="1">
        <f t="array" aca="1" ref="P252" ca="1">IF($O252&lt;&gt;"",-TRANSPOSE(INDEX(getcds('CDO Bespoke'!$C277,P$13,'CDO Bespoke'!$G277/10000,'CDO Bespoke'!F277,'CDO Bespoke'!D277,'CDO Bespoke'!$C$13,'CDO Bespoke'!$C$14,'CDO Bespoke'!$C$15,'CDO Bespoke'!$C$8,,,TRUE,TRUE,FALSE,'CDO Bespoke'!$C$29:'CDO Bespoke'!$C$31,'CDO Bespoke'!$C$33),{5})),"")</f>
        <v/>
      </c>
      <c r="Q252" s="524" t="str" cm="1">
        <f t="array" aca="1" ref="Q252" ca="1">IF($O252&lt;&gt;"",-TRANSPOSE(INDEX(getcds('CDO Bespoke'!$C277,Q$13,'CDO Bespoke'!$G277/10000,'CDO Bespoke'!G277,'CDO Bespoke'!E277,'CDO Bespoke'!$C$13,'CDO Bespoke'!$C$14,'CDO Bespoke'!$C$15,'CDO Bespoke'!$C$8,,,TRUE,TRUE,FALSE,'CDO Bespoke'!$C$29:'CDO Bespoke'!$C$31,'CDO Bespoke'!$C$33),{5})),"")</f>
        <v/>
      </c>
      <c r="R252" s="524" t="str" cm="1">
        <f t="array" aca="1" ref="R252" ca="1">IF($O252&lt;&gt;"",-TRANSPOSE(INDEX(getcds('CDO Bespoke'!$C277,R$13,'CDO Bespoke'!$G277/10000,'CDO Bespoke'!H277,'CDO Bespoke'!F277,'CDO Bespoke'!$C$13,'CDO Bespoke'!$C$14,'CDO Bespoke'!$C$15,'CDO Bespoke'!$C$8,,,TRUE,TRUE,FALSE,'CDO Bespoke'!$C$29:'CDO Bespoke'!$C$31,'CDO Bespoke'!$C$33),{5})),"")</f>
        <v/>
      </c>
      <c r="S252" s="524" t="str" cm="1">
        <f t="array" aca="1" ref="S252" ca="1">IF($O252&lt;&gt;"",-TRANSPOSE(INDEX(getcds('CDO Bespoke'!$C277,S$13,'CDO Bespoke'!$G277/10000,'CDO Bespoke'!I277,'CDO Bespoke'!G277,'CDO Bespoke'!$C$13,'CDO Bespoke'!$C$14,'CDO Bespoke'!$C$15,'CDO Bespoke'!$C$8,,,TRUE,TRUE,FALSE,'CDO Bespoke'!$C$29:'CDO Bespoke'!$C$31,'CDO Bespoke'!$C$33),{5})),"")</f>
        <v/>
      </c>
      <c r="T252" s="514" t="str" cm="1">
        <f t="array" aca="1" ref="T252" ca="1">IF($O252&lt;&gt;"",-TRANSPOSE(INDEX(getcds('CDO Bespoke'!$C277,T$13,'CDO Bespoke'!$G277/10000,'CDO Bespoke'!J277,'CDO Bespoke'!H277,'CDO Bespoke'!$C$13,'CDO Bespoke'!$C$14,'CDO Bespoke'!$C$15,'CDO Bespoke'!$C$8,,,TRUE,TRUE,FALSE,'CDO Bespoke'!$C$29:'CDO Bespoke'!$C$31,'CDO Bespoke'!$C$33),{5})),"")</f>
        <v/>
      </c>
      <c r="U252" s="493"/>
      <c r="V252" s="513"/>
      <c r="W252" s="572"/>
      <c r="X252" s="572"/>
      <c r="Y252" s="572"/>
      <c r="Z252" s="572"/>
      <c r="AA252" s="572"/>
      <c r="AB252" s="572"/>
      <c r="AC252" s="572"/>
      <c r="AD252" s="572"/>
      <c r="AE252" s="514"/>
    </row>
    <row r="253" spans="6:31" s="281" customFormat="1" ht="12" thickBot="1">
      <c r="F253" s="501" t="str">
        <f ca="1">IF('CDO Bespoke'!O254&lt;&gt;"",'CDO Bespoke'!O254,"")</f>
        <v/>
      </c>
      <c r="G253" s="502" t="str">
        <f ca="1">IF(F253&lt;&gt;"",ABS(MIN(-0.75*('CDO Bespoke'!Q254+'CDO Bespoke'!T254)+'CDO Bespoke'!T254,0)),"")</f>
        <v/>
      </c>
      <c r="H253" s="502" t="str">
        <f t="shared" ca="1" si="12"/>
        <v/>
      </c>
      <c r="I253" s="502" t="str">
        <f t="shared" ca="1" si="15"/>
        <v/>
      </c>
      <c r="J253" s="501" t="str">
        <f ca="1">IF('CDO Bespoke'!O254&lt;&gt;"",'CDO Bespoke'!O254,"")</f>
        <v/>
      </c>
      <c r="K253" s="502" t="str">
        <f ca="1">IF(J253&lt;&gt;"",ABS(MIN(-0.75*('CDO Bespoke'!K254+'CDO Bespoke'!T254)+'CDO Bespoke'!T254,0)),"")</f>
        <v/>
      </c>
      <c r="L253" s="502" t="str">
        <f t="shared" ca="1" si="13"/>
        <v/>
      </c>
      <c r="M253" s="506" t="str">
        <f t="shared" ca="1" si="14"/>
        <v/>
      </c>
      <c r="O253" s="511" t="str">
        <f ca="1">IF('CDO Bespoke'!C278&lt;&gt;"",'CDO Bespoke'!C278,"")</f>
        <v/>
      </c>
      <c r="P253" s="513" t="str" cm="1">
        <f t="array" aca="1" ref="P253" ca="1">IF($O253&lt;&gt;"",-TRANSPOSE(INDEX(getcds('CDO Bespoke'!$C278,P$13,'CDO Bespoke'!$G278/10000,'CDO Bespoke'!F278,'CDO Bespoke'!D278,'CDO Bespoke'!$C$13,'CDO Bespoke'!$C$14,'CDO Bespoke'!$C$15,'CDO Bespoke'!$C$8,,,TRUE,TRUE,FALSE,'CDO Bespoke'!$C$29:'CDO Bespoke'!$C$31,'CDO Bespoke'!$C$33),{5})),"")</f>
        <v/>
      </c>
      <c r="Q253" s="524" t="str" cm="1">
        <f t="array" aca="1" ref="Q253" ca="1">IF($O253&lt;&gt;"",-TRANSPOSE(INDEX(getcds('CDO Bespoke'!$C278,Q$13,'CDO Bespoke'!$G278/10000,'CDO Bespoke'!G278,'CDO Bespoke'!E278,'CDO Bespoke'!$C$13,'CDO Bespoke'!$C$14,'CDO Bespoke'!$C$15,'CDO Bespoke'!$C$8,,,TRUE,TRUE,FALSE,'CDO Bespoke'!$C$29:'CDO Bespoke'!$C$31,'CDO Bespoke'!$C$33),{5})),"")</f>
        <v/>
      </c>
      <c r="R253" s="524" t="str" cm="1">
        <f t="array" aca="1" ref="R253" ca="1">IF($O253&lt;&gt;"",-TRANSPOSE(INDEX(getcds('CDO Bespoke'!$C278,R$13,'CDO Bespoke'!$G278/10000,'CDO Bespoke'!H278,'CDO Bespoke'!F278,'CDO Bespoke'!$C$13,'CDO Bespoke'!$C$14,'CDO Bespoke'!$C$15,'CDO Bespoke'!$C$8,,,TRUE,TRUE,FALSE,'CDO Bespoke'!$C$29:'CDO Bespoke'!$C$31,'CDO Bespoke'!$C$33),{5})),"")</f>
        <v/>
      </c>
      <c r="S253" s="524" t="str" cm="1">
        <f t="array" aca="1" ref="S253" ca="1">IF($O253&lt;&gt;"",-TRANSPOSE(INDEX(getcds('CDO Bespoke'!$C278,S$13,'CDO Bespoke'!$G278/10000,'CDO Bespoke'!I278,'CDO Bespoke'!G278,'CDO Bespoke'!$C$13,'CDO Bespoke'!$C$14,'CDO Bespoke'!$C$15,'CDO Bespoke'!$C$8,,,TRUE,TRUE,FALSE,'CDO Bespoke'!$C$29:'CDO Bespoke'!$C$31,'CDO Bespoke'!$C$33),{5})),"")</f>
        <v/>
      </c>
      <c r="T253" s="514" t="str" cm="1">
        <f t="array" aca="1" ref="T253" ca="1">IF($O253&lt;&gt;"",-TRANSPOSE(INDEX(getcds('CDO Bespoke'!$C278,T$13,'CDO Bespoke'!$G278/10000,'CDO Bespoke'!J278,'CDO Bespoke'!H278,'CDO Bespoke'!$C$13,'CDO Bespoke'!$C$14,'CDO Bespoke'!$C$15,'CDO Bespoke'!$C$8,,,TRUE,TRUE,FALSE,'CDO Bespoke'!$C$29:'CDO Bespoke'!$C$31,'CDO Bespoke'!$C$33),{5})),"")</f>
        <v/>
      </c>
      <c r="U253" s="493"/>
      <c r="V253" s="513"/>
      <c r="W253" s="572"/>
      <c r="X253" s="572"/>
      <c r="Y253" s="572"/>
      <c r="Z253" s="572"/>
      <c r="AA253" s="572"/>
      <c r="AB253" s="572"/>
      <c r="AC253" s="572"/>
      <c r="AD253" s="572"/>
      <c r="AE253" s="514"/>
    </row>
    <row r="254" spans="6:31" s="281" customFormat="1" ht="12" thickBot="1">
      <c r="F254" s="501" t="str">
        <f ca="1">IF('CDO Bespoke'!O255&lt;&gt;"",'CDO Bespoke'!O255,"")</f>
        <v/>
      </c>
      <c r="G254" s="502" t="str">
        <f ca="1">IF(F254&lt;&gt;"",ABS(MIN(-0.75*('CDO Bespoke'!Q255+'CDO Bespoke'!T255)+'CDO Bespoke'!T255,0)),"")</f>
        <v/>
      </c>
      <c r="H254" s="502" t="str">
        <f t="shared" ca="1" si="12"/>
        <v/>
      </c>
      <c r="I254" s="502" t="str">
        <f t="shared" ca="1" si="15"/>
        <v/>
      </c>
      <c r="J254" s="501" t="str">
        <f ca="1">IF('CDO Bespoke'!O255&lt;&gt;"",'CDO Bespoke'!O255,"")</f>
        <v/>
      </c>
      <c r="K254" s="502" t="str">
        <f ca="1">IF(J254&lt;&gt;"",ABS(MIN(-0.75*('CDO Bespoke'!K255+'CDO Bespoke'!T255)+'CDO Bespoke'!T255,0)),"")</f>
        <v/>
      </c>
      <c r="L254" s="502" t="str">
        <f t="shared" ca="1" si="13"/>
        <v/>
      </c>
      <c r="M254" s="506" t="str">
        <f t="shared" ca="1" si="14"/>
        <v/>
      </c>
      <c r="O254" s="511" t="str">
        <f ca="1">IF('CDO Bespoke'!C279&lt;&gt;"",'CDO Bespoke'!C279,"")</f>
        <v/>
      </c>
      <c r="P254" s="513" t="str" cm="1">
        <f t="array" aca="1" ref="P254" ca="1">IF($O254&lt;&gt;"",-TRANSPOSE(INDEX(getcds('CDO Bespoke'!$C279,P$13,'CDO Bespoke'!$G279/10000,'CDO Bespoke'!F279,'CDO Bespoke'!D279,'CDO Bespoke'!$C$13,'CDO Bespoke'!$C$14,'CDO Bespoke'!$C$15,'CDO Bespoke'!$C$8,,,TRUE,TRUE,FALSE,'CDO Bespoke'!$C$29:'CDO Bespoke'!$C$31,'CDO Bespoke'!$C$33),{5})),"")</f>
        <v/>
      </c>
      <c r="Q254" s="524" t="str" cm="1">
        <f t="array" aca="1" ref="Q254" ca="1">IF($O254&lt;&gt;"",-TRANSPOSE(INDEX(getcds('CDO Bespoke'!$C279,Q$13,'CDO Bespoke'!$G279/10000,'CDO Bespoke'!G279,'CDO Bespoke'!E279,'CDO Bespoke'!$C$13,'CDO Bespoke'!$C$14,'CDO Bespoke'!$C$15,'CDO Bespoke'!$C$8,,,TRUE,TRUE,FALSE,'CDO Bespoke'!$C$29:'CDO Bespoke'!$C$31,'CDO Bespoke'!$C$33),{5})),"")</f>
        <v/>
      </c>
      <c r="R254" s="524" t="str" cm="1">
        <f t="array" aca="1" ref="R254" ca="1">IF($O254&lt;&gt;"",-TRANSPOSE(INDEX(getcds('CDO Bespoke'!$C279,R$13,'CDO Bespoke'!$G279/10000,'CDO Bespoke'!H279,'CDO Bespoke'!F279,'CDO Bespoke'!$C$13,'CDO Bespoke'!$C$14,'CDO Bespoke'!$C$15,'CDO Bespoke'!$C$8,,,TRUE,TRUE,FALSE,'CDO Bespoke'!$C$29:'CDO Bespoke'!$C$31,'CDO Bespoke'!$C$33),{5})),"")</f>
        <v/>
      </c>
      <c r="S254" s="524" t="str" cm="1">
        <f t="array" aca="1" ref="S254" ca="1">IF($O254&lt;&gt;"",-TRANSPOSE(INDEX(getcds('CDO Bespoke'!$C279,S$13,'CDO Bespoke'!$G279/10000,'CDO Bespoke'!I279,'CDO Bespoke'!G279,'CDO Bespoke'!$C$13,'CDO Bespoke'!$C$14,'CDO Bespoke'!$C$15,'CDO Bespoke'!$C$8,,,TRUE,TRUE,FALSE,'CDO Bespoke'!$C$29:'CDO Bespoke'!$C$31,'CDO Bespoke'!$C$33),{5})),"")</f>
        <v/>
      </c>
      <c r="T254" s="514" t="str" cm="1">
        <f t="array" aca="1" ref="T254" ca="1">IF($O254&lt;&gt;"",-TRANSPOSE(INDEX(getcds('CDO Bespoke'!$C279,T$13,'CDO Bespoke'!$G279/10000,'CDO Bespoke'!J279,'CDO Bespoke'!H279,'CDO Bespoke'!$C$13,'CDO Bespoke'!$C$14,'CDO Bespoke'!$C$15,'CDO Bespoke'!$C$8,,,TRUE,TRUE,FALSE,'CDO Bespoke'!$C$29:'CDO Bespoke'!$C$31,'CDO Bespoke'!$C$33),{5})),"")</f>
        <v/>
      </c>
      <c r="U254" s="493"/>
      <c r="V254" s="513"/>
      <c r="W254" s="572"/>
      <c r="X254" s="572"/>
      <c r="Y254" s="572"/>
      <c r="Z254" s="572"/>
      <c r="AA254" s="572"/>
      <c r="AB254" s="572"/>
      <c r="AC254" s="572"/>
      <c r="AD254" s="572"/>
      <c r="AE254" s="514"/>
    </row>
    <row r="255" spans="6:31" s="281" customFormat="1" ht="12" thickBot="1">
      <c r="F255" s="501" t="str">
        <f ca="1">IF('CDO Bespoke'!O256&lt;&gt;"",'CDO Bespoke'!O256,"")</f>
        <v/>
      </c>
      <c r="G255" s="502" t="str">
        <f ca="1">IF(F255&lt;&gt;"",ABS(MIN(-0.75*('CDO Bespoke'!Q256+'CDO Bespoke'!T256)+'CDO Bespoke'!T256,0)),"")</f>
        <v/>
      </c>
      <c r="H255" s="502" t="str">
        <f t="shared" ca="1" si="12"/>
        <v/>
      </c>
      <c r="I255" s="502" t="str">
        <f t="shared" ca="1" si="15"/>
        <v/>
      </c>
      <c r="J255" s="501" t="str">
        <f ca="1">IF('CDO Bespoke'!O256&lt;&gt;"",'CDO Bespoke'!O256,"")</f>
        <v/>
      </c>
      <c r="K255" s="502" t="str">
        <f ca="1">IF(J255&lt;&gt;"",ABS(MIN(-0.75*('CDO Bespoke'!K256+'CDO Bespoke'!T256)+'CDO Bespoke'!T256,0)),"")</f>
        <v/>
      </c>
      <c r="L255" s="502" t="str">
        <f t="shared" ca="1" si="13"/>
        <v/>
      </c>
      <c r="M255" s="506" t="str">
        <f t="shared" ca="1" si="14"/>
        <v/>
      </c>
      <c r="O255" s="511" t="str">
        <f ca="1">IF('CDO Bespoke'!C280&lt;&gt;"",'CDO Bespoke'!C280,"")</f>
        <v/>
      </c>
      <c r="P255" s="513" t="str" cm="1">
        <f t="array" aca="1" ref="P255" ca="1">IF($O255&lt;&gt;"",-TRANSPOSE(INDEX(getcds('CDO Bespoke'!$C280,P$13,'CDO Bespoke'!$G280/10000,'CDO Bespoke'!F280,'CDO Bespoke'!D280,'CDO Bespoke'!$C$13,'CDO Bespoke'!$C$14,'CDO Bespoke'!$C$15,'CDO Bespoke'!$C$8,,,TRUE,TRUE,FALSE,'CDO Bespoke'!$C$29:'CDO Bespoke'!$C$31,'CDO Bespoke'!$C$33),{5})),"")</f>
        <v/>
      </c>
      <c r="Q255" s="524" t="str" cm="1">
        <f t="array" aca="1" ref="Q255" ca="1">IF($O255&lt;&gt;"",-TRANSPOSE(INDEX(getcds('CDO Bespoke'!$C280,Q$13,'CDO Bespoke'!$G280/10000,'CDO Bespoke'!G280,'CDO Bespoke'!E280,'CDO Bespoke'!$C$13,'CDO Bespoke'!$C$14,'CDO Bespoke'!$C$15,'CDO Bespoke'!$C$8,,,TRUE,TRUE,FALSE,'CDO Bespoke'!$C$29:'CDO Bespoke'!$C$31,'CDO Bespoke'!$C$33),{5})),"")</f>
        <v/>
      </c>
      <c r="R255" s="524" t="str" cm="1">
        <f t="array" aca="1" ref="R255" ca="1">IF($O255&lt;&gt;"",-TRANSPOSE(INDEX(getcds('CDO Bespoke'!$C280,R$13,'CDO Bespoke'!$G280/10000,'CDO Bespoke'!H280,'CDO Bespoke'!F280,'CDO Bespoke'!$C$13,'CDO Bespoke'!$C$14,'CDO Bespoke'!$C$15,'CDO Bespoke'!$C$8,,,TRUE,TRUE,FALSE,'CDO Bespoke'!$C$29:'CDO Bespoke'!$C$31,'CDO Bespoke'!$C$33),{5})),"")</f>
        <v/>
      </c>
      <c r="S255" s="524" t="str" cm="1">
        <f t="array" aca="1" ref="S255" ca="1">IF($O255&lt;&gt;"",-TRANSPOSE(INDEX(getcds('CDO Bespoke'!$C280,S$13,'CDO Bespoke'!$G280/10000,'CDO Bespoke'!I280,'CDO Bespoke'!G280,'CDO Bespoke'!$C$13,'CDO Bespoke'!$C$14,'CDO Bespoke'!$C$15,'CDO Bespoke'!$C$8,,,TRUE,TRUE,FALSE,'CDO Bespoke'!$C$29:'CDO Bespoke'!$C$31,'CDO Bespoke'!$C$33),{5})),"")</f>
        <v/>
      </c>
      <c r="T255" s="514" t="str" cm="1">
        <f t="array" aca="1" ref="T255" ca="1">IF($O255&lt;&gt;"",-TRANSPOSE(INDEX(getcds('CDO Bespoke'!$C280,T$13,'CDO Bespoke'!$G280/10000,'CDO Bespoke'!J280,'CDO Bespoke'!H280,'CDO Bespoke'!$C$13,'CDO Bespoke'!$C$14,'CDO Bespoke'!$C$15,'CDO Bespoke'!$C$8,,,TRUE,TRUE,FALSE,'CDO Bespoke'!$C$29:'CDO Bespoke'!$C$31,'CDO Bespoke'!$C$33),{5})),"")</f>
        <v/>
      </c>
      <c r="U255" s="493"/>
      <c r="V255" s="513"/>
      <c r="W255" s="572"/>
      <c r="X255" s="572"/>
      <c r="Y255" s="572"/>
      <c r="Z255" s="572"/>
      <c r="AA255" s="572"/>
      <c r="AB255" s="572"/>
      <c r="AC255" s="572"/>
      <c r="AD255" s="572"/>
      <c r="AE255" s="514"/>
    </row>
    <row r="256" spans="6:31" s="281" customFormat="1" ht="12" thickBot="1">
      <c r="F256" s="501" t="str">
        <f ca="1">IF('CDO Bespoke'!O257&lt;&gt;"",'CDO Bespoke'!O257,"")</f>
        <v/>
      </c>
      <c r="G256" s="502" t="str">
        <f ca="1">IF(F256&lt;&gt;"",ABS(MIN(-0.75*('CDO Bespoke'!Q257+'CDO Bespoke'!T257)+'CDO Bespoke'!T257,0)),"")</f>
        <v/>
      </c>
      <c r="H256" s="502" t="str">
        <f t="shared" ca="1" si="12"/>
        <v/>
      </c>
      <c r="I256" s="502" t="str">
        <f t="shared" ca="1" si="15"/>
        <v/>
      </c>
      <c r="J256" s="501" t="str">
        <f ca="1">IF('CDO Bespoke'!O257&lt;&gt;"",'CDO Bespoke'!O257,"")</f>
        <v/>
      </c>
      <c r="K256" s="502" t="str">
        <f ca="1">IF(J256&lt;&gt;"",ABS(MIN(-0.75*('CDO Bespoke'!K257+'CDO Bespoke'!T257)+'CDO Bespoke'!T257,0)),"")</f>
        <v/>
      </c>
      <c r="L256" s="502" t="str">
        <f t="shared" ca="1" si="13"/>
        <v/>
      </c>
      <c r="M256" s="506" t="str">
        <f t="shared" ca="1" si="14"/>
        <v/>
      </c>
      <c r="O256" s="511" t="str">
        <f ca="1">IF('CDO Bespoke'!C281&lt;&gt;"",'CDO Bespoke'!C281,"")</f>
        <v/>
      </c>
      <c r="P256" s="513" t="str" cm="1">
        <f t="array" aca="1" ref="P256" ca="1">IF($O256&lt;&gt;"",-TRANSPOSE(INDEX(getcds('CDO Bespoke'!$C281,P$13,'CDO Bespoke'!$G281/10000,'CDO Bespoke'!F281,'CDO Bespoke'!D281,'CDO Bespoke'!$C$13,'CDO Bespoke'!$C$14,'CDO Bespoke'!$C$15,'CDO Bespoke'!$C$8,,,TRUE,TRUE,FALSE,'CDO Bespoke'!$C$29:'CDO Bespoke'!$C$31,'CDO Bespoke'!$C$33),{5})),"")</f>
        <v/>
      </c>
      <c r="Q256" s="524" t="str" cm="1">
        <f t="array" aca="1" ref="Q256" ca="1">IF($O256&lt;&gt;"",-TRANSPOSE(INDEX(getcds('CDO Bespoke'!$C281,Q$13,'CDO Bespoke'!$G281/10000,'CDO Bespoke'!G281,'CDO Bespoke'!E281,'CDO Bespoke'!$C$13,'CDO Bespoke'!$C$14,'CDO Bespoke'!$C$15,'CDO Bespoke'!$C$8,,,TRUE,TRUE,FALSE,'CDO Bespoke'!$C$29:'CDO Bespoke'!$C$31,'CDO Bespoke'!$C$33),{5})),"")</f>
        <v/>
      </c>
      <c r="R256" s="524" t="str" cm="1">
        <f t="array" aca="1" ref="R256" ca="1">IF($O256&lt;&gt;"",-TRANSPOSE(INDEX(getcds('CDO Bespoke'!$C281,R$13,'CDO Bespoke'!$G281/10000,'CDO Bespoke'!H281,'CDO Bespoke'!F281,'CDO Bespoke'!$C$13,'CDO Bespoke'!$C$14,'CDO Bespoke'!$C$15,'CDO Bespoke'!$C$8,,,TRUE,TRUE,FALSE,'CDO Bespoke'!$C$29:'CDO Bespoke'!$C$31,'CDO Bespoke'!$C$33),{5})),"")</f>
        <v/>
      </c>
      <c r="S256" s="524" t="str" cm="1">
        <f t="array" aca="1" ref="S256" ca="1">IF($O256&lt;&gt;"",-TRANSPOSE(INDEX(getcds('CDO Bespoke'!$C281,S$13,'CDO Bespoke'!$G281/10000,'CDO Bespoke'!I281,'CDO Bespoke'!G281,'CDO Bespoke'!$C$13,'CDO Bespoke'!$C$14,'CDO Bespoke'!$C$15,'CDO Bespoke'!$C$8,,,TRUE,TRUE,FALSE,'CDO Bespoke'!$C$29:'CDO Bespoke'!$C$31,'CDO Bespoke'!$C$33),{5})),"")</f>
        <v/>
      </c>
      <c r="T256" s="514" t="str" cm="1">
        <f t="array" aca="1" ref="T256" ca="1">IF($O256&lt;&gt;"",-TRANSPOSE(INDEX(getcds('CDO Bespoke'!$C281,T$13,'CDO Bespoke'!$G281/10000,'CDO Bespoke'!J281,'CDO Bespoke'!H281,'CDO Bespoke'!$C$13,'CDO Bespoke'!$C$14,'CDO Bespoke'!$C$15,'CDO Bespoke'!$C$8,,,TRUE,TRUE,FALSE,'CDO Bespoke'!$C$29:'CDO Bespoke'!$C$31,'CDO Bespoke'!$C$33),{5})),"")</f>
        <v/>
      </c>
      <c r="U256" s="493"/>
      <c r="V256" s="513"/>
      <c r="W256" s="572"/>
      <c r="X256" s="572"/>
      <c r="Y256" s="572"/>
      <c r="Z256" s="572"/>
      <c r="AA256" s="572"/>
      <c r="AB256" s="572"/>
      <c r="AC256" s="572"/>
      <c r="AD256" s="572"/>
      <c r="AE256" s="514"/>
    </row>
    <row r="257" spans="6:31" s="281" customFormat="1" ht="12" thickBot="1">
      <c r="F257" s="501" t="str">
        <f ca="1">IF('CDO Bespoke'!O258&lt;&gt;"",'CDO Bespoke'!O258,"")</f>
        <v/>
      </c>
      <c r="G257" s="502" t="str">
        <f ca="1">IF(F257&lt;&gt;"",ABS(MIN(-0.75*('CDO Bespoke'!Q258+'CDO Bespoke'!T258)+'CDO Bespoke'!T258,0)),"")</f>
        <v/>
      </c>
      <c r="H257" s="502" t="str">
        <f t="shared" ca="1" si="12"/>
        <v/>
      </c>
      <c r="I257" s="502" t="str">
        <f t="shared" ca="1" si="15"/>
        <v/>
      </c>
      <c r="J257" s="501" t="str">
        <f ca="1">IF('CDO Bespoke'!O258&lt;&gt;"",'CDO Bespoke'!O258,"")</f>
        <v/>
      </c>
      <c r="K257" s="502" t="str">
        <f ca="1">IF(J257&lt;&gt;"",ABS(MIN(-0.75*('CDO Bespoke'!K258+'CDO Bespoke'!T258)+'CDO Bespoke'!T258,0)),"")</f>
        <v/>
      </c>
      <c r="L257" s="502" t="str">
        <f t="shared" ca="1" si="13"/>
        <v/>
      </c>
      <c r="M257" s="506" t="str">
        <f t="shared" ca="1" si="14"/>
        <v/>
      </c>
      <c r="O257" s="511" t="str">
        <f ca="1">IF('CDO Bespoke'!C282&lt;&gt;"",'CDO Bespoke'!C282,"")</f>
        <v/>
      </c>
      <c r="P257" s="513" t="str" cm="1">
        <f t="array" aca="1" ref="P257" ca="1">IF($O257&lt;&gt;"",-TRANSPOSE(INDEX(getcds('CDO Bespoke'!$C282,P$13,'CDO Bespoke'!$G282/10000,'CDO Bespoke'!F282,'CDO Bespoke'!D282,'CDO Bespoke'!$C$13,'CDO Bespoke'!$C$14,'CDO Bespoke'!$C$15,'CDO Bespoke'!$C$8,,,TRUE,TRUE,FALSE,'CDO Bespoke'!$C$29:'CDO Bespoke'!$C$31,'CDO Bespoke'!$C$33),{5})),"")</f>
        <v/>
      </c>
      <c r="Q257" s="524" t="str" cm="1">
        <f t="array" aca="1" ref="Q257" ca="1">IF($O257&lt;&gt;"",-TRANSPOSE(INDEX(getcds('CDO Bespoke'!$C282,Q$13,'CDO Bespoke'!$G282/10000,'CDO Bespoke'!G282,'CDO Bespoke'!E282,'CDO Bespoke'!$C$13,'CDO Bespoke'!$C$14,'CDO Bespoke'!$C$15,'CDO Bespoke'!$C$8,,,TRUE,TRUE,FALSE,'CDO Bespoke'!$C$29:'CDO Bespoke'!$C$31,'CDO Bespoke'!$C$33),{5})),"")</f>
        <v/>
      </c>
      <c r="R257" s="524" t="str" cm="1">
        <f t="array" aca="1" ref="R257" ca="1">IF($O257&lt;&gt;"",-TRANSPOSE(INDEX(getcds('CDO Bespoke'!$C282,R$13,'CDO Bespoke'!$G282/10000,'CDO Bespoke'!H282,'CDO Bespoke'!F282,'CDO Bespoke'!$C$13,'CDO Bespoke'!$C$14,'CDO Bespoke'!$C$15,'CDO Bespoke'!$C$8,,,TRUE,TRUE,FALSE,'CDO Bespoke'!$C$29:'CDO Bespoke'!$C$31,'CDO Bespoke'!$C$33),{5})),"")</f>
        <v/>
      </c>
      <c r="S257" s="524" t="str" cm="1">
        <f t="array" aca="1" ref="S257" ca="1">IF($O257&lt;&gt;"",-TRANSPOSE(INDEX(getcds('CDO Bespoke'!$C282,S$13,'CDO Bespoke'!$G282/10000,'CDO Bespoke'!I282,'CDO Bespoke'!G282,'CDO Bespoke'!$C$13,'CDO Bespoke'!$C$14,'CDO Bespoke'!$C$15,'CDO Bespoke'!$C$8,,,TRUE,TRUE,FALSE,'CDO Bespoke'!$C$29:'CDO Bespoke'!$C$31,'CDO Bespoke'!$C$33),{5})),"")</f>
        <v/>
      </c>
      <c r="T257" s="514" t="str" cm="1">
        <f t="array" aca="1" ref="T257" ca="1">IF($O257&lt;&gt;"",-TRANSPOSE(INDEX(getcds('CDO Bespoke'!$C282,T$13,'CDO Bespoke'!$G282/10000,'CDO Bespoke'!J282,'CDO Bespoke'!H282,'CDO Bespoke'!$C$13,'CDO Bespoke'!$C$14,'CDO Bespoke'!$C$15,'CDO Bespoke'!$C$8,,,TRUE,TRUE,FALSE,'CDO Bespoke'!$C$29:'CDO Bespoke'!$C$31,'CDO Bespoke'!$C$33),{5})),"")</f>
        <v/>
      </c>
      <c r="U257" s="493"/>
      <c r="V257" s="513"/>
      <c r="W257" s="572"/>
      <c r="X257" s="572"/>
      <c r="Y257" s="572"/>
      <c r="Z257" s="572"/>
      <c r="AA257" s="572"/>
      <c r="AB257" s="572"/>
      <c r="AC257" s="572"/>
      <c r="AD257" s="572"/>
      <c r="AE257" s="514"/>
    </row>
    <row r="258" spans="6:31" s="281" customFormat="1" ht="12" thickBot="1">
      <c r="F258" s="501" t="str">
        <f ca="1">IF('CDO Bespoke'!O259&lt;&gt;"",'CDO Bespoke'!O259,"")</f>
        <v/>
      </c>
      <c r="G258" s="502" t="str">
        <f ca="1">IF(F258&lt;&gt;"",ABS(MIN(-0.75*('CDO Bespoke'!Q259+'CDO Bespoke'!T259)+'CDO Bespoke'!T259,0)),"")</f>
        <v/>
      </c>
      <c r="H258" s="502" t="str">
        <f t="shared" ca="1" si="12"/>
        <v/>
      </c>
      <c r="I258" s="502" t="str">
        <f t="shared" ca="1" si="15"/>
        <v/>
      </c>
      <c r="J258" s="501" t="str">
        <f ca="1">IF('CDO Bespoke'!O259&lt;&gt;"",'CDO Bespoke'!O259,"")</f>
        <v/>
      </c>
      <c r="K258" s="502" t="str">
        <f ca="1">IF(J258&lt;&gt;"",ABS(MIN(-0.75*('CDO Bespoke'!K259+'CDO Bespoke'!T259)+'CDO Bespoke'!T259,0)),"")</f>
        <v/>
      </c>
      <c r="L258" s="502" t="str">
        <f t="shared" ca="1" si="13"/>
        <v/>
      </c>
      <c r="M258" s="506" t="str">
        <f t="shared" ca="1" si="14"/>
        <v/>
      </c>
      <c r="O258" s="511" t="str">
        <f ca="1">IF('CDO Bespoke'!C283&lt;&gt;"",'CDO Bespoke'!C283,"")</f>
        <v/>
      </c>
      <c r="P258" s="513" t="str" cm="1">
        <f t="array" aca="1" ref="P258" ca="1">IF($O258&lt;&gt;"",-TRANSPOSE(INDEX(getcds('CDO Bespoke'!$C283,P$13,'CDO Bespoke'!$G283/10000,'CDO Bespoke'!F283,'CDO Bespoke'!D283,'CDO Bespoke'!$C$13,'CDO Bespoke'!$C$14,'CDO Bespoke'!$C$15,'CDO Bespoke'!$C$8,,,TRUE,TRUE,FALSE,'CDO Bespoke'!$C$29:'CDO Bespoke'!$C$31,'CDO Bespoke'!$C$33),{5})),"")</f>
        <v/>
      </c>
      <c r="Q258" s="524" t="str" cm="1">
        <f t="array" aca="1" ref="Q258" ca="1">IF($O258&lt;&gt;"",-TRANSPOSE(INDEX(getcds('CDO Bespoke'!$C283,Q$13,'CDO Bespoke'!$G283/10000,'CDO Bespoke'!G283,'CDO Bespoke'!E283,'CDO Bespoke'!$C$13,'CDO Bespoke'!$C$14,'CDO Bespoke'!$C$15,'CDO Bespoke'!$C$8,,,TRUE,TRUE,FALSE,'CDO Bespoke'!$C$29:'CDO Bespoke'!$C$31,'CDO Bespoke'!$C$33),{5})),"")</f>
        <v/>
      </c>
      <c r="R258" s="524" t="str" cm="1">
        <f t="array" aca="1" ref="R258" ca="1">IF($O258&lt;&gt;"",-TRANSPOSE(INDEX(getcds('CDO Bespoke'!$C283,R$13,'CDO Bespoke'!$G283/10000,'CDO Bespoke'!H283,'CDO Bespoke'!F283,'CDO Bespoke'!$C$13,'CDO Bespoke'!$C$14,'CDO Bespoke'!$C$15,'CDO Bespoke'!$C$8,,,TRUE,TRUE,FALSE,'CDO Bespoke'!$C$29:'CDO Bespoke'!$C$31,'CDO Bespoke'!$C$33),{5})),"")</f>
        <v/>
      </c>
      <c r="S258" s="524" t="str" cm="1">
        <f t="array" aca="1" ref="S258" ca="1">IF($O258&lt;&gt;"",-TRANSPOSE(INDEX(getcds('CDO Bespoke'!$C283,S$13,'CDO Bespoke'!$G283/10000,'CDO Bespoke'!I283,'CDO Bespoke'!G283,'CDO Bespoke'!$C$13,'CDO Bespoke'!$C$14,'CDO Bespoke'!$C$15,'CDO Bespoke'!$C$8,,,TRUE,TRUE,FALSE,'CDO Bespoke'!$C$29:'CDO Bespoke'!$C$31,'CDO Bespoke'!$C$33),{5})),"")</f>
        <v/>
      </c>
      <c r="T258" s="514" t="str" cm="1">
        <f t="array" aca="1" ref="T258" ca="1">IF($O258&lt;&gt;"",-TRANSPOSE(INDEX(getcds('CDO Bespoke'!$C283,T$13,'CDO Bespoke'!$G283/10000,'CDO Bespoke'!J283,'CDO Bespoke'!H283,'CDO Bespoke'!$C$13,'CDO Bespoke'!$C$14,'CDO Bespoke'!$C$15,'CDO Bespoke'!$C$8,,,TRUE,TRUE,FALSE,'CDO Bespoke'!$C$29:'CDO Bespoke'!$C$31,'CDO Bespoke'!$C$33),{5})),"")</f>
        <v/>
      </c>
      <c r="U258" s="493"/>
      <c r="V258" s="513"/>
      <c r="W258" s="572"/>
      <c r="X258" s="572"/>
      <c r="Y258" s="572"/>
      <c r="Z258" s="572"/>
      <c r="AA258" s="572"/>
      <c r="AB258" s="572"/>
      <c r="AC258" s="572"/>
      <c r="AD258" s="572"/>
      <c r="AE258" s="514"/>
    </row>
    <row r="259" spans="6:31" s="281" customFormat="1" ht="12" thickBot="1">
      <c r="F259" s="501" t="str">
        <f ca="1">IF('CDO Bespoke'!O260&lt;&gt;"",'CDO Bespoke'!O260,"")</f>
        <v/>
      </c>
      <c r="G259" s="502" t="str">
        <f ca="1">IF(F259&lt;&gt;"",ABS(MIN(-0.75*('CDO Bespoke'!Q260+'CDO Bespoke'!T260)+'CDO Bespoke'!T260,0)),"")</f>
        <v/>
      </c>
      <c r="H259" s="502" t="str">
        <f t="shared" ca="1" si="12"/>
        <v/>
      </c>
      <c r="I259" s="502" t="str">
        <f t="shared" ca="1" si="15"/>
        <v/>
      </c>
      <c r="J259" s="501" t="str">
        <f ca="1">IF('CDO Bespoke'!O260&lt;&gt;"",'CDO Bespoke'!O260,"")</f>
        <v/>
      </c>
      <c r="K259" s="502" t="str">
        <f ca="1">IF(J259&lt;&gt;"",ABS(MIN(-0.75*('CDO Bespoke'!K260+'CDO Bespoke'!T260)+'CDO Bespoke'!T260,0)),"")</f>
        <v/>
      </c>
      <c r="L259" s="502" t="str">
        <f t="shared" ca="1" si="13"/>
        <v/>
      </c>
      <c r="M259" s="506" t="str">
        <f t="shared" ca="1" si="14"/>
        <v/>
      </c>
      <c r="O259" s="511" t="str">
        <f ca="1">IF('CDO Bespoke'!C284&lt;&gt;"",'CDO Bespoke'!C284,"")</f>
        <v/>
      </c>
      <c r="P259" s="513" t="str" cm="1">
        <f t="array" aca="1" ref="P259" ca="1">IF($O259&lt;&gt;"",-TRANSPOSE(INDEX(getcds('CDO Bespoke'!$C284,P$13,'CDO Bespoke'!$G284/10000,'CDO Bespoke'!F284,'CDO Bespoke'!D284,'CDO Bespoke'!$C$13,'CDO Bespoke'!$C$14,'CDO Bespoke'!$C$15,'CDO Bespoke'!$C$8,,,TRUE,TRUE,FALSE,'CDO Bespoke'!$C$29:'CDO Bespoke'!$C$31,'CDO Bespoke'!$C$33),{5})),"")</f>
        <v/>
      </c>
      <c r="Q259" s="524" t="str" cm="1">
        <f t="array" aca="1" ref="Q259" ca="1">IF($O259&lt;&gt;"",-TRANSPOSE(INDEX(getcds('CDO Bespoke'!$C284,Q$13,'CDO Bespoke'!$G284/10000,'CDO Bespoke'!G284,'CDO Bespoke'!E284,'CDO Bespoke'!$C$13,'CDO Bespoke'!$C$14,'CDO Bespoke'!$C$15,'CDO Bespoke'!$C$8,,,TRUE,TRUE,FALSE,'CDO Bespoke'!$C$29:'CDO Bespoke'!$C$31,'CDO Bespoke'!$C$33),{5})),"")</f>
        <v/>
      </c>
      <c r="R259" s="524" t="str" cm="1">
        <f t="array" aca="1" ref="R259" ca="1">IF($O259&lt;&gt;"",-TRANSPOSE(INDEX(getcds('CDO Bespoke'!$C284,R$13,'CDO Bespoke'!$G284/10000,'CDO Bespoke'!H284,'CDO Bespoke'!F284,'CDO Bespoke'!$C$13,'CDO Bespoke'!$C$14,'CDO Bespoke'!$C$15,'CDO Bespoke'!$C$8,,,TRUE,TRUE,FALSE,'CDO Bespoke'!$C$29:'CDO Bespoke'!$C$31,'CDO Bespoke'!$C$33),{5})),"")</f>
        <v/>
      </c>
      <c r="S259" s="524" t="str" cm="1">
        <f t="array" aca="1" ref="S259" ca="1">IF($O259&lt;&gt;"",-TRANSPOSE(INDEX(getcds('CDO Bespoke'!$C284,S$13,'CDO Bespoke'!$G284/10000,'CDO Bespoke'!I284,'CDO Bespoke'!G284,'CDO Bespoke'!$C$13,'CDO Bespoke'!$C$14,'CDO Bespoke'!$C$15,'CDO Bespoke'!$C$8,,,TRUE,TRUE,FALSE,'CDO Bespoke'!$C$29:'CDO Bespoke'!$C$31,'CDO Bespoke'!$C$33),{5})),"")</f>
        <v/>
      </c>
      <c r="T259" s="514" t="str" cm="1">
        <f t="array" aca="1" ref="T259" ca="1">IF($O259&lt;&gt;"",-TRANSPOSE(INDEX(getcds('CDO Bespoke'!$C284,T$13,'CDO Bespoke'!$G284/10000,'CDO Bespoke'!J284,'CDO Bespoke'!H284,'CDO Bespoke'!$C$13,'CDO Bespoke'!$C$14,'CDO Bespoke'!$C$15,'CDO Bespoke'!$C$8,,,TRUE,TRUE,FALSE,'CDO Bespoke'!$C$29:'CDO Bespoke'!$C$31,'CDO Bespoke'!$C$33),{5})),"")</f>
        <v/>
      </c>
      <c r="U259" s="493"/>
      <c r="V259" s="513"/>
      <c r="W259" s="572"/>
      <c r="X259" s="572"/>
      <c r="Y259" s="572"/>
      <c r="Z259" s="572"/>
      <c r="AA259" s="572"/>
      <c r="AB259" s="572"/>
      <c r="AC259" s="572"/>
      <c r="AD259" s="572"/>
      <c r="AE259" s="514"/>
    </row>
    <row r="260" spans="6:31" s="281" customFormat="1" ht="12" thickBot="1">
      <c r="F260" s="501" t="str">
        <f ca="1">IF('CDO Bespoke'!O261&lt;&gt;"",'CDO Bespoke'!O261,"")</f>
        <v/>
      </c>
      <c r="G260" s="502" t="str">
        <f ca="1">IF(F260&lt;&gt;"",ABS(MIN(-0.75*('CDO Bespoke'!Q261+'CDO Bespoke'!T261)+'CDO Bespoke'!T261,0)),"")</f>
        <v/>
      </c>
      <c r="H260" s="502" t="str">
        <f t="shared" ca="1" si="12"/>
        <v/>
      </c>
      <c r="I260" s="502" t="str">
        <f t="shared" ca="1" si="15"/>
        <v/>
      </c>
      <c r="J260" s="501" t="str">
        <f ca="1">IF('CDO Bespoke'!O261&lt;&gt;"",'CDO Bespoke'!O261,"")</f>
        <v/>
      </c>
      <c r="K260" s="502" t="str">
        <f ca="1">IF(J260&lt;&gt;"",ABS(MIN(-0.75*('CDO Bespoke'!K261+'CDO Bespoke'!T261)+'CDO Bespoke'!T261,0)),"")</f>
        <v/>
      </c>
      <c r="L260" s="502" t="str">
        <f t="shared" ca="1" si="13"/>
        <v/>
      </c>
      <c r="M260" s="506" t="str">
        <f t="shared" ca="1" si="14"/>
        <v/>
      </c>
      <c r="O260" s="511" t="str">
        <f ca="1">IF('CDO Bespoke'!C285&lt;&gt;"",'CDO Bespoke'!C285,"")</f>
        <v/>
      </c>
      <c r="P260" s="513" t="str" cm="1">
        <f t="array" aca="1" ref="P260" ca="1">IF($O260&lt;&gt;"",-TRANSPOSE(INDEX(getcds('CDO Bespoke'!$C285,P$13,'CDO Bespoke'!$G285/10000,'CDO Bespoke'!F285,'CDO Bespoke'!D285,'CDO Bespoke'!$C$13,'CDO Bespoke'!$C$14,'CDO Bespoke'!$C$15,'CDO Bespoke'!$C$8,,,TRUE,TRUE,FALSE,'CDO Bespoke'!$C$29:'CDO Bespoke'!$C$31,'CDO Bespoke'!$C$33),{5})),"")</f>
        <v/>
      </c>
      <c r="Q260" s="524" t="str" cm="1">
        <f t="array" aca="1" ref="Q260" ca="1">IF($O260&lt;&gt;"",-TRANSPOSE(INDEX(getcds('CDO Bespoke'!$C285,Q$13,'CDO Bespoke'!$G285/10000,'CDO Bespoke'!G285,'CDO Bespoke'!E285,'CDO Bespoke'!$C$13,'CDO Bespoke'!$C$14,'CDO Bespoke'!$C$15,'CDO Bespoke'!$C$8,,,TRUE,TRUE,FALSE,'CDO Bespoke'!$C$29:'CDO Bespoke'!$C$31,'CDO Bespoke'!$C$33),{5})),"")</f>
        <v/>
      </c>
      <c r="R260" s="524" t="str" cm="1">
        <f t="array" aca="1" ref="R260" ca="1">IF($O260&lt;&gt;"",-TRANSPOSE(INDEX(getcds('CDO Bespoke'!$C285,R$13,'CDO Bespoke'!$G285/10000,'CDO Bespoke'!H285,'CDO Bespoke'!F285,'CDO Bespoke'!$C$13,'CDO Bespoke'!$C$14,'CDO Bespoke'!$C$15,'CDO Bespoke'!$C$8,,,TRUE,TRUE,FALSE,'CDO Bespoke'!$C$29:'CDO Bespoke'!$C$31,'CDO Bespoke'!$C$33),{5})),"")</f>
        <v/>
      </c>
      <c r="S260" s="524" t="str" cm="1">
        <f t="array" aca="1" ref="S260" ca="1">IF($O260&lt;&gt;"",-TRANSPOSE(INDEX(getcds('CDO Bespoke'!$C285,S$13,'CDO Bespoke'!$G285/10000,'CDO Bespoke'!I285,'CDO Bespoke'!G285,'CDO Bespoke'!$C$13,'CDO Bespoke'!$C$14,'CDO Bespoke'!$C$15,'CDO Bespoke'!$C$8,,,TRUE,TRUE,FALSE,'CDO Bespoke'!$C$29:'CDO Bespoke'!$C$31,'CDO Bespoke'!$C$33),{5})),"")</f>
        <v/>
      </c>
      <c r="T260" s="514" t="str" cm="1">
        <f t="array" aca="1" ref="T260" ca="1">IF($O260&lt;&gt;"",-TRANSPOSE(INDEX(getcds('CDO Bespoke'!$C285,T$13,'CDO Bespoke'!$G285/10000,'CDO Bespoke'!J285,'CDO Bespoke'!H285,'CDO Bespoke'!$C$13,'CDO Bespoke'!$C$14,'CDO Bespoke'!$C$15,'CDO Bespoke'!$C$8,,,TRUE,TRUE,FALSE,'CDO Bespoke'!$C$29:'CDO Bespoke'!$C$31,'CDO Bespoke'!$C$33),{5})),"")</f>
        <v/>
      </c>
      <c r="U260" s="493"/>
      <c r="V260" s="513"/>
      <c r="W260" s="572"/>
      <c r="X260" s="572"/>
      <c r="Y260" s="572"/>
      <c r="Z260" s="572"/>
      <c r="AA260" s="572"/>
      <c r="AB260" s="572"/>
      <c r="AC260" s="572"/>
      <c r="AD260" s="572"/>
      <c r="AE260" s="514"/>
    </row>
    <row r="261" spans="6:31" s="281" customFormat="1" ht="12" thickBot="1">
      <c r="F261" s="501" t="str">
        <f ca="1">IF('CDO Bespoke'!O262&lt;&gt;"",'CDO Bespoke'!O262,"")</f>
        <v/>
      </c>
      <c r="G261" s="502" t="str">
        <f ca="1">IF(F261&lt;&gt;"",ABS(MIN(-0.75*('CDO Bespoke'!Q262+'CDO Bespoke'!T262)+'CDO Bespoke'!T262,0)),"")</f>
        <v/>
      </c>
      <c r="H261" s="502" t="str">
        <f t="shared" ca="1" si="12"/>
        <v/>
      </c>
      <c r="I261" s="502" t="str">
        <f t="shared" ca="1" si="15"/>
        <v/>
      </c>
      <c r="J261" s="501" t="str">
        <f ca="1">IF('CDO Bespoke'!O262&lt;&gt;"",'CDO Bespoke'!O262,"")</f>
        <v/>
      </c>
      <c r="K261" s="502" t="str">
        <f ca="1">IF(J261&lt;&gt;"",ABS(MIN(-0.75*('CDO Bespoke'!K262+'CDO Bespoke'!T262)+'CDO Bespoke'!T262,0)),"")</f>
        <v/>
      </c>
      <c r="L261" s="502" t="str">
        <f t="shared" ca="1" si="13"/>
        <v/>
      </c>
      <c r="M261" s="506" t="str">
        <f t="shared" ca="1" si="14"/>
        <v/>
      </c>
      <c r="O261" s="511" t="str">
        <f ca="1">IF('CDO Bespoke'!C286&lt;&gt;"",'CDO Bespoke'!C286,"")</f>
        <v/>
      </c>
      <c r="P261" s="513" t="str" cm="1">
        <f t="array" aca="1" ref="P261" ca="1">IF($O261&lt;&gt;"",-TRANSPOSE(INDEX(getcds('CDO Bespoke'!$C286,P$13,'CDO Bespoke'!$G286/10000,'CDO Bespoke'!F286,'CDO Bespoke'!D286,'CDO Bespoke'!$C$13,'CDO Bespoke'!$C$14,'CDO Bespoke'!$C$15,'CDO Bespoke'!$C$8,,,TRUE,TRUE,FALSE,'CDO Bespoke'!$C$29:'CDO Bespoke'!$C$31,'CDO Bespoke'!$C$33),{5})),"")</f>
        <v/>
      </c>
      <c r="Q261" s="524" t="str" cm="1">
        <f t="array" aca="1" ref="Q261" ca="1">IF($O261&lt;&gt;"",-TRANSPOSE(INDEX(getcds('CDO Bespoke'!$C286,Q$13,'CDO Bespoke'!$G286/10000,'CDO Bespoke'!G286,'CDO Bespoke'!E286,'CDO Bespoke'!$C$13,'CDO Bespoke'!$C$14,'CDO Bespoke'!$C$15,'CDO Bespoke'!$C$8,,,TRUE,TRUE,FALSE,'CDO Bespoke'!$C$29:'CDO Bespoke'!$C$31,'CDO Bespoke'!$C$33),{5})),"")</f>
        <v/>
      </c>
      <c r="R261" s="524" t="str" cm="1">
        <f t="array" aca="1" ref="R261" ca="1">IF($O261&lt;&gt;"",-TRANSPOSE(INDEX(getcds('CDO Bespoke'!$C286,R$13,'CDO Bespoke'!$G286/10000,'CDO Bespoke'!H286,'CDO Bespoke'!F286,'CDO Bespoke'!$C$13,'CDO Bespoke'!$C$14,'CDO Bespoke'!$C$15,'CDO Bespoke'!$C$8,,,TRUE,TRUE,FALSE,'CDO Bespoke'!$C$29:'CDO Bespoke'!$C$31,'CDO Bespoke'!$C$33),{5})),"")</f>
        <v/>
      </c>
      <c r="S261" s="524" t="str" cm="1">
        <f t="array" aca="1" ref="S261" ca="1">IF($O261&lt;&gt;"",-TRANSPOSE(INDEX(getcds('CDO Bespoke'!$C286,S$13,'CDO Bespoke'!$G286/10000,'CDO Bespoke'!I286,'CDO Bespoke'!G286,'CDO Bespoke'!$C$13,'CDO Bespoke'!$C$14,'CDO Bespoke'!$C$15,'CDO Bespoke'!$C$8,,,TRUE,TRUE,FALSE,'CDO Bespoke'!$C$29:'CDO Bespoke'!$C$31,'CDO Bespoke'!$C$33),{5})),"")</f>
        <v/>
      </c>
      <c r="T261" s="514" t="str" cm="1">
        <f t="array" aca="1" ref="T261" ca="1">IF($O261&lt;&gt;"",-TRANSPOSE(INDEX(getcds('CDO Bespoke'!$C286,T$13,'CDO Bespoke'!$G286/10000,'CDO Bespoke'!J286,'CDO Bespoke'!H286,'CDO Bespoke'!$C$13,'CDO Bespoke'!$C$14,'CDO Bespoke'!$C$15,'CDO Bespoke'!$C$8,,,TRUE,TRUE,FALSE,'CDO Bespoke'!$C$29:'CDO Bespoke'!$C$31,'CDO Bespoke'!$C$33),{5})),"")</f>
        <v/>
      </c>
      <c r="U261" s="493"/>
      <c r="V261" s="513"/>
      <c r="W261" s="572"/>
      <c r="X261" s="572"/>
      <c r="Y261" s="572"/>
      <c r="Z261" s="572"/>
      <c r="AA261" s="572"/>
      <c r="AB261" s="572"/>
      <c r="AC261" s="572"/>
      <c r="AD261" s="572"/>
      <c r="AE261" s="514"/>
    </row>
    <row r="262" spans="6:31" s="281" customFormat="1" ht="12" thickBot="1">
      <c r="F262" s="501" t="str">
        <f ca="1">IF('CDO Bespoke'!O263&lt;&gt;"",'CDO Bespoke'!O263,"")</f>
        <v/>
      </c>
      <c r="G262" s="502" t="str">
        <f ca="1">IF(F262&lt;&gt;"",ABS(MIN(-0.75*('CDO Bespoke'!Q263+'CDO Bespoke'!T263)+'CDO Bespoke'!T263,0)),"")</f>
        <v/>
      </c>
      <c r="H262" s="502" t="str">
        <f t="shared" ca="1" si="12"/>
        <v/>
      </c>
      <c r="I262" s="502" t="str">
        <f t="shared" ca="1" si="15"/>
        <v/>
      </c>
      <c r="J262" s="501" t="str">
        <f ca="1">IF('CDO Bespoke'!O263&lt;&gt;"",'CDO Bespoke'!O263,"")</f>
        <v/>
      </c>
      <c r="K262" s="502" t="str">
        <f ca="1">IF(J262&lt;&gt;"",ABS(MIN(-0.75*('CDO Bespoke'!K263+'CDO Bespoke'!T263)+'CDO Bespoke'!T263,0)),"")</f>
        <v/>
      </c>
      <c r="L262" s="502" t="str">
        <f t="shared" ca="1" si="13"/>
        <v/>
      </c>
      <c r="M262" s="506" t="str">
        <f t="shared" ca="1" si="14"/>
        <v/>
      </c>
      <c r="O262" s="511" t="str">
        <f ca="1">IF('CDO Bespoke'!C287&lt;&gt;"",'CDO Bespoke'!C287,"")</f>
        <v/>
      </c>
      <c r="P262" s="513" t="str" cm="1">
        <f t="array" aca="1" ref="P262" ca="1">IF($O262&lt;&gt;"",-TRANSPOSE(INDEX(getcds('CDO Bespoke'!$C287,P$13,'CDO Bespoke'!$G287/10000,'CDO Bespoke'!F287,'CDO Bespoke'!D287,'CDO Bespoke'!$C$13,'CDO Bespoke'!$C$14,'CDO Bespoke'!$C$15,'CDO Bespoke'!$C$8,,,TRUE,TRUE,FALSE,'CDO Bespoke'!$C$29:'CDO Bespoke'!$C$31,'CDO Bespoke'!$C$33),{5})),"")</f>
        <v/>
      </c>
      <c r="Q262" s="524" t="str" cm="1">
        <f t="array" aca="1" ref="Q262" ca="1">IF($O262&lt;&gt;"",-TRANSPOSE(INDEX(getcds('CDO Bespoke'!$C287,Q$13,'CDO Bespoke'!$G287/10000,'CDO Bespoke'!G287,'CDO Bespoke'!E287,'CDO Bespoke'!$C$13,'CDO Bespoke'!$C$14,'CDO Bespoke'!$C$15,'CDO Bespoke'!$C$8,,,TRUE,TRUE,FALSE,'CDO Bespoke'!$C$29:'CDO Bespoke'!$C$31,'CDO Bespoke'!$C$33),{5})),"")</f>
        <v/>
      </c>
      <c r="R262" s="524" t="str" cm="1">
        <f t="array" aca="1" ref="R262" ca="1">IF($O262&lt;&gt;"",-TRANSPOSE(INDEX(getcds('CDO Bespoke'!$C287,R$13,'CDO Bespoke'!$G287/10000,'CDO Bespoke'!H287,'CDO Bespoke'!F287,'CDO Bespoke'!$C$13,'CDO Bespoke'!$C$14,'CDO Bespoke'!$C$15,'CDO Bespoke'!$C$8,,,TRUE,TRUE,FALSE,'CDO Bespoke'!$C$29:'CDO Bespoke'!$C$31,'CDO Bespoke'!$C$33),{5})),"")</f>
        <v/>
      </c>
      <c r="S262" s="524" t="str" cm="1">
        <f t="array" aca="1" ref="S262" ca="1">IF($O262&lt;&gt;"",-TRANSPOSE(INDEX(getcds('CDO Bespoke'!$C287,S$13,'CDO Bespoke'!$G287/10000,'CDO Bespoke'!I287,'CDO Bespoke'!G287,'CDO Bespoke'!$C$13,'CDO Bespoke'!$C$14,'CDO Bespoke'!$C$15,'CDO Bespoke'!$C$8,,,TRUE,TRUE,FALSE,'CDO Bespoke'!$C$29:'CDO Bespoke'!$C$31,'CDO Bespoke'!$C$33),{5})),"")</f>
        <v/>
      </c>
      <c r="T262" s="514" t="str" cm="1">
        <f t="array" aca="1" ref="T262" ca="1">IF($O262&lt;&gt;"",-TRANSPOSE(INDEX(getcds('CDO Bespoke'!$C287,T$13,'CDO Bespoke'!$G287/10000,'CDO Bespoke'!J287,'CDO Bespoke'!H287,'CDO Bespoke'!$C$13,'CDO Bespoke'!$C$14,'CDO Bespoke'!$C$15,'CDO Bespoke'!$C$8,,,TRUE,TRUE,FALSE,'CDO Bespoke'!$C$29:'CDO Bespoke'!$C$31,'CDO Bespoke'!$C$33),{5})),"")</f>
        <v/>
      </c>
      <c r="U262" s="493"/>
      <c r="V262" s="513"/>
      <c r="W262" s="572"/>
      <c r="X262" s="572"/>
      <c r="Y262" s="572"/>
      <c r="Z262" s="572"/>
      <c r="AA262" s="572"/>
      <c r="AB262" s="572"/>
      <c r="AC262" s="572"/>
      <c r="AD262" s="572"/>
      <c r="AE262" s="514"/>
    </row>
    <row r="263" spans="6:31" s="281" customFormat="1" ht="12" thickBot="1">
      <c r="F263" s="501" t="str">
        <f ca="1">IF('CDO Bespoke'!O264&lt;&gt;"",'CDO Bespoke'!O264,"")</f>
        <v/>
      </c>
      <c r="G263" s="502" t="str">
        <f ca="1">IF(F263&lt;&gt;"",ABS(MIN(-0.75*('CDO Bespoke'!Q264+'CDO Bespoke'!T264)+'CDO Bespoke'!T264,0)),"")</f>
        <v/>
      </c>
      <c r="H263" s="502" t="str">
        <f t="shared" ca="1" si="12"/>
        <v/>
      </c>
      <c r="I263" s="502" t="str">
        <f t="shared" ca="1" si="15"/>
        <v/>
      </c>
      <c r="J263" s="501" t="str">
        <f ca="1">IF('CDO Bespoke'!O264&lt;&gt;"",'CDO Bespoke'!O264,"")</f>
        <v/>
      </c>
      <c r="K263" s="502" t="str">
        <f ca="1">IF(J263&lt;&gt;"",ABS(MIN(-0.75*('CDO Bespoke'!K264+'CDO Bespoke'!T264)+'CDO Bespoke'!T264,0)),"")</f>
        <v/>
      </c>
      <c r="L263" s="502" t="str">
        <f t="shared" ca="1" si="13"/>
        <v/>
      </c>
      <c r="M263" s="506" t="str">
        <f t="shared" ca="1" si="14"/>
        <v/>
      </c>
      <c r="O263" s="511" t="str">
        <f ca="1">IF('CDO Bespoke'!C288&lt;&gt;"",'CDO Bespoke'!C288,"")</f>
        <v/>
      </c>
      <c r="P263" s="513" t="str" cm="1">
        <f t="array" aca="1" ref="P263" ca="1">IF($O263&lt;&gt;"",-TRANSPOSE(INDEX(getcds('CDO Bespoke'!$C288,P$13,'CDO Bespoke'!$G288/10000,'CDO Bespoke'!F288,'CDO Bespoke'!D288,'CDO Bespoke'!$C$13,'CDO Bespoke'!$C$14,'CDO Bespoke'!$C$15,'CDO Bespoke'!$C$8,,,TRUE,TRUE,FALSE,'CDO Bespoke'!$C$29:'CDO Bespoke'!$C$31,'CDO Bespoke'!$C$33),{5})),"")</f>
        <v/>
      </c>
      <c r="Q263" s="524" t="str" cm="1">
        <f t="array" aca="1" ref="Q263" ca="1">IF($O263&lt;&gt;"",-TRANSPOSE(INDEX(getcds('CDO Bespoke'!$C288,Q$13,'CDO Bespoke'!$G288/10000,'CDO Bespoke'!G288,'CDO Bespoke'!E288,'CDO Bespoke'!$C$13,'CDO Bespoke'!$C$14,'CDO Bespoke'!$C$15,'CDO Bespoke'!$C$8,,,TRUE,TRUE,FALSE,'CDO Bespoke'!$C$29:'CDO Bespoke'!$C$31,'CDO Bespoke'!$C$33),{5})),"")</f>
        <v/>
      </c>
      <c r="R263" s="524" t="str" cm="1">
        <f t="array" aca="1" ref="R263" ca="1">IF($O263&lt;&gt;"",-TRANSPOSE(INDEX(getcds('CDO Bespoke'!$C288,R$13,'CDO Bespoke'!$G288/10000,'CDO Bespoke'!H288,'CDO Bespoke'!F288,'CDO Bespoke'!$C$13,'CDO Bespoke'!$C$14,'CDO Bespoke'!$C$15,'CDO Bespoke'!$C$8,,,TRUE,TRUE,FALSE,'CDO Bespoke'!$C$29:'CDO Bespoke'!$C$31,'CDO Bespoke'!$C$33),{5})),"")</f>
        <v/>
      </c>
      <c r="S263" s="524" t="str" cm="1">
        <f t="array" aca="1" ref="S263" ca="1">IF($O263&lt;&gt;"",-TRANSPOSE(INDEX(getcds('CDO Bespoke'!$C288,S$13,'CDO Bespoke'!$G288/10000,'CDO Bespoke'!I288,'CDO Bespoke'!G288,'CDO Bespoke'!$C$13,'CDO Bespoke'!$C$14,'CDO Bespoke'!$C$15,'CDO Bespoke'!$C$8,,,TRUE,TRUE,FALSE,'CDO Bespoke'!$C$29:'CDO Bespoke'!$C$31,'CDO Bespoke'!$C$33),{5})),"")</f>
        <v/>
      </c>
      <c r="T263" s="514" t="str" cm="1">
        <f t="array" aca="1" ref="T263" ca="1">IF($O263&lt;&gt;"",-TRANSPOSE(INDEX(getcds('CDO Bespoke'!$C288,T$13,'CDO Bespoke'!$G288/10000,'CDO Bespoke'!J288,'CDO Bespoke'!H288,'CDO Bespoke'!$C$13,'CDO Bespoke'!$C$14,'CDO Bespoke'!$C$15,'CDO Bespoke'!$C$8,,,TRUE,TRUE,FALSE,'CDO Bespoke'!$C$29:'CDO Bespoke'!$C$31,'CDO Bespoke'!$C$33),{5})),"")</f>
        <v/>
      </c>
      <c r="U263" s="493"/>
      <c r="V263" s="513"/>
      <c r="W263" s="572"/>
      <c r="X263" s="572"/>
      <c r="Y263" s="572"/>
      <c r="Z263" s="572"/>
      <c r="AA263" s="572"/>
      <c r="AB263" s="572"/>
      <c r="AC263" s="572"/>
      <c r="AD263" s="572"/>
      <c r="AE263" s="514"/>
    </row>
    <row r="264" spans="6:31" s="281" customFormat="1" ht="12" thickBot="1">
      <c r="F264" s="501" t="str">
        <f ca="1">IF('CDO Bespoke'!O265&lt;&gt;"",'CDO Bespoke'!O265,"")</f>
        <v/>
      </c>
      <c r="G264" s="502" t="str">
        <f ca="1">IF(F264&lt;&gt;"",ABS(MIN(-0.75*('CDO Bespoke'!Q265+'CDO Bespoke'!T265)+'CDO Bespoke'!T265,0)),"")</f>
        <v/>
      </c>
      <c r="H264" s="502" t="str">
        <f t="shared" ca="1" si="12"/>
        <v/>
      </c>
      <c r="I264" s="502" t="str">
        <f t="shared" ca="1" si="15"/>
        <v/>
      </c>
      <c r="J264" s="501" t="str">
        <f ca="1">IF('CDO Bespoke'!O265&lt;&gt;"",'CDO Bespoke'!O265,"")</f>
        <v/>
      </c>
      <c r="K264" s="502" t="str">
        <f ca="1">IF(J264&lt;&gt;"",ABS(MIN(-0.75*('CDO Bespoke'!K265+'CDO Bespoke'!T265)+'CDO Bespoke'!T265,0)),"")</f>
        <v/>
      </c>
      <c r="L264" s="502" t="str">
        <f t="shared" ca="1" si="13"/>
        <v/>
      </c>
      <c r="M264" s="506" t="str">
        <f t="shared" ca="1" si="14"/>
        <v/>
      </c>
      <c r="O264" s="511" t="str">
        <f ca="1">IF('CDO Bespoke'!C289&lt;&gt;"",'CDO Bespoke'!C289,"")</f>
        <v/>
      </c>
      <c r="P264" s="513" t="str" cm="1">
        <f t="array" aca="1" ref="P264" ca="1">IF($O264&lt;&gt;"",-TRANSPOSE(INDEX(getcds('CDO Bespoke'!$C289,P$13,'CDO Bespoke'!$G289/10000,'CDO Bespoke'!F289,'CDO Bespoke'!D289,'CDO Bespoke'!$C$13,'CDO Bespoke'!$C$14,'CDO Bespoke'!$C$15,'CDO Bespoke'!$C$8,,,TRUE,TRUE,FALSE,'CDO Bespoke'!$C$29:'CDO Bespoke'!$C$31,'CDO Bespoke'!$C$33),{5})),"")</f>
        <v/>
      </c>
      <c r="Q264" s="524" t="str" cm="1">
        <f t="array" aca="1" ref="Q264" ca="1">IF($O264&lt;&gt;"",-TRANSPOSE(INDEX(getcds('CDO Bespoke'!$C289,Q$13,'CDO Bespoke'!$G289/10000,'CDO Bespoke'!G289,'CDO Bespoke'!E289,'CDO Bespoke'!$C$13,'CDO Bespoke'!$C$14,'CDO Bespoke'!$C$15,'CDO Bespoke'!$C$8,,,TRUE,TRUE,FALSE,'CDO Bespoke'!$C$29:'CDO Bespoke'!$C$31,'CDO Bespoke'!$C$33),{5})),"")</f>
        <v/>
      </c>
      <c r="R264" s="524" t="str" cm="1">
        <f t="array" aca="1" ref="R264" ca="1">IF($O264&lt;&gt;"",-TRANSPOSE(INDEX(getcds('CDO Bespoke'!$C289,R$13,'CDO Bespoke'!$G289/10000,'CDO Bespoke'!H289,'CDO Bespoke'!F289,'CDO Bespoke'!$C$13,'CDO Bespoke'!$C$14,'CDO Bespoke'!$C$15,'CDO Bespoke'!$C$8,,,TRUE,TRUE,FALSE,'CDO Bespoke'!$C$29:'CDO Bespoke'!$C$31,'CDO Bespoke'!$C$33),{5})),"")</f>
        <v/>
      </c>
      <c r="S264" s="524" t="str" cm="1">
        <f t="array" aca="1" ref="S264" ca="1">IF($O264&lt;&gt;"",-TRANSPOSE(INDEX(getcds('CDO Bespoke'!$C289,S$13,'CDO Bespoke'!$G289/10000,'CDO Bespoke'!I289,'CDO Bespoke'!G289,'CDO Bespoke'!$C$13,'CDO Bespoke'!$C$14,'CDO Bespoke'!$C$15,'CDO Bespoke'!$C$8,,,TRUE,TRUE,FALSE,'CDO Bespoke'!$C$29:'CDO Bespoke'!$C$31,'CDO Bespoke'!$C$33),{5})),"")</f>
        <v/>
      </c>
      <c r="T264" s="514" t="str" cm="1">
        <f t="array" aca="1" ref="T264" ca="1">IF($O264&lt;&gt;"",-TRANSPOSE(INDEX(getcds('CDO Bespoke'!$C289,T$13,'CDO Bespoke'!$G289/10000,'CDO Bespoke'!J289,'CDO Bespoke'!H289,'CDO Bespoke'!$C$13,'CDO Bespoke'!$C$14,'CDO Bespoke'!$C$15,'CDO Bespoke'!$C$8,,,TRUE,TRUE,FALSE,'CDO Bespoke'!$C$29:'CDO Bespoke'!$C$31,'CDO Bespoke'!$C$33),{5})),"")</f>
        <v/>
      </c>
      <c r="U264" s="493"/>
      <c r="V264" s="513"/>
      <c r="W264" s="572"/>
      <c r="X264" s="572"/>
      <c r="Y264" s="572"/>
      <c r="Z264" s="572"/>
      <c r="AA264" s="572"/>
      <c r="AB264" s="572"/>
      <c r="AC264" s="572"/>
      <c r="AD264" s="572"/>
      <c r="AE264" s="514"/>
    </row>
    <row r="265" spans="6:31" s="281" customFormat="1" ht="12" thickBot="1">
      <c r="F265" s="501" t="str">
        <f ca="1">IF('CDO Bespoke'!O266&lt;&gt;"",'CDO Bespoke'!O266,"")</f>
        <v/>
      </c>
      <c r="G265" s="502" t="str">
        <f ca="1">IF(F265&lt;&gt;"",ABS(MIN(-0.75*('CDO Bespoke'!Q266+'CDO Bespoke'!T266)+'CDO Bespoke'!T266,0)),"")</f>
        <v/>
      </c>
      <c r="H265" s="502" t="str">
        <f t="shared" ca="1" si="12"/>
        <v/>
      </c>
      <c r="I265" s="502" t="str">
        <f t="shared" ca="1" si="15"/>
        <v/>
      </c>
      <c r="J265" s="501" t="str">
        <f ca="1">IF('CDO Bespoke'!O266&lt;&gt;"",'CDO Bespoke'!O266,"")</f>
        <v/>
      </c>
      <c r="K265" s="502" t="str">
        <f ca="1">IF(J265&lt;&gt;"",ABS(MIN(-0.75*('CDO Bespoke'!K266+'CDO Bespoke'!T266)+'CDO Bespoke'!T266,0)),"")</f>
        <v/>
      </c>
      <c r="L265" s="502" t="str">
        <f t="shared" ca="1" si="13"/>
        <v/>
      </c>
      <c r="M265" s="506" t="str">
        <f t="shared" ca="1" si="14"/>
        <v/>
      </c>
      <c r="O265" s="511" t="str">
        <f ca="1">IF('CDO Bespoke'!C290&lt;&gt;"",'CDO Bespoke'!C290,"")</f>
        <v/>
      </c>
      <c r="P265" s="513" t="str" cm="1">
        <f t="array" aca="1" ref="P265" ca="1">IF($O265&lt;&gt;"",-TRANSPOSE(INDEX(getcds('CDO Bespoke'!$C290,P$13,'CDO Bespoke'!$G290/10000,'CDO Bespoke'!F290,'CDO Bespoke'!D290,'CDO Bespoke'!$C$13,'CDO Bespoke'!$C$14,'CDO Bespoke'!$C$15,'CDO Bespoke'!$C$8,,,TRUE,TRUE,FALSE,'CDO Bespoke'!$C$29:'CDO Bespoke'!$C$31,'CDO Bespoke'!$C$33),{5})),"")</f>
        <v/>
      </c>
      <c r="Q265" s="524" t="str" cm="1">
        <f t="array" aca="1" ref="Q265" ca="1">IF($O265&lt;&gt;"",-TRANSPOSE(INDEX(getcds('CDO Bespoke'!$C290,Q$13,'CDO Bespoke'!$G290/10000,'CDO Bespoke'!G290,'CDO Bespoke'!E290,'CDO Bespoke'!$C$13,'CDO Bespoke'!$C$14,'CDO Bespoke'!$C$15,'CDO Bespoke'!$C$8,,,TRUE,TRUE,FALSE,'CDO Bespoke'!$C$29:'CDO Bespoke'!$C$31,'CDO Bespoke'!$C$33),{5})),"")</f>
        <v/>
      </c>
      <c r="R265" s="524" t="str" cm="1">
        <f t="array" aca="1" ref="R265" ca="1">IF($O265&lt;&gt;"",-TRANSPOSE(INDEX(getcds('CDO Bespoke'!$C290,R$13,'CDO Bespoke'!$G290/10000,'CDO Bespoke'!H290,'CDO Bespoke'!F290,'CDO Bespoke'!$C$13,'CDO Bespoke'!$C$14,'CDO Bespoke'!$C$15,'CDO Bespoke'!$C$8,,,TRUE,TRUE,FALSE,'CDO Bespoke'!$C$29:'CDO Bespoke'!$C$31,'CDO Bespoke'!$C$33),{5})),"")</f>
        <v/>
      </c>
      <c r="S265" s="524" t="str" cm="1">
        <f t="array" aca="1" ref="S265" ca="1">IF($O265&lt;&gt;"",-TRANSPOSE(INDEX(getcds('CDO Bespoke'!$C290,S$13,'CDO Bespoke'!$G290/10000,'CDO Bespoke'!I290,'CDO Bespoke'!G290,'CDO Bespoke'!$C$13,'CDO Bespoke'!$C$14,'CDO Bespoke'!$C$15,'CDO Bespoke'!$C$8,,,TRUE,TRUE,FALSE,'CDO Bespoke'!$C$29:'CDO Bespoke'!$C$31,'CDO Bespoke'!$C$33),{5})),"")</f>
        <v/>
      </c>
      <c r="T265" s="514" t="str" cm="1">
        <f t="array" aca="1" ref="T265" ca="1">IF($O265&lt;&gt;"",-TRANSPOSE(INDEX(getcds('CDO Bespoke'!$C290,T$13,'CDO Bespoke'!$G290/10000,'CDO Bespoke'!J290,'CDO Bespoke'!H290,'CDO Bespoke'!$C$13,'CDO Bespoke'!$C$14,'CDO Bespoke'!$C$15,'CDO Bespoke'!$C$8,,,TRUE,TRUE,FALSE,'CDO Bespoke'!$C$29:'CDO Bespoke'!$C$31,'CDO Bespoke'!$C$33),{5})),"")</f>
        <v/>
      </c>
      <c r="U265" s="493"/>
      <c r="V265" s="513"/>
      <c r="W265" s="572"/>
      <c r="X265" s="572"/>
      <c r="Y265" s="572"/>
      <c r="Z265" s="572"/>
      <c r="AA265" s="572"/>
      <c r="AB265" s="572"/>
      <c r="AC265" s="572"/>
      <c r="AD265" s="572"/>
      <c r="AE265" s="514"/>
    </row>
    <row r="266" spans="6:31" s="281" customFormat="1" ht="12" thickBot="1">
      <c r="F266" s="501" t="str">
        <f ca="1">IF('CDO Bespoke'!O267&lt;&gt;"",'CDO Bespoke'!O267,"")</f>
        <v/>
      </c>
      <c r="G266" s="502" t="str">
        <f ca="1">IF(F266&lt;&gt;"",ABS(MIN(-0.75*('CDO Bespoke'!Q267+'CDO Bespoke'!T267)+'CDO Bespoke'!T267,0)),"")</f>
        <v/>
      </c>
      <c r="H266" s="502" t="str">
        <f t="shared" ca="1" si="12"/>
        <v/>
      </c>
      <c r="I266" s="502" t="str">
        <f t="shared" ca="1" si="15"/>
        <v/>
      </c>
      <c r="J266" s="501" t="str">
        <f ca="1">IF('CDO Bespoke'!O267&lt;&gt;"",'CDO Bespoke'!O267,"")</f>
        <v/>
      </c>
      <c r="K266" s="502" t="str">
        <f ca="1">IF(J266&lt;&gt;"",ABS(MIN(-0.75*('CDO Bespoke'!K267+'CDO Bespoke'!T267)+'CDO Bespoke'!T267,0)),"")</f>
        <v/>
      </c>
      <c r="L266" s="502" t="str">
        <f t="shared" ca="1" si="13"/>
        <v/>
      </c>
      <c r="M266" s="506" t="str">
        <f t="shared" ca="1" si="14"/>
        <v/>
      </c>
      <c r="O266" s="511" t="str">
        <f ca="1">IF('CDO Bespoke'!C291&lt;&gt;"",'CDO Bespoke'!C291,"")</f>
        <v/>
      </c>
      <c r="P266" s="513" t="str" cm="1">
        <f t="array" aca="1" ref="P266" ca="1">IF($O266&lt;&gt;"",-TRANSPOSE(INDEX(getcds('CDO Bespoke'!$C291,P$13,'CDO Bespoke'!$G291/10000,'CDO Bespoke'!F291,'CDO Bespoke'!D291,'CDO Bespoke'!$C$13,'CDO Bespoke'!$C$14,'CDO Bespoke'!$C$15,'CDO Bespoke'!$C$8,,,TRUE,TRUE,FALSE,'CDO Bespoke'!$C$29:'CDO Bespoke'!$C$31,'CDO Bespoke'!$C$33),{5})),"")</f>
        <v/>
      </c>
      <c r="Q266" s="524" t="str" cm="1">
        <f t="array" aca="1" ref="Q266" ca="1">IF($O266&lt;&gt;"",-TRANSPOSE(INDEX(getcds('CDO Bespoke'!$C291,Q$13,'CDO Bespoke'!$G291/10000,'CDO Bespoke'!G291,'CDO Bespoke'!E291,'CDO Bespoke'!$C$13,'CDO Bespoke'!$C$14,'CDO Bespoke'!$C$15,'CDO Bespoke'!$C$8,,,TRUE,TRUE,FALSE,'CDO Bespoke'!$C$29:'CDO Bespoke'!$C$31,'CDO Bespoke'!$C$33),{5})),"")</f>
        <v/>
      </c>
      <c r="R266" s="524" t="str" cm="1">
        <f t="array" aca="1" ref="R266" ca="1">IF($O266&lt;&gt;"",-TRANSPOSE(INDEX(getcds('CDO Bespoke'!$C291,R$13,'CDO Bespoke'!$G291/10000,'CDO Bespoke'!H291,'CDO Bespoke'!F291,'CDO Bespoke'!$C$13,'CDO Bespoke'!$C$14,'CDO Bespoke'!$C$15,'CDO Bespoke'!$C$8,,,TRUE,TRUE,FALSE,'CDO Bespoke'!$C$29:'CDO Bespoke'!$C$31,'CDO Bespoke'!$C$33),{5})),"")</f>
        <v/>
      </c>
      <c r="S266" s="524" t="str" cm="1">
        <f t="array" aca="1" ref="S266" ca="1">IF($O266&lt;&gt;"",-TRANSPOSE(INDEX(getcds('CDO Bespoke'!$C291,S$13,'CDO Bespoke'!$G291/10000,'CDO Bespoke'!I291,'CDO Bespoke'!G291,'CDO Bespoke'!$C$13,'CDO Bespoke'!$C$14,'CDO Bespoke'!$C$15,'CDO Bespoke'!$C$8,,,TRUE,TRUE,FALSE,'CDO Bespoke'!$C$29:'CDO Bespoke'!$C$31,'CDO Bespoke'!$C$33),{5})),"")</f>
        <v/>
      </c>
      <c r="T266" s="514" t="str" cm="1">
        <f t="array" aca="1" ref="T266" ca="1">IF($O266&lt;&gt;"",-TRANSPOSE(INDEX(getcds('CDO Bespoke'!$C291,T$13,'CDO Bespoke'!$G291/10000,'CDO Bespoke'!J291,'CDO Bespoke'!H291,'CDO Bespoke'!$C$13,'CDO Bespoke'!$C$14,'CDO Bespoke'!$C$15,'CDO Bespoke'!$C$8,,,TRUE,TRUE,FALSE,'CDO Bespoke'!$C$29:'CDO Bespoke'!$C$31,'CDO Bespoke'!$C$33),{5})),"")</f>
        <v/>
      </c>
      <c r="U266" s="493"/>
      <c r="V266" s="513"/>
      <c r="W266" s="572"/>
      <c r="X266" s="572"/>
      <c r="Y266" s="572"/>
      <c r="Z266" s="572"/>
      <c r="AA266" s="572"/>
      <c r="AB266" s="572"/>
      <c r="AC266" s="572"/>
      <c r="AD266" s="572"/>
      <c r="AE266" s="514"/>
    </row>
    <row r="267" spans="6:31" s="281" customFormat="1" ht="12" thickBot="1">
      <c r="F267" s="501" t="str">
        <f ca="1">IF('CDO Bespoke'!O268&lt;&gt;"",'CDO Bespoke'!O268,"")</f>
        <v/>
      </c>
      <c r="G267" s="502" t="str">
        <f ca="1">IF(F267&lt;&gt;"",ABS(MIN(-0.75*('CDO Bespoke'!Q268+'CDO Bespoke'!T268)+'CDO Bespoke'!T268,0)),"")</f>
        <v/>
      </c>
      <c r="H267" s="502" t="str">
        <f t="shared" ca="1" si="12"/>
        <v/>
      </c>
      <c r="I267" s="502" t="str">
        <f t="shared" ca="1" si="15"/>
        <v/>
      </c>
      <c r="J267" s="501" t="str">
        <f ca="1">IF('CDO Bespoke'!O268&lt;&gt;"",'CDO Bespoke'!O268,"")</f>
        <v/>
      </c>
      <c r="K267" s="502" t="str">
        <f ca="1">IF(J267&lt;&gt;"",ABS(MIN(-0.75*('CDO Bespoke'!K268+'CDO Bespoke'!T268)+'CDO Bespoke'!T268,0)),"")</f>
        <v/>
      </c>
      <c r="L267" s="502" t="str">
        <f t="shared" ca="1" si="13"/>
        <v/>
      </c>
      <c r="M267" s="506" t="str">
        <f t="shared" ca="1" si="14"/>
        <v/>
      </c>
      <c r="O267" s="511" t="str">
        <f ca="1">IF('CDO Bespoke'!C292&lt;&gt;"",'CDO Bespoke'!C292,"")</f>
        <v/>
      </c>
      <c r="P267" s="513" t="str" cm="1">
        <f t="array" aca="1" ref="P267" ca="1">IF($O267&lt;&gt;"",-TRANSPOSE(INDEX(getcds('CDO Bespoke'!$C292,P$13,'CDO Bespoke'!$G292/10000,'CDO Bespoke'!F292,'CDO Bespoke'!D292,'CDO Bespoke'!$C$13,'CDO Bespoke'!$C$14,'CDO Bespoke'!$C$15,'CDO Bespoke'!$C$8,,,TRUE,TRUE,FALSE,'CDO Bespoke'!$C$29:'CDO Bespoke'!$C$31,'CDO Bespoke'!$C$33),{5})),"")</f>
        <v/>
      </c>
      <c r="Q267" s="524" t="str" cm="1">
        <f t="array" aca="1" ref="Q267" ca="1">IF($O267&lt;&gt;"",-TRANSPOSE(INDEX(getcds('CDO Bespoke'!$C292,Q$13,'CDO Bespoke'!$G292/10000,'CDO Bespoke'!G292,'CDO Bespoke'!E292,'CDO Bespoke'!$C$13,'CDO Bespoke'!$C$14,'CDO Bespoke'!$C$15,'CDO Bespoke'!$C$8,,,TRUE,TRUE,FALSE,'CDO Bespoke'!$C$29:'CDO Bespoke'!$C$31,'CDO Bespoke'!$C$33),{5})),"")</f>
        <v/>
      </c>
      <c r="R267" s="524" t="str" cm="1">
        <f t="array" aca="1" ref="R267" ca="1">IF($O267&lt;&gt;"",-TRANSPOSE(INDEX(getcds('CDO Bespoke'!$C292,R$13,'CDO Bespoke'!$G292/10000,'CDO Bespoke'!H292,'CDO Bespoke'!F292,'CDO Bespoke'!$C$13,'CDO Bespoke'!$C$14,'CDO Bespoke'!$C$15,'CDO Bespoke'!$C$8,,,TRUE,TRUE,FALSE,'CDO Bespoke'!$C$29:'CDO Bespoke'!$C$31,'CDO Bespoke'!$C$33),{5})),"")</f>
        <v/>
      </c>
      <c r="S267" s="524" t="str" cm="1">
        <f t="array" aca="1" ref="S267" ca="1">IF($O267&lt;&gt;"",-TRANSPOSE(INDEX(getcds('CDO Bespoke'!$C292,S$13,'CDO Bespoke'!$G292/10000,'CDO Bespoke'!I292,'CDO Bespoke'!G292,'CDO Bespoke'!$C$13,'CDO Bespoke'!$C$14,'CDO Bespoke'!$C$15,'CDO Bespoke'!$C$8,,,TRUE,TRUE,FALSE,'CDO Bespoke'!$C$29:'CDO Bespoke'!$C$31,'CDO Bespoke'!$C$33),{5})),"")</f>
        <v/>
      </c>
      <c r="T267" s="514" t="str" cm="1">
        <f t="array" aca="1" ref="T267" ca="1">IF($O267&lt;&gt;"",-TRANSPOSE(INDEX(getcds('CDO Bespoke'!$C292,T$13,'CDO Bespoke'!$G292/10000,'CDO Bespoke'!J292,'CDO Bespoke'!H292,'CDO Bespoke'!$C$13,'CDO Bespoke'!$C$14,'CDO Bespoke'!$C$15,'CDO Bespoke'!$C$8,,,TRUE,TRUE,FALSE,'CDO Bespoke'!$C$29:'CDO Bespoke'!$C$31,'CDO Bespoke'!$C$33),{5})),"")</f>
        <v/>
      </c>
      <c r="U267" s="493"/>
      <c r="V267" s="513"/>
      <c r="W267" s="572"/>
      <c r="X267" s="572"/>
      <c r="Y267" s="572"/>
      <c r="Z267" s="572"/>
      <c r="AA267" s="572"/>
      <c r="AB267" s="572"/>
      <c r="AC267" s="572"/>
      <c r="AD267" s="572"/>
      <c r="AE267" s="514"/>
    </row>
    <row r="268" spans="6:31" s="281" customFormat="1" ht="12" thickBot="1">
      <c r="F268" s="501" t="str">
        <f ca="1">IF('CDO Bespoke'!O269&lt;&gt;"",'CDO Bespoke'!O269,"")</f>
        <v/>
      </c>
      <c r="G268" s="502" t="str">
        <f ca="1">IF(F268&lt;&gt;"",ABS(MIN(-0.75*('CDO Bespoke'!Q269+'CDO Bespoke'!T269)+'CDO Bespoke'!T269,0)),"")</f>
        <v/>
      </c>
      <c r="H268" s="502" t="str">
        <f t="shared" ca="1" si="12"/>
        <v/>
      </c>
      <c r="I268" s="502" t="str">
        <f t="shared" ca="1" si="15"/>
        <v/>
      </c>
      <c r="J268" s="501" t="str">
        <f ca="1">IF('CDO Bespoke'!O269&lt;&gt;"",'CDO Bespoke'!O269,"")</f>
        <v/>
      </c>
      <c r="K268" s="502" t="str">
        <f ca="1">IF(J268&lt;&gt;"",ABS(MIN(-0.75*('CDO Bespoke'!K269+'CDO Bespoke'!T269)+'CDO Bespoke'!T269,0)),"")</f>
        <v/>
      </c>
      <c r="L268" s="502" t="str">
        <f t="shared" ca="1" si="13"/>
        <v/>
      </c>
      <c r="M268" s="506" t="str">
        <f t="shared" ca="1" si="14"/>
        <v/>
      </c>
      <c r="O268" s="511" t="str">
        <f ca="1">IF('CDO Bespoke'!C293&lt;&gt;"",'CDO Bespoke'!C293,"")</f>
        <v/>
      </c>
      <c r="P268" s="513" t="str" cm="1">
        <f t="array" aca="1" ref="P268" ca="1">IF($O268&lt;&gt;"",-TRANSPOSE(INDEX(getcds('CDO Bespoke'!$C293,P$13,'CDO Bespoke'!$G293/10000,'CDO Bespoke'!F293,'CDO Bespoke'!D293,'CDO Bespoke'!$C$13,'CDO Bespoke'!$C$14,'CDO Bespoke'!$C$15,'CDO Bespoke'!$C$8,,,TRUE,TRUE,FALSE,'CDO Bespoke'!$C$29:'CDO Bespoke'!$C$31,'CDO Bespoke'!$C$33),{5})),"")</f>
        <v/>
      </c>
      <c r="Q268" s="524" t="str" cm="1">
        <f t="array" aca="1" ref="Q268" ca="1">IF($O268&lt;&gt;"",-TRANSPOSE(INDEX(getcds('CDO Bespoke'!$C293,Q$13,'CDO Bespoke'!$G293/10000,'CDO Bespoke'!G293,'CDO Bespoke'!E293,'CDO Bespoke'!$C$13,'CDO Bespoke'!$C$14,'CDO Bespoke'!$C$15,'CDO Bespoke'!$C$8,,,TRUE,TRUE,FALSE,'CDO Bespoke'!$C$29:'CDO Bespoke'!$C$31,'CDO Bespoke'!$C$33),{5})),"")</f>
        <v/>
      </c>
      <c r="R268" s="524" t="str" cm="1">
        <f t="array" aca="1" ref="R268" ca="1">IF($O268&lt;&gt;"",-TRANSPOSE(INDEX(getcds('CDO Bespoke'!$C293,R$13,'CDO Bespoke'!$G293/10000,'CDO Bespoke'!H293,'CDO Bespoke'!F293,'CDO Bespoke'!$C$13,'CDO Bespoke'!$C$14,'CDO Bespoke'!$C$15,'CDO Bespoke'!$C$8,,,TRUE,TRUE,FALSE,'CDO Bespoke'!$C$29:'CDO Bespoke'!$C$31,'CDO Bespoke'!$C$33),{5})),"")</f>
        <v/>
      </c>
      <c r="S268" s="524" t="str" cm="1">
        <f t="array" aca="1" ref="S268" ca="1">IF($O268&lt;&gt;"",-TRANSPOSE(INDEX(getcds('CDO Bespoke'!$C293,S$13,'CDO Bespoke'!$G293/10000,'CDO Bespoke'!I293,'CDO Bespoke'!G293,'CDO Bespoke'!$C$13,'CDO Bespoke'!$C$14,'CDO Bespoke'!$C$15,'CDO Bespoke'!$C$8,,,TRUE,TRUE,FALSE,'CDO Bespoke'!$C$29:'CDO Bespoke'!$C$31,'CDO Bespoke'!$C$33),{5})),"")</f>
        <v/>
      </c>
      <c r="T268" s="514" t="str" cm="1">
        <f t="array" aca="1" ref="T268" ca="1">IF($O268&lt;&gt;"",-TRANSPOSE(INDEX(getcds('CDO Bespoke'!$C293,T$13,'CDO Bespoke'!$G293/10000,'CDO Bespoke'!J293,'CDO Bespoke'!H293,'CDO Bespoke'!$C$13,'CDO Bespoke'!$C$14,'CDO Bespoke'!$C$15,'CDO Bespoke'!$C$8,,,TRUE,TRUE,FALSE,'CDO Bespoke'!$C$29:'CDO Bespoke'!$C$31,'CDO Bespoke'!$C$33),{5})),"")</f>
        <v/>
      </c>
      <c r="U268" s="493"/>
      <c r="V268" s="513"/>
      <c r="W268" s="572"/>
      <c r="X268" s="572"/>
      <c r="Y268" s="572"/>
      <c r="Z268" s="572"/>
      <c r="AA268" s="572"/>
      <c r="AB268" s="572"/>
      <c r="AC268" s="572"/>
      <c r="AD268" s="572"/>
      <c r="AE268" s="514"/>
    </row>
    <row r="269" spans="6:31" s="281" customFormat="1" ht="12" thickBot="1">
      <c r="F269" s="501" t="str">
        <f ca="1">IF('CDO Bespoke'!O270&lt;&gt;"",'CDO Bespoke'!O270,"")</f>
        <v/>
      </c>
      <c r="G269" s="502" t="str">
        <f ca="1">IF(F269&lt;&gt;"",ABS(MIN(-0.75*('CDO Bespoke'!Q270+'CDO Bespoke'!T270)+'CDO Bespoke'!T270,0)),"")</f>
        <v/>
      </c>
      <c r="H269" s="502" t="str">
        <f t="shared" ca="1" si="12"/>
        <v/>
      </c>
      <c r="I269" s="502" t="str">
        <f t="shared" ca="1" si="15"/>
        <v/>
      </c>
      <c r="J269" s="501" t="str">
        <f ca="1">IF('CDO Bespoke'!O270&lt;&gt;"",'CDO Bespoke'!O270,"")</f>
        <v/>
      </c>
      <c r="K269" s="502" t="str">
        <f ca="1">IF(J269&lt;&gt;"",ABS(MIN(-0.75*('CDO Bespoke'!K270+'CDO Bespoke'!T270)+'CDO Bespoke'!T270,0)),"")</f>
        <v/>
      </c>
      <c r="L269" s="502" t="str">
        <f t="shared" ca="1" si="13"/>
        <v/>
      </c>
      <c r="M269" s="506" t="str">
        <f t="shared" ca="1" si="14"/>
        <v/>
      </c>
      <c r="O269" s="511" t="str">
        <f ca="1">IF('CDO Bespoke'!C294&lt;&gt;"",'CDO Bespoke'!C294,"")</f>
        <v/>
      </c>
      <c r="P269" s="513" t="str" cm="1">
        <f t="array" aca="1" ref="P269" ca="1">IF($O269&lt;&gt;"",-TRANSPOSE(INDEX(getcds('CDO Bespoke'!$C294,P$13,'CDO Bespoke'!$G294/10000,'CDO Bespoke'!F294,'CDO Bespoke'!D294,'CDO Bespoke'!$C$13,'CDO Bespoke'!$C$14,'CDO Bespoke'!$C$15,'CDO Bespoke'!$C$8,,,TRUE,TRUE,FALSE,'CDO Bespoke'!$C$29:'CDO Bespoke'!$C$31,'CDO Bespoke'!$C$33),{5})),"")</f>
        <v/>
      </c>
      <c r="Q269" s="524" t="str" cm="1">
        <f t="array" aca="1" ref="Q269" ca="1">IF($O269&lt;&gt;"",-TRANSPOSE(INDEX(getcds('CDO Bespoke'!$C294,Q$13,'CDO Bespoke'!$G294/10000,'CDO Bespoke'!G294,'CDO Bespoke'!E294,'CDO Bespoke'!$C$13,'CDO Bespoke'!$C$14,'CDO Bespoke'!$C$15,'CDO Bespoke'!$C$8,,,TRUE,TRUE,FALSE,'CDO Bespoke'!$C$29:'CDO Bespoke'!$C$31,'CDO Bespoke'!$C$33),{5})),"")</f>
        <v/>
      </c>
      <c r="R269" s="524" t="str" cm="1">
        <f t="array" aca="1" ref="R269" ca="1">IF($O269&lt;&gt;"",-TRANSPOSE(INDEX(getcds('CDO Bespoke'!$C294,R$13,'CDO Bespoke'!$G294/10000,'CDO Bespoke'!H294,'CDO Bespoke'!F294,'CDO Bespoke'!$C$13,'CDO Bespoke'!$C$14,'CDO Bespoke'!$C$15,'CDO Bespoke'!$C$8,,,TRUE,TRUE,FALSE,'CDO Bespoke'!$C$29:'CDO Bespoke'!$C$31,'CDO Bespoke'!$C$33),{5})),"")</f>
        <v/>
      </c>
      <c r="S269" s="524" t="str" cm="1">
        <f t="array" aca="1" ref="S269" ca="1">IF($O269&lt;&gt;"",-TRANSPOSE(INDEX(getcds('CDO Bespoke'!$C294,S$13,'CDO Bespoke'!$G294/10000,'CDO Bespoke'!I294,'CDO Bespoke'!G294,'CDO Bespoke'!$C$13,'CDO Bespoke'!$C$14,'CDO Bespoke'!$C$15,'CDO Bespoke'!$C$8,,,TRUE,TRUE,FALSE,'CDO Bespoke'!$C$29:'CDO Bespoke'!$C$31,'CDO Bespoke'!$C$33),{5})),"")</f>
        <v/>
      </c>
      <c r="T269" s="514" t="str" cm="1">
        <f t="array" aca="1" ref="T269" ca="1">IF($O269&lt;&gt;"",-TRANSPOSE(INDEX(getcds('CDO Bespoke'!$C294,T$13,'CDO Bespoke'!$G294/10000,'CDO Bespoke'!J294,'CDO Bespoke'!H294,'CDO Bespoke'!$C$13,'CDO Bespoke'!$C$14,'CDO Bespoke'!$C$15,'CDO Bespoke'!$C$8,,,TRUE,TRUE,FALSE,'CDO Bespoke'!$C$29:'CDO Bespoke'!$C$31,'CDO Bespoke'!$C$33),{5})),"")</f>
        <v/>
      </c>
      <c r="U269" s="493"/>
      <c r="V269" s="513"/>
      <c r="W269" s="572"/>
      <c r="X269" s="572"/>
      <c r="Y269" s="572"/>
      <c r="Z269" s="572"/>
      <c r="AA269" s="572"/>
      <c r="AB269" s="572"/>
      <c r="AC269" s="572"/>
      <c r="AD269" s="572"/>
      <c r="AE269" s="514"/>
    </row>
    <row r="270" spans="6:31" s="281" customFormat="1" ht="12" thickBot="1">
      <c r="F270" s="501" t="str">
        <f ca="1">IF('CDO Bespoke'!O271&lt;&gt;"",'CDO Bespoke'!O271,"")</f>
        <v/>
      </c>
      <c r="G270" s="502" t="str">
        <f ca="1">IF(F270&lt;&gt;"",ABS(MIN(-0.75*('CDO Bespoke'!Q271+'CDO Bespoke'!T271)+'CDO Bespoke'!T271,0)),"")</f>
        <v/>
      </c>
      <c r="H270" s="502" t="str">
        <f t="shared" ca="1" si="12"/>
        <v/>
      </c>
      <c r="I270" s="502" t="str">
        <f t="shared" ca="1" si="15"/>
        <v/>
      </c>
      <c r="J270" s="501" t="str">
        <f ca="1">IF('CDO Bespoke'!O271&lt;&gt;"",'CDO Bespoke'!O271,"")</f>
        <v/>
      </c>
      <c r="K270" s="502" t="str">
        <f ca="1">IF(J270&lt;&gt;"",ABS(MIN(-0.75*('CDO Bespoke'!K271+'CDO Bespoke'!T271)+'CDO Bespoke'!T271,0)),"")</f>
        <v/>
      </c>
      <c r="L270" s="502" t="str">
        <f t="shared" ca="1" si="13"/>
        <v/>
      </c>
      <c r="M270" s="506" t="str">
        <f t="shared" ca="1" si="14"/>
        <v/>
      </c>
      <c r="O270" s="511" t="str">
        <f ca="1">IF('CDO Bespoke'!C295&lt;&gt;"",'CDO Bespoke'!C295,"")</f>
        <v/>
      </c>
      <c r="P270" s="513" t="str" cm="1">
        <f t="array" aca="1" ref="P270" ca="1">IF($O270&lt;&gt;"",-TRANSPOSE(INDEX(getcds('CDO Bespoke'!$C295,P$13,'CDO Bespoke'!$G295/10000,'CDO Bespoke'!F295,'CDO Bespoke'!D295,'CDO Bespoke'!$C$13,'CDO Bespoke'!$C$14,'CDO Bespoke'!$C$15,'CDO Bespoke'!$C$8,,,TRUE,TRUE,FALSE,'CDO Bespoke'!$C$29:'CDO Bespoke'!$C$31,'CDO Bespoke'!$C$33),{5})),"")</f>
        <v/>
      </c>
      <c r="Q270" s="524" t="str" cm="1">
        <f t="array" aca="1" ref="Q270" ca="1">IF($O270&lt;&gt;"",-TRANSPOSE(INDEX(getcds('CDO Bespoke'!$C295,Q$13,'CDO Bespoke'!$G295/10000,'CDO Bespoke'!G295,'CDO Bespoke'!E295,'CDO Bespoke'!$C$13,'CDO Bespoke'!$C$14,'CDO Bespoke'!$C$15,'CDO Bespoke'!$C$8,,,TRUE,TRUE,FALSE,'CDO Bespoke'!$C$29:'CDO Bespoke'!$C$31,'CDO Bespoke'!$C$33),{5})),"")</f>
        <v/>
      </c>
      <c r="R270" s="524" t="str" cm="1">
        <f t="array" aca="1" ref="R270" ca="1">IF($O270&lt;&gt;"",-TRANSPOSE(INDEX(getcds('CDO Bespoke'!$C295,R$13,'CDO Bespoke'!$G295/10000,'CDO Bespoke'!H295,'CDO Bespoke'!F295,'CDO Bespoke'!$C$13,'CDO Bespoke'!$C$14,'CDO Bespoke'!$C$15,'CDO Bespoke'!$C$8,,,TRUE,TRUE,FALSE,'CDO Bespoke'!$C$29:'CDO Bespoke'!$C$31,'CDO Bespoke'!$C$33),{5})),"")</f>
        <v/>
      </c>
      <c r="S270" s="524" t="str" cm="1">
        <f t="array" aca="1" ref="S270" ca="1">IF($O270&lt;&gt;"",-TRANSPOSE(INDEX(getcds('CDO Bespoke'!$C295,S$13,'CDO Bespoke'!$G295/10000,'CDO Bespoke'!I295,'CDO Bespoke'!G295,'CDO Bespoke'!$C$13,'CDO Bespoke'!$C$14,'CDO Bespoke'!$C$15,'CDO Bespoke'!$C$8,,,TRUE,TRUE,FALSE,'CDO Bespoke'!$C$29:'CDO Bespoke'!$C$31,'CDO Bespoke'!$C$33),{5})),"")</f>
        <v/>
      </c>
      <c r="T270" s="514" t="str" cm="1">
        <f t="array" aca="1" ref="T270" ca="1">IF($O270&lt;&gt;"",-TRANSPOSE(INDEX(getcds('CDO Bespoke'!$C295,T$13,'CDO Bespoke'!$G295/10000,'CDO Bespoke'!J295,'CDO Bespoke'!H295,'CDO Bespoke'!$C$13,'CDO Bespoke'!$C$14,'CDO Bespoke'!$C$15,'CDO Bespoke'!$C$8,,,TRUE,TRUE,FALSE,'CDO Bespoke'!$C$29:'CDO Bespoke'!$C$31,'CDO Bespoke'!$C$33),{5})),"")</f>
        <v/>
      </c>
      <c r="U270" s="493"/>
      <c r="V270" s="513"/>
      <c r="W270" s="572"/>
      <c r="X270" s="572"/>
      <c r="Y270" s="572"/>
      <c r="Z270" s="572"/>
      <c r="AA270" s="572"/>
      <c r="AB270" s="572"/>
      <c r="AC270" s="572"/>
      <c r="AD270" s="572"/>
      <c r="AE270" s="514"/>
    </row>
    <row r="271" spans="6:31" s="281" customFormat="1" ht="12" thickBot="1">
      <c r="F271" s="501" t="str">
        <f ca="1">IF('CDO Bespoke'!O272&lt;&gt;"",'CDO Bespoke'!O272,"")</f>
        <v/>
      </c>
      <c r="G271" s="502" t="str">
        <f ca="1">IF(F271&lt;&gt;"",ABS(MIN(-0.75*('CDO Bespoke'!Q272+'CDO Bespoke'!T272)+'CDO Bespoke'!T272,0)),"")</f>
        <v/>
      </c>
      <c r="H271" s="502" t="str">
        <f t="shared" ref="H271:H313" ca="1" si="16">IF(F271&lt;&gt;"",IF($G$8,MAX(F271-G271,0),F271),"")</f>
        <v/>
      </c>
      <c r="I271" s="502" t="str">
        <f t="shared" ca="1" si="15"/>
        <v/>
      </c>
      <c r="J271" s="501" t="str">
        <f ca="1">IF('CDO Bespoke'!O272&lt;&gt;"",'CDO Bespoke'!O272,"")</f>
        <v/>
      </c>
      <c r="K271" s="502" t="str">
        <f ca="1">IF(J271&lt;&gt;"",ABS(MIN(-0.75*('CDO Bespoke'!K272+'CDO Bespoke'!T272)+'CDO Bespoke'!T272,0)),"")</f>
        <v/>
      </c>
      <c r="L271" s="502" t="str">
        <f t="shared" ref="L271:L313" ca="1" si="17">IF(J271&lt;&gt;"",IF($G$8,MAX(J271-K271,0),J271),"")</f>
        <v/>
      </c>
      <c r="M271" s="506" t="str">
        <f t="shared" ref="M271:M313" ca="1" si="18">IF(J271&lt;&gt;"",IF($G$8,0,K271),"")</f>
        <v/>
      </c>
      <c r="O271" s="511" t="str">
        <f ca="1">IF('CDO Bespoke'!C296&lt;&gt;"",'CDO Bespoke'!C296,"")</f>
        <v/>
      </c>
      <c r="P271" s="513" t="str" cm="1">
        <f t="array" aca="1" ref="P271" ca="1">IF($O271&lt;&gt;"",-TRANSPOSE(INDEX(getcds('CDO Bespoke'!$C296,P$13,'CDO Bespoke'!$G296/10000,'CDO Bespoke'!F296,'CDO Bespoke'!D296,'CDO Bespoke'!$C$13,'CDO Bespoke'!$C$14,'CDO Bespoke'!$C$15,'CDO Bespoke'!$C$8,,,TRUE,TRUE,FALSE,'CDO Bespoke'!$C$29:'CDO Bespoke'!$C$31,'CDO Bespoke'!$C$33),{5})),"")</f>
        <v/>
      </c>
      <c r="Q271" s="524" t="str" cm="1">
        <f t="array" aca="1" ref="Q271" ca="1">IF($O271&lt;&gt;"",-TRANSPOSE(INDEX(getcds('CDO Bespoke'!$C296,Q$13,'CDO Bespoke'!$G296/10000,'CDO Bespoke'!G296,'CDO Bespoke'!E296,'CDO Bespoke'!$C$13,'CDO Bespoke'!$C$14,'CDO Bespoke'!$C$15,'CDO Bespoke'!$C$8,,,TRUE,TRUE,FALSE,'CDO Bespoke'!$C$29:'CDO Bespoke'!$C$31,'CDO Bespoke'!$C$33),{5})),"")</f>
        <v/>
      </c>
      <c r="R271" s="524" t="str" cm="1">
        <f t="array" aca="1" ref="R271" ca="1">IF($O271&lt;&gt;"",-TRANSPOSE(INDEX(getcds('CDO Bespoke'!$C296,R$13,'CDO Bespoke'!$G296/10000,'CDO Bespoke'!H296,'CDO Bespoke'!F296,'CDO Bespoke'!$C$13,'CDO Bespoke'!$C$14,'CDO Bespoke'!$C$15,'CDO Bespoke'!$C$8,,,TRUE,TRUE,FALSE,'CDO Bespoke'!$C$29:'CDO Bespoke'!$C$31,'CDO Bespoke'!$C$33),{5})),"")</f>
        <v/>
      </c>
      <c r="S271" s="524" t="str" cm="1">
        <f t="array" aca="1" ref="S271" ca="1">IF($O271&lt;&gt;"",-TRANSPOSE(INDEX(getcds('CDO Bespoke'!$C296,S$13,'CDO Bespoke'!$G296/10000,'CDO Bespoke'!I296,'CDO Bespoke'!G296,'CDO Bespoke'!$C$13,'CDO Bespoke'!$C$14,'CDO Bespoke'!$C$15,'CDO Bespoke'!$C$8,,,TRUE,TRUE,FALSE,'CDO Bespoke'!$C$29:'CDO Bespoke'!$C$31,'CDO Bespoke'!$C$33),{5})),"")</f>
        <v/>
      </c>
      <c r="T271" s="514" t="str" cm="1">
        <f t="array" aca="1" ref="T271" ca="1">IF($O271&lt;&gt;"",-TRANSPOSE(INDEX(getcds('CDO Bespoke'!$C296,T$13,'CDO Bespoke'!$G296/10000,'CDO Bespoke'!J296,'CDO Bespoke'!H296,'CDO Bespoke'!$C$13,'CDO Bespoke'!$C$14,'CDO Bespoke'!$C$15,'CDO Bespoke'!$C$8,,,TRUE,TRUE,FALSE,'CDO Bespoke'!$C$29:'CDO Bespoke'!$C$31,'CDO Bespoke'!$C$33),{5})),"")</f>
        <v/>
      </c>
      <c r="U271" s="493"/>
      <c r="V271" s="513"/>
      <c r="W271" s="572"/>
      <c r="X271" s="572"/>
      <c r="Y271" s="572"/>
      <c r="Z271" s="572"/>
      <c r="AA271" s="572"/>
      <c r="AB271" s="572"/>
      <c r="AC271" s="572"/>
      <c r="AD271" s="572"/>
      <c r="AE271" s="514"/>
    </row>
    <row r="272" spans="6:31" s="281" customFormat="1" ht="12" thickBot="1">
      <c r="F272" s="501" t="str">
        <f ca="1">IF('CDO Bespoke'!O273&lt;&gt;"",'CDO Bespoke'!O273,"")</f>
        <v/>
      </c>
      <c r="G272" s="502" t="str">
        <f ca="1">IF(F272&lt;&gt;"",ABS(MIN(-0.75*('CDO Bespoke'!Q273+'CDO Bespoke'!T273)+'CDO Bespoke'!T273,0)),"")</f>
        <v/>
      </c>
      <c r="H272" s="502" t="str">
        <f t="shared" ca="1" si="16"/>
        <v/>
      </c>
      <c r="I272" s="502" t="str">
        <f t="shared" ref="I272:I313" ca="1" si="19">IF(F272&lt;&gt;"",IF($G$8,0,G272),"")</f>
        <v/>
      </c>
      <c r="J272" s="501" t="str">
        <f ca="1">IF('CDO Bespoke'!O273&lt;&gt;"",'CDO Bespoke'!O273,"")</f>
        <v/>
      </c>
      <c r="K272" s="502" t="str">
        <f ca="1">IF(J272&lt;&gt;"",ABS(MIN(-0.75*('CDO Bespoke'!K273+'CDO Bespoke'!T273)+'CDO Bespoke'!T273,0)),"")</f>
        <v/>
      </c>
      <c r="L272" s="502" t="str">
        <f t="shared" ca="1" si="17"/>
        <v/>
      </c>
      <c r="M272" s="506" t="str">
        <f t="shared" ca="1" si="18"/>
        <v/>
      </c>
      <c r="O272" s="511" t="str">
        <f ca="1">IF('CDO Bespoke'!C297&lt;&gt;"",'CDO Bespoke'!C297,"")</f>
        <v/>
      </c>
      <c r="P272" s="513" t="str" cm="1">
        <f t="array" aca="1" ref="P272" ca="1">IF($O272&lt;&gt;"",-TRANSPOSE(INDEX(getcds('CDO Bespoke'!$C297,P$13,'CDO Bespoke'!$G297/10000,'CDO Bespoke'!F297,'CDO Bespoke'!D297,'CDO Bespoke'!$C$13,'CDO Bespoke'!$C$14,'CDO Bespoke'!$C$15,'CDO Bespoke'!$C$8,,,TRUE,TRUE,FALSE,'CDO Bespoke'!$C$29:'CDO Bespoke'!$C$31,'CDO Bespoke'!$C$33),{5})),"")</f>
        <v/>
      </c>
      <c r="Q272" s="524" t="str" cm="1">
        <f t="array" aca="1" ref="Q272" ca="1">IF($O272&lt;&gt;"",-TRANSPOSE(INDEX(getcds('CDO Bespoke'!$C297,Q$13,'CDO Bespoke'!$G297/10000,'CDO Bespoke'!G297,'CDO Bespoke'!E297,'CDO Bespoke'!$C$13,'CDO Bespoke'!$C$14,'CDO Bespoke'!$C$15,'CDO Bespoke'!$C$8,,,TRUE,TRUE,FALSE,'CDO Bespoke'!$C$29:'CDO Bespoke'!$C$31,'CDO Bespoke'!$C$33),{5})),"")</f>
        <v/>
      </c>
      <c r="R272" s="524" t="str" cm="1">
        <f t="array" aca="1" ref="R272" ca="1">IF($O272&lt;&gt;"",-TRANSPOSE(INDEX(getcds('CDO Bespoke'!$C297,R$13,'CDO Bespoke'!$G297/10000,'CDO Bespoke'!H297,'CDO Bespoke'!F297,'CDO Bespoke'!$C$13,'CDO Bespoke'!$C$14,'CDO Bespoke'!$C$15,'CDO Bespoke'!$C$8,,,TRUE,TRUE,FALSE,'CDO Bespoke'!$C$29:'CDO Bespoke'!$C$31,'CDO Bespoke'!$C$33),{5})),"")</f>
        <v/>
      </c>
      <c r="S272" s="524" t="str" cm="1">
        <f t="array" aca="1" ref="S272" ca="1">IF($O272&lt;&gt;"",-TRANSPOSE(INDEX(getcds('CDO Bespoke'!$C297,S$13,'CDO Bespoke'!$G297/10000,'CDO Bespoke'!I297,'CDO Bespoke'!G297,'CDO Bespoke'!$C$13,'CDO Bespoke'!$C$14,'CDO Bespoke'!$C$15,'CDO Bespoke'!$C$8,,,TRUE,TRUE,FALSE,'CDO Bespoke'!$C$29:'CDO Bespoke'!$C$31,'CDO Bespoke'!$C$33),{5})),"")</f>
        <v/>
      </c>
      <c r="T272" s="514" t="str" cm="1">
        <f t="array" aca="1" ref="T272" ca="1">IF($O272&lt;&gt;"",-TRANSPOSE(INDEX(getcds('CDO Bespoke'!$C297,T$13,'CDO Bespoke'!$G297/10000,'CDO Bespoke'!J297,'CDO Bespoke'!H297,'CDO Bespoke'!$C$13,'CDO Bespoke'!$C$14,'CDO Bespoke'!$C$15,'CDO Bespoke'!$C$8,,,TRUE,TRUE,FALSE,'CDO Bespoke'!$C$29:'CDO Bespoke'!$C$31,'CDO Bespoke'!$C$33),{5})),"")</f>
        <v/>
      </c>
      <c r="U272" s="493"/>
      <c r="V272" s="513"/>
      <c r="W272" s="572"/>
      <c r="X272" s="572"/>
      <c r="Y272" s="572"/>
      <c r="Z272" s="572"/>
      <c r="AA272" s="572"/>
      <c r="AB272" s="572"/>
      <c r="AC272" s="572"/>
      <c r="AD272" s="572"/>
      <c r="AE272" s="514"/>
    </row>
    <row r="273" spans="6:31" s="281" customFormat="1" ht="12" thickBot="1">
      <c r="F273" s="501" t="str">
        <f ca="1">IF('CDO Bespoke'!O274&lt;&gt;"",'CDO Bespoke'!O274,"")</f>
        <v/>
      </c>
      <c r="G273" s="502" t="str">
        <f ca="1">IF(F273&lt;&gt;"",ABS(MIN(-0.75*('CDO Bespoke'!Q274+'CDO Bespoke'!T274)+'CDO Bespoke'!T274,0)),"")</f>
        <v/>
      </c>
      <c r="H273" s="502" t="str">
        <f t="shared" ca="1" si="16"/>
        <v/>
      </c>
      <c r="I273" s="502" t="str">
        <f t="shared" ca="1" si="19"/>
        <v/>
      </c>
      <c r="J273" s="501" t="str">
        <f ca="1">IF('CDO Bespoke'!O274&lt;&gt;"",'CDO Bespoke'!O274,"")</f>
        <v/>
      </c>
      <c r="K273" s="502" t="str">
        <f ca="1">IF(J273&lt;&gt;"",ABS(MIN(-0.75*('CDO Bespoke'!K274+'CDO Bespoke'!T274)+'CDO Bespoke'!T274,0)),"")</f>
        <v/>
      </c>
      <c r="L273" s="502" t="str">
        <f t="shared" ca="1" si="17"/>
        <v/>
      </c>
      <c r="M273" s="506" t="str">
        <f t="shared" ca="1" si="18"/>
        <v/>
      </c>
      <c r="O273" s="511" t="str">
        <f ca="1">IF('CDO Bespoke'!C298&lt;&gt;"",'CDO Bespoke'!C298,"")</f>
        <v/>
      </c>
      <c r="P273" s="513" t="str" cm="1">
        <f t="array" aca="1" ref="P273" ca="1">IF($O273&lt;&gt;"",-TRANSPOSE(INDEX(getcds('CDO Bespoke'!$C298,P$13,'CDO Bespoke'!$G298/10000,'CDO Bespoke'!F298,'CDO Bespoke'!D298,'CDO Bespoke'!$C$13,'CDO Bespoke'!$C$14,'CDO Bespoke'!$C$15,'CDO Bespoke'!$C$8,,,TRUE,TRUE,FALSE,'CDO Bespoke'!$C$29:'CDO Bespoke'!$C$31,'CDO Bespoke'!$C$33),{5})),"")</f>
        <v/>
      </c>
      <c r="Q273" s="524" t="str" cm="1">
        <f t="array" aca="1" ref="Q273" ca="1">IF($O273&lt;&gt;"",-TRANSPOSE(INDEX(getcds('CDO Bespoke'!$C298,Q$13,'CDO Bespoke'!$G298/10000,'CDO Bespoke'!G298,'CDO Bespoke'!E298,'CDO Bespoke'!$C$13,'CDO Bespoke'!$C$14,'CDO Bespoke'!$C$15,'CDO Bespoke'!$C$8,,,TRUE,TRUE,FALSE,'CDO Bespoke'!$C$29:'CDO Bespoke'!$C$31,'CDO Bespoke'!$C$33),{5})),"")</f>
        <v/>
      </c>
      <c r="R273" s="524" t="str" cm="1">
        <f t="array" aca="1" ref="R273" ca="1">IF($O273&lt;&gt;"",-TRANSPOSE(INDEX(getcds('CDO Bespoke'!$C298,R$13,'CDO Bespoke'!$G298/10000,'CDO Bespoke'!H298,'CDO Bespoke'!F298,'CDO Bespoke'!$C$13,'CDO Bespoke'!$C$14,'CDO Bespoke'!$C$15,'CDO Bespoke'!$C$8,,,TRUE,TRUE,FALSE,'CDO Bespoke'!$C$29:'CDO Bespoke'!$C$31,'CDO Bespoke'!$C$33),{5})),"")</f>
        <v/>
      </c>
      <c r="S273" s="524" t="str" cm="1">
        <f t="array" aca="1" ref="S273" ca="1">IF($O273&lt;&gt;"",-TRANSPOSE(INDEX(getcds('CDO Bespoke'!$C298,S$13,'CDO Bespoke'!$G298/10000,'CDO Bespoke'!I298,'CDO Bespoke'!G298,'CDO Bespoke'!$C$13,'CDO Bespoke'!$C$14,'CDO Bespoke'!$C$15,'CDO Bespoke'!$C$8,,,TRUE,TRUE,FALSE,'CDO Bespoke'!$C$29:'CDO Bespoke'!$C$31,'CDO Bespoke'!$C$33),{5})),"")</f>
        <v/>
      </c>
      <c r="T273" s="514" t="str" cm="1">
        <f t="array" aca="1" ref="T273" ca="1">IF($O273&lt;&gt;"",-TRANSPOSE(INDEX(getcds('CDO Bespoke'!$C298,T$13,'CDO Bespoke'!$G298/10000,'CDO Bespoke'!J298,'CDO Bespoke'!H298,'CDO Bespoke'!$C$13,'CDO Bespoke'!$C$14,'CDO Bespoke'!$C$15,'CDO Bespoke'!$C$8,,,TRUE,TRUE,FALSE,'CDO Bespoke'!$C$29:'CDO Bespoke'!$C$31,'CDO Bespoke'!$C$33),{5})),"")</f>
        <v/>
      </c>
      <c r="U273" s="493"/>
      <c r="V273" s="513"/>
      <c r="W273" s="572"/>
      <c r="X273" s="572"/>
      <c r="Y273" s="572"/>
      <c r="Z273" s="572"/>
      <c r="AA273" s="572"/>
      <c r="AB273" s="572"/>
      <c r="AC273" s="572"/>
      <c r="AD273" s="572"/>
      <c r="AE273" s="514"/>
    </row>
    <row r="274" spans="6:31" s="281" customFormat="1" ht="12" thickBot="1">
      <c r="F274" s="501" t="str">
        <f ca="1">IF('CDO Bespoke'!O275&lt;&gt;"",'CDO Bespoke'!O275,"")</f>
        <v/>
      </c>
      <c r="G274" s="502" t="str">
        <f ca="1">IF(F274&lt;&gt;"",ABS(MIN(-0.75*('CDO Bespoke'!Q275+'CDO Bespoke'!T275)+'CDO Bespoke'!T275,0)),"")</f>
        <v/>
      </c>
      <c r="H274" s="502" t="str">
        <f t="shared" ca="1" si="16"/>
        <v/>
      </c>
      <c r="I274" s="502" t="str">
        <f t="shared" ca="1" si="19"/>
        <v/>
      </c>
      <c r="J274" s="501" t="str">
        <f ca="1">IF('CDO Bespoke'!O275&lt;&gt;"",'CDO Bespoke'!O275,"")</f>
        <v/>
      </c>
      <c r="K274" s="502" t="str">
        <f ca="1">IF(J274&lt;&gt;"",ABS(MIN(-0.75*('CDO Bespoke'!K275+'CDO Bespoke'!T275)+'CDO Bespoke'!T275,0)),"")</f>
        <v/>
      </c>
      <c r="L274" s="502" t="str">
        <f t="shared" ca="1" si="17"/>
        <v/>
      </c>
      <c r="M274" s="506" t="str">
        <f t="shared" ca="1" si="18"/>
        <v/>
      </c>
      <c r="O274" s="511" t="str">
        <f ca="1">IF('CDO Bespoke'!C299&lt;&gt;"",'CDO Bespoke'!C299,"")</f>
        <v/>
      </c>
      <c r="P274" s="513" t="str" cm="1">
        <f t="array" aca="1" ref="P274" ca="1">IF($O274&lt;&gt;"",-TRANSPOSE(INDEX(getcds('CDO Bespoke'!$C299,P$13,'CDO Bespoke'!$G299/10000,'CDO Bespoke'!F299,'CDO Bespoke'!D299,'CDO Bespoke'!$C$13,'CDO Bespoke'!$C$14,'CDO Bespoke'!$C$15,'CDO Bespoke'!$C$8,,,TRUE,TRUE,FALSE,'CDO Bespoke'!$C$29:'CDO Bespoke'!$C$31,'CDO Bespoke'!$C$33),{5})),"")</f>
        <v/>
      </c>
      <c r="Q274" s="524" t="str" cm="1">
        <f t="array" aca="1" ref="Q274" ca="1">IF($O274&lt;&gt;"",-TRANSPOSE(INDEX(getcds('CDO Bespoke'!$C299,Q$13,'CDO Bespoke'!$G299/10000,'CDO Bespoke'!G299,'CDO Bespoke'!E299,'CDO Bespoke'!$C$13,'CDO Bespoke'!$C$14,'CDO Bespoke'!$C$15,'CDO Bespoke'!$C$8,,,TRUE,TRUE,FALSE,'CDO Bespoke'!$C$29:'CDO Bespoke'!$C$31,'CDO Bespoke'!$C$33),{5})),"")</f>
        <v/>
      </c>
      <c r="R274" s="524" t="str" cm="1">
        <f t="array" aca="1" ref="R274" ca="1">IF($O274&lt;&gt;"",-TRANSPOSE(INDEX(getcds('CDO Bespoke'!$C299,R$13,'CDO Bespoke'!$G299/10000,'CDO Bespoke'!H299,'CDO Bespoke'!F299,'CDO Bespoke'!$C$13,'CDO Bespoke'!$C$14,'CDO Bespoke'!$C$15,'CDO Bespoke'!$C$8,,,TRUE,TRUE,FALSE,'CDO Bespoke'!$C$29:'CDO Bespoke'!$C$31,'CDO Bespoke'!$C$33),{5})),"")</f>
        <v/>
      </c>
      <c r="S274" s="524" t="str" cm="1">
        <f t="array" aca="1" ref="S274" ca="1">IF($O274&lt;&gt;"",-TRANSPOSE(INDEX(getcds('CDO Bespoke'!$C299,S$13,'CDO Bespoke'!$G299/10000,'CDO Bespoke'!I299,'CDO Bespoke'!G299,'CDO Bespoke'!$C$13,'CDO Bespoke'!$C$14,'CDO Bespoke'!$C$15,'CDO Bespoke'!$C$8,,,TRUE,TRUE,FALSE,'CDO Bespoke'!$C$29:'CDO Bespoke'!$C$31,'CDO Bespoke'!$C$33),{5})),"")</f>
        <v/>
      </c>
      <c r="T274" s="514" t="str" cm="1">
        <f t="array" aca="1" ref="T274" ca="1">IF($O274&lt;&gt;"",-TRANSPOSE(INDEX(getcds('CDO Bespoke'!$C299,T$13,'CDO Bespoke'!$G299/10000,'CDO Bespoke'!J299,'CDO Bespoke'!H299,'CDO Bespoke'!$C$13,'CDO Bespoke'!$C$14,'CDO Bespoke'!$C$15,'CDO Bespoke'!$C$8,,,TRUE,TRUE,FALSE,'CDO Bespoke'!$C$29:'CDO Bespoke'!$C$31,'CDO Bespoke'!$C$33),{5})),"")</f>
        <v/>
      </c>
      <c r="U274" s="493"/>
      <c r="V274" s="513"/>
      <c r="W274" s="572"/>
      <c r="X274" s="572"/>
      <c r="Y274" s="572"/>
      <c r="Z274" s="572"/>
      <c r="AA274" s="572"/>
      <c r="AB274" s="572"/>
      <c r="AC274" s="572"/>
      <c r="AD274" s="572"/>
      <c r="AE274" s="514"/>
    </row>
    <row r="275" spans="6:31" s="281" customFormat="1" ht="12" thickBot="1">
      <c r="F275" s="501" t="str">
        <f ca="1">IF('CDO Bespoke'!O276&lt;&gt;"",'CDO Bespoke'!O276,"")</f>
        <v/>
      </c>
      <c r="G275" s="502" t="str">
        <f ca="1">IF(F275&lt;&gt;"",ABS(MIN(-0.75*('CDO Bespoke'!Q276+'CDO Bespoke'!T276)+'CDO Bespoke'!T276,0)),"")</f>
        <v/>
      </c>
      <c r="H275" s="502" t="str">
        <f t="shared" ca="1" si="16"/>
        <v/>
      </c>
      <c r="I275" s="502" t="str">
        <f t="shared" ca="1" si="19"/>
        <v/>
      </c>
      <c r="J275" s="501" t="str">
        <f ca="1">IF('CDO Bespoke'!O276&lt;&gt;"",'CDO Bespoke'!O276,"")</f>
        <v/>
      </c>
      <c r="K275" s="502" t="str">
        <f ca="1">IF(J275&lt;&gt;"",ABS(MIN(-0.75*('CDO Bespoke'!K276+'CDO Bespoke'!T276)+'CDO Bespoke'!T276,0)),"")</f>
        <v/>
      </c>
      <c r="L275" s="502" t="str">
        <f t="shared" ca="1" si="17"/>
        <v/>
      </c>
      <c r="M275" s="506" t="str">
        <f t="shared" ca="1" si="18"/>
        <v/>
      </c>
      <c r="O275" s="511" t="str">
        <f ca="1">IF('CDO Bespoke'!C300&lt;&gt;"",'CDO Bespoke'!C300,"")</f>
        <v/>
      </c>
      <c r="P275" s="513" t="str" cm="1">
        <f t="array" aca="1" ref="P275" ca="1">IF($O275&lt;&gt;"",-TRANSPOSE(INDEX(getcds('CDO Bespoke'!$C300,P$13,'CDO Bespoke'!$G300/10000,'CDO Bespoke'!F300,'CDO Bespoke'!D300,'CDO Bespoke'!$C$13,'CDO Bespoke'!$C$14,'CDO Bespoke'!$C$15,'CDO Bespoke'!$C$8,,,TRUE,TRUE,FALSE,'CDO Bespoke'!$C$29:'CDO Bespoke'!$C$31,'CDO Bespoke'!$C$33),{5})),"")</f>
        <v/>
      </c>
      <c r="Q275" s="524" t="str" cm="1">
        <f t="array" aca="1" ref="Q275" ca="1">IF($O275&lt;&gt;"",-TRANSPOSE(INDEX(getcds('CDO Bespoke'!$C300,Q$13,'CDO Bespoke'!$G300/10000,'CDO Bespoke'!G300,'CDO Bespoke'!E300,'CDO Bespoke'!$C$13,'CDO Bespoke'!$C$14,'CDO Bespoke'!$C$15,'CDO Bespoke'!$C$8,,,TRUE,TRUE,FALSE,'CDO Bespoke'!$C$29:'CDO Bespoke'!$C$31,'CDO Bespoke'!$C$33),{5})),"")</f>
        <v/>
      </c>
      <c r="R275" s="524" t="str" cm="1">
        <f t="array" aca="1" ref="R275" ca="1">IF($O275&lt;&gt;"",-TRANSPOSE(INDEX(getcds('CDO Bespoke'!$C300,R$13,'CDO Bespoke'!$G300/10000,'CDO Bespoke'!H300,'CDO Bespoke'!F300,'CDO Bespoke'!$C$13,'CDO Bespoke'!$C$14,'CDO Bespoke'!$C$15,'CDO Bespoke'!$C$8,,,TRUE,TRUE,FALSE,'CDO Bespoke'!$C$29:'CDO Bespoke'!$C$31,'CDO Bespoke'!$C$33),{5})),"")</f>
        <v/>
      </c>
      <c r="S275" s="524" t="str" cm="1">
        <f t="array" aca="1" ref="S275" ca="1">IF($O275&lt;&gt;"",-TRANSPOSE(INDEX(getcds('CDO Bespoke'!$C300,S$13,'CDO Bespoke'!$G300/10000,'CDO Bespoke'!I300,'CDO Bespoke'!G300,'CDO Bespoke'!$C$13,'CDO Bespoke'!$C$14,'CDO Bespoke'!$C$15,'CDO Bespoke'!$C$8,,,TRUE,TRUE,FALSE,'CDO Bespoke'!$C$29:'CDO Bespoke'!$C$31,'CDO Bespoke'!$C$33),{5})),"")</f>
        <v/>
      </c>
      <c r="T275" s="514" t="str" cm="1">
        <f t="array" aca="1" ref="T275" ca="1">IF($O275&lt;&gt;"",-TRANSPOSE(INDEX(getcds('CDO Bespoke'!$C300,T$13,'CDO Bespoke'!$G300/10000,'CDO Bespoke'!J300,'CDO Bespoke'!H300,'CDO Bespoke'!$C$13,'CDO Bespoke'!$C$14,'CDO Bespoke'!$C$15,'CDO Bespoke'!$C$8,,,TRUE,TRUE,FALSE,'CDO Bespoke'!$C$29:'CDO Bespoke'!$C$31,'CDO Bespoke'!$C$33),{5})),"")</f>
        <v/>
      </c>
      <c r="U275" s="493"/>
      <c r="V275" s="513"/>
      <c r="W275" s="572"/>
      <c r="X275" s="572"/>
      <c r="Y275" s="572"/>
      <c r="Z275" s="572"/>
      <c r="AA275" s="572"/>
      <c r="AB275" s="572"/>
      <c r="AC275" s="572"/>
      <c r="AD275" s="572"/>
      <c r="AE275" s="514"/>
    </row>
    <row r="276" spans="6:31" s="281" customFormat="1" ht="12" thickBot="1">
      <c r="F276" s="501" t="str">
        <f ca="1">IF('CDO Bespoke'!O277&lt;&gt;"",'CDO Bespoke'!O277,"")</f>
        <v/>
      </c>
      <c r="G276" s="502" t="str">
        <f ca="1">IF(F276&lt;&gt;"",ABS(MIN(-0.75*('CDO Bespoke'!Q277+'CDO Bespoke'!T277)+'CDO Bespoke'!T277,0)),"")</f>
        <v/>
      </c>
      <c r="H276" s="502" t="str">
        <f t="shared" ca="1" si="16"/>
        <v/>
      </c>
      <c r="I276" s="502" t="str">
        <f t="shared" ca="1" si="19"/>
        <v/>
      </c>
      <c r="J276" s="501" t="str">
        <f ca="1">IF('CDO Bespoke'!O277&lt;&gt;"",'CDO Bespoke'!O277,"")</f>
        <v/>
      </c>
      <c r="K276" s="502" t="str">
        <f ca="1">IF(J276&lt;&gt;"",ABS(MIN(-0.75*('CDO Bespoke'!K277+'CDO Bespoke'!T277)+'CDO Bespoke'!T277,0)),"")</f>
        <v/>
      </c>
      <c r="L276" s="502" t="str">
        <f t="shared" ca="1" si="17"/>
        <v/>
      </c>
      <c r="M276" s="506" t="str">
        <f t="shared" ca="1" si="18"/>
        <v/>
      </c>
      <c r="O276" s="511" t="str">
        <f ca="1">IF('CDO Bespoke'!C301&lt;&gt;"",'CDO Bespoke'!C301,"")</f>
        <v/>
      </c>
      <c r="P276" s="513" t="str" cm="1">
        <f t="array" aca="1" ref="P276" ca="1">IF($O276&lt;&gt;"",-TRANSPOSE(INDEX(getcds('CDO Bespoke'!$C301,P$13,'CDO Bespoke'!$G301/10000,'CDO Bespoke'!F301,'CDO Bespoke'!D301,'CDO Bespoke'!$C$13,'CDO Bespoke'!$C$14,'CDO Bespoke'!$C$15,'CDO Bespoke'!$C$8,,,TRUE,TRUE,FALSE,'CDO Bespoke'!$C$29:'CDO Bespoke'!$C$31,'CDO Bespoke'!$C$33),{5})),"")</f>
        <v/>
      </c>
      <c r="Q276" s="524" t="str" cm="1">
        <f t="array" aca="1" ref="Q276" ca="1">IF($O276&lt;&gt;"",-TRANSPOSE(INDEX(getcds('CDO Bespoke'!$C301,Q$13,'CDO Bespoke'!$G301/10000,'CDO Bespoke'!G301,'CDO Bespoke'!E301,'CDO Bespoke'!$C$13,'CDO Bespoke'!$C$14,'CDO Bespoke'!$C$15,'CDO Bespoke'!$C$8,,,TRUE,TRUE,FALSE,'CDO Bespoke'!$C$29:'CDO Bespoke'!$C$31,'CDO Bespoke'!$C$33),{5})),"")</f>
        <v/>
      </c>
      <c r="R276" s="524" t="str" cm="1">
        <f t="array" aca="1" ref="R276" ca="1">IF($O276&lt;&gt;"",-TRANSPOSE(INDEX(getcds('CDO Bespoke'!$C301,R$13,'CDO Bespoke'!$G301/10000,'CDO Bespoke'!H301,'CDO Bespoke'!F301,'CDO Bespoke'!$C$13,'CDO Bespoke'!$C$14,'CDO Bespoke'!$C$15,'CDO Bespoke'!$C$8,,,TRUE,TRUE,FALSE,'CDO Bespoke'!$C$29:'CDO Bespoke'!$C$31,'CDO Bespoke'!$C$33),{5})),"")</f>
        <v/>
      </c>
      <c r="S276" s="524" t="str" cm="1">
        <f t="array" aca="1" ref="S276" ca="1">IF($O276&lt;&gt;"",-TRANSPOSE(INDEX(getcds('CDO Bespoke'!$C301,S$13,'CDO Bespoke'!$G301/10000,'CDO Bespoke'!I301,'CDO Bespoke'!G301,'CDO Bespoke'!$C$13,'CDO Bespoke'!$C$14,'CDO Bespoke'!$C$15,'CDO Bespoke'!$C$8,,,TRUE,TRUE,FALSE,'CDO Bespoke'!$C$29:'CDO Bespoke'!$C$31,'CDO Bespoke'!$C$33),{5})),"")</f>
        <v/>
      </c>
      <c r="T276" s="514" t="str" cm="1">
        <f t="array" aca="1" ref="T276" ca="1">IF($O276&lt;&gt;"",-TRANSPOSE(INDEX(getcds('CDO Bespoke'!$C301,T$13,'CDO Bespoke'!$G301/10000,'CDO Bespoke'!J301,'CDO Bespoke'!H301,'CDO Bespoke'!$C$13,'CDO Bespoke'!$C$14,'CDO Bespoke'!$C$15,'CDO Bespoke'!$C$8,,,TRUE,TRUE,FALSE,'CDO Bespoke'!$C$29:'CDO Bespoke'!$C$31,'CDO Bespoke'!$C$33),{5})),"")</f>
        <v/>
      </c>
      <c r="U276" s="493"/>
      <c r="V276" s="513"/>
      <c r="W276" s="572"/>
      <c r="X276" s="572"/>
      <c r="Y276" s="572"/>
      <c r="Z276" s="572"/>
      <c r="AA276" s="572"/>
      <c r="AB276" s="572"/>
      <c r="AC276" s="572"/>
      <c r="AD276" s="572"/>
      <c r="AE276" s="514"/>
    </row>
    <row r="277" spans="6:31" s="281" customFormat="1" ht="12" thickBot="1">
      <c r="F277" s="501" t="str">
        <f ca="1">IF('CDO Bespoke'!O278&lt;&gt;"",'CDO Bespoke'!O278,"")</f>
        <v/>
      </c>
      <c r="G277" s="502" t="str">
        <f ca="1">IF(F277&lt;&gt;"",ABS(MIN(-0.75*('CDO Bespoke'!Q278+'CDO Bespoke'!T278)+'CDO Bespoke'!T278,0)),"")</f>
        <v/>
      </c>
      <c r="H277" s="502" t="str">
        <f t="shared" ca="1" si="16"/>
        <v/>
      </c>
      <c r="I277" s="502" t="str">
        <f t="shared" ca="1" si="19"/>
        <v/>
      </c>
      <c r="J277" s="501" t="str">
        <f ca="1">IF('CDO Bespoke'!O278&lt;&gt;"",'CDO Bespoke'!O278,"")</f>
        <v/>
      </c>
      <c r="K277" s="502" t="str">
        <f ca="1">IF(J277&lt;&gt;"",ABS(MIN(-0.75*('CDO Bespoke'!K278+'CDO Bespoke'!T278)+'CDO Bespoke'!T278,0)),"")</f>
        <v/>
      </c>
      <c r="L277" s="502" t="str">
        <f t="shared" ca="1" si="17"/>
        <v/>
      </c>
      <c r="M277" s="506" t="str">
        <f t="shared" ca="1" si="18"/>
        <v/>
      </c>
      <c r="O277" s="511" t="str">
        <f ca="1">IF('CDO Bespoke'!C302&lt;&gt;"",'CDO Bespoke'!C302,"")</f>
        <v/>
      </c>
      <c r="P277" s="513" t="str" cm="1">
        <f t="array" aca="1" ref="P277" ca="1">IF($O277&lt;&gt;"",-TRANSPOSE(INDEX(getcds('CDO Bespoke'!$C302,P$13,'CDO Bespoke'!$G302/10000,'CDO Bespoke'!F302,'CDO Bespoke'!D302,'CDO Bespoke'!$C$13,'CDO Bespoke'!$C$14,'CDO Bespoke'!$C$15,'CDO Bespoke'!$C$8,,,TRUE,TRUE,FALSE,'CDO Bespoke'!$C$29:'CDO Bespoke'!$C$31,'CDO Bespoke'!$C$33),{5})),"")</f>
        <v/>
      </c>
      <c r="Q277" s="524" t="str" cm="1">
        <f t="array" aca="1" ref="Q277" ca="1">IF($O277&lt;&gt;"",-TRANSPOSE(INDEX(getcds('CDO Bespoke'!$C302,Q$13,'CDO Bespoke'!$G302/10000,'CDO Bespoke'!G302,'CDO Bespoke'!E302,'CDO Bespoke'!$C$13,'CDO Bespoke'!$C$14,'CDO Bespoke'!$C$15,'CDO Bespoke'!$C$8,,,TRUE,TRUE,FALSE,'CDO Bespoke'!$C$29:'CDO Bespoke'!$C$31,'CDO Bespoke'!$C$33),{5})),"")</f>
        <v/>
      </c>
      <c r="R277" s="524" t="str" cm="1">
        <f t="array" aca="1" ref="R277" ca="1">IF($O277&lt;&gt;"",-TRANSPOSE(INDEX(getcds('CDO Bespoke'!$C302,R$13,'CDO Bespoke'!$G302/10000,'CDO Bespoke'!H302,'CDO Bespoke'!F302,'CDO Bespoke'!$C$13,'CDO Bespoke'!$C$14,'CDO Bespoke'!$C$15,'CDO Bespoke'!$C$8,,,TRUE,TRUE,FALSE,'CDO Bespoke'!$C$29:'CDO Bespoke'!$C$31,'CDO Bespoke'!$C$33),{5})),"")</f>
        <v/>
      </c>
      <c r="S277" s="524" t="str" cm="1">
        <f t="array" aca="1" ref="S277" ca="1">IF($O277&lt;&gt;"",-TRANSPOSE(INDEX(getcds('CDO Bespoke'!$C302,S$13,'CDO Bespoke'!$G302/10000,'CDO Bespoke'!I302,'CDO Bespoke'!G302,'CDO Bespoke'!$C$13,'CDO Bespoke'!$C$14,'CDO Bespoke'!$C$15,'CDO Bespoke'!$C$8,,,TRUE,TRUE,FALSE,'CDO Bespoke'!$C$29:'CDO Bespoke'!$C$31,'CDO Bespoke'!$C$33),{5})),"")</f>
        <v/>
      </c>
      <c r="T277" s="514" t="str" cm="1">
        <f t="array" aca="1" ref="T277" ca="1">IF($O277&lt;&gt;"",-TRANSPOSE(INDEX(getcds('CDO Bespoke'!$C302,T$13,'CDO Bespoke'!$G302/10000,'CDO Bespoke'!J302,'CDO Bespoke'!H302,'CDO Bespoke'!$C$13,'CDO Bespoke'!$C$14,'CDO Bespoke'!$C$15,'CDO Bespoke'!$C$8,,,TRUE,TRUE,FALSE,'CDO Bespoke'!$C$29:'CDO Bespoke'!$C$31,'CDO Bespoke'!$C$33),{5})),"")</f>
        <v/>
      </c>
      <c r="U277" s="493"/>
      <c r="V277" s="513"/>
      <c r="W277" s="572"/>
      <c r="X277" s="572"/>
      <c r="Y277" s="572"/>
      <c r="Z277" s="572"/>
      <c r="AA277" s="572"/>
      <c r="AB277" s="572"/>
      <c r="AC277" s="572"/>
      <c r="AD277" s="572"/>
      <c r="AE277" s="514"/>
    </row>
    <row r="278" spans="6:31" s="281" customFormat="1" ht="12" thickBot="1">
      <c r="F278" s="501" t="str">
        <f ca="1">IF('CDO Bespoke'!O279&lt;&gt;"",'CDO Bespoke'!O279,"")</f>
        <v/>
      </c>
      <c r="G278" s="502" t="str">
        <f ca="1">IF(F278&lt;&gt;"",ABS(MIN(-0.75*('CDO Bespoke'!Q279+'CDO Bespoke'!T279)+'CDO Bespoke'!T279,0)),"")</f>
        <v/>
      </c>
      <c r="H278" s="502" t="str">
        <f t="shared" ca="1" si="16"/>
        <v/>
      </c>
      <c r="I278" s="502" t="str">
        <f t="shared" ca="1" si="19"/>
        <v/>
      </c>
      <c r="J278" s="501" t="str">
        <f ca="1">IF('CDO Bespoke'!O279&lt;&gt;"",'CDO Bespoke'!O279,"")</f>
        <v/>
      </c>
      <c r="K278" s="502" t="str">
        <f ca="1">IF(J278&lt;&gt;"",ABS(MIN(-0.75*('CDO Bespoke'!K279+'CDO Bespoke'!T279)+'CDO Bespoke'!T279,0)),"")</f>
        <v/>
      </c>
      <c r="L278" s="502" t="str">
        <f t="shared" ca="1" si="17"/>
        <v/>
      </c>
      <c r="M278" s="506" t="str">
        <f t="shared" ca="1" si="18"/>
        <v/>
      </c>
      <c r="O278" s="511" t="str">
        <f ca="1">IF('CDO Bespoke'!C303&lt;&gt;"",'CDO Bespoke'!C303,"")</f>
        <v/>
      </c>
      <c r="P278" s="513" t="str" cm="1">
        <f t="array" aca="1" ref="P278" ca="1">IF($O278&lt;&gt;"",-TRANSPOSE(INDEX(getcds('CDO Bespoke'!$C303,P$13,'CDO Bespoke'!$G303/10000,'CDO Bespoke'!F303,'CDO Bespoke'!D303,'CDO Bespoke'!$C$13,'CDO Bespoke'!$C$14,'CDO Bespoke'!$C$15,'CDO Bespoke'!$C$8,,,TRUE,TRUE,FALSE,'CDO Bespoke'!$C$29:'CDO Bespoke'!$C$31,'CDO Bespoke'!$C$33),{5})),"")</f>
        <v/>
      </c>
      <c r="Q278" s="524" t="str" cm="1">
        <f t="array" aca="1" ref="Q278" ca="1">IF($O278&lt;&gt;"",-TRANSPOSE(INDEX(getcds('CDO Bespoke'!$C303,Q$13,'CDO Bespoke'!$G303/10000,'CDO Bespoke'!G303,'CDO Bespoke'!E303,'CDO Bespoke'!$C$13,'CDO Bespoke'!$C$14,'CDO Bespoke'!$C$15,'CDO Bespoke'!$C$8,,,TRUE,TRUE,FALSE,'CDO Bespoke'!$C$29:'CDO Bespoke'!$C$31,'CDO Bespoke'!$C$33),{5})),"")</f>
        <v/>
      </c>
      <c r="R278" s="524" t="str" cm="1">
        <f t="array" aca="1" ref="R278" ca="1">IF($O278&lt;&gt;"",-TRANSPOSE(INDEX(getcds('CDO Bespoke'!$C303,R$13,'CDO Bespoke'!$G303/10000,'CDO Bespoke'!H303,'CDO Bespoke'!F303,'CDO Bespoke'!$C$13,'CDO Bespoke'!$C$14,'CDO Bespoke'!$C$15,'CDO Bespoke'!$C$8,,,TRUE,TRUE,FALSE,'CDO Bespoke'!$C$29:'CDO Bespoke'!$C$31,'CDO Bespoke'!$C$33),{5})),"")</f>
        <v/>
      </c>
      <c r="S278" s="524" t="str" cm="1">
        <f t="array" aca="1" ref="S278" ca="1">IF($O278&lt;&gt;"",-TRANSPOSE(INDEX(getcds('CDO Bespoke'!$C303,S$13,'CDO Bespoke'!$G303/10000,'CDO Bespoke'!I303,'CDO Bespoke'!G303,'CDO Bespoke'!$C$13,'CDO Bespoke'!$C$14,'CDO Bespoke'!$C$15,'CDO Bespoke'!$C$8,,,TRUE,TRUE,FALSE,'CDO Bespoke'!$C$29:'CDO Bespoke'!$C$31,'CDO Bespoke'!$C$33),{5})),"")</f>
        <v/>
      </c>
      <c r="T278" s="514" t="str" cm="1">
        <f t="array" aca="1" ref="T278" ca="1">IF($O278&lt;&gt;"",-TRANSPOSE(INDEX(getcds('CDO Bespoke'!$C303,T$13,'CDO Bespoke'!$G303/10000,'CDO Bespoke'!J303,'CDO Bespoke'!H303,'CDO Bespoke'!$C$13,'CDO Bespoke'!$C$14,'CDO Bespoke'!$C$15,'CDO Bespoke'!$C$8,,,TRUE,TRUE,FALSE,'CDO Bespoke'!$C$29:'CDO Bespoke'!$C$31,'CDO Bespoke'!$C$33),{5})),"")</f>
        <v/>
      </c>
      <c r="U278" s="493"/>
      <c r="V278" s="513"/>
      <c r="W278" s="572"/>
      <c r="X278" s="572"/>
      <c r="Y278" s="572"/>
      <c r="Z278" s="572"/>
      <c r="AA278" s="572"/>
      <c r="AB278" s="572"/>
      <c r="AC278" s="572"/>
      <c r="AD278" s="572"/>
      <c r="AE278" s="514"/>
    </row>
    <row r="279" spans="6:31" s="281" customFormat="1" ht="12" thickBot="1">
      <c r="F279" s="501" t="str">
        <f ca="1">IF('CDO Bespoke'!O280&lt;&gt;"",'CDO Bespoke'!O280,"")</f>
        <v/>
      </c>
      <c r="G279" s="502" t="str">
        <f ca="1">IF(F279&lt;&gt;"",ABS(MIN(-0.75*('CDO Bespoke'!Q280+'CDO Bespoke'!T280)+'CDO Bespoke'!T280,0)),"")</f>
        <v/>
      </c>
      <c r="H279" s="502" t="str">
        <f t="shared" ca="1" si="16"/>
        <v/>
      </c>
      <c r="I279" s="502" t="str">
        <f t="shared" ca="1" si="19"/>
        <v/>
      </c>
      <c r="J279" s="501" t="str">
        <f ca="1">IF('CDO Bespoke'!O280&lt;&gt;"",'CDO Bespoke'!O280,"")</f>
        <v/>
      </c>
      <c r="K279" s="502" t="str">
        <f ca="1">IF(J279&lt;&gt;"",ABS(MIN(-0.75*('CDO Bespoke'!K280+'CDO Bespoke'!T280)+'CDO Bespoke'!T280,0)),"")</f>
        <v/>
      </c>
      <c r="L279" s="502" t="str">
        <f t="shared" ca="1" si="17"/>
        <v/>
      </c>
      <c r="M279" s="506" t="str">
        <f t="shared" ca="1" si="18"/>
        <v/>
      </c>
      <c r="O279" s="511" t="str">
        <f ca="1">IF('CDO Bespoke'!C304&lt;&gt;"",'CDO Bespoke'!C304,"")</f>
        <v/>
      </c>
      <c r="P279" s="513" t="str" cm="1">
        <f t="array" aca="1" ref="P279" ca="1">IF($O279&lt;&gt;"",-TRANSPOSE(INDEX(getcds('CDO Bespoke'!$C304,P$13,'CDO Bespoke'!$G304/10000,'CDO Bespoke'!F304,'CDO Bespoke'!D304,'CDO Bespoke'!$C$13,'CDO Bespoke'!$C$14,'CDO Bespoke'!$C$15,'CDO Bespoke'!$C$8,,,TRUE,TRUE,FALSE,'CDO Bespoke'!$C$29:'CDO Bespoke'!$C$31,'CDO Bespoke'!$C$33),{5})),"")</f>
        <v/>
      </c>
      <c r="Q279" s="524" t="str" cm="1">
        <f t="array" aca="1" ref="Q279" ca="1">IF($O279&lt;&gt;"",-TRANSPOSE(INDEX(getcds('CDO Bespoke'!$C304,Q$13,'CDO Bespoke'!$G304/10000,'CDO Bespoke'!G304,'CDO Bespoke'!E304,'CDO Bespoke'!$C$13,'CDO Bespoke'!$C$14,'CDO Bespoke'!$C$15,'CDO Bespoke'!$C$8,,,TRUE,TRUE,FALSE,'CDO Bespoke'!$C$29:'CDO Bespoke'!$C$31,'CDO Bespoke'!$C$33),{5})),"")</f>
        <v/>
      </c>
      <c r="R279" s="524" t="str" cm="1">
        <f t="array" aca="1" ref="R279" ca="1">IF($O279&lt;&gt;"",-TRANSPOSE(INDEX(getcds('CDO Bespoke'!$C304,R$13,'CDO Bespoke'!$G304/10000,'CDO Bespoke'!H304,'CDO Bespoke'!F304,'CDO Bespoke'!$C$13,'CDO Bespoke'!$C$14,'CDO Bespoke'!$C$15,'CDO Bespoke'!$C$8,,,TRUE,TRUE,FALSE,'CDO Bespoke'!$C$29:'CDO Bespoke'!$C$31,'CDO Bespoke'!$C$33),{5})),"")</f>
        <v/>
      </c>
      <c r="S279" s="524" t="str" cm="1">
        <f t="array" aca="1" ref="S279" ca="1">IF($O279&lt;&gt;"",-TRANSPOSE(INDEX(getcds('CDO Bespoke'!$C304,S$13,'CDO Bespoke'!$G304/10000,'CDO Bespoke'!I304,'CDO Bespoke'!G304,'CDO Bespoke'!$C$13,'CDO Bespoke'!$C$14,'CDO Bespoke'!$C$15,'CDO Bespoke'!$C$8,,,TRUE,TRUE,FALSE,'CDO Bespoke'!$C$29:'CDO Bespoke'!$C$31,'CDO Bespoke'!$C$33),{5})),"")</f>
        <v/>
      </c>
      <c r="T279" s="514" t="str" cm="1">
        <f t="array" aca="1" ref="T279" ca="1">IF($O279&lt;&gt;"",-TRANSPOSE(INDEX(getcds('CDO Bespoke'!$C304,T$13,'CDO Bespoke'!$G304/10000,'CDO Bespoke'!J304,'CDO Bespoke'!H304,'CDO Bespoke'!$C$13,'CDO Bespoke'!$C$14,'CDO Bespoke'!$C$15,'CDO Bespoke'!$C$8,,,TRUE,TRUE,FALSE,'CDO Bespoke'!$C$29:'CDO Bespoke'!$C$31,'CDO Bespoke'!$C$33),{5})),"")</f>
        <v/>
      </c>
      <c r="U279" s="493"/>
      <c r="V279" s="513"/>
      <c r="W279" s="572"/>
      <c r="X279" s="572"/>
      <c r="Y279" s="572"/>
      <c r="Z279" s="572"/>
      <c r="AA279" s="572"/>
      <c r="AB279" s="572"/>
      <c r="AC279" s="572"/>
      <c r="AD279" s="572"/>
      <c r="AE279" s="514"/>
    </row>
    <row r="280" spans="6:31" s="281" customFormat="1" ht="12" thickBot="1">
      <c r="F280" s="501" t="str">
        <f ca="1">IF('CDO Bespoke'!O281&lt;&gt;"",'CDO Bespoke'!O281,"")</f>
        <v/>
      </c>
      <c r="G280" s="502" t="str">
        <f ca="1">IF(F280&lt;&gt;"",ABS(MIN(-0.75*('CDO Bespoke'!Q281+'CDO Bespoke'!T281)+'CDO Bespoke'!T281,0)),"")</f>
        <v/>
      </c>
      <c r="H280" s="502" t="str">
        <f t="shared" ca="1" si="16"/>
        <v/>
      </c>
      <c r="I280" s="502" t="str">
        <f t="shared" ca="1" si="19"/>
        <v/>
      </c>
      <c r="J280" s="501" t="str">
        <f ca="1">IF('CDO Bespoke'!O281&lt;&gt;"",'CDO Bespoke'!O281,"")</f>
        <v/>
      </c>
      <c r="K280" s="502" t="str">
        <f ca="1">IF(J280&lt;&gt;"",ABS(MIN(-0.75*('CDO Bespoke'!K281+'CDO Bespoke'!T281)+'CDO Bespoke'!T281,0)),"")</f>
        <v/>
      </c>
      <c r="L280" s="502" t="str">
        <f t="shared" ca="1" si="17"/>
        <v/>
      </c>
      <c r="M280" s="506" t="str">
        <f t="shared" ca="1" si="18"/>
        <v/>
      </c>
      <c r="O280" s="511" t="str">
        <f ca="1">IF('CDO Bespoke'!C305&lt;&gt;"",'CDO Bespoke'!C305,"")</f>
        <v/>
      </c>
      <c r="P280" s="513" t="str" cm="1">
        <f t="array" aca="1" ref="P280" ca="1">IF($O280&lt;&gt;"",-TRANSPOSE(INDEX(getcds('CDO Bespoke'!$C305,P$13,'CDO Bespoke'!$G305/10000,'CDO Bespoke'!F305,'CDO Bespoke'!D305,'CDO Bespoke'!$C$13,'CDO Bespoke'!$C$14,'CDO Bespoke'!$C$15,'CDO Bespoke'!$C$8,,,TRUE,TRUE,FALSE,'CDO Bespoke'!$C$29:'CDO Bespoke'!$C$31,'CDO Bespoke'!$C$33),{5})),"")</f>
        <v/>
      </c>
      <c r="Q280" s="524" t="str" cm="1">
        <f t="array" aca="1" ref="Q280" ca="1">IF($O280&lt;&gt;"",-TRANSPOSE(INDEX(getcds('CDO Bespoke'!$C305,Q$13,'CDO Bespoke'!$G305/10000,'CDO Bespoke'!G305,'CDO Bespoke'!E305,'CDO Bespoke'!$C$13,'CDO Bespoke'!$C$14,'CDO Bespoke'!$C$15,'CDO Bespoke'!$C$8,,,TRUE,TRUE,FALSE,'CDO Bespoke'!$C$29:'CDO Bespoke'!$C$31,'CDO Bespoke'!$C$33),{5})),"")</f>
        <v/>
      </c>
      <c r="R280" s="524" t="str" cm="1">
        <f t="array" aca="1" ref="R280" ca="1">IF($O280&lt;&gt;"",-TRANSPOSE(INDEX(getcds('CDO Bespoke'!$C305,R$13,'CDO Bespoke'!$G305/10000,'CDO Bespoke'!H305,'CDO Bespoke'!F305,'CDO Bespoke'!$C$13,'CDO Bespoke'!$C$14,'CDO Bespoke'!$C$15,'CDO Bespoke'!$C$8,,,TRUE,TRUE,FALSE,'CDO Bespoke'!$C$29:'CDO Bespoke'!$C$31,'CDO Bespoke'!$C$33),{5})),"")</f>
        <v/>
      </c>
      <c r="S280" s="524" t="str" cm="1">
        <f t="array" aca="1" ref="S280" ca="1">IF($O280&lt;&gt;"",-TRANSPOSE(INDEX(getcds('CDO Bespoke'!$C305,S$13,'CDO Bespoke'!$G305/10000,'CDO Bespoke'!I305,'CDO Bespoke'!G305,'CDO Bespoke'!$C$13,'CDO Bespoke'!$C$14,'CDO Bespoke'!$C$15,'CDO Bespoke'!$C$8,,,TRUE,TRUE,FALSE,'CDO Bespoke'!$C$29:'CDO Bespoke'!$C$31,'CDO Bespoke'!$C$33),{5})),"")</f>
        <v/>
      </c>
      <c r="T280" s="514" t="str" cm="1">
        <f t="array" aca="1" ref="T280" ca="1">IF($O280&lt;&gt;"",-TRANSPOSE(INDEX(getcds('CDO Bespoke'!$C305,T$13,'CDO Bespoke'!$G305/10000,'CDO Bespoke'!J305,'CDO Bespoke'!H305,'CDO Bespoke'!$C$13,'CDO Bespoke'!$C$14,'CDO Bespoke'!$C$15,'CDO Bespoke'!$C$8,,,TRUE,TRUE,FALSE,'CDO Bespoke'!$C$29:'CDO Bespoke'!$C$31,'CDO Bespoke'!$C$33),{5})),"")</f>
        <v/>
      </c>
      <c r="U280" s="493"/>
      <c r="V280" s="513"/>
      <c r="W280" s="572"/>
      <c r="X280" s="572"/>
      <c r="Y280" s="572"/>
      <c r="Z280" s="572"/>
      <c r="AA280" s="572"/>
      <c r="AB280" s="572"/>
      <c r="AC280" s="572"/>
      <c r="AD280" s="572"/>
      <c r="AE280" s="514"/>
    </row>
    <row r="281" spans="6:31" s="281" customFormat="1" ht="12" thickBot="1">
      <c r="F281" s="501" t="str">
        <f ca="1">IF('CDO Bespoke'!O282&lt;&gt;"",'CDO Bespoke'!O282,"")</f>
        <v/>
      </c>
      <c r="G281" s="502" t="str">
        <f ca="1">IF(F281&lt;&gt;"",ABS(MIN(-0.75*('CDO Bespoke'!Q282+'CDO Bespoke'!T282)+'CDO Bespoke'!T282,0)),"")</f>
        <v/>
      </c>
      <c r="H281" s="502" t="str">
        <f t="shared" ca="1" si="16"/>
        <v/>
      </c>
      <c r="I281" s="502" t="str">
        <f t="shared" ca="1" si="19"/>
        <v/>
      </c>
      <c r="J281" s="501" t="str">
        <f ca="1">IF('CDO Bespoke'!O282&lt;&gt;"",'CDO Bespoke'!O282,"")</f>
        <v/>
      </c>
      <c r="K281" s="502" t="str">
        <f ca="1">IF(J281&lt;&gt;"",ABS(MIN(-0.75*('CDO Bespoke'!K282+'CDO Bespoke'!T282)+'CDO Bespoke'!T282,0)),"")</f>
        <v/>
      </c>
      <c r="L281" s="502" t="str">
        <f t="shared" ca="1" si="17"/>
        <v/>
      </c>
      <c r="M281" s="506" t="str">
        <f t="shared" ca="1" si="18"/>
        <v/>
      </c>
      <c r="O281" s="511" t="str">
        <f ca="1">IF('CDO Bespoke'!C306&lt;&gt;"",'CDO Bespoke'!C306,"")</f>
        <v/>
      </c>
      <c r="P281" s="513" t="str" cm="1">
        <f t="array" aca="1" ref="P281" ca="1">IF($O281&lt;&gt;"",-TRANSPOSE(INDEX(getcds('CDO Bespoke'!$C306,P$13,'CDO Bespoke'!$G306/10000,'CDO Bespoke'!F306,'CDO Bespoke'!D306,'CDO Bespoke'!$C$13,'CDO Bespoke'!$C$14,'CDO Bespoke'!$C$15,'CDO Bespoke'!$C$8,,,TRUE,TRUE,FALSE,'CDO Bespoke'!$C$29:'CDO Bespoke'!$C$31,'CDO Bespoke'!$C$33),{5})),"")</f>
        <v/>
      </c>
      <c r="Q281" s="524" t="str" cm="1">
        <f t="array" aca="1" ref="Q281" ca="1">IF($O281&lt;&gt;"",-TRANSPOSE(INDEX(getcds('CDO Bespoke'!$C306,Q$13,'CDO Bespoke'!$G306/10000,'CDO Bespoke'!G306,'CDO Bespoke'!E306,'CDO Bespoke'!$C$13,'CDO Bespoke'!$C$14,'CDO Bespoke'!$C$15,'CDO Bespoke'!$C$8,,,TRUE,TRUE,FALSE,'CDO Bespoke'!$C$29:'CDO Bespoke'!$C$31,'CDO Bespoke'!$C$33),{5})),"")</f>
        <v/>
      </c>
      <c r="R281" s="524" t="str" cm="1">
        <f t="array" aca="1" ref="R281" ca="1">IF($O281&lt;&gt;"",-TRANSPOSE(INDEX(getcds('CDO Bespoke'!$C306,R$13,'CDO Bespoke'!$G306/10000,'CDO Bespoke'!H306,'CDO Bespoke'!F306,'CDO Bespoke'!$C$13,'CDO Bespoke'!$C$14,'CDO Bespoke'!$C$15,'CDO Bespoke'!$C$8,,,TRUE,TRUE,FALSE,'CDO Bespoke'!$C$29:'CDO Bespoke'!$C$31,'CDO Bespoke'!$C$33),{5})),"")</f>
        <v/>
      </c>
      <c r="S281" s="524" t="str" cm="1">
        <f t="array" aca="1" ref="S281" ca="1">IF($O281&lt;&gt;"",-TRANSPOSE(INDEX(getcds('CDO Bespoke'!$C306,S$13,'CDO Bespoke'!$G306/10000,'CDO Bespoke'!I306,'CDO Bespoke'!G306,'CDO Bespoke'!$C$13,'CDO Bespoke'!$C$14,'CDO Bespoke'!$C$15,'CDO Bespoke'!$C$8,,,TRUE,TRUE,FALSE,'CDO Bespoke'!$C$29:'CDO Bespoke'!$C$31,'CDO Bespoke'!$C$33),{5})),"")</f>
        <v/>
      </c>
      <c r="T281" s="514" t="str" cm="1">
        <f t="array" aca="1" ref="T281" ca="1">IF($O281&lt;&gt;"",-TRANSPOSE(INDEX(getcds('CDO Bespoke'!$C306,T$13,'CDO Bespoke'!$G306/10000,'CDO Bespoke'!J306,'CDO Bespoke'!H306,'CDO Bespoke'!$C$13,'CDO Bespoke'!$C$14,'CDO Bespoke'!$C$15,'CDO Bespoke'!$C$8,,,TRUE,TRUE,FALSE,'CDO Bespoke'!$C$29:'CDO Bespoke'!$C$31,'CDO Bespoke'!$C$33),{5})),"")</f>
        <v/>
      </c>
      <c r="U281" s="493"/>
      <c r="V281" s="513"/>
      <c r="W281" s="572"/>
      <c r="X281" s="572"/>
      <c r="Y281" s="572"/>
      <c r="Z281" s="572"/>
      <c r="AA281" s="572"/>
      <c r="AB281" s="572"/>
      <c r="AC281" s="572"/>
      <c r="AD281" s="572"/>
      <c r="AE281" s="514"/>
    </row>
    <row r="282" spans="6:31" s="281" customFormat="1" ht="12" thickBot="1">
      <c r="F282" s="501" t="str">
        <f ca="1">IF('CDO Bespoke'!O283&lt;&gt;"",'CDO Bespoke'!O283,"")</f>
        <v/>
      </c>
      <c r="G282" s="502" t="str">
        <f ca="1">IF(F282&lt;&gt;"",ABS(MIN(-0.75*('CDO Bespoke'!Q283+'CDO Bespoke'!T283)+'CDO Bespoke'!T283,0)),"")</f>
        <v/>
      </c>
      <c r="H282" s="502" t="str">
        <f t="shared" ca="1" si="16"/>
        <v/>
      </c>
      <c r="I282" s="502" t="str">
        <f t="shared" ca="1" si="19"/>
        <v/>
      </c>
      <c r="J282" s="501" t="str">
        <f ca="1">IF('CDO Bespoke'!O283&lt;&gt;"",'CDO Bespoke'!O283,"")</f>
        <v/>
      </c>
      <c r="K282" s="502" t="str">
        <f ca="1">IF(J282&lt;&gt;"",ABS(MIN(-0.75*('CDO Bespoke'!K283+'CDO Bespoke'!T283)+'CDO Bespoke'!T283,0)),"")</f>
        <v/>
      </c>
      <c r="L282" s="502" t="str">
        <f t="shared" ca="1" si="17"/>
        <v/>
      </c>
      <c r="M282" s="506" t="str">
        <f t="shared" ca="1" si="18"/>
        <v/>
      </c>
      <c r="O282" s="511" t="str">
        <f ca="1">IF('CDO Bespoke'!C307&lt;&gt;"",'CDO Bespoke'!C307,"")</f>
        <v/>
      </c>
      <c r="P282" s="513" t="str" cm="1">
        <f t="array" aca="1" ref="P282" ca="1">IF($O282&lt;&gt;"",-TRANSPOSE(INDEX(getcds('CDO Bespoke'!$C307,P$13,'CDO Bespoke'!$G307/10000,'CDO Bespoke'!F307,'CDO Bespoke'!D307,'CDO Bespoke'!$C$13,'CDO Bespoke'!$C$14,'CDO Bespoke'!$C$15,'CDO Bespoke'!$C$8,,,TRUE,TRUE,FALSE,'CDO Bespoke'!$C$29:'CDO Bespoke'!$C$31,'CDO Bespoke'!$C$33),{5})),"")</f>
        <v/>
      </c>
      <c r="Q282" s="524" t="str" cm="1">
        <f t="array" aca="1" ref="Q282" ca="1">IF($O282&lt;&gt;"",-TRANSPOSE(INDEX(getcds('CDO Bespoke'!$C307,Q$13,'CDO Bespoke'!$G307/10000,'CDO Bespoke'!G307,'CDO Bespoke'!E307,'CDO Bespoke'!$C$13,'CDO Bespoke'!$C$14,'CDO Bespoke'!$C$15,'CDO Bespoke'!$C$8,,,TRUE,TRUE,FALSE,'CDO Bespoke'!$C$29:'CDO Bespoke'!$C$31,'CDO Bespoke'!$C$33),{5})),"")</f>
        <v/>
      </c>
      <c r="R282" s="524" t="str" cm="1">
        <f t="array" aca="1" ref="R282" ca="1">IF($O282&lt;&gt;"",-TRANSPOSE(INDEX(getcds('CDO Bespoke'!$C307,R$13,'CDO Bespoke'!$G307/10000,'CDO Bespoke'!H307,'CDO Bespoke'!F307,'CDO Bespoke'!$C$13,'CDO Bespoke'!$C$14,'CDO Bespoke'!$C$15,'CDO Bespoke'!$C$8,,,TRUE,TRUE,FALSE,'CDO Bespoke'!$C$29:'CDO Bespoke'!$C$31,'CDO Bespoke'!$C$33),{5})),"")</f>
        <v/>
      </c>
      <c r="S282" s="524" t="str" cm="1">
        <f t="array" aca="1" ref="S282" ca="1">IF($O282&lt;&gt;"",-TRANSPOSE(INDEX(getcds('CDO Bespoke'!$C307,S$13,'CDO Bespoke'!$G307/10000,'CDO Bespoke'!I307,'CDO Bespoke'!G307,'CDO Bespoke'!$C$13,'CDO Bespoke'!$C$14,'CDO Bespoke'!$C$15,'CDO Bespoke'!$C$8,,,TRUE,TRUE,FALSE,'CDO Bespoke'!$C$29:'CDO Bespoke'!$C$31,'CDO Bespoke'!$C$33),{5})),"")</f>
        <v/>
      </c>
      <c r="T282" s="514" t="str" cm="1">
        <f t="array" aca="1" ref="T282" ca="1">IF($O282&lt;&gt;"",-TRANSPOSE(INDEX(getcds('CDO Bespoke'!$C307,T$13,'CDO Bespoke'!$G307/10000,'CDO Bespoke'!J307,'CDO Bespoke'!H307,'CDO Bespoke'!$C$13,'CDO Bespoke'!$C$14,'CDO Bespoke'!$C$15,'CDO Bespoke'!$C$8,,,TRUE,TRUE,FALSE,'CDO Bespoke'!$C$29:'CDO Bespoke'!$C$31,'CDO Bespoke'!$C$33),{5})),"")</f>
        <v/>
      </c>
      <c r="U282" s="493"/>
      <c r="V282" s="513"/>
      <c r="W282" s="572"/>
      <c r="X282" s="572"/>
      <c r="Y282" s="572"/>
      <c r="Z282" s="572"/>
      <c r="AA282" s="572"/>
      <c r="AB282" s="572"/>
      <c r="AC282" s="572"/>
      <c r="AD282" s="572"/>
      <c r="AE282" s="514"/>
    </row>
    <row r="283" spans="6:31" s="281" customFormat="1" ht="12" thickBot="1">
      <c r="F283" s="501" t="str">
        <f ca="1">IF('CDO Bespoke'!O284&lt;&gt;"",'CDO Bespoke'!O284,"")</f>
        <v/>
      </c>
      <c r="G283" s="502" t="str">
        <f ca="1">IF(F283&lt;&gt;"",ABS(MIN(-0.75*('CDO Bespoke'!Q284+'CDO Bespoke'!T284)+'CDO Bespoke'!T284,0)),"")</f>
        <v/>
      </c>
      <c r="H283" s="502" t="str">
        <f t="shared" ca="1" si="16"/>
        <v/>
      </c>
      <c r="I283" s="502" t="str">
        <f t="shared" ca="1" si="19"/>
        <v/>
      </c>
      <c r="J283" s="501" t="str">
        <f ca="1">IF('CDO Bespoke'!O284&lt;&gt;"",'CDO Bespoke'!O284,"")</f>
        <v/>
      </c>
      <c r="K283" s="502" t="str">
        <f ca="1">IF(J283&lt;&gt;"",ABS(MIN(-0.75*('CDO Bespoke'!K284+'CDO Bespoke'!T284)+'CDO Bespoke'!T284,0)),"")</f>
        <v/>
      </c>
      <c r="L283" s="502" t="str">
        <f t="shared" ca="1" si="17"/>
        <v/>
      </c>
      <c r="M283" s="506" t="str">
        <f t="shared" ca="1" si="18"/>
        <v/>
      </c>
      <c r="O283" s="511" t="str">
        <f ca="1">IF('CDO Bespoke'!C308&lt;&gt;"",'CDO Bespoke'!C308,"")</f>
        <v/>
      </c>
      <c r="P283" s="513" t="str" cm="1">
        <f t="array" aca="1" ref="P283" ca="1">IF($O283&lt;&gt;"",-TRANSPOSE(INDEX(getcds('CDO Bespoke'!$C308,P$13,'CDO Bespoke'!$G308/10000,'CDO Bespoke'!F308,'CDO Bespoke'!D308,'CDO Bespoke'!$C$13,'CDO Bespoke'!$C$14,'CDO Bespoke'!$C$15,'CDO Bespoke'!$C$8,,,TRUE,TRUE,FALSE,'CDO Bespoke'!$C$29:'CDO Bespoke'!$C$31,'CDO Bespoke'!$C$33),{5})),"")</f>
        <v/>
      </c>
      <c r="Q283" s="524" t="str" cm="1">
        <f t="array" aca="1" ref="Q283" ca="1">IF($O283&lt;&gt;"",-TRANSPOSE(INDEX(getcds('CDO Bespoke'!$C308,Q$13,'CDO Bespoke'!$G308/10000,'CDO Bespoke'!G308,'CDO Bespoke'!E308,'CDO Bespoke'!$C$13,'CDO Bespoke'!$C$14,'CDO Bespoke'!$C$15,'CDO Bespoke'!$C$8,,,TRUE,TRUE,FALSE,'CDO Bespoke'!$C$29:'CDO Bespoke'!$C$31,'CDO Bespoke'!$C$33),{5})),"")</f>
        <v/>
      </c>
      <c r="R283" s="524" t="str" cm="1">
        <f t="array" aca="1" ref="R283" ca="1">IF($O283&lt;&gt;"",-TRANSPOSE(INDEX(getcds('CDO Bespoke'!$C308,R$13,'CDO Bespoke'!$G308/10000,'CDO Bespoke'!H308,'CDO Bespoke'!F308,'CDO Bespoke'!$C$13,'CDO Bespoke'!$C$14,'CDO Bespoke'!$C$15,'CDO Bespoke'!$C$8,,,TRUE,TRUE,FALSE,'CDO Bespoke'!$C$29:'CDO Bespoke'!$C$31,'CDO Bespoke'!$C$33),{5})),"")</f>
        <v/>
      </c>
      <c r="S283" s="524" t="str" cm="1">
        <f t="array" aca="1" ref="S283" ca="1">IF($O283&lt;&gt;"",-TRANSPOSE(INDEX(getcds('CDO Bespoke'!$C308,S$13,'CDO Bespoke'!$G308/10000,'CDO Bespoke'!I308,'CDO Bespoke'!G308,'CDO Bespoke'!$C$13,'CDO Bespoke'!$C$14,'CDO Bespoke'!$C$15,'CDO Bespoke'!$C$8,,,TRUE,TRUE,FALSE,'CDO Bespoke'!$C$29:'CDO Bespoke'!$C$31,'CDO Bespoke'!$C$33),{5})),"")</f>
        <v/>
      </c>
      <c r="T283" s="514" t="str" cm="1">
        <f t="array" aca="1" ref="T283" ca="1">IF($O283&lt;&gt;"",-TRANSPOSE(INDEX(getcds('CDO Bespoke'!$C308,T$13,'CDO Bespoke'!$G308/10000,'CDO Bespoke'!J308,'CDO Bespoke'!H308,'CDO Bespoke'!$C$13,'CDO Bespoke'!$C$14,'CDO Bespoke'!$C$15,'CDO Bespoke'!$C$8,,,TRUE,TRUE,FALSE,'CDO Bespoke'!$C$29:'CDO Bespoke'!$C$31,'CDO Bespoke'!$C$33),{5})),"")</f>
        <v/>
      </c>
      <c r="U283" s="493"/>
      <c r="V283" s="513"/>
      <c r="W283" s="572"/>
      <c r="X283" s="572"/>
      <c r="Y283" s="572"/>
      <c r="Z283" s="572"/>
      <c r="AA283" s="572"/>
      <c r="AB283" s="572"/>
      <c r="AC283" s="572"/>
      <c r="AD283" s="572"/>
      <c r="AE283" s="514"/>
    </row>
    <row r="284" spans="6:31" s="281" customFormat="1" ht="12" thickBot="1">
      <c r="F284" s="501" t="str">
        <f ca="1">IF('CDO Bespoke'!O285&lt;&gt;"",'CDO Bespoke'!O285,"")</f>
        <v/>
      </c>
      <c r="G284" s="502" t="str">
        <f ca="1">IF(F284&lt;&gt;"",ABS(MIN(-0.75*('CDO Bespoke'!Q285+'CDO Bespoke'!T285)+'CDO Bespoke'!T285,0)),"")</f>
        <v/>
      </c>
      <c r="H284" s="502" t="str">
        <f t="shared" ca="1" si="16"/>
        <v/>
      </c>
      <c r="I284" s="502" t="str">
        <f t="shared" ca="1" si="19"/>
        <v/>
      </c>
      <c r="J284" s="501" t="str">
        <f ca="1">IF('CDO Bespoke'!O285&lt;&gt;"",'CDO Bespoke'!O285,"")</f>
        <v/>
      </c>
      <c r="K284" s="502" t="str">
        <f ca="1">IF(J284&lt;&gt;"",ABS(MIN(-0.75*('CDO Bespoke'!K285+'CDO Bespoke'!T285)+'CDO Bespoke'!T285,0)),"")</f>
        <v/>
      </c>
      <c r="L284" s="502" t="str">
        <f t="shared" ca="1" si="17"/>
        <v/>
      </c>
      <c r="M284" s="506" t="str">
        <f t="shared" ca="1" si="18"/>
        <v/>
      </c>
      <c r="O284" s="511" t="str">
        <f ca="1">IF('CDO Bespoke'!C309&lt;&gt;"",'CDO Bespoke'!C309,"")</f>
        <v/>
      </c>
      <c r="P284" s="513" t="str" cm="1">
        <f t="array" aca="1" ref="P284" ca="1">IF($O284&lt;&gt;"",-TRANSPOSE(INDEX(getcds('CDO Bespoke'!$C309,P$13,'CDO Bespoke'!$G309/10000,'CDO Bespoke'!F309,'CDO Bespoke'!D309,'CDO Bespoke'!$C$13,'CDO Bespoke'!$C$14,'CDO Bespoke'!$C$15,'CDO Bespoke'!$C$8,,,TRUE,TRUE,FALSE,'CDO Bespoke'!$C$29:'CDO Bespoke'!$C$31,'CDO Bespoke'!$C$33),{5})),"")</f>
        <v/>
      </c>
      <c r="Q284" s="524" t="str" cm="1">
        <f t="array" aca="1" ref="Q284" ca="1">IF($O284&lt;&gt;"",-TRANSPOSE(INDEX(getcds('CDO Bespoke'!$C309,Q$13,'CDO Bespoke'!$G309/10000,'CDO Bespoke'!G309,'CDO Bespoke'!E309,'CDO Bespoke'!$C$13,'CDO Bespoke'!$C$14,'CDO Bespoke'!$C$15,'CDO Bespoke'!$C$8,,,TRUE,TRUE,FALSE,'CDO Bespoke'!$C$29:'CDO Bespoke'!$C$31,'CDO Bespoke'!$C$33),{5})),"")</f>
        <v/>
      </c>
      <c r="R284" s="524" t="str" cm="1">
        <f t="array" aca="1" ref="R284" ca="1">IF($O284&lt;&gt;"",-TRANSPOSE(INDEX(getcds('CDO Bespoke'!$C309,R$13,'CDO Bespoke'!$G309/10000,'CDO Bespoke'!H309,'CDO Bespoke'!F309,'CDO Bespoke'!$C$13,'CDO Bespoke'!$C$14,'CDO Bespoke'!$C$15,'CDO Bespoke'!$C$8,,,TRUE,TRUE,FALSE,'CDO Bespoke'!$C$29:'CDO Bespoke'!$C$31,'CDO Bespoke'!$C$33),{5})),"")</f>
        <v/>
      </c>
      <c r="S284" s="524" t="str" cm="1">
        <f t="array" aca="1" ref="S284" ca="1">IF($O284&lt;&gt;"",-TRANSPOSE(INDEX(getcds('CDO Bespoke'!$C309,S$13,'CDO Bespoke'!$G309/10000,'CDO Bespoke'!I309,'CDO Bespoke'!G309,'CDO Bespoke'!$C$13,'CDO Bespoke'!$C$14,'CDO Bespoke'!$C$15,'CDO Bespoke'!$C$8,,,TRUE,TRUE,FALSE,'CDO Bespoke'!$C$29:'CDO Bespoke'!$C$31,'CDO Bespoke'!$C$33),{5})),"")</f>
        <v/>
      </c>
      <c r="T284" s="514" t="str" cm="1">
        <f t="array" aca="1" ref="T284" ca="1">IF($O284&lt;&gt;"",-TRANSPOSE(INDEX(getcds('CDO Bespoke'!$C309,T$13,'CDO Bespoke'!$G309/10000,'CDO Bespoke'!J309,'CDO Bespoke'!H309,'CDO Bespoke'!$C$13,'CDO Bespoke'!$C$14,'CDO Bespoke'!$C$15,'CDO Bespoke'!$C$8,,,TRUE,TRUE,FALSE,'CDO Bespoke'!$C$29:'CDO Bespoke'!$C$31,'CDO Bespoke'!$C$33),{5})),"")</f>
        <v/>
      </c>
      <c r="U284" s="493"/>
      <c r="V284" s="513"/>
      <c r="W284" s="572"/>
      <c r="X284" s="572"/>
      <c r="Y284" s="572"/>
      <c r="Z284" s="572"/>
      <c r="AA284" s="572"/>
      <c r="AB284" s="572"/>
      <c r="AC284" s="572"/>
      <c r="AD284" s="572"/>
      <c r="AE284" s="514"/>
    </row>
    <row r="285" spans="6:31" s="281" customFormat="1" ht="12" thickBot="1">
      <c r="F285" s="501" t="str">
        <f ca="1">IF('CDO Bespoke'!O286&lt;&gt;"",'CDO Bespoke'!O286,"")</f>
        <v/>
      </c>
      <c r="G285" s="502" t="str">
        <f ca="1">IF(F285&lt;&gt;"",ABS(MIN(-0.75*('CDO Bespoke'!Q286+'CDO Bespoke'!T286)+'CDO Bespoke'!T286,0)),"")</f>
        <v/>
      </c>
      <c r="H285" s="502" t="str">
        <f t="shared" ca="1" si="16"/>
        <v/>
      </c>
      <c r="I285" s="502" t="str">
        <f t="shared" ca="1" si="19"/>
        <v/>
      </c>
      <c r="J285" s="501" t="str">
        <f ca="1">IF('CDO Bespoke'!O286&lt;&gt;"",'CDO Bespoke'!O286,"")</f>
        <v/>
      </c>
      <c r="K285" s="502" t="str">
        <f ca="1">IF(J285&lt;&gt;"",ABS(MIN(-0.75*('CDO Bespoke'!K286+'CDO Bespoke'!T286)+'CDO Bespoke'!T286,0)),"")</f>
        <v/>
      </c>
      <c r="L285" s="502" t="str">
        <f t="shared" ca="1" si="17"/>
        <v/>
      </c>
      <c r="M285" s="506" t="str">
        <f t="shared" ca="1" si="18"/>
        <v/>
      </c>
      <c r="O285" s="511" t="str">
        <f ca="1">IF('CDO Bespoke'!C310&lt;&gt;"",'CDO Bespoke'!C310,"")</f>
        <v/>
      </c>
      <c r="P285" s="513" t="str" cm="1">
        <f t="array" aca="1" ref="P285" ca="1">IF($O285&lt;&gt;"",-TRANSPOSE(INDEX(getcds('CDO Bespoke'!$C310,P$13,'CDO Bespoke'!$G310/10000,'CDO Bespoke'!F310,'CDO Bespoke'!D310,'CDO Bespoke'!$C$13,'CDO Bespoke'!$C$14,'CDO Bespoke'!$C$15,'CDO Bespoke'!$C$8,,,TRUE,TRUE,FALSE,'CDO Bespoke'!$C$29:'CDO Bespoke'!$C$31,'CDO Bespoke'!$C$33),{5})),"")</f>
        <v/>
      </c>
      <c r="Q285" s="524" t="str" cm="1">
        <f t="array" aca="1" ref="Q285" ca="1">IF($O285&lt;&gt;"",-TRANSPOSE(INDEX(getcds('CDO Bespoke'!$C310,Q$13,'CDO Bespoke'!$G310/10000,'CDO Bespoke'!G310,'CDO Bespoke'!E310,'CDO Bespoke'!$C$13,'CDO Bespoke'!$C$14,'CDO Bespoke'!$C$15,'CDO Bespoke'!$C$8,,,TRUE,TRUE,FALSE,'CDO Bespoke'!$C$29:'CDO Bespoke'!$C$31,'CDO Bespoke'!$C$33),{5})),"")</f>
        <v/>
      </c>
      <c r="R285" s="524" t="str" cm="1">
        <f t="array" aca="1" ref="R285" ca="1">IF($O285&lt;&gt;"",-TRANSPOSE(INDEX(getcds('CDO Bespoke'!$C310,R$13,'CDO Bespoke'!$G310/10000,'CDO Bespoke'!H310,'CDO Bespoke'!F310,'CDO Bespoke'!$C$13,'CDO Bespoke'!$C$14,'CDO Bespoke'!$C$15,'CDO Bespoke'!$C$8,,,TRUE,TRUE,FALSE,'CDO Bespoke'!$C$29:'CDO Bespoke'!$C$31,'CDO Bespoke'!$C$33),{5})),"")</f>
        <v/>
      </c>
      <c r="S285" s="524" t="str" cm="1">
        <f t="array" aca="1" ref="S285" ca="1">IF($O285&lt;&gt;"",-TRANSPOSE(INDEX(getcds('CDO Bespoke'!$C310,S$13,'CDO Bespoke'!$G310/10000,'CDO Bespoke'!I310,'CDO Bespoke'!G310,'CDO Bespoke'!$C$13,'CDO Bespoke'!$C$14,'CDO Bespoke'!$C$15,'CDO Bespoke'!$C$8,,,TRUE,TRUE,FALSE,'CDO Bespoke'!$C$29:'CDO Bespoke'!$C$31,'CDO Bespoke'!$C$33),{5})),"")</f>
        <v/>
      </c>
      <c r="T285" s="514" t="str" cm="1">
        <f t="array" aca="1" ref="T285" ca="1">IF($O285&lt;&gt;"",-TRANSPOSE(INDEX(getcds('CDO Bespoke'!$C310,T$13,'CDO Bespoke'!$G310/10000,'CDO Bespoke'!J310,'CDO Bespoke'!H310,'CDO Bespoke'!$C$13,'CDO Bespoke'!$C$14,'CDO Bespoke'!$C$15,'CDO Bespoke'!$C$8,,,TRUE,TRUE,FALSE,'CDO Bespoke'!$C$29:'CDO Bespoke'!$C$31,'CDO Bespoke'!$C$33),{5})),"")</f>
        <v/>
      </c>
      <c r="U285" s="493"/>
      <c r="V285" s="513"/>
      <c r="W285" s="572"/>
      <c r="X285" s="572"/>
      <c r="Y285" s="572"/>
      <c r="Z285" s="572"/>
      <c r="AA285" s="572"/>
      <c r="AB285" s="572"/>
      <c r="AC285" s="572"/>
      <c r="AD285" s="572"/>
      <c r="AE285" s="514"/>
    </row>
    <row r="286" spans="6:31" s="281" customFormat="1" ht="12" thickBot="1">
      <c r="F286" s="501" t="str">
        <f ca="1">IF('CDO Bespoke'!O287&lt;&gt;"",'CDO Bespoke'!O287,"")</f>
        <v/>
      </c>
      <c r="G286" s="502" t="str">
        <f ca="1">IF(F286&lt;&gt;"",ABS(MIN(-0.75*('CDO Bespoke'!Q287+'CDO Bespoke'!T287)+'CDO Bespoke'!T287,0)),"")</f>
        <v/>
      </c>
      <c r="H286" s="502" t="str">
        <f t="shared" ca="1" si="16"/>
        <v/>
      </c>
      <c r="I286" s="502" t="str">
        <f t="shared" ca="1" si="19"/>
        <v/>
      </c>
      <c r="J286" s="501" t="str">
        <f ca="1">IF('CDO Bespoke'!O287&lt;&gt;"",'CDO Bespoke'!O287,"")</f>
        <v/>
      </c>
      <c r="K286" s="502" t="str">
        <f ca="1">IF(J286&lt;&gt;"",ABS(MIN(-0.75*('CDO Bespoke'!K287+'CDO Bespoke'!T287)+'CDO Bespoke'!T287,0)),"")</f>
        <v/>
      </c>
      <c r="L286" s="502" t="str">
        <f t="shared" ca="1" si="17"/>
        <v/>
      </c>
      <c r="M286" s="506" t="str">
        <f t="shared" ca="1" si="18"/>
        <v/>
      </c>
      <c r="O286" s="511" t="str">
        <f ca="1">IF('CDO Bespoke'!C311&lt;&gt;"",'CDO Bespoke'!C311,"")</f>
        <v/>
      </c>
      <c r="P286" s="513" t="str" cm="1">
        <f t="array" aca="1" ref="P286" ca="1">IF($O286&lt;&gt;"",-TRANSPOSE(INDEX(getcds('CDO Bespoke'!$C311,P$13,'CDO Bespoke'!$G311/10000,'CDO Bespoke'!F311,'CDO Bespoke'!D311,'CDO Bespoke'!$C$13,'CDO Bespoke'!$C$14,'CDO Bespoke'!$C$15,'CDO Bespoke'!$C$8,,,TRUE,TRUE,FALSE,'CDO Bespoke'!$C$29:'CDO Bespoke'!$C$31,'CDO Bespoke'!$C$33),{5})),"")</f>
        <v/>
      </c>
      <c r="Q286" s="524" t="str" cm="1">
        <f t="array" aca="1" ref="Q286" ca="1">IF($O286&lt;&gt;"",-TRANSPOSE(INDEX(getcds('CDO Bespoke'!$C311,Q$13,'CDO Bespoke'!$G311/10000,'CDO Bespoke'!G311,'CDO Bespoke'!E311,'CDO Bespoke'!$C$13,'CDO Bespoke'!$C$14,'CDO Bespoke'!$C$15,'CDO Bespoke'!$C$8,,,TRUE,TRUE,FALSE,'CDO Bespoke'!$C$29:'CDO Bespoke'!$C$31,'CDO Bespoke'!$C$33),{5})),"")</f>
        <v/>
      </c>
      <c r="R286" s="524" t="str" cm="1">
        <f t="array" aca="1" ref="R286" ca="1">IF($O286&lt;&gt;"",-TRANSPOSE(INDEX(getcds('CDO Bespoke'!$C311,R$13,'CDO Bespoke'!$G311/10000,'CDO Bespoke'!H311,'CDO Bespoke'!F311,'CDO Bespoke'!$C$13,'CDO Bespoke'!$C$14,'CDO Bespoke'!$C$15,'CDO Bespoke'!$C$8,,,TRUE,TRUE,FALSE,'CDO Bespoke'!$C$29:'CDO Bespoke'!$C$31,'CDO Bespoke'!$C$33),{5})),"")</f>
        <v/>
      </c>
      <c r="S286" s="524" t="str" cm="1">
        <f t="array" aca="1" ref="S286" ca="1">IF($O286&lt;&gt;"",-TRANSPOSE(INDEX(getcds('CDO Bespoke'!$C311,S$13,'CDO Bespoke'!$G311/10000,'CDO Bespoke'!I311,'CDO Bespoke'!G311,'CDO Bespoke'!$C$13,'CDO Bespoke'!$C$14,'CDO Bespoke'!$C$15,'CDO Bespoke'!$C$8,,,TRUE,TRUE,FALSE,'CDO Bespoke'!$C$29:'CDO Bespoke'!$C$31,'CDO Bespoke'!$C$33),{5})),"")</f>
        <v/>
      </c>
      <c r="T286" s="514" t="str" cm="1">
        <f t="array" aca="1" ref="T286" ca="1">IF($O286&lt;&gt;"",-TRANSPOSE(INDEX(getcds('CDO Bespoke'!$C311,T$13,'CDO Bespoke'!$G311/10000,'CDO Bespoke'!J311,'CDO Bespoke'!H311,'CDO Bespoke'!$C$13,'CDO Bespoke'!$C$14,'CDO Bespoke'!$C$15,'CDO Bespoke'!$C$8,,,TRUE,TRUE,FALSE,'CDO Bespoke'!$C$29:'CDO Bespoke'!$C$31,'CDO Bespoke'!$C$33),{5})),"")</f>
        <v/>
      </c>
      <c r="U286" s="493"/>
      <c r="V286" s="513"/>
      <c r="W286" s="572"/>
      <c r="X286" s="572"/>
      <c r="Y286" s="572"/>
      <c r="Z286" s="572"/>
      <c r="AA286" s="572"/>
      <c r="AB286" s="572"/>
      <c r="AC286" s="572"/>
      <c r="AD286" s="572"/>
      <c r="AE286" s="514"/>
    </row>
    <row r="287" spans="6:31" s="281" customFormat="1" ht="12" thickBot="1">
      <c r="F287" s="501" t="str">
        <f ca="1">IF('CDO Bespoke'!O288&lt;&gt;"",'CDO Bespoke'!O288,"")</f>
        <v/>
      </c>
      <c r="G287" s="502" t="str">
        <f ca="1">IF(F287&lt;&gt;"",ABS(MIN(-0.75*('CDO Bespoke'!Q288+'CDO Bespoke'!T288)+'CDO Bespoke'!T288,0)),"")</f>
        <v/>
      </c>
      <c r="H287" s="502" t="str">
        <f t="shared" ca="1" si="16"/>
        <v/>
      </c>
      <c r="I287" s="502" t="str">
        <f t="shared" ca="1" si="19"/>
        <v/>
      </c>
      <c r="J287" s="501" t="str">
        <f ca="1">IF('CDO Bespoke'!O288&lt;&gt;"",'CDO Bespoke'!O288,"")</f>
        <v/>
      </c>
      <c r="K287" s="502" t="str">
        <f ca="1">IF(J287&lt;&gt;"",ABS(MIN(-0.75*('CDO Bespoke'!K288+'CDO Bespoke'!T288)+'CDO Bespoke'!T288,0)),"")</f>
        <v/>
      </c>
      <c r="L287" s="502" t="str">
        <f t="shared" ca="1" si="17"/>
        <v/>
      </c>
      <c r="M287" s="506" t="str">
        <f t="shared" ca="1" si="18"/>
        <v/>
      </c>
      <c r="O287" s="511" t="str">
        <f ca="1">IF('CDO Bespoke'!C312&lt;&gt;"",'CDO Bespoke'!C312,"")</f>
        <v/>
      </c>
      <c r="P287" s="513" t="str" cm="1">
        <f t="array" aca="1" ref="P287" ca="1">IF($O287&lt;&gt;"",-TRANSPOSE(INDEX(getcds('CDO Bespoke'!$C312,P$13,'CDO Bespoke'!$G312/10000,'CDO Bespoke'!F312,'CDO Bespoke'!D312,'CDO Bespoke'!$C$13,'CDO Bespoke'!$C$14,'CDO Bespoke'!$C$15,'CDO Bespoke'!$C$8,,,TRUE,TRUE,FALSE,'CDO Bespoke'!$C$29:'CDO Bespoke'!$C$31,'CDO Bespoke'!$C$33),{5})),"")</f>
        <v/>
      </c>
      <c r="Q287" s="524" t="str" cm="1">
        <f t="array" aca="1" ref="Q287" ca="1">IF($O287&lt;&gt;"",-TRANSPOSE(INDEX(getcds('CDO Bespoke'!$C312,Q$13,'CDO Bespoke'!$G312/10000,'CDO Bespoke'!G312,'CDO Bespoke'!E312,'CDO Bespoke'!$C$13,'CDO Bespoke'!$C$14,'CDO Bespoke'!$C$15,'CDO Bespoke'!$C$8,,,TRUE,TRUE,FALSE,'CDO Bespoke'!$C$29:'CDO Bespoke'!$C$31,'CDO Bespoke'!$C$33),{5})),"")</f>
        <v/>
      </c>
      <c r="R287" s="524" t="str" cm="1">
        <f t="array" aca="1" ref="R287" ca="1">IF($O287&lt;&gt;"",-TRANSPOSE(INDEX(getcds('CDO Bespoke'!$C312,R$13,'CDO Bespoke'!$G312/10000,'CDO Bespoke'!H312,'CDO Bespoke'!F312,'CDO Bespoke'!$C$13,'CDO Bespoke'!$C$14,'CDO Bespoke'!$C$15,'CDO Bespoke'!$C$8,,,TRUE,TRUE,FALSE,'CDO Bespoke'!$C$29:'CDO Bespoke'!$C$31,'CDO Bespoke'!$C$33),{5})),"")</f>
        <v/>
      </c>
      <c r="S287" s="524" t="str" cm="1">
        <f t="array" aca="1" ref="S287" ca="1">IF($O287&lt;&gt;"",-TRANSPOSE(INDEX(getcds('CDO Bespoke'!$C312,S$13,'CDO Bespoke'!$G312/10000,'CDO Bespoke'!I312,'CDO Bespoke'!G312,'CDO Bespoke'!$C$13,'CDO Bespoke'!$C$14,'CDO Bespoke'!$C$15,'CDO Bespoke'!$C$8,,,TRUE,TRUE,FALSE,'CDO Bespoke'!$C$29:'CDO Bespoke'!$C$31,'CDO Bespoke'!$C$33),{5})),"")</f>
        <v/>
      </c>
      <c r="T287" s="514" t="str" cm="1">
        <f t="array" aca="1" ref="T287" ca="1">IF($O287&lt;&gt;"",-TRANSPOSE(INDEX(getcds('CDO Bespoke'!$C312,T$13,'CDO Bespoke'!$G312/10000,'CDO Bespoke'!J312,'CDO Bespoke'!H312,'CDO Bespoke'!$C$13,'CDO Bespoke'!$C$14,'CDO Bespoke'!$C$15,'CDO Bespoke'!$C$8,,,TRUE,TRUE,FALSE,'CDO Bespoke'!$C$29:'CDO Bespoke'!$C$31,'CDO Bespoke'!$C$33),{5})),"")</f>
        <v/>
      </c>
      <c r="U287" s="493"/>
      <c r="V287" s="513"/>
      <c r="W287" s="572"/>
      <c r="X287" s="572"/>
      <c r="Y287" s="572"/>
      <c r="Z287" s="572"/>
      <c r="AA287" s="572"/>
      <c r="AB287" s="572"/>
      <c r="AC287" s="572"/>
      <c r="AD287" s="572"/>
      <c r="AE287" s="514"/>
    </row>
    <row r="288" spans="6:31" s="281" customFormat="1" ht="12" thickBot="1">
      <c r="F288" s="501" t="str">
        <f ca="1">IF('CDO Bespoke'!O289&lt;&gt;"",'CDO Bespoke'!O289,"")</f>
        <v/>
      </c>
      <c r="G288" s="502" t="str">
        <f ca="1">IF(F288&lt;&gt;"",ABS(MIN(-0.75*('CDO Bespoke'!Q289+'CDO Bespoke'!T289)+'CDO Bespoke'!T289,0)),"")</f>
        <v/>
      </c>
      <c r="H288" s="502" t="str">
        <f t="shared" ca="1" si="16"/>
        <v/>
      </c>
      <c r="I288" s="502" t="str">
        <f t="shared" ca="1" si="19"/>
        <v/>
      </c>
      <c r="J288" s="501" t="str">
        <f ca="1">IF('CDO Bespoke'!O289&lt;&gt;"",'CDO Bespoke'!O289,"")</f>
        <v/>
      </c>
      <c r="K288" s="502" t="str">
        <f ca="1">IF(J288&lt;&gt;"",ABS(MIN(-0.75*('CDO Bespoke'!K289+'CDO Bespoke'!T289)+'CDO Bespoke'!T289,0)),"")</f>
        <v/>
      </c>
      <c r="L288" s="502" t="str">
        <f t="shared" ca="1" si="17"/>
        <v/>
      </c>
      <c r="M288" s="506" t="str">
        <f t="shared" ca="1" si="18"/>
        <v/>
      </c>
      <c r="O288" s="511" t="str">
        <f ca="1">IF('CDO Bespoke'!C313&lt;&gt;"",'CDO Bespoke'!C313,"")</f>
        <v/>
      </c>
      <c r="P288" s="513" t="str" cm="1">
        <f t="array" aca="1" ref="P288" ca="1">IF($O288&lt;&gt;"",-TRANSPOSE(INDEX(getcds('CDO Bespoke'!$C313,P$13,'CDO Bespoke'!$G313/10000,'CDO Bespoke'!F313,'CDO Bespoke'!D313,'CDO Bespoke'!$C$13,'CDO Bespoke'!$C$14,'CDO Bespoke'!$C$15,'CDO Bespoke'!$C$8,,,TRUE,TRUE,FALSE,'CDO Bespoke'!$C$29:'CDO Bespoke'!$C$31,'CDO Bespoke'!$C$33),{5})),"")</f>
        <v/>
      </c>
      <c r="Q288" s="524" t="str" cm="1">
        <f t="array" aca="1" ref="Q288" ca="1">IF($O288&lt;&gt;"",-TRANSPOSE(INDEX(getcds('CDO Bespoke'!$C313,Q$13,'CDO Bespoke'!$G313/10000,'CDO Bespoke'!G313,'CDO Bespoke'!E313,'CDO Bespoke'!$C$13,'CDO Bespoke'!$C$14,'CDO Bespoke'!$C$15,'CDO Bespoke'!$C$8,,,TRUE,TRUE,FALSE,'CDO Bespoke'!$C$29:'CDO Bespoke'!$C$31,'CDO Bespoke'!$C$33),{5})),"")</f>
        <v/>
      </c>
      <c r="R288" s="524" t="str" cm="1">
        <f t="array" aca="1" ref="R288" ca="1">IF($O288&lt;&gt;"",-TRANSPOSE(INDEX(getcds('CDO Bespoke'!$C313,R$13,'CDO Bespoke'!$G313/10000,'CDO Bespoke'!H313,'CDO Bespoke'!F313,'CDO Bespoke'!$C$13,'CDO Bespoke'!$C$14,'CDO Bespoke'!$C$15,'CDO Bespoke'!$C$8,,,TRUE,TRUE,FALSE,'CDO Bespoke'!$C$29:'CDO Bespoke'!$C$31,'CDO Bespoke'!$C$33),{5})),"")</f>
        <v/>
      </c>
      <c r="S288" s="524" t="str" cm="1">
        <f t="array" aca="1" ref="S288" ca="1">IF($O288&lt;&gt;"",-TRANSPOSE(INDEX(getcds('CDO Bespoke'!$C313,S$13,'CDO Bespoke'!$G313/10000,'CDO Bespoke'!I313,'CDO Bespoke'!G313,'CDO Bespoke'!$C$13,'CDO Bespoke'!$C$14,'CDO Bespoke'!$C$15,'CDO Bespoke'!$C$8,,,TRUE,TRUE,FALSE,'CDO Bespoke'!$C$29:'CDO Bespoke'!$C$31,'CDO Bespoke'!$C$33),{5})),"")</f>
        <v/>
      </c>
      <c r="T288" s="514" t="str" cm="1">
        <f t="array" aca="1" ref="T288" ca="1">IF($O288&lt;&gt;"",-TRANSPOSE(INDEX(getcds('CDO Bespoke'!$C313,T$13,'CDO Bespoke'!$G313/10000,'CDO Bespoke'!J313,'CDO Bespoke'!H313,'CDO Bespoke'!$C$13,'CDO Bespoke'!$C$14,'CDO Bespoke'!$C$15,'CDO Bespoke'!$C$8,,,TRUE,TRUE,FALSE,'CDO Bespoke'!$C$29:'CDO Bespoke'!$C$31,'CDO Bespoke'!$C$33),{5})),"")</f>
        <v/>
      </c>
      <c r="U288" s="493"/>
      <c r="V288" s="513"/>
      <c r="W288" s="572"/>
      <c r="X288" s="572"/>
      <c r="Y288" s="572"/>
      <c r="Z288" s="572"/>
      <c r="AA288" s="572"/>
      <c r="AB288" s="572"/>
      <c r="AC288" s="572"/>
      <c r="AD288" s="572"/>
      <c r="AE288" s="514"/>
    </row>
    <row r="289" spans="6:31" s="281" customFormat="1" ht="12" thickBot="1">
      <c r="F289" s="501" t="str">
        <f ca="1">IF('CDO Bespoke'!O290&lt;&gt;"",'CDO Bespoke'!O290,"")</f>
        <v/>
      </c>
      <c r="G289" s="502" t="str">
        <f ca="1">IF(F289&lt;&gt;"",ABS(MIN(-0.75*('CDO Bespoke'!Q290+'CDO Bespoke'!T290)+'CDO Bespoke'!T290,0)),"")</f>
        <v/>
      </c>
      <c r="H289" s="502" t="str">
        <f t="shared" ca="1" si="16"/>
        <v/>
      </c>
      <c r="I289" s="502" t="str">
        <f t="shared" ca="1" si="19"/>
        <v/>
      </c>
      <c r="J289" s="501" t="str">
        <f ca="1">IF('CDO Bespoke'!O290&lt;&gt;"",'CDO Bespoke'!O290,"")</f>
        <v/>
      </c>
      <c r="K289" s="502" t="str">
        <f ca="1">IF(J289&lt;&gt;"",ABS(MIN(-0.75*('CDO Bespoke'!K290+'CDO Bespoke'!T290)+'CDO Bespoke'!T290,0)),"")</f>
        <v/>
      </c>
      <c r="L289" s="502" t="str">
        <f t="shared" ca="1" si="17"/>
        <v/>
      </c>
      <c r="M289" s="506" t="str">
        <f t="shared" ca="1" si="18"/>
        <v/>
      </c>
      <c r="O289" s="511" t="str">
        <f ca="1">IF('CDO Bespoke'!C314&lt;&gt;"",'CDO Bespoke'!C314,"")</f>
        <v/>
      </c>
      <c r="P289" s="513" t="str" cm="1">
        <f t="array" aca="1" ref="P289" ca="1">IF($O289&lt;&gt;"",-TRANSPOSE(INDEX(getcds('CDO Bespoke'!$C314,P$13,'CDO Bespoke'!$G314/10000,'CDO Bespoke'!F314,'CDO Bespoke'!D314,'CDO Bespoke'!$C$13,'CDO Bespoke'!$C$14,'CDO Bespoke'!$C$15,'CDO Bespoke'!$C$8,,,TRUE,TRUE,FALSE,'CDO Bespoke'!$C$29:'CDO Bespoke'!$C$31,'CDO Bespoke'!$C$33),{5})),"")</f>
        <v/>
      </c>
      <c r="Q289" s="524" t="str" cm="1">
        <f t="array" aca="1" ref="Q289" ca="1">IF($O289&lt;&gt;"",-TRANSPOSE(INDEX(getcds('CDO Bespoke'!$C314,Q$13,'CDO Bespoke'!$G314/10000,'CDO Bespoke'!G314,'CDO Bespoke'!E314,'CDO Bespoke'!$C$13,'CDO Bespoke'!$C$14,'CDO Bespoke'!$C$15,'CDO Bespoke'!$C$8,,,TRUE,TRUE,FALSE,'CDO Bespoke'!$C$29:'CDO Bespoke'!$C$31,'CDO Bespoke'!$C$33),{5})),"")</f>
        <v/>
      </c>
      <c r="R289" s="524" t="str" cm="1">
        <f t="array" aca="1" ref="R289" ca="1">IF($O289&lt;&gt;"",-TRANSPOSE(INDEX(getcds('CDO Bespoke'!$C314,R$13,'CDO Bespoke'!$G314/10000,'CDO Bespoke'!H314,'CDO Bespoke'!F314,'CDO Bespoke'!$C$13,'CDO Bespoke'!$C$14,'CDO Bespoke'!$C$15,'CDO Bespoke'!$C$8,,,TRUE,TRUE,FALSE,'CDO Bespoke'!$C$29:'CDO Bespoke'!$C$31,'CDO Bespoke'!$C$33),{5})),"")</f>
        <v/>
      </c>
      <c r="S289" s="524" t="str" cm="1">
        <f t="array" aca="1" ref="S289" ca="1">IF($O289&lt;&gt;"",-TRANSPOSE(INDEX(getcds('CDO Bespoke'!$C314,S$13,'CDO Bespoke'!$G314/10000,'CDO Bespoke'!I314,'CDO Bespoke'!G314,'CDO Bespoke'!$C$13,'CDO Bespoke'!$C$14,'CDO Bespoke'!$C$15,'CDO Bespoke'!$C$8,,,TRUE,TRUE,FALSE,'CDO Bespoke'!$C$29:'CDO Bespoke'!$C$31,'CDO Bespoke'!$C$33),{5})),"")</f>
        <v/>
      </c>
      <c r="T289" s="514" t="str" cm="1">
        <f t="array" aca="1" ref="T289" ca="1">IF($O289&lt;&gt;"",-TRANSPOSE(INDEX(getcds('CDO Bespoke'!$C314,T$13,'CDO Bespoke'!$G314/10000,'CDO Bespoke'!J314,'CDO Bespoke'!H314,'CDO Bespoke'!$C$13,'CDO Bespoke'!$C$14,'CDO Bespoke'!$C$15,'CDO Bespoke'!$C$8,,,TRUE,TRUE,FALSE,'CDO Bespoke'!$C$29:'CDO Bespoke'!$C$31,'CDO Bespoke'!$C$33),{5})),"")</f>
        <v/>
      </c>
      <c r="U289" s="493"/>
      <c r="V289" s="513"/>
      <c r="W289" s="572"/>
      <c r="X289" s="572"/>
      <c r="Y289" s="572"/>
      <c r="Z289" s="572"/>
      <c r="AA289" s="572"/>
      <c r="AB289" s="572"/>
      <c r="AC289" s="572"/>
      <c r="AD289" s="572"/>
      <c r="AE289" s="514"/>
    </row>
    <row r="290" spans="6:31" s="281" customFormat="1" ht="12" thickBot="1">
      <c r="F290" s="501" t="str">
        <f ca="1">IF('CDO Bespoke'!O291&lt;&gt;"",'CDO Bespoke'!O291,"")</f>
        <v/>
      </c>
      <c r="G290" s="502" t="str">
        <f ca="1">IF(F290&lt;&gt;"",ABS(MIN(-0.75*('CDO Bespoke'!Q291+'CDO Bespoke'!T291)+'CDO Bespoke'!T291,0)),"")</f>
        <v/>
      </c>
      <c r="H290" s="502" t="str">
        <f t="shared" ca="1" si="16"/>
        <v/>
      </c>
      <c r="I290" s="502" t="str">
        <f t="shared" ca="1" si="19"/>
        <v/>
      </c>
      <c r="J290" s="501" t="str">
        <f ca="1">IF('CDO Bespoke'!O291&lt;&gt;"",'CDO Bespoke'!O291,"")</f>
        <v/>
      </c>
      <c r="K290" s="502" t="str">
        <f ca="1">IF(J290&lt;&gt;"",ABS(MIN(-0.75*('CDO Bespoke'!K291+'CDO Bespoke'!T291)+'CDO Bespoke'!T291,0)),"")</f>
        <v/>
      </c>
      <c r="L290" s="502" t="str">
        <f t="shared" ca="1" si="17"/>
        <v/>
      </c>
      <c r="M290" s="506" t="str">
        <f t="shared" ca="1" si="18"/>
        <v/>
      </c>
      <c r="O290" s="511" t="str">
        <f ca="1">IF('CDO Bespoke'!C315&lt;&gt;"",'CDO Bespoke'!C315,"")</f>
        <v/>
      </c>
      <c r="P290" s="513" t="str" cm="1">
        <f t="array" aca="1" ref="P290" ca="1">IF($O290&lt;&gt;"",-TRANSPOSE(INDEX(getcds('CDO Bespoke'!$C315,P$13,'CDO Bespoke'!$G315/10000,'CDO Bespoke'!F315,'CDO Bespoke'!D315,'CDO Bespoke'!$C$13,'CDO Bespoke'!$C$14,'CDO Bespoke'!$C$15,'CDO Bespoke'!$C$8,,,TRUE,TRUE,FALSE,'CDO Bespoke'!$C$29:'CDO Bespoke'!$C$31,'CDO Bespoke'!$C$33),{5})),"")</f>
        <v/>
      </c>
      <c r="Q290" s="524" t="str" cm="1">
        <f t="array" aca="1" ref="Q290" ca="1">IF($O290&lt;&gt;"",-TRANSPOSE(INDEX(getcds('CDO Bespoke'!$C315,Q$13,'CDO Bespoke'!$G315/10000,'CDO Bespoke'!G315,'CDO Bespoke'!E315,'CDO Bespoke'!$C$13,'CDO Bespoke'!$C$14,'CDO Bespoke'!$C$15,'CDO Bespoke'!$C$8,,,TRUE,TRUE,FALSE,'CDO Bespoke'!$C$29:'CDO Bespoke'!$C$31,'CDO Bespoke'!$C$33),{5})),"")</f>
        <v/>
      </c>
      <c r="R290" s="524" t="str" cm="1">
        <f t="array" aca="1" ref="R290" ca="1">IF($O290&lt;&gt;"",-TRANSPOSE(INDEX(getcds('CDO Bespoke'!$C315,R$13,'CDO Bespoke'!$G315/10000,'CDO Bespoke'!H315,'CDO Bespoke'!F315,'CDO Bespoke'!$C$13,'CDO Bespoke'!$C$14,'CDO Bespoke'!$C$15,'CDO Bespoke'!$C$8,,,TRUE,TRUE,FALSE,'CDO Bespoke'!$C$29:'CDO Bespoke'!$C$31,'CDO Bespoke'!$C$33),{5})),"")</f>
        <v/>
      </c>
      <c r="S290" s="524" t="str" cm="1">
        <f t="array" aca="1" ref="S290" ca="1">IF($O290&lt;&gt;"",-TRANSPOSE(INDEX(getcds('CDO Bespoke'!$C315,S$13,'CDO Bespoke'!$G315/10000,'CDO Bespoke'!I315,'CDO Bespoke'!G315,'CDO Bespoke'!$C$13,'CDO Bespoke'!$C$14,'CDO Bespoke'!$C$15,'CDO Bespoke'!$C$8,,,TRUE,TRUE,FALSE,'CDO Bespoke'!$C$29:'CDO Bespoke'!$C$31,'CDO Bespoke'!$C$33),{5})),"")</f>
        <v/>
      </c>
      <c r="T290" s="514" t="str" cm="1">
        <f t="array" aca="1" ref="T290" ca="1">IF($O290&lt;&gt;"",-TRANSPOSE(INDEX(getcds('CDO Bespoke'!$C315,T$13,'CDO Bespoke'!$G315/10000,'CDO Bespoke'!J315,'CDO Bespoke'!H315,'CDO Bespoke'!$C$13,'CDO Bespoke'!$C$14,'CDO Bespoke'!$C$15,'CDO Bespoke'!$C$8,,,TRUE,TRUE,FALSE,'CDO Bespoke'!$C$29:'CDO Bespoke'!$C$31,'CDO Bespoke'!$C$33),{5})),"")</f>
        <v/>
      </c>
      <c r="U290" s="493"/>
      <c r="V290" s="513"/>
      <c r="W290" s="572"/>
      <c r="X290" s="572"/>
      <c r="Y290" s="572"/>
      <c r="Z290" s="572"/>
      <c r="AA290" s="572"/>
      <c r="AB290" s="572"/>
      <c r="AC290" s="572"/>
      <c r="AD290" s="572"/>
      <c r="AE290" s="514"/>
    </row>
    <row r="291" spans="6:31" s="281" customFormat="1" ht="12" thickBot="1">
      <c r="F291" s="501" t="str">
        <f ca="1">IF('CDO Bespoke'!O292&lt;&gt;"",'CDO Bespoke'!O292,"")</f>
        <v/>
      </c>
      <c r="G291" s="502" t="str">
        <f ca="1">IF(F291&lt;&gt;"",ABS(MIN(-0.75*('CDO Bespoke'!Q292+'CDO Bespoke'!T292)+'CDO Bespoke'!T292,0)),"")</f>
        <v/>
      </c>
      <c r="H291" s="502" t="str">
        <f t="shared" ca="1" si="16"/>
        <v/>
      </c>
      <c r="I291" s="502" t="str">
        <f t="shared" ca="1" si="19"/>
        <v/>
      </c>
      <c r="J291" s="501" t="str">
        <f ca="1">IF('CDO Bespoke'!O292&lt;&gt;"",'CDO Bespoke'!O292,"")</f>
        <v/>
      </c>
      <c r="K291" s="502" t="str">
        <f ca="1">IF(J291&lt;&gt;"",ABS(MIN(-0.75*('CDO Bespoke'!K292+'CDO Bespoke'!T292)+'CDO Bespoke'!T292,0)),"")</f>
        <v/>
      </c>
      <c r="L291" s="502" t="str">
        <f t="shared" ca="1" si="17"/>
        <v/>
      </c>
      <c r="M291" s="506" t="str">
        <f t="shared" ca="1" si="18"/>
        <v/>
      </c>
      <c r="O291" s="511" t="str">
        <f ca="1">IF('CDO Bespoke'!C316&lt;&gt;"",'CDO Bespoke'!C316,"")</f>
        <v/>
      </c>
      <c r="P291" s="513" t="str" cm="1">
        <f t="array" aca="1" ref="P291" ca="1">IF($O291&lt;&gt;"",-TRANSPOSE(INDEX(getcds('CDO Bespoke'!$C316,P$13,'CDO Bespoke'!$G316/10000,'CDO Bespoke'!F316,'CDO Bespoke'!D316,'CDO Bespoke'!$C$13,'CDO Bespoke'!$C$14,'CDO Bespoke'!$C$15,'CDO Bespoke'!$C$8,,,TRUE,TRUE,FALSE,'CDO Bespoke'!$C$29:'CDO Bespoke'!$C$31,'CDO Bespoke'!$C$33),{5})),"")</f>
        <v/>
      </c>
      <c r="Q291" s="524" t="str" cm="1">
        <f t="array" aca="1" ref="Q291" ca="1">IF($O291&lt;&gt;"",-TRANSPOSE(INDEX(getcds('CDO Bespoke'!$C316,Q$13,'CDO Bespoke'!$G316/10000,'CDO Bespoke'!G316,'CDO Bespoke'!E316,'CDO Bespoke'!$C$13,'CDO Bespoke'!$C$14,'CDO Bespoke'!$C$15,'CDO Bespoke'!$C$8,,,TRUE,TRUE,FALSE,'CDO Bespoke'!$C$29:'CDO Bespoke'!$C$31,'CDO Bespoke'!$C$33),{5})),"")</f>
        <v/>
      </c>
      <c r="R291" s="524" t="str" cm="1">
        <f t="array" aca="1" ref="R291" ca="1">IF($O291&lt;&gt;"",-TRANSPOSE(INDEX(getcds('CDO Bespoke'!$C316,R$13,'CDO Bespoke'!$G316/10000,'CDO Bespoke'!H316,'CDO Bespoke'!F316,'CDO Bespoke'!$C$13,'CDO Bespoke'!$C$14,'CDO Bespoke'!$C$15,'CDO Bespoke'!$C$8,,,TRUE,TRUE,FALSE,'CDO Bespoke'!$C$29:'CDO Bespoke'!$C$31,'CDO Bespoke'!$C$33),{5})),"")</f>
        <v/>
      </c>
      <c r="S291" s="524" t="str" cm="1">
        <f t="array" aca="1" ref="S291" ca="1">IF($O291&lt;&gt;"",-TRANSPOSE(INDEX(getcds('CDO Bespoke'!$C316,S$13,'CDO Bespoke'!$G316/10000,'CDO Bespoke'!I316,'CDO Bespoke'!G316,'CDO Bespoke'!$C$13,'CDO Bespoke'!$C$14,'CDO Bespoke'!$C$15,'CDO Bespoke'!$C$8,,,TRUE,TRUE,FALSE,'CDO Bespoke'!$C$29:'CDO Bespoke'!$C$31,'CDO Bespoke'!$C$33),{5})),"")</f>
        <v/>
      </c>
      <c r="T291" s="514" t="str" cm="1">
        <f t="array" aca="1" ref="T291" ca="1">IF($O291&lt;&gt;"",-TRANSPOSE(INDEX(getcds('CDO Bespoke'!$C316,T$13,'CDO Bespoke'!$G316/10000,'CDO Bespoke'!J316,'CDO Bespoke'!H316,'CDO Bespoke'!$C$13,'CDO Bespoke'!$C$14,'CDO Bespoke'!$C$15,'CDO Bespoke'!$C$8,,,TRUE,TRUE,FALSE,'CDO Bespoke'!$C$29:'CDO Bespoke'!$C$31,'CDO Bespoke'!$C$33),{5})),"")</f>
        <v/>
      </c>
      <c r="U291" s="493"/>
      <c r="V291" s="513"/>
      <c r="W291" s="572"/>
      <c r="X291" s="572"/>
      <c r="Y291" s="572"/>
      <c r="Z291" s="572"/>
      <c r="AA291" s="572"/>
      <c r="AB291" s="572"/>
      <c r="AC291" s="572"/>
      <c r="AD291" s="572"/>
      <c r="AE291" s="514"/>
    </row>
    <row r="292" spans="6:31" s="281" customFormat="1" ht="12" thickBot="1">
      <c r="F292" s="501" t="str">
        <f ca="1">IF('CDO Bespoke'!O293&lt;&gt;"",'CDO Bespoke'!O293,"")</f>
        <v/>
      </c>
      <c r="G292" s="502" t="str">
        <f ca="1">IF(F292&lt;&gt;"",ABS(MIN(-0.75*('CDO Bespoke'!Q293+'CDO Bespoke'!T293)+'CDO Bespoke'!T293,0)),"")</f>
        <v/>
      </c>
      <c r="H292" s="502" t="str">
        <f t="shared" ca="1" si="16"/>
        <v/>
      </c>
      <c r="I292" s="502" t="str">
        <f t="shared" ca="1" si="19"/>
        <v/>
      </c>
      <c r="J292" s="501" t="str">
        <f ca="1">IF('CDO Bespoke'!O293&lt;&gt;"",'CDO Bespoke'!O293,"")</f>
        <v/>
      </c>
      <c r="K292" s="502" t="str">
        <f ca="1">IF(J292&lt;&gt;"",ABS(MIN(-0.75*('CDO Bespoke'!K293+'CDO Bespoke'!T293)+'CDO Bespoke'!T293,0)),"")</f>
        <v/>
      </c>
      <c r="L292" s="502" t="str">
        <f t="shared" ca="1" si="17"/>
        <v/>
      </c>
      <c r="M292" s="506" t="str">
        <f t="shared" ca="1" si="18"/>
        <v/>
      </c>
      <c r="O292" s="511" t="str">
        <f ca="1">IF('CDO Bespoke'!C317&lt;&gt;"",'CDO Bespoke'!C317,"")</f>
        <v/>
      </c>
      <c r="P292" s="513" t="str" cm="1">
        <f t="array" aca="1" ref="P292" ca="1">IF($O292&lt;&gt;"",-TRANSPOSE(INDEX(getcds('CDO Bespoke'!$C317,P$13,'CDO Bespoke'!$G317/10000,'CDO Bespoke'!F317,'CDO Bespoke'!D317,'CDO Bespoke'!$C$13,'CDO Bespoke'!$C$14,'CDO Bespoke'!$C$15,'CDO Bespoke'!$C$8,,,TRUE,TRUE,FALSE,'CDO Bespoke'!$C$29:'CDO Bespoke'!$C$31,'CDO Bespoke'!$C$33),{5})),"")</f>
        <v/>
      </c>
      <c r="Q292" s="524" t="str" cm="1">
        <f t="array" aca="1" ref="Q292" ca="1">IF($O292&lt;&gt;"",-TRANSPOSE(INDEX(getcds('CDO Bespoke'!$C317,Q$13,'CDO Bespoke'!$G317/10000,'CDO Bespoke'!G317,'CDO Bespoke'!E317,'CDO Bespoke'!$C$13,'CDO Bespoke'!$C$14,'CDO Bespoke'!$C$15,'CDO Bespoke'!$C$8,,,TRUE,TRUE,FALSE,'CDO Bespoke'!$C$29:'CDO Bespoke'!$C$31,'CDO Bespoke'!$C$33),{5})),"")</f>
        <v/>
      </c>
      <c r="R292" s="524" t="str" cm="1">
        <f t="array" aca="1" ref="R292" ca="1">IF($O292&lt;&gt;"",-TRANSPOSE(INDEX(getcds('CDO Bespoke'!$C317,R$13,'CDO Bespoke'!$G317/10000,'CDO Bespoke'!H317,'CDO Bespoke'!F317,'CDO Bespoke'!$C$13,'CDO Bespoke'!$C$14,'CDO Bespoke'!$C$15,'CDO Bespoke'!$C$8,,,TRUE,TRUE,FALSE,'CDO Bespoke'!$C$29:'CDO Bespoke'!$C$31,'CDO Bespoke'!$C$33),{5})),"")</f>
        <v/>
      </c>
      <c r="S292" s="524" t="str" cm="1">
        <f t="array" aca="1" ref="S292" ca="1">IF($O292&lt;&gt;"",-TRANSPOSE(INDEX(getcds('CDO Bespoke'!$C317,S$13,'CDO Bespoke'!$G317/10000,'CDO Bespoke'!I317,'CDO Bespoke'!G317,'CDO Bespoke'!$C$13,'CDO Bespoke'!$C$14,'CDO Bespoke'!$C$15,'CDO Bespoke'!$C$8,,,TRUE,TRUE,FALSE,'CDO Bespoke'!$C$29:'CDO Bespoke'!$C$31,'CDO Bespoke'!$C$33),{5})),"")</f>
        <v/>
      </c>
      <c r="T292" s="514" t="str" cm="1">
        <f t="array" aca="1" ref="T292" ca="1">IF($O292&lt;&gt;"",-TRANSPOSE(INDEX(getcds('CDO Bespoke'!$C317,T$13,'CDO Bespoke'!$G317/10000,'CDO Bespoke'!J317,'CDO Bespoke'!H317,'CDO Bespoke'!$C$13,'CDO Bespoke'!$C$14,'CDO Bespoke'!$C$15,'CDO Bespoke'!$C$8,,,TRUE,TRUE,FALSE,'CDO Bespoke'!$C$29:'CDO Bespoke'!$C$31,'CDO Bespoke'!$C$33),{5})),"")</f>
        <v/>
      </c>
      <c r="U292" s="493"/>
      <c r="V292" s="513"/>
      <c r="W292" s="572"/>
      <c r="X292" s="572"/>
      <c r="Y292" s="572"/>
      <c r="Z292" s="572"/>
      <c r="AA292" s="572"/>
      <c r="AB292" s="572"/>
      <c r="AC292" s="572"/>
      <c r="AD292" s="572"/>
      <c r="AE292" s="514"/>
    </row>
    <row r="293" spans="6:31" s="281" customFormat="1" ht="12" thickBot="1">
      <c r="F293" s="501" t="str">
        <f ca="1">IF('CDO Bespoke'!O294&lt;&gt;"",'CDO Bespoke'!O294,"")</f>
        <v/>
      </c>
      <c r="G293" s="502" t="str">
        <f ca="1">IF(F293&lt;&gt;"",ABS(MIN(-0.75*('CDO Bespoke'!Q294+'CDO Bespoke'!T294)+'CDO Bespoke'!T294,0)),"")</f>
        <v/>
      </c>
      <c r="H293" s="502" t="str">
        <f t="shared" ca="1" si="16"/>
        <v/>
      </c>
      <c r="I293" s="502" t="str">
        <f t="shared" ca="1" si="19"/>
        <v/>
      </c>
      <c r="J293" s="501" t="str">
        <f ca="1">IF('CDO Bespoke'!O294&lt;&gt;"",'CDO Bespoke'!O294,"")</f>
        <v/>
      </c>
      <c r="K293" s="502" t="str">
        <f ca="1">IF(J293&lt;&gt;"",ABS(MIN(-0.75*('CDO Bespoke'!K294+'CDO Bespoke'!T294)+'CDO Bespoke'!T294,0)),"")</f>
        <v/>
      </c>
      <c r="L293" s="502" t="str">
        <f t="shared" ca="1" si="17"/>
        <v/>
      </c>
      <c r="M293" s="506" t="str">
        <f t="shared" ca="1" si="18"/>
        <v/>
      </c>
      <c r="O293" s="511" t="str">
        <f ca="1">IF('CDO Bespoke'!C318&lt;&gt;"",'CDO Bespoke'!C318,"")</f>
        <v/>
      </c>
      <c r="P293" s="513" t="str" cm="1">
        <f t="array" aca="1" ref="P293" ca="1">IF($O293&lt;&gt;"",-TRANSPOSE(INDEX(getcds('CDO Bespoke'!$C318,P$13,'CDO Bespoke'!$G318/10000,'CDO Bespoke'!F318,'CDO Bespoke'!D318,'CDO Bespoke'!$C$13,'CDO Bespoke'!$C$14,'CDO Bespoke'!$C$15,'CDO Bespoke'!$C$8,,,TRUE,TRUE,FALSE,'CDO Bespoke'!$C$29:'CDO Bespoke'!$C$31,'CDO Bespoke'!$C$33),{5})),"")</f>
        <v/>
      </c>
      <c r="Q293" s="524" t="str" cm="1">
        <f t="array" aca="1" ref="Q293" ca="1">IF($O293&lt;&gt;"",-TRANSPOSE(INDEX(getcds('CDO Bespoke'!$C318,Q$13,'CDO Bespoke'!$G318/10000,'CDO Bespoke'!G318,'CDO Bespoke'!E318,'CDO Bespoke'!$C$13,'CDO Bespoke'!$C$14,'CDO Bespoke'!$C$15,'CDO Bespoke'!$C$8,,,TRUE,TRUE,FALSE,'CDO Bespoke'!$C$29:'CDO Bespoke'!$C$31,'CDO Bespoke'!$C$33),{5})),"")</f>
        <v/>
      </c>
      <c r="R293" s="524" t="str" cm="1">
        <f t="array" aca="1" ref="R293" ca="1">IF($O293&lt;&gt;"",-TRANSPOSE(INDEX(getcds('CDO Bespoke'!$C318,R$13,'CDO Bespoke'!$G318/10000,'CDO Bespoke'!H318,'CDO Bespoke'!F318,'CDO Bespoke'!$C$13,'CDO Bespoke'!$C$14,'CDO Bespoke'!$C$15,'CDO Bespoke'!$C$8,,,TRUE,TRUE,FALSE,'CDO Bespoke'!$C$29:'CDO Bespoke'!$C$31,'CDO Bespoke'!$C$33),{5})),"")</f>
        <v/>
      </c>
      <c r="S293" s="524" t="str" cm="1">
        <f t="array" aca="1" ref="S293" ca="1">IF($O293&lt;&gt;"",-TRANSPOSE(INDEX(getcds('CDO Bespoke'!$C318,S$13,'CDO Bespoke'!$G318/10000,'CDO Bespoke'!I318,'CDO Bespoke'!G318,'CDO Bespoke'!$C$13,'CDO Bespoke'!$C$14,'CDO Bespoke'!$C$15,'CDO Bespoke'!$C$8,,,TRUE,TRUE,FALSE,'CDO Bespoke'!$C$29:'CDO Bespoke'!$C$31,'CDO Bespoke'!$C$33),{5})),"")</f>
        <v/>
      </c>
      <c r="T293" s="514" t="str" cm="1">
        <f t="array" aca="1" ref="T293" ca="1">IF($O293&lt;&gt;"",-TRANSPOSE(INDEX(getcds('CDO Bespoke'!$C318,T$13,'CDO Bespoke'!$G318/10000,'CDO Bespoke'!J318,'CDO Bespoke'!H318,'CDO Bespoke'!$C$13,'CDO Bespoke'!$C$14,'CDO Bespoke'!$C$15,'CDO Bespoke'!$C$8,,,TRUE,TRUE,FALSE,'CDO Bespoke'!$C$29:'CDO Bespoke'!$C$31,'CDO Bespoke'!$C$33),{5})),"")</f>
        <v/>
      </c>
      <c r="U293" s="493"/>
      <c r="V293" s="513"/>
      <c r="W293" s="572"/>
      <c r="X293" s="572"/>
      <c r="Y293" s="572"/>
      <c r="Z293" s="572"/>
      <c r="AA293" s="572"/>
      <c r="AB293" s="572"/>
      <c r="AC293" s="572"/>
      <c r="AD293" s="572"/>
      <c r="AE293" s="514"/>
    </row>
    <row r="294" spans="6:31" s="281" customFormat="1" ht="12" thickBot="1">
      <c r="F294" s="501" t="str">
        <f ca="1">IF('CDO Bespoke'!O295&lt;&gt;"",'CDO Bespoke'!O295,"")</f>
        <v/>
      </c>
      <c r="G294" s="502" t="str">
        <f ca="1">IF(F294&lt;&gt;"",ABS(MIN(-0.75*('CDO Bespoke'!Q295+'CDO Bespoke'!T295)+'CDO Bespoke'!T295,0)),"")</f>
        <v/>
      </c>
      <c r="H294" s="502" t="str">
        <f t="shared" ca="1" si="16"/>
        <v/>
      </c>
      <c r="I294" s="502" t="str">
        <f t="shared" ca="1" si="19"/>
        <v/>
      </c>
      <c r="J294" s="501" t="str">
        <f ca="1">IF('CDO Bespoke'!O295&lt;&gt;"",'CDO Bespoke'!O295,"")</f>
        <v/>
      </c>
      <c r="K294" s="502" t="str">
        <f ca="1">IF(J294&lt;&gt;"",ABS(MIN(-0.75*('CDO Bespoke'!K295+'CDO Bespoke'!T295)+'CDO Bespoke'!T295,0)),"")</f>
        <v/>
      </c>
      <c r="L294" s="502" t="str">
        <f t="shared" ca="1" si="17"/>
        <v/>
      </c>
      <c r="M294" s="506" t="str">
        <f t="shared" ca="1" si="18"/>
        <v/>
      </c>
      <c r="O294" s="511" t="str">
        <f ca="1">IF('CDO Bespoke'!C319&lt;&gt;"",'CDO Bespoke'!C319,"")</f>
        <v/>
      </c>
      <c r="P294" s="513" t="str" cm="1">
        <f t="array" aca="1" ref="P294" ca="1">IF($O294&lt;&gt;"",-TRANSPOSE(INDEX(getcds('CDO Bespoke'!$C319,P$13,'CDO Bespoke'!$G319/10000,'CDO Bespoke'!F319,'CDO Bespoke'!D319,'CDO Bespoke'!$C$13,'CDO Bespoke'!$C$14,'CDO Bespoke'!$C$15,'CDO Bespoke'!$C$8,,,TRUE,TRUE,FALSE,'CDO Bespoke'!$C$29:'CDO Bespoke'!$C$31,'CDO Bespoke'!$C$33),{5})),"")</f>
        <v/>
      </c>
      <c r="Q294" s="524" t="str" cm="1">
        <f t="array" aca="1" ref="Q294" ca="1">IF($O294&lt;&gt;"",-TRANSPOSE(INDEX(getcds('CDO Bespoke'!$C319,Q$13,'CDO Bespoke'!$G319/10000,'CDO Bespoke'!G319,'CDO Bespoke'!E319,'CDO Bespoke'!$C$13,'CDO Bespoke'!$C$14,'CDO Bespoke'!$C$15,'CDO Bespoke'!$C$8,,,TRUE,TRUE,FALSE,'CDO Bespoke'!$C$29:'CDO Bespoke'!$C$31,'CDO Bespoke'!$C$33),{5})),"")</f>
        <v/>
      </c>
      <c r="R294" s="524" t="str" cm="1">
        <f t="array" aca="1" ref="R294" ca="1">IF($O294&lt;&gt;"",-TRANSPOSE(INDEX(getcds('CDO Bespoke'!$C319,R$13,'CDO Bespoke'!$G319/10000,'CDO Bespoke'!H319,'CDO Bespoke'!F319,'CDO Bespoke'!$C$13,'CDO Bespoke'!$C$14,'CDO Bespoke'!$C$15,'CDO Bespoke'!$C$8,,,TRUE,TRUE,FALSE,'CDO Bespoke'!$C$29:'CDO Bespoke'!$C$31,'CDO Bespoke'!$C$33),{5})),"")</f>
        <v/>
      </c>
      <c r="S294" s="524" t="str" cm="1">
        <f t="array" aca="1" ref="S294" ca="1">IF($O294&lt;&gt;"",-TRANSPOSE(INDEX(getcds('CDO Bespoke'!$C319,S$13,'CDO Bespoke'!$G319/10000,'CDO Bespoke'!I319,'CDO Bespoke'!G319,'CDO Bespoke'!$C$13,'CDO Bespoke'!$C$14,'CDO Bespoke'!$C$15,'CDO Bespoke'!$C$8,,,TRUE,TRUE,FALSE,'CDO Bespoke'!$C$29:'CDO Bespoke'!$C$31,'CDO Bespoke'!$C$33),{5})),"")</f>
        <v/>
      </c>
      <c r="T294" s="514" t="str" cm="1">
        <f t="array" aca="1" ref="T294" ca="1">IF($O294&lt;&gt;"",-TRANSPOSE(INDEX(getcds('CDO Bespoke'!$C319,T$13,'CDO Bespoke'!$G319/10000,'CDO Bespoke'!J319,'CDO Bespoke'!H319,'CDO Bespoke'!$C$13,'CDO Bespoke'!$C$14,'CDO Bespoke'!$C$15,'CDO Bespoke'!$C$8,,,TRUE,TRUE,FALSE,'CDO Bespoke'!$C$29:'CDO Bespoke'!$C$31,'CDO Bespoke'!$C$33),{5})),"")</f>
        <v/>
      </c>
      <c r="U294" s="493"/>
      <c r="V294" s="513"/>
      <c r="W294" s="572"/>
      <c r="X294" s="572"/>
      <c r="Y294" s="572"/>
      <c r="Z294" s="572"/>
      <c r="AA294" s="572"/>
      <c r="AB294" s="572"/>
      <c r="AC294" s="572"/>
      <c r="AD294" s="572"/>
      <c r="AE294" s="514"/>
    </row>
    <row r="295" spans="6:31" s="281" customFormat="1" ht="12" thickBot="1">
      <c r="F295" s="501" t="str">
        <f ca="1">IF('CDO Bespoke'!O296&lt;&gt;"",'CDO Bespoke'!O296,"")</f>
        <v/>
      </c>
      <c r="G295" s="502" t="str">
        <f ca="1">IF(F295&lt;&gt;"",ABS(MIN(-0.75*('CDO Bespoke'!Q296+'CDO Bespoke'!T296)+'CDO Bespoke'!T296,0)),"")</f>
        <v/>
      </c>
      <c r="H295" s="502" t="str">
        <f t="shared" ca="1" si="16"/>
        <v/>
      </c>
      <c r="I295" s="502" t="str">
        <f t="shared" ca="1" si="19"/>
        <v/>
      </c>
      <c r="J295" s="501" t="str">
        <f ca="1">IF('CDO Bespoke'!O296&lt;&gt;"",'CDO Bespoke'!O296,"")</f>
        <v/>
      </c>
      <c r="K295" s="502" t="str">
        <f ca="1">IF(J295&lt;&gt;"",ABS(MIN(-0.75*('CDO Bespoke'!K296+'CDO Bespoke'!T296)+'CDO Bespoke'!T296,0)),"")</f>
        <v/>
      </c>
      <c r="L295" s="502" t="str">
        <f t="shared" ca="1" si="17"/>
        <v/>
      </c>
      <c r="M295" s="506" t="str">
        <f t="shared" ca="1" si="18"/>
        <v/>
      </c>
      <c r="O295" s="511" t="str">
        <f ca="1">IF('CDO Bespoke'!C320&lt;&gt;"",'CDO Bespoke'!C320,"")</f>
        <v/>
      </c>
      <c r="P295" s="513" t="str" cm="1">
        <f t="array" aca="1" ref="P295" ca="1">IF($O295&lt;&gt;"",-TRANSPOSE(INDEX(getcds('CDO Bespoke'!$C320,P$13,'CDO Bespoke'!$G320/10000,'CDO Bespoke'!F320,'CDO Bespoke'!D320,'CDO Bespoke'!$C$13,'CDO Bespoke'!$C$14,'CDO Bespoke'!$C$15,'CDO Bespoke'!$C$8,,,TRUE,TRUE,FALSE,'CDO Bespoke'!$C$29:'CDO Bespoke'!$C$31,'CDO Bespoke'!$C$33),{5})),"")</f>
        <v/>
      </c>
      <c r="Q295" s="524" t="str" cm="1">
        <f t="array" aca="1" ref="Q295" ca="1">IF($O295&lt;&gt;"",-TRANSPOSE(INDEX(getcds('CDO Bespoke'!$C320,Q$13,'CDO Bespoke'!$G320/10000,'CDO Bespoke'!G320,'CDO Bespoke'!E320,'CDO Bespoke'!$C$13,'CDO Bespoke'!$C$14,'CDO Bespoke'!$C$15,'CDO Bespoke'!$C$8,,,TRUE,TRUE,FALSE,'CDO Bespoke'!$C$29:'CDO Bespoke'!$C$31,'CDO Bespoke'!$C$33),{5})),"")</f>
        <v/>
      </c>
      <c r="R295" s="524" t="str" cm="1">
        <f t="array" aca="1" ref="R295" ca="1">IF($O295&lt;&gt;"",-TRANSPOSE(INDEX(getcds('CDO Bespoke'!$C320,R$13,'CDO Bespoke'!$G320/10000,'CDO Bespoke'!H320,'CDO Bespoke'!F320,'CDO Bespoke'!$C$13,'CDO Bespoke'!$C$14,'CDO Bespoke'!$C$15,'CDO Bespoke'!$C$8,,,TRUE,TRUE,FALSE,'CDO Bespoke'!$C$29:'CDO Bespoke'!$C$31,'CDO Bespoke'!$C$33),{5})),"")</f>
        <v/>
      </c>
      <c r="S295" s="524" t="str" cm="1">
        <f t="array" aca="1" ref="S295" ca="1">IF($O295&lt;&gt;"",-TRANSPOSE(INDEX(getcds('CDO Bespoke'!$C320,S$13,'CDO Bespoke'!$G320/10000,'CDO Bespoke'!I320,'CDO Bespoke'!G320,'CDO Bespoke'!$C$13,'CDO Bespoke'!$C$14,'CDO Bespoke'!$C$15,'CDO Bespoke'!$C$8,,,TRUE,TRUE,FALSE,'CDO Bespoke'!$C$29:'CDO Bespoke'!$C$31,'CDO Bespoke'!$C$33),{5})),"")</f>
        <v/>
      </c>
      <c r="T295" s="514" t="str" cm="1">
        <f t="array" aca="1" ref="T295" ca="1">IF($O295&lt;&gt;"",-TRANSPOSE(INDEX(getcds('CDO Bespoke'!$C320,T$13,'CDO Bespoke'!$G320/10000,'CDO Bespoke'!J320,'CDO Bespoke'!H320,'CDO Bespoke'!$C$13,'CDO Bespoke'!$C$14,'CDO Bespoke'!$C$15,'CDO Bespoke'!$C$8,,,TRUE,TRUE,FALSE,'CDO Bespoke'!$C$29:'CDO Bespoke'!$C$31,'CDO Bespoke'!$C$33),{5})),"")</f>
        <v/>
      </c>
      <c r="U295" s="493"/>
      <c r="V295" s="513"/>
      <c r="W295" s="572"/>
      <c r="X295" s="572"/>
      <c r="Y295" s="572"/>
      <c r="Z295" s="572"/>
      <c r="AA295" s="572"/>
      <c r="AB295" s="572"/>
      <c r="AC295" s="572"/>
      <c r="AD295" s="572"/>
      <c r="AE295" s="514"/>
    </row>
    <row r="296" spans="6:31" s="281" customFormat="1" ht="12" thickBot="1">
      <c r="F296" s="501" t="str">
        <f ca="1">IF('CDO Bespoke'!O297&lt;&gt;"",'CDO Bespoke'!O297,"")</f>
        <v/>
      </c>
      <c r="G296" s="502" t="str">
        <f ca="1">IF(F296&lt;&gt;"",ABS(MIN(-0.75*('CDO Bespoke'!Q297+'CDO Bespoke'!T297)+'CDO Bespoke'!T297,0)),"")</f>
        <v/>
      </c>
      <c r="H296" s="502" t="str">
        <f t="shared" ca="1" si="16"/>
        <v/>
      </c>
      <c r="I296" s="502" t="str">
        <f t="shared" ca="1" si="19"/>
        <v/>
      </c>
      <c r="J296" s="501" t="str">
        <f ca="1">IF('CDO Bespoke'!O297&lt;&gt;"",'CDO Bespoke'!O297,"")</f>
        <v/>
      </c>
      <c r="K296" s="502" t="str">
        <f ca="1">IF(J296&lt;&gt;"",ABS(MIN(-0.75*('CDO Bespoke'!K297+'CDO Bespoke'!T297)+'CDO Bespoke'!T297,0)),"")</f>
        <v/>
      </c>
      <c r="L296" s="502" t="str">
        <f t="shared" ca="1" si="17"/>
        <v/>
      </c>
      <c r="M296" s="506" t="str">
        <f t="shared" ca="1" si="18"/>
        <v/>
      </c>
      <c r="O296" s="511" t="str">
        <f ca="1">IF('CDO Bespoke'!C321&lt;&gt;"",'CDO Bespoke'!C321,"")</f>
        <v/>
      </c>
      <c r="P296" s="513" t="str" cm="1">
        <f t="array" aca="1" ref="P296" ca="1">IF($O296&lt;&gt;"",-TRANSPOSE(INDEX(getcds('CDO Bespoke'!$C321,P$13,'CDO Bespoke'!$G321/10000,'CDO Bespoke'!F321,'CDO Bespoke'!D321,'CDO Bespoke'!$C$13,'CDO Bespoke'!$C$14,'CDO Bespoke'!$C$15,'CDO Bespoke'!$C$8,,,TRUE,TRUE,FALSE,'CDO Bespoke'!$C$29:'CDO Bespoke'!$C$31,'CDO Bespoke'!$C$33),{5})),"")</f>
        <v/>
      </c>
      <c r="Q296" s="524" t="str" cm="1">
        <f t="array" aca="1" ref="Q296" ca="1">IF($O296&lt;&gt;"",-TRANSPOSE(INDEX(getcds('CDO Bespoke'!$C321,Q$13,'CDO Bespoke'!$G321/10000,'CDO Bespoke'!G321,'CDO Bespoke'!E321,'CDO Bespoke'!$C$13,'CDO Bespoke'!$C$14,'CDO Bespoke'!$C$15,'CDO Bespoke'!$C$8,,,TRUE,TRUE,FALSE,'CDO Bespoke'!$C$29:'CDO Bespoke'!$C$31,'CDO Bespoke'!$C$33),{5})),"")</f>
        <v/>
      </c>
      <c r="R296" s="524" t="str" cm="1">
        <f t="array" aca="1" ref="R296" ca="1">IF($O296&lt;&gt;"",-TRANSPOSE(INDEX(getcds('CDO Bespoke'!$C321,R$13,'CDO Bespoke'!$G321/10000,'CDO Bespoke'!H321,'CDO Bespoke'!F321,'CDO Bespoke'!$C$13,'CDO Bespoke'!$C$14,'CDO Bespoke'!$C$15,'CDO Bespoke'!$C$8,,,TRUE,TRUE,FALSE,'CDO Bespoke'!$C$29:'CDO Bespoke'!$C$31,'CDO Bespoke'!$C$33),{5})),"")</f>
        <v/>
      </c>
      <c r="S296" s="524" t="str" cm="1">
        <f t="array" aca="1" ref="S296" ca="1">IF($O296&lt;&gt;"",-TRANSPOSE(INDEX(getcds('CDO Bespoke'!$C321,S$13,'CDO Bespoke'!$G321/10000,'CDO Bespoke'!I321,'CDO Bespoke'!G321,'CDO Bespoke'!$C$13,'CDO Bespoke'!$C$14,'CDO Bespoke'!$C$15,'CDO Bespoke'!$C$8,,,TRUE,TRUE,FALSE,'CDO Bespoke'!$C$29:'CDO Bespoke'!$C$31,'CDO Bespoke'!$C$33),{5})),"")</f>
        <v/>
      </c>
      <c r="T296" s="514" t="str" cm="1">
        <f t="array" aca="1" ref="T296" ca="1">IF($O296&lt;&gt;"",-TRANSPOSE(INDEX(getcds('CDO Bespoke'!$C321,T$13,'CDO Bespoke'!$G321/10000,'CDO Bespoke'!J321,'CDO Bespoke'!H321,'CDO Bespoke'!$C$13,'CDO Bespoke'!$C$14,'CDO Bespoke'!$C$15,'CDO Bespoke'!$C$8,,,TRUE,TRUE,FALSE,'CDO Bespoke'!$C$29:'CDO Bespoke'!$C$31,'CDO Bespoke'!$C$33),{5})),"")</f>
        <v/>
      </c>
      <c r="U296" s="493"/>
      <c r="V296" s="513"/>
      <c r="W296" s="572"/>
      <c r="X296" s="572"/>
      <c r="Y296" s="572"/>
      <c r="Z296" s="572"/>
      <c r="AA296" s="572"/>
      <c r="AB296" s="572"/>
      <c r="AC296" s="572"/>
      <c r="AD296" s="572"/>
      <c r="AE296" s="514"/>
    </row>
    <row r="297" spans="6:31" s="281" customFormat="1" ht="12" thickBot="1">
      <c r="F297" s="501" t="str">
        <f ca="1">IF('CDO Bespoke'!O298&lt;&gt;"",'CDO Bespoke'!O298,"")</f>
        <v/>
      </c>
      <c r="G297" s="502" t="str">
        <f ca="1">IF(F297&lt;&gt;"",ABS(MIN(-0.75*('CDO Bespoke'!Q298+'CDO Bespoke'!T298)+'CDO Bespoke'!T298,0)),"")</f>
        <v/>
      </c>
      <c r="H297" s="502" t="str">
        <f t="shared" ca="1" si="16"/>
        <v/>
      </c>
      <c r="I297" s="502" t="str">
        <f t="shared" ca="1" si="19"/>
        <v/>
      </c>
      <c r="J297" s="501" t="str">
        <f ca="1">IF('CDO Bespoke'!O298&lt;&gt;"",'CDO Bespoke'!O298,"")</f>
        <v/>
      </c>
      <c r="K297" s="502" t="str">
        <f ca="1">IF(J297&lt;&gt;"",ABS(MIN(-0.75*('CDO Bespoke'!K298+'CDO Bespoke'!T298)+'CDO Bespoke'!T298,0)),"")</f>
        <v/>
      </c>
      <c r="L297" s="502" t="str">
        <f t="shared" ca="1" si="17"/>
        <v/>
      </c>
      <c r="M297" s="506" t="str">
        <f t="shared" ca="1" si="18"/>
        <v/>
      </c>
      <c r="O297" s="511" t="str">
        <f ca="1">IF('CDO Bespoke'!C322&lt;&gt;"",'CDO Bespoke'!C322,"")</f>
        <v/>
      </c>
      <c r="P297" s="513" t="str" cm="1">
        <f t="array" aca="1" ref="P297" ca="1">IF($O297&lt;&gt;"",-TRANSPOSE(INDEX(getcds('CDO Bespoke'!$C322,P$13,'CDO Bespoke'!$G322/10000,'CDO Bespoke'!F322,'CDO Bespoke'!D322,'CDO Bespoke'!$C$13,'CDO Bespoke'!$C$14,'CDO Bespoke'!$C$15,'CDO Bespoke'!$C$8,,,TRUE,TRUE,FALSE,'CDO Bespoke'!$C$29:'CDO Bespoke'!$C$31,'CDO Bespoke'!$C$33),{5})),"")</f>
        <v/>
      </c>
      <c r="Q297" s="524" t="str" cm="1">
        <f t="array" aca="1" ref="Q297" ca="1">IF($O297&lt;&gt;"",-TRANSPOSE(INDEX(getcds('CDO Bespoke'!$C322,Q$13,'CDO Bespoke'!$G322/10000,'CDO Bespoke'!G322,'CDO Bespoke'!E322,'CDO Bespoke'!$C$13,'CDO Bespoke'!$C$14,'CDO Bespoke'!$C$15,'CDO Bespoke'!$C$8,,,TRUE,TRUE,FALSE,'CDO Bespoke'!$C$29:'CDO Bespoke'!$C$31,'CDO Bespoke'!$C$33),{5})),"")</f>
        <v/>
      </c>
      <c r="R297" s="524" t="str" cm="1">
        <f t="array" aca="1" ref="R297" ca="1">IF($O297&lt;&gt;"",-TRANSPOSE(INDEX(getcds('CDO Bespoke'!$C322,R$13,'CDO Bespoke'!$G322/10000,'CDO Bespoke'!H322,'CDO Bespoke'!F322,'CDO Bespoke'!$C$13,'CDO Bespoke'!$C$14,'CDO Bespoke'!$C$15,'CDO Bespoke'!$C$8,,,TRUE,TRUE,FALSE,'CDO Bespoke'!$C$29:'CDO Bespoke'!$C$31,'CDO Bespoke'!$C$33),{5})),"")</f>
        <v/>
      </c>
      <c r="S297" s="524" t="str" cm="1">
        <f t="array" aca="1" ref="S297" ca="1">IF($O297&lt;&gt;"",-TRANSPOSE(INDEX(getcds('CDO Bespoke'!$C322,S$13,'CDO Bespoke'!$G322/10000,'CDO Bespoke'!I322,'CDO Bespoke'!G322,'CDO Bespoke'!$C$13,'CDO Bespoke'!$C$14,'CDO Bespoke'!$C$15,'CDO Bespoke'!$C$8,,,TRUE,TRUE,FALSE,'CDO Bespoke'!$C$29:'CDO Bespoke'!$C$31,'CDO Bespoke'!$C$33),{5})),"")</f>
        <v/>
      </c>
      <c r="T297" s="514" t="str" cm="1">
        <f t="array" aca="1" ref="T297" ca="1">IF($O297&lt;&gt;"",-TRANSPOSE(INDEX(getcds('CDO Bespoke'!$C322,T$13,'CDO Bespoke'!$G322/10000,'CDO Bespoke'!J322,'CDO Bespoke'!H322,'CDO Bespoke'!$C$13,'CDO Bespoke'!$C$14,'CDO Bespoke'!$C$15,'CDO Bespoke'!$C$8,,,TRUE,TRUE,FALSE,'CDO Bespoke'!$C$29:'CDO Bespoke'!$C$31,'CDO Bespoke'!$C$33),{5})),"")</f>
        <v/>
      </c>
      <c r="U297" s="493"/>
      <c r="V297" s="513"/>
      <c r="W297" s="572"/>
      <c r="X297" s="572"/>
      <c r="Y297" s="572"/>
      <c r="Z297" s="572"/>
      <c r="AA297" s="572"/>
      <c r="AB297" s="572"/>
      <c r="AC297" s="572"/>
      <c r="AD297" s="572"/>
      <c r="AE297" s="514"/>
    </row>
    <row r="298" spans="6:31" s="281" customFormat="1" ht="12" thickBot="1">
      <c r="F298" s="501" t="str">
        <f ca="1">IF('CDO Bespoke'!O299&lt;&gt;"",'CDO Bespoke'!O299,"")</f>
        <v/>
      </c>
      <c r="G298" s="502" t="str">
        <f ca="1">IF(F298&lt;&gt;"",ABS(MIN(-0.75*('CDO Bespoke'!Q299+'CDO Bespoke'!T299)+'CDO Bespoke'!T299,0)),"")</f>
        <v/>
      </c>
      <c r="H298" s="502" t="str">
        <f t="shared" ca="1" si="16"/>
        <v/>
      </c>
      <c r="I298" s="502" t="str">
        <f t="shared" ca="1" si="19"/>
        <v/>
      </c>
      <c r="J298" s="501" t="str">
        <f ca="1">IF('CDO Bespoke'!O299&lt;&gt;"",'CDO Bespoke'!O299,"")</f>
        <v/>
      </c>
      <c r="K298" s="502" t="str">
        <f ca="1">IF(J298&lt;&gt;"",ABS(MIN(-0.75*('CDO Bespoke'!K299+'CDO Bespoke'!T299)+'CDO Bespoke'!T299,0)),"")</f>
        <v/>
      </c>
      <c r="L298" s="502" t="str">
        <f t="shared" ca="1" si="17"/>
        <v/>
      </c>
      <c r="M298" s="506" t="str">
        <f t="shared" ca="1" si="18"/>
        <v/>
      </c>
      <c r="O298" s="511" t="str">
        <f ca="1">IF('CDO Bespoke'!C323&lt;&gt;"",'CDO Bespoke'!C323,"")</f>
        <v/>
      </c>
      <c r="P298" s="513" t="str" cm="1">
        <f t="array" aca="1" ref="P298" ca="1">IF($O298&lt;&gt;"",-TRANSPOSE(INDEX(getcds('CDO Bespoke'!$C323,P$13,'CDO Bespoke'!$G323/10000,'CDO Bespoke'!F323,'CDO Bespoke'!D323,'CDO Bespoke'!$C$13,'CDO Bespoke'!$C$14,'CDO Bespoke'!$C$15,'CDO Bespoke'!$C$8,,,TRUE,TRUE,FALSE,'CDO Bespoke'!$C$29:'CDO Bespoke'!$C$31,'CDO Bespoke'!$C$33),{5})),"")</f>
        <v/>
      </c>
      <c r="Q298" s="524" t="str" cm="1">
        <f t="array" aca="1" ref="Q298" ca="1">IF($O298&lt;&gt;"",-TRANSPOSE(INDEX(getcds('CDO Bespoke'!$C323,Q$13,'CDO Bespoke'!$G323/10000,'CDO Bespoke'!G323,'CDO Bespoke'!E323,'CDO Bespoke'!$C$13,'CDO Bespoke'!$C$14,'CDO Bespoke'!$C$15,'CDO Bespoke'!$C$8,,,TRUE,TRUE,FALSE,'CDO Bespoke'!$C$29:'CDO Bespoke'!$C$31,'CDO Bespoke'!$C$33),{5})),"")</f>
        <v/>
      </c>
      <c r="R298" s="524" t="str" cm="1">
        <f t="array" aca="1" ref="R298" ca="1">IF($O298&lt;&gt;"",-TRANSPOSE(INDEX(getcds('CDO Bespoke'!$C323,R$13,'CDO Bespoke'!$G323/10000,'CDO Bespoke'!H323,'CDO Bespoke'!F323,'CDO Bespoke'!$C$13,'CDO Bespoke'!$C$14,'CDO Bespoke'!$C$15,'CDO Bespoke'!$C$8,,,TRUE,TRUE,FALSE,'CDO Bespoke'!$C$29:'CDO Bespoke'!$C$31,'CDO Bespoke'!$C$33),{5})),"")</f>
        <v/>
      </c>
      <c r="S298" s="524" t="str" cm="1">
        <f t="array" aca="1" ref="S298" ca="1">IF($O298&lt;&gt;"",-TRANSPOSE(INDEX(getcds('CDO Bespoke'!$C323,S$13,'CDO Bespoke'!$G323/10000,'CDO Bespoke'!I323,'CDO Bespoke'!G323,'CDO Bespoke'!$C$13,'CDO Bespoke'!$C$14,'CDO Bespoke'!$C$15,'CDO Bespoke'!$C$8,,,TRUE,TRUE,FALSE,'CDO Bespoke'!$C$29:'CDO Bespoke'!$C$31,'CDO Bespoke'!$C$33),{5})),"")</f>
        <v/>
      </c>
      <c r="T298" s="514" t="str" cm="1">
        <f t="array" aca="1" ref="T298" ca="1">IF($O298&lt;&gt;"",-TRANSPOSE(INDEX(getcds('CDO Bespoke'!$C323,T$13,'CDO Bespoke'!$G323/10000,'CDO Bespoke'!J323,'CDO Bespoke'!H323,'CDO Bespoke'!$C$13,'CDO Bespoke'!$C$14,'CDO Bespoke'!$C$15,'CDO Bespoke'!$C$8,,,TRUE,TRUE,FALSE,'CDO Bespoke'!$C$29:'CDO Bespoke'!$C$31,'CDO Bespoke'!$C$33),{5})),"")</f>
        <v/>
      </c>
      <c r="U298" s="493"/>
      <c r="V298" s="513"/>
      <c r="W298" s="572"/>
      <c r="X298" s="572"/>
      <c r="Y298" s="572"/>
      <c r="Z298" s="572"/>
      <c r="AA298" s="572"/>
      <c r="AB298" s="572"/>
      <c r="AC298" s="572"/>
      <c r="AD298" s="572"/>
      <c r="AE298" s="514"/>
    </row>
    <row r="299" spans="6:31" s="281" customFormat="1" ht="12" thickBot="1">
      <c r="F299" s="501" t="str">
        <f ca="1">IF('CDO Bespoke'!O300&lt;&gt;"",'CDO Bespoke'!O300,"")</f>
        <v/>
      </c>
      <c r="G299" s="502" t="str">
        <f ca="1">IF(F299&lt;&gt;"",ABS(MIN(-0.75*('CDO Bespoke'!Q300+'CDO Bespoke'!T300)+'CDO Bespoke'!T300,0)),"")</f>
        <v/>
      </c>
      <c r="H299" s="502" t="str">
        <f t="shared" ca="1" si="16"/>
        <v/>
      </c>
      <c r="I299" s="502" t="str">
        <f t="shared" ca="1" si="19"/>
        <v/>
      </c>
      <c r="J299" s="501" t="str">
        <f ca="1">IF('CDO Bespoke'!O300&lt;&gt;"",'CDO Bespoke'!O300,"")</f>
        <v/>
      </c>
      <c r="K299" s="502" t="str">
        <f ca="1">IF(J299&lt;&gt;"",ABS(MIN(-0.75*('CDO Bespoke'!K300+'CDO Bespoke'!T300)+'CDO Bespoke'!T300,0)),"")</f>
        <v/>
      </c>
      <c r="L299" s="502" t="str">
        <f t="shared" ca="1" si="17"/>
        <v/>
      </c>
      <c r="M299" s="506" t="str">
        <f t="shared" ca="1" si="18"/>
        <v/>
      </c>
      <c r="O299" s="511" t="str">
        <f ca="1">IF('CDO Bespoke'!C324&lt;&gt;"",'CDO Bespoke'!C324,"")</f>
        <v/>
      </c>
      <c r="P299" s="513" t="str" cm="1">
        <f t="array" aca="1" ref="P299" ca="1">IF($O299&lt;&gt;"",-TRANSPOSE(INDEX(getcds('CDO Bespoke'!$C324,P$13,'CDO Bespoke'!$G324/10000,'CDO Bespoke'!F324,'CDO Bespoke'!D324,'CDO Bespoke'!$C$13,'CDO Bespoke'!$C$14,'CDO Bespoke'!$C$15,'CDO Bespoke'!$C$8,,,TRUE,TRUE,FALSE,'CDO Bespoke'!$C$29:'CDO Bespoke'!$C$31,'CDO Bespoke'!$C$33),{5})),"")</f>
        <v/>
      </c>
      <c r="Q299" s="524" t="str" cm="1">
        <f t="array" aca="1" ref="Q299" ca="1">IF($O299&lt;&gt;"",-TRANSPOSE(INDEX(getcds('CDO Bespoke'!$C324,Q$13,'CDO Bespoke'!$G324/10000,'CDO Bespoke'!G324,'CDO Bespoke'!E324,'CDO Bespoke'!$C$13,'CDO Bespoke'!$C$14,'CDO Bespoke'!$C$15,'CDO Bespoke'!$C$8,,,TRUE,TRUE,FALSE,'CDO Bespoke'!$C$29:'CDO Bespoke'!$C$31,'CDO Bespoke'!$C$33),{5})),"")</f>
        <v/>
      </c>
      <c r="R299" s="524" t="str" cm="1">
        <f t="array" aca="1" ref="R299" ca="1">IF($O299&lt;&gt;"",-TRANSPOSE(INDEX(getcds('CDO Bespoke'!$C324,R$13,'CDO Bespoke'!$G324/10000,'CDO Bespoke'!H324,'CDO Bespoke'!F324,'CDO Bespoke'!$C$13,'CDO Bespoke'!$C$14,'CDO Bespoke'!$C$15,'CDO Bespoke'!$C$8,,,TRUE,TRUE,FALSE,'CDO Bespoke'!$C$29:'CDO Bespoke'!$C$31,'CDO Bespoke'!$C$33),{5})),"")</f>
        <v/>
      </c>
      <c r="S299" s="524" t="str" cm="1">
        <f t="array" aca="1" ref="S299" ca="1">IF($O299&lt;&gt;"",-TRANSPOSE(INDEX(getcds('CDO Bespoke'!$C324,S$13,'CDO Bespoke'!$G324/10000,'CDO Bespoke'!I324,'CDO Bespoke'!G324,'CDO Bespoke'!$C$13,'CDO Bespoke'!$C$14,'CDO Bespoke'!$C$15,'CDO Bespoke'!$C$8,,,TRUE,TRUE,FALSE,'CDO Bespoke'!$C$29:'CDO Bespoke'!$C$31,'CDO Bespoke'!$C$33),{5})),"")</f>
        <v/>
      </c>
      <c r="T299" s="514" t="str" cm="1">
        <f t="array" aca="1" ref="T299" ca="1">IF($O299&lt;&gt;"",-TRANSPOSE(INDEX(getcds('CDO Bespoke'!$C324,T$13,'CDO Bespoke'!$G324/10000,'CDO Bespoke'!J324,'CDO Bespoke'!H324,'CDO Bespoke'!$C$13,'CDO Bespoke'!$C$14,'CDO Bespoke'!$C$15,'CDO Bespoke'!$C$8,,,TRUE,TRUE,FALSE,'CDO Bespoke'!$C$29:'CDO Bespoke'!$C$31,'CDO Bespoke'!$C$33),{5})),"")</f>
        <v/>
      </c>
      <c r="U299" s="493"/>
      <c r="V299" s="513"/>
      <c r="W299" s="572"/>
      <c r="X299" s="572"/>
      <c r="Y299" s="572"/>
      <c r="Z299" s="572"/>
      <c r="AA299" s="572"/>
      <c r="AB299" s="572"/>
      <c r="AC299" s="572"/>
      <c r="AD299" s="572"/>
      <c r="AE299" s="514"/>
    </row>
    <row r="300" spans="6:31" s="281" customFormat="1" ht="12" thickBot="1">
      <c r="F300" s="501" t="str">
        <f ca="1">IF('CDO Bespoke'!O301&lt;&gt;"",'CDO Bespoke'!O301,"")</f>
        <v/>
      </c>
      <c r="G300" s="502" t="str">
        <f ca="1">IF(F300&lt;&gt;"",ABS(MIN(-0.75*('CDO Bespoke'!Q301+'CDO Bespoke'!T301)+'CDO Bespoke'!T301,0)),"")</f>
        <v/>
      </c>
      <c r="H300" s="502" t="str">
        <f t="shared" ca="1" si="16"/>
        <v/>
      </c>
      <c r="I300" s="502" t="str">
        <f t="shared" ca="1" si="19"/>
        <v/>
      </c>
      <c r="J300" s="501" t="str">
        <f ca="1">IF('CDO Bespoke'!O301&lt;&gt;"",'CDO Bespoke'!O301,"")</f>
        <v/>
      </c>
      <c r="K300" s="502" t="str">
        <f ca="1">IF(J300&lt;&gt;"",ABS(MIN(-0.75*('CDO Bespoke'!K301+'CDO Bespoke'!T301)+'CDO Bespoke'!T301,0)),"")</f>
        <v/>
      </c>
      <c r="L300" s="502" t="str">
        <f t="shared" ca="1" si="17"/>
        <v/>
      </c>
      <c r="M300" s="506" t="str">
        <f t="shared" ca="1" si="18"/>
        <v/>
      </c>
      <c r="O300" s="511" t="str">
        <f ca="1">IF('CDO Bespoke'!C325&lt;&gt;"",'CDO Bespoke'!C325,"")</f>
        <v/>
      </c>
      <c r="P300" s="513" t="str" cm="1">
        <f t="array" aca="1" ref="P300" ca="1">IF($O300&lt;&gt;"",-TRANSPOSE(INDEX(getcds('CDO Bespoke'!$C325,P$13,'CDO Bespoke'!$G325/10000,'CDO Bespoke'!F325,'CDO Bespoke'!D325,'CDO Bespoke'!$C$13,'CDO Bespoke'!$C$14,'CDO Bespoke'!$C$15,'CDO Bespoke'!$C$8,,,TRUE,TRUE,FALSE,'CDO Bespoke'!$C$29:'CDO Bespoke'!$C$31,'CDO Bespoke'!$C$33),{5})),"")</f>
        <v/>
      </c>
      <c r="Q300" s="524" t="str" cm="1">
        <f t="array" aca="1" ref="Q300" ca="1">IF($O300&lt;&gt;"",-TRANSPOSE(INDEX(getcds('CDO Bespoke'!$C325,Q$13,'CDO Bespoke'!$G325/10000,'CDO Bespoke'!G325,'CDO Bespoke'!E325,'CDO Bespoke'!$C$13,'CDO Bespoke'!$C$14,'CDO Bespoke'!$C$15,'CDO Bespoke'!$C$8,,,TRUE,TRUE,FALSE,'CDO Bespoke'!$C$29:'CDO Bespoke'!$C$31,'CDO Bespoke'!$C$33),{5})),"")</f>
        <v/>
      </c>
      <c r="R300" s="524" t="str" cm="1">
        <f t="array" aca="1" ref="R300" ca="1">IF($O300&lt;&gt;"",-TRANSPOSE(INDEX(getcds('CDO Bespoke'!$C325,R$13,'CDO Bespoke'!$G325/10000,'CDO Bespoke'!H325,'CDO Bespoke'!F325,'CDO Bespoke'!$C$13,'CDO Bespoke'!$C$14,'CDO Bespoke'!$C$15,'CDO Bespoke'!$C$8,,,TRUE,TRUE,FALSE,'CDO Bespoke'!$C$29:'CDO Bespoke'!$C$31,'CDO Bespoke'!$C$33),{5})),"")</f>
        <v/>
      </c>
      <c r="S300" s="524" t="str" cm="1">
        <f t="array" aca="1" ref="S300" ca="1">IF($O300&lt;&gt;"",-TRANSPOSE(INDEX(getcds('CDO Bespoke'!$C325,S$13,'CDO Bespoke'!$G325/10000,'CDO Bespoke'!I325,'CDO Bespoke'!G325,'CDO Bespoke'!$C$13,'CDO Bespoke'!$C$14,'CDO Bespoke'!$C$15,'CDO Bespoke'!$C$8,,,TRUE,TRUE,FALSE,'CDO Bespoke'!$C$29:'CDO Bespoke'!$C$31,'CDO Bespoke'!$C$33),{5})),"")</f>
        <v/>
      </c>
      <c r="T300" s="514" t="str" cm="1">
        <f t="array" aca="1" ref="T300" ca="1">IF($O300&lt;&gt;"",-TRANSPOSE(INDEX(getcds('CDO Bespoke'!$C325,T$13,'CDO Bespoke'!$G325/10000,'CDO Bespoke'!J325,'CDO Bespoke'!H325,'CDO Bespoke'!$C$13,'CDO Bespoke'!$C$14,'CDO Bespoke'!$C$15,'CDO Bespoke'!$C$8,,,TRUE,TRUE,FALSE,'CDO Bespoke'!$C$29:'CDO Bespoke'!$C$31,'CDO Bespoke'!$C$33),{5})),"")</f>
        <v/>
      </c>
      <c r="U300" s="493"/>
      <c r="V300" s="513"/>
      <c r="W300" s="572"/>
      <c r="X300" s="572"/>
      <c r="Y300" s="572"/>
      <c r="Z300" s="572"/>
      <c r="AA300" s="572"/>
      <c r="AB300" s="572"/>
      <c r="AC300" s="572"/>
      <c r="AD300" s="572"/>
      <c r="AE300" s="514"/>
    </row>
    <row r="301" spans="6:31" s="281" customFormat="1" ht="12" thickBot="1">
      <c r="F301" s="501" t="str">
        <f ca="1">IF('CDO Bespoke'!O302&lt;&gt;"",'CDO Bespoke'!O302,"")</f>
        <v/>
      </c>
      <c r="G301" s="502" t="str">
        <f ca="1">IF(F301&lt;&gt;"",ABS(MIN(-0.75*('CDO Bespoke'!Q302+'CDO Bespoke'!T302)+'CDO Bespoke'!T302,0)),"")</f>
        <v/>
      </c>
      <c r="H301" s="502" t="str">
        <f t="shared" ca="1" si="16"/>
        <v/>
      </c>
      <c r="I301" s="502" t="str">
        <f t="shared" ca="1" si="19"/>
        <v/>
      </c>
      <c r="J301" s="501" t="str">
        <f ca="1">IF('CDO Bespoke'!O302&lt;&gt;"",'CDO Bespoke'!O302,"")</f>
        <v/>
      </c>
      <c r="K301" s="502" t="str">
        <f ca="1">IF(J301&lt;&gt;"",ABS(MIN(-0.75*('CDO Bespoke'!K302+'CDO Bespoke'!T302)+'CDO Bespoke'!T302,0)),"")</f>
        <v/>
      </c>
      <c r="L301" s="502" t="str">
        <f t="shared" ca="1" si="17"/>
        <v/>
      </c>
      <c r="M301" s="506" t="str">
        <f t="shared" ca="1" si="18"/>
        <v/>
      </c>
      <c r="O301" s="511" t="str">
        <f ca="1">IF('CDO Bespoke'!C326&lt;&gt;"",'CDO Bespoke'!C326,"")</f>
        <v/>
      </c>
      <c r="P301" s="513" t="str" cm="1">
        <f t="array" aca="1" ref="P301" ca="1">IF($O301&lt;&gt;"",-TRANSPOSE(INDEX(getcds('CDO Bespoke'!$C326,P$13,'CDO Bespoke'!$G326/10000,'CDO Bespoke'!F326,'CDO Bespoke'!D326,'CDO Bespoke'!$C$13,'CDO Bespoke'!$C$14,'CDO Bespoke'!$C$15,'CDO Bespoke'!$C$8,,,TRUE,TRUE,FALSE,'CDO Bespoke'!$C$29:'CDO Bespoke'!$C$31,'CDO Bespoke'!$C$33),{5})),"")</f>
        <v/>
      </c>
      <c r="Q301" s="524" t="str" cm="1">
        <f t="array" aca="1" ref="Q301" ca="1">IF($O301&lt;&gt;"",-TRANSPOSE(INDEX(getcds('CDO Bespoke'!$C326,Q$13,'CDO Bespoke'!$G326/10000,'CDO Bespoke'!G326,'CDO Bespoke'!E326,'CDO Bespoke'!$C$13,'CDO Bespoke'!$C$14,'CDO Bespoke'!$C$15,'CDO Bespoke'!$C$8,,,TRUE,TRUE,FALSE,'CDO Bespoke'!$C$29:'CDO Bespoke'!$C$31,'CDO Bespoke'!$C$33),{5})),"")</f>
        <v/>
      </c>
      <c r="R301" s="524" t="str" cm="1">
        <f t="array" aca="1" ref="R301" ca="1">IF($O301&lt;&gt;"",-TRANSPOSE(INDEX(getcds('CDO Bespoke'!$C326,R$13,'CDO Bespoke'!$G326/10000,'CDO Bespoke'!H326,'CDO Bespoke'!F326,'CDO Bespoke'!$C$13,'CDO Bespoke'!$C$14,'CDO Bespoke'!$C$15,'CDO Bespoke'!$C$8,,,TRUE,TRUE,FALSE,'CDO Bespoke'!$C$29:'CDO Bespoke'!$C$31,'CDO Bespoke'!$C$33),{5})),"")</f>
        <v/>
      </c>
      <c r="S301" s="524" t="str" cm="1">
        <f t="array" aca="1" ref="S301" ca="1">IF($O301&lt;&gt;"",-TRANSPOSE(INDEX(getcds('CDO Bespoke'!$C326,S$13,'CDO Bespoke'!$G326/10000,'CDO Bespoke'!I326,'CDO Bespoke'!G326,'CDO Bespoke'!$C$13,'CDO Bespoke'!$C$14,'CDO Bespoke'!$C$15,'CDO Bespoke'!$C$8,,,TRUE,TRUE,FALSE,'CDO Bespoke'!$C$29:'CDO Bespoke'!$C$31,'CDO Bespoke'!$C$33),{5})),"")</f>
        <v/>
      </c>
      <c r="T301" s="514" t="str" cm="1">
        <f t="array" aca="1" ref="T301" ca="1">IF($O301&lt;&gt;"",-TRANSPOSE(INDEX(getcds('CDO Bespoke'!$C326,T$13,'CDO Bespoke'!$G326/10000,'CDO Bespoke'!J326,'CDO Bespoke'!H326,'CDO Bespoke'!$C$13,'CDO Bespoke'!$C$14,'CDO Bespoke'!$C$15,'CDO Bespoke'!$C$8,,,TRUE,TRUE,FALSE,'CDO Bespoke'!$C$29:'CDO Bespoke'!$C$31,'CDO Bespoke'!$C$33),{5})),"")</f>
        <v/>
      </c>
      <c r="U301" s="493"/>
      <c r="V301" s="513"/>
      <c r="W301" s="572"/>
      <c r="X301" s="572"/>
      <c r="Y301" s="572"/>
      <c r="Z301" s="572"/>
      <c r="AA301" s="572"/>
      <c r="AB301" s="572"/>
      <c r="AC301" s="572"/>
      <c r="AD301" s="572"/>
      <c r="AE301" s="514"/>
    </row>
    <row r="302" spans="6:31" s="281" customFormat="1" ht="12" thickBot="1">
      <c r="F302" s="501" t="str">
        <f ca="1">IF('CDO Bespoke'!O303&lt;&gt;"",'CDO Bespoke'!O303,"")</f>
        <v/>
      </c>
      <c r="G302" s="502" t="str">
        <f ca="1">IF(F302&lt;&gt;"",ABS(MIN(-0.75*('CDO Bespoke'!Q303+'CDO Bespoke'!T303)+'CDO Bespoke'!T303,0)),"")</f>
        <v/>
      </c>
      <c r="H302" s="502" t="str">
        <f t="shared" ca="1" si="16"/>
        <v/>
      </c>
      <c r="I302" s="502" t="str">
        <f t="shared" ca="1" si="19"/>
        <v/>
      </c>
      <c r="J302" s="501" t="str">
        <f ca="1">IF('CDO Bespoke'!O303&lt;&gt;"",'CDO Bespoke'!O303,"")</f>
        <v/>
      </c>
      <c r="K302" s="502" t="str">
        <f ca="1">IF(J302&lt;&gt;"",ABS(MIN(-0.75*('CDO Bespoke'!K303+'CDO Bespoke'!T303)+'CDO Bespoke'!T303,0)),"")</f>
        <v/>
      </c>
      <c r="L302" s="502" t="str">
        <f t="shared" ca="1" si="17"/>
        <v/>
      </c>
      <c r="M302" s="506" t="str">
        <f t="shared" ca="1" si="18"/>
        <v/>
      </c>
      <c r="O302" s="511" t="str">
        <f ca="1">IF('CDO Bespoke'!C327&lt;&gt;"",'CDO Bespoke'!C327,"")</f>
        <v/>
      </c>
      <c r="P302" s="513" t="str" cm="1">
        <f t="array" aca="1" ref="P302" ca="1">IF($O302&lt;&gt;"",-TRANSPOSE(INDEX(getcds('CDO Bespoke'!$C327,P$13,'CDO Bespoke'!$G327/10000,'CDO Bespoke'!F327,'CDO Bespoke'!D327,'CDO Bespoke'!$C$13,'CDO Bespoke'!$C$14,'CDO Bespoke'!$C$15,'CDO Bespoke'!$C$8,,,TRUE,TRUE,FALSE,'CDO Bespoke'!$C$29:'CDO Bespoke'!$C$31,'CDO Bespoke'!$C$33),{5})),"")</f>
        <v/>
      </c>
      <c r="Q302" s="524" t="str" cm="1">
        <f t="array" aca="1" ref="Q302" ca="1">IF($O302&lt;&gt;"",-TRANSPOSE(INDEX(getcds('CDO Bespoke'!$C327,Q$13,'CDO Bespoke'!$G327/10000,'CDO Bespoke'!G327,'CDO Bespoke'!E327,'CDO Bespoke'!$C$13,'CDO Bespoke'!$C$14,'CDO Bespoke'!$C$15,'CDO Bespoke'!$C$8,,,TRUE,TRUE,FALSE,'CDO Bespoke'!$C$29:'CDO Bespoke'!$C$31,'CDO Bespoke'!$C$33),{5})),"")</f>
        <v/>
      </c>
      <c r="R302" s="524" t="str" cm="1">
        <f t="array" aca="1" ref="R302" ca="1">IF($O302&lt;&gt;"",-TRANSPOSE(INDEX(getcds('CDO Bespoke'!$C327,R$13,'CDO Bespoke'!$G327/10000,'CDO Bespoke'!H327,'CDO Bespoke'!F327,'CDO Bespoke'!$C$13,'CDO Bespoke'!$C$14,'CDO Bespoke'!$C$15,'CDO Bespoke'!$C$8,,,TRUE,TRUE,FALSE,'CDO Bespoke'!$C$29:'CDO Bespoke'!$C$31,'CDO Bespoke'!$C$33),{5})),"")</f>
        <v/>
      </c>
      <c r="S302" s="524" t="str" cm="1">
        <f t="array" aca="1" ref="S302" ca="1">IF($O302&lt;&gt;"",-TRANSPOSE(INDEX(getcds('CDO Bespoke'!$C327,S$13,'CDO Bespoke'!$G327/10000,'CDO Bespoke'!I327,'CDO Bespoke'!G327,'CDO Bespoke'!$C$13,'CDO Bespoke'!$C$14,'CDO Bespoke'!$C$15,'CDO Bespoke'!$C$8,,,TRUE,TRUE,FALSE,'CDO Bespoke'!$C$29:'CDO Bespoke'!$C$31,'CDO Bespoke'!$C$33),{5})),"")</f>
        <v/>
      </c>
      <c r="T302" s="514" t="str" cm="1">
        <f t="array" aca="1" ref="T302" ca="1">IF($O302&lt;&gt;"",-TRANSPOSE(INDEX(getcds('CDO Bespoke'!$C327,T$13,'CDO Bespoke'!$G327/10000,'CDO Bespoke'!J327,'CDO Bespoke'!H327,'CDO Bespoke'!$C$13,'CDO Bespoke'!$C$14,'CDO Bespoke'!$C$15,'CDO Bespoke'!$C$8,,,TRUE,TRUE,FALSE,'CDO Bespoke'!$C$29:'CDO Bespoke'!$C$31,'CDO Bespoke'!$C$33),{5})),"")</f>
        <v/>
      </c>
      <c r="U302" s="493"/>
      <c r="V302" s="513"/>
      <c r="W302" s="572"/>
      <c r="X302" s="572"/>
      <c r="Y302" s="572"/>
      <c r="Z302" s="572"/>
      <c r="AA302" s="572"/>
      <c r="AB302" s="572"/>
      <c r="AC302" s="572"/>
      <c r="AD302" s="572"/>
      <c r="AE302" s="514"/>
    </row>
    <row r="303" spans="6:31" s="281" customFormat="1" ht="12" thickBot="1">
      <c r="F303" s="501" t="str">
        <f ca="1">IF('CDO Bespoke'!O304&lt;&gt;"",'CDO Bespoke'!O304,"")</f>
        <v/>
      </c>
      <c r="G303" s="502" t="str">
        <f ca="1">IF(F303&lt;&gt;"",ABS(MIN(-0.75*('CDO Bespoke'!Q304+'CDO Bespoke'!T304)+'CDO Bespoke'!T304,0)),"")</f>
        <v/>
      </c>
      <c r="H303" s="502" t="str">
        <f t="shared" ca="1" si="16"/>
        <v/>
      </c>
      <c r="I303" s="502" t="str">
        <f t="shared" ca="1" si="19"/>
        <v/>
      </c>
      <c r="J303" s="501" t="str">
        <f ca="1">IF('CDO Bespoke'!O304&lt;&gt;"",'CDO Bespoke'!O304,"")</f>
        <v/>
      </c>
      <c r="K303" s="502" t="str">
        <f ca="1">IF(J303&lt;&gt;"",ABS(MIN(-0.75*('CDO Bespoke'!K304+'CDO Bespoke'!T304)+'CDO Bespoke'!T304,0)),"")</f>
        <v/>
      </c>
      <c r="L303" s="502" t="str">
        <f t="shared" ca="1" si="17"/>
        <v/>
      </c>
      <c r="M303" s="506" t="str">
        <f t="shared" ca="1" si="18"/>
        <v/>
      </c>
      <c r="O303" s="511" t="str">
        <f ca="1">IF('CDO Bespoke'!C328&lt;&gt;"",'CDO Bespoke'!C328,"")</f>
        <v/>
      </c>
      <c r="P303" s="513" t="str" cm="1">
        <f t="array" aca="1" ref="P303" ca="1">IF($O303&lt;&gt;"",-TRANSPOSE(INDEX(getcds('CDO Bespoke'!$C328,P$13,'CDO Bespoke'!$G328/10000,'CDO Bespoke'!F328,'CDO Bespoke'!D328,'CDO Bespoke'!$C$13,'CDO Bespoke'!$C$14,'CDO Bespoke'!$C$15,'CDO Bespoke'!$C$8,,,TRUE,TRUE,FALSE,'CDO Bespoke'!$C$29:'CDO Bespoke'!$C$31,'CDO Bespoke'!$C$33),{5})),"")</f>
        <v/>
      </c>
      <c r="Q303" s="524" t="str" cm="1">
        <f t="array" aca="1" ref="Q303" ca="1">IF($O303&lt;&gt;"",-TRANSPOSE(INDEX(getcds('CDO Bespoke'!$C328,Q$13,'CDO Bespoke'!$G328/10000,'CDO Bespoke'!G328,'CDO Bespoke'!E328,'CDO Bespoke'!$C$13,'CDO Bespoke'!$C$14,'CDO Bespoke'!$C$15,'CDO Bespoke'!$C$8,,,TRUE,TRUE,FALSE,'CDO Bespoke'!$C$29:'CDO Bespoke'!$C$31,'CDO Bespoke'!$C$33),{5})),"")</f>
        <v/>
      </c>
      <c r="R303" s="524" t="str" cm="1">
        <f t="array" aca="1" ref="R303" ca="1">IF($O303&lt;&gt;"",-TRANSPOSE(INDEX(getcds('CDO Bespoke'!$C328,R$13,'CDO Bespoke'!$G328/10000,'CDO Bespoke'!H328,'CDO Bespoke'!F328,'CDO Bespoke'!$C$13,'CDO Bespoke'!$C$14,'CDO Bespoke'!$C$15,'CDO Bespoke'!$C$8,,,TRUE,TRUE,FALSE,'CDO Bespoke'!$C$29:'CDO Bespoke'!$C$31,'CDO Bespoke'!$C$33),{5})),"")</f>
        <v/>
      </c>
      <c r="S303" s="524" t="str" cm="1">
        <f t="array" aca="1" ref="S303" ca="1">IF($O303&lt;&gt;"",-TRANSPOSE(INDEX(getcds('CDO Bespoke'!$C328,S$13,'CDO Bespoke'!$G328/10000,'CDO Bespoke'!I328,'CDO Bespoke'!G328,'CDO Bespoke'!$C$13,'CDO Bespoke'!$C$14,'CDO Bespoke'!$C$15,'CDO Bespoke'!$C$8,,,TRUE,TRUE,FALSE,'CDO Bespoke'!$C$29:'CDO Bespoke'!$C$31,'CDO Bespoke'!$C$33),{5})),"")</f>
        <v/>
      </c>
      <c r="T303" s="514" t="str" cm="1">
        <f t="array" aca="1" ref="T303" ca="1">IF($O303&lt;&gt;"",-TRANSPOSE(INDEX(getcds('CDO Bespoke'!$C328,T$13,'CDO Bespoke'!$G328/10000,'CDO Bespoke'!J328,'CDO Bespoke'!H328,'CDO Bespoke'!$C$13,'CDO Bespoke'!$C$14,'CDO Bespoke'!$C$15,'CDO Bespoke'!$C$8,,,TRUE,TRUE,FALSE,'CDO Bespoke'!$C$29:'CDO Bespoke'!$C$31,'CDO Bespoke'!$C$33),{5})),"")</f>
        <v/>
      </c>
      <c r="U303" s="493"/>
      <c r="V303" s="513"/>
      <c r="W303" s="572"/>
      <c r="X303" s="572"/>
      <c r="Y303" s="572"/>
      <c r="Z303" s="572"/>
      <c r="AA303" s="572"/>
      <c r="AB303" s="572"/>
      <c r="AC303" s="572"/>
      <c r="AD303" s="572"/>
      <c r="AE303" s="514"/>
    </row>
    <row r="304" spans="6:31" s="281" customFormat="1" ht="12" thickBot="1">
      <c r="F304" s="501" t="str">
        <f ca="1">IF('CDO Bespoke'!O305&lt;&gt;"",'CDO Bespoke'!O305,"")</f>
        <v/>
      </c>
      <c r="G304" s="502" t="str">
        <f ca="1">IF(F304&lt;&gt;"",ABS(MIN(-0.75*('CDO Bespoke'!Q305+'CDO Bespoke'!T305)+'CDO Bespoke'!T305,0)),"")</f>
        <v/>
      </c>
      <c r="H304" s="502" t="str">
        <f t="shared" ca="1" si="16"/>
        <v/>
      </c>
      <c r="I304" s="502" t="str">
        <f t="shared" ca="1" si="19"/>
        <v/>
      </c>
      <c r="J304" s="501" t="str">
        <f ca="1">IF('CDO Bespoke'!O305&lt;&gt;"",'CDO Bespoke'!O305,"")</f>
        <v/>
      </c>
      <c r="K304" s="502" t="str">
        <f ca="1">IF(J304&lt;&gt;"",ABS(MIN(-0.75*('CDO Bespoke'!K305+'CDO Bespoke'!T305)+'CDO Bespoke'!T305,0)),"")</f>
        <v/>
      </c>
      <c r="L304" s="502" t="str">
        <f t="shared" ca="1" si="17"/>
        <v/>
      </c>
      <c r="M304" s="506" t="str">
        <f t="shared" ca="1" si="18"/>
        <v/>
      </c>
      <c r="O304" s="511" t="str">
        <f ca="1">IF('CDO Bespoke'!C329&lt;&gt;"",'CDO Bespoke'!C329,"")</f>
        <v/>
      </c>
      <c r="P304" s="513" t="str" cm="1">
        <f t="array" aca="1" ref="P304" ca="1">IF($O304&lt;&gt;"",-TRANSPOSE(INDEX(getcds('CDO Bespoke'!$C329,P$13,'CDO Bespoke'!$G329/10000,'CDO Bespoke'!F329,'CDO Bespoke'!D329,'CDO Bespoke'!$C$13,'CDO Bespoke'!$C$14,'CDO Bespoke'!$C$15,'CDO Bespoke'!$C$8,,,TRUE,TRUE,FALSE,'CDO Bespoke'!$C$29:'CDO Bespoke'!$C$31,'CDO Bespoke'!$C$33),{5})),"")</f>
        <v/>
      </c>
      <c r="Q304" s="524" t="str" cm="1">
        <f t="array" aca="1" ref="Q304" ca="1">IF($O304&lt;&gt;"",-TRANSPOSE(INDEX(getcds('CDO Bespoke'!$C329,Q$13,'CDO Bespoke'!$G329/10000,'CDO Bespoke'!G329,'CDO Bespoke'!E329,'CDO Bespoke'!$C$13,'CDO Bespoke'!$C$14,'CDO Bespoke'!$C$15,'CDO Bespoke'!$C$8,,,TRUE,TRUE,FALSE,'CDO Bespoke'!$C$29:'CDO Bespoke'!$C$31,'CDO Bespoke'!$C$33),{5})),"")</f>
        <v/>
      </c>
      <c r="R304" s="524" t="str" cm="1">
        <f t="array" aca="1" ref="R304" ca="1">IF($O304&lt;&gt;"",-TRANSPOSE(INDEX(getcds('CDO Bespoke'!$C329,R$13,'CDO Bespoke'!$G329/10000,'CDO Bespoke'!H329,'CDO Bespoke'!F329,'CDO Bespoke'!$C$13,'CDO Bespoke'!$C$14,'CDO Bespoke'!$C$15,'CDO Bespoke'!$C$8,,,TRUE,TRUE,FALSE,'CDO Bespoke'!$C$29:'CDO Bespoke'!$C$31,'CDO Bespoke'!$C$33),{5})),"")</f>
        <v/>
      </c>
      <c r="S304" s="524" t="str" cm="1">
        <f t="array" aca="1" ref="S304" ca="1">IF($O304&lt;&gt;"",-TRANSPOSE(INDEX(getcds('CDO Bespoke'!$C329,S$13,'CDO Bespoke'!$G329/10000,'CDO Bespoke'!I329,'CDO Bespoke'!G329,'CDO Bespoke'!$C$13,'CDO Bespoke'!$C$14,'CDO Bespoke'!$C$15,'CDO Bespoke'!$C$8,,,TRUE,TRUE,FALSE,'CDO Bespoke'!$C$29:'CDO Bespoke'!$C$31,'CDO Bespoke'!$C$33),{5})),"")</f>
        <v/>
      </c>
      <c r="T304" s="514" t="str" cm="1">
        <f t="array" aca="1" ref="T304" ca="1">IF($O304&lt;&gt;"",-TRANSPOSE(INDEX(getcds('CDO Bespoke'!$C329,T$13,'CDO Bespoke'!$G329/10000,'CDO Bespoke'!J329,'CDO Bespoke'!H329,'CDO Bespoke'!$C$13,'CDO Bespoke'!$C$14,'CDO Bespoke'!$C$15,'CDO Bespoke'!$C$8,,,TRUE,TRUE,FALSE,'CDO Bespoke'!$C$29:'CDO Bespoke'!$C$31,'CDO Bespoke'!$C$33),{5})),"")</f>
        <v/>
      </c>
      <c r="U304" s="493"/>
      <c r="V304" s="513"/>
      <c r="W304" s="572"/>
      <c r="X304" s="572"/>
      <c r="Y304" s="572"/>
      <c r="Z304" s="572"/>
      <c r="AA304" s="572"/>
      <c r="AB304" s="572"/>
      <c r="AC304" s="572"/>
      <c r="AD304" s="572"/>
      <c r="AE304" s="514"/>
    </row>
    <row r="305" spans="6:31" s="281" customFormat="1" ht="12" thickBot="1">
      <c r="F305" s="501" t="str">
        <f ca="1">IF('CDO Bespoke'!O306&lt;&gt;"",'CDO Bespoke'!O306,"")</f>
        <v/>
      </c>
      <c r="G305" s="502" t="str">
        <f ca="1">IF(F305&lt;&gt;"",ABS(MIN(-0.75*('CDO Bespoke'!Q306+'CDO Bespoke'!T306)+'CDO Bespoke'!T306,0)),"")</f>
        <v/>
      </c>
      <c r="H305" s="502" t="str">
        <f t="shared" ca="1" si="16"/>
        <v/>
      </c>
      <c r="I305" s="502" t="str">
        <f t="shared" ca="1" si="19"/>
        <v/>
      </c>
      <c r="J305" s="501" t="str">
        <f ca="1">IF('CDO Bespoke'!O306&lt;&gt;"",'CDO Bespoke'!O306,"")</f>
        <v/>
      </c>
      <c r="K305" s="502" t="str">
        <f ca="1">IF(J305&lt;&gt;"",ABS(MIN(-0.75*('CDO Bespoke'!K306+'CDO Bespoke'!T306)+'CDO Bespoke'!T306,0)),"")</f>
        <v/>
      </c>
      <c r="L305" s="502" t="str">
        <f t="shared" ca="1" si="17"/>
        <v/>
      </c>
      <c r="M305" s="506" t="str">
        <f t="shared" ca="1" si="18"/>
        <v/>
      </c>
      <c r="O305" s="511" t="str">
        <f ca="1">IF('CDO Bespoke'!C330&lt;&gt;"",'CDO Bespoke'!C330,"")</f>
        <v/>
      </c>
      <c r="P305" s="513" t="str" cm="1">
        <f t="array" aca="1" ref="P305" ca="1">IF($O305&lt;&gt;"",-TRANSPOSE(INDEX(getcds('CDO Bespoke'!$C330,P$13,'CDO Bespoke'!$G330/10000,'CDO Bespoke'!F330,'CDO Bespoke'!D330,'CDO Bespoke'!$C$13,'CDO Bespoke'!$C$14,'CDO Bespoke'!$C$15,'CDO Bespoke'!$C$8,,,TRUE,TRUE,FALSE,'CDO Bespoke'!$C$29:'CDO Bespoke'!$C$31,'CDO Bespoke'!$C$33),{5})),"")</f>
        <v/>
      </c>
      <c r="Q305" s="524" t="str" cm="1">
        <f t="array" aca="1" ref="Q305" ca="1">IF($O305&lt;&gt;"",-TRANSPOSE(INDEX(getcds('CDO Bespoke'!$C330,Q$13,'CDO Bespoke'!$G330/10000,'CDO Bespoke'!G330,'CDO Bespoke'!E330,'CDO Bespoke'!$C$13,'CDO Bespoke'!$C$14,'CDO Bespoke'!$C$15,'CDO Bespoke'!$C$8,,,TRUE,TRUE,FALSE,'CDO Bespoke'!$C$29:'CDO Bespoke'!$C$31,'CDO Bespoke'!$C$33),{5})),"")</f>
        <v/>
      </c>
      <c r="R305" s="524" t="str" cm="1">
        <f t="array" aca="1" ref="R305" ca="1">IF($O305&lt;&gt;"",-TRANSPOSE(INDEX(getcds('CDO Bespoke'!$C330,R$13,'CDO Bespoke'!$G330/10000,'CDO Bespoke'!H330,'CDO Bespoke'!F330,'CDO Bespoke'!$C$13,'CDO Bespoke'!$C$14,'CDO Bespoke'!$C$15,'CDO Bespoke'!$C$8,,,TRUE,TRUE,FALSE,'CDO Bespoke'!$C$29:'CDO Bespoke'!$C$31,'CDO Bespoke'!$C$33),{5})),"")</f>
        <v/>
      </c>
      <c r="S305" s="524" t="str" cm="1">
        <f t="array" aca="1" ref="S305" ca="1">IF($O305&lt;&gt;"",-TRANSPOSE(INDEX(getcds('CDO Bespoke'!$C330,S$13,'CDO Bespoke'!$G330/10000,'CDO Bespoke'!I330,'CDO Bespoke'!G330,'CDO Bespoke'!$C$13,'CDO Bespoke'!$C$14,'CDO Bespoke'!$C$15,'CDO Bespoke'!$C$8,,,TRUE,TRUE,FALSE,'CDO Bespoke'!$C$29:'CDO Bespoke'!$C$31,'CDO Bespoke'!$C$33),{5})),"")</f>
        <v/>
      </c>
      <c r="T305" s="514" t="str" cm="1">
        <f t="array" aca="1" ref="T305" ca="1">IF($O305&lt;&gt;"",-TRANSPOSE(INDEX(getcds('CDO Bespoke'!$C330,T$13,'CDO Bespoke'!$G330/10000,'CDO Bespoke'!J330,'CDO Bespoke'!H330,'CDO Bespoke'!$C$13,'CDO Bespoke'!$C$14,'CDO Bespoke'!$C$15,'CDO Bespoke'!$C$8,,,TRUE,TRUE,FALSE,'CDO Bespoke'!$C$29:'CDO Bespoke'!$C$31,'CDO Bespoke'!$C$33),{5})),"")</f>
        <v/>
      </c>
      <c r="U305" s="493"/>
      <c r="V305" s="513"/>
      <c r="W305" s="572"/>
      <c r="X305" s="572"/>
      <c r="Y305" s="572"/>
      <c r="Z305" s="572"/>
      <c r="AA305" s="572"/>
      <c r="AB305" s="572"/>
      <c r="AC305" s="572"/>
      <c r="AD305" s="572"/>
      <c r="AE305" s="514"/>
    </row>
    <row r="306" spans="6:31" s="281" customFormat="1" ht="12" thickBot="1">
      <c r="F306" s="501" t="str">
        <f ca="1">IF('CDO Bespoke'!O307&lt;&gt;"",'CDO Bespoke'!O307,"")</f>
        <v/>
      </c>
      <c r="G306" s="502" t="str">
        <f ca="1">IF(F306&lt;&gt;"",ABS(MIN(-0.75*('CDO Bespoke'!Q307+'CDO Bespoke'!T307)+'CDO Bespoke'!T307,0)),"")</f>
        <v/>
      </c>
      <c r="H306" s="502" t="str">
        <f t="shared" ca="1" si="16"/>
        <v/>
      </c>
      <c r="I306" s="502" t="str">
        <f t="shared" ca="1" si="19"/>
        <v/>
      </c>
      <c r="J306" s="501" t="str">
        <f ca="1">IF('CDO Bespoke'!O307&lt;&gt;"",'CDO Bespoke'!O307,"")</f>
        <v/>
      </c>
      <c r="K306" s="502" t="str">
        <f ca="1">IF(J306&lt;&gt;"",ABS(MIN(-0.75*('CDO Bespoke'!K307+'CDO Bespoke'!T307)+'CDO Bespoke'!T307,0)),"")</f>
        <v/>
      </c>
      <c r="L306" s="502" t="str">
        <f t="shared" ca="1" si="17"/>
        <v/>
      </c>
      <c r="M306" s="506" t="str">
        <f t="shared" ca="1" si="18"/>
        <v/>
      </c>
      <c r="O306" s="511" t="str">
        <f ca="1">IF('CDO Bespoke'!C331&lt;&gt;"",'CDO Bespoke'!C331,"")</f>
        <v/>
      </c>
      <c r="P306" s="513" t="str" cm="1">
        <f t="array" aca="1" ref="P306" ca="1">IF($O306&lt;&gt;"",-TRANSPOSE(INDEX(getcds('CDO Bespoke'!$C331,P$13,'CDO Bespoke'!$G331/10000,'CDO Bespoke'!F331,'CDO Bespoke'!D331,'CDO Bespoke'!$C$13,'CDO Bespoke'!$C$14,'CDO Bespoke'!$C$15,'CDO Bespoke'!$C$8,,,TRUE,TRUE,FALSE,'CDO Bespoke'!$C$29:'CDO Bespoke'!$C$31,'CDO Bespoke'!$C$33),{5})),"")</f>
        <v/>
      </c>
      <c r="Q306" s="524" t="str" cm="1">
        <f t="array" aca="1" ref="Q306" ca="1">IF($O306&lt;&gt;"",-TRANSPOSE(INDEX(getcds('CDO Bespoke'!$C331,Q$13,'CDO Bespoke'!$G331/10000,'CDO Bespoke'!G331,'CDO Bespoke'!E331,'CDO Bespoke'!$C$13,'CDO Bespoke'!$C$14,'CDO Bespoke'!$C$15,'CDO Bespoke'!$C$8,,,TRUE,TRUE,FALSE,'CDO Bespoke'!$C$29:'CDO Bespoke'!$C$31,'CDO Bespoke'!$C$33),{5})),"")</f>
        <v/>
      </c>
      <c r="R306" s="524" t="str" cm="1">
        <f t="array" aca="1" ref="R306" ca="1">IF($O306&lt;&gt;"",-TRANSPOSE(INDEX(getcds('CDO Bespoke'!$C331,R$13,'CDO Bespoke'!$G331/10000,'CDO Bespoke'!H331,'CDO Bespoke'!F331,'CDO Bespoke'!$C$13,'CDO Bespoke'!$C$14,'CDO Bespoke'!$C$15,'CDO Bespoke'!$C$8,,,TRUE,TRUE,FALSE,'CDO Bespoke'!$C$29:'CDO Bespoke'!$C$31,'CDO Bespoke'!$C$33),{5})),"")</f>
        <v/>
      </c>
      <c r="S306" s="524" t="str" cm="1">
        <f t="array" aca="1" ref="S306" ca="1">IF($O306&lt;&gt;"",-TRANSPOSE(INDEX(getcds('CDO Bespoke'!$C331,S$13,'CDO Bespoke'!$G331/10000,'CDO Bespoke'!I331,'CDO Bespoke'!G331,'CDO Bespoke'!$C$13,'CDO Bespoke'!$C$14,'CDO Bespoke'!$C$15,'CDO Bespoke'!$C$8,,,TRUE,TRUE,FALSE,'CDO Bespoke'!$C$29:'CDO Bespoke'!$C$31,'CDO Bespoke'!$C$33),{5})),"")</f>
        <v/>
      </c>
      <c r="T306" s="514" t="str" cm="1">
        <f t="array" aca="1" ref="T306" ca="1">IF($O306&lt;&gt;"",-TRANSPOSE(INDEX(getcds('CDO Bespoke'!$C331,T$13,'CDO Bespoke'!$G331/10000,'CDO Bespoke'!J331,'CDO Bespoke'!H331,'CDO Bespoke'!$C$13,'CDO Bespoke'!$C$14,'CDO Bespoke'!$C$15,'CDO Bespoke'!$C$8,,,TRUE,TRUE,FALSE,'CDO Bespoke'!$C$29:'CDO Bespoke'!$C$31,'CDO Bespoke'!$C$33),{5})),"")</f>
        <v/>
      </c>
      <c r="U306" s="493"/>
      <c r="V306" s="513"/>
      <c r="W306" s="572"/>
      <c r="X306" s="572"/>
      <c r="Y306" s="572"/>
      <c r="Z306" s="572"/>
      <c r="AA306" s="572"/>
      <c r="AB306" s="572"/>
      <c r="AC306" s="572"/>
      <c r="AD306" s="572"/>
      <c r="AE306" s="514"/>
    </row>
    <row r="307" spans="6:31" s="281" customFormat="1" ht="12" thickBot="1">
      <c r="F307" s="501" t="str">
        <f ca="1">IF('CDO Bespoke'!O308&lt;&gt;"",'CDO Bespoke'!O308,"")</f>
        <v/>
      </c>
      <c r="G307" s="502" t="str">
        <f ca="1">IF(F307&lt;&gt;"",ABS(MIN(-0.75*('CDO Bespoke'!Q308+'CDO Bespoke'!T308)+'CDO Bespoke'!T308,0)),"")</f>
        <v/>
      </c>
      <c r="H307" s="502" t="str">
        <f t="shared" ca="1" si="16"/>
        <v/>
      </c>
      <c r="I307" s="502" t="str">
        <f t="shared" ca="1" si="19"/>
        <v/>
      </c>
      <c r="J307" s="501" t="str">
        <f ca="1">IF('CDO Bespoke'!O308&lt;&gt;"",'CDO Bespoke'!O308,"")</f>
        <v/>
      </c>
      <c r="K307" s="502" t="str">
        <f ca="1">IF(J307&lt;&gt;"",ABS(MIN(-0.75*('CDO Bespoke'!K308+'CDO Bespoke'!T308)+'CDO Bespoke'!T308,0)),"")</f>
        <v/>
      </c>
      <c r="L307" s="502" t="str">
        <f t="shared" ca="1" si="17"/>
        <v/>
      </c>
      <c r="M307" s="506" t="str">
        <f t="shared" ca="1" si="18"/>
        <v/>
      </c>
      <c r="O307" s="511" t="str">
        <f ca="1">IF('CDO Bespoke'!C332&lt;&gt;"",'CDO Bespoke'!C332,"")</f>
        <v/>
      </c>
      <c r="P307" s="513" t="str" cm="1">
        <f t="array" aca="1" ref="P307" ca="1">IF($O307&lt;&gt;"",-TRANSPOSE(INDEX(getcds('CDO Bespoke'!$C332,P$13,'CDO Bespoke'!$G332/10000,'CDO Bespoke'!F332,'CDO Bespoke'!D332,'CDO Bespoke'!$C$13,'CDO Bespoke'!$C$14,'CDO Bespoke'!$C$15,'CDO Bespoke'!$C$8,,,TRUE,TRUE,FALSE,'CDO Bespoke'!$C$29:'CDO Bespoke'!$C$31,'CDO Bespoke'!$C$33),{5})),"")</f>
        <v/>
      </c>
      <c r="Q307" s="524" t="str" cm="1">
        <f t="array" aca="1" ref="Q307" ca="1">IF($O307&lt;&gt;"",-TRANSPOSE(INDEX(getcds('CDO Bespoke'!$C332,Q$13,'CDO Bespoke'!$G332/10000,'CDO Bespoke'!G332,'CDO Bespoke'!E332,'CDO Bespoke'!$C$13,'CDO Bespoke'!$C$14,'CDO Bespoke'!$C$15,'CDO Bespoke'!$C$8,,,TRUE,TRUE,FALSE,'CDO Bespoke'!$C$29:'CDO Bespoke'!$C$31,'CDO Bespoke'!$C$33),{5})),"")</f>
        <v/>
      </c>
      <c r="R307" s="524" t="str" cm="1">
        <f t="array" aca="1" ref="R307" ca="1">IF($O307&lt;&gt;"",-TRANSPOSE(INDEX(getcds('CDO Bespoke'!$C332,R$13,'CDO Bespoke'!$G332/10000,'CDO Bespoke'!H332,'CDO Bespoke'!F332,'CDO Bespoke'!$C$13,'CDO Bespoke'!$C$14,'CDO Bespoke'!$C$15,'CDO Bespoke'!$C$8,,,TRUE,TRUE,FALSE,'CDO Bespoke'!$C$29:'CDO Bespoke'!$C$31,'CDO Bespoke'!$C$33),{5})),"")</f>
        <v/>
      </c>
      <c r="S307" s="524" t="str" cm="1">
        <f t="array" aca="1" ref="S307" ca="1">IF($O307&lt;&gt;"",-TRANSPOSE(INDEX(getcds('CDO Bespoke'!$C332,S$13,'CDO Bespoke'!$G332/10000,'CDO Bespoke'!I332,'CDO Bespoke'!G332,'CDO Bespoke'!$C$13,'CDO Bespoke'!$C$14,'CDO Bespoke'!$C$15,'CDO Bespoke'!$C$8,,,TRUE,TRUE,FALSE,'CDO Bespoke'!$C$29:'CDO Bespoke'!$C$31,'CDO Bespoke'!$C$33),{5})),"")</f>
        <v/>
      </c>
      <c r="T307" s="514" t="str" cm="1">
        <f t="array" aca="1" ref="T307" ca="1">IF($O307&lt;&gt;"",-TRANSPOSE(INDEX(getcds('CDO Bespoke'!$C332,T$13,'CDO Bespoke'!$G332/10000,'CDO Bespoke'!J332,'CDO Bespoke'!H332,'CDO Bespoke'!$C$13,'CDO Bespoke'!$C$14,'CDO Bespoke'!$C$15,'CDO Bespoke'!$C$8,,,TRUE,TRUE,FALSE,'CDO Bespoke'!$C$29:'CDO Bespoke'!$C$31,'CDO Bespoke'!$C$33),{5})),"")</f>
        <v/>
      </c>
      <c r="U307" s="493"/>
      <c r="V307" s="513"/>
      <c r="W307" s="572"/>
      <c r="X307" s="572"/>
      <c r="Y307" s="572"/>
      <c r="Z307" s="572"/>
      <c r="AA307" s="572"/>
      <c r="AB307" s="572"/>
      <c r="AC307" s="572"/>
      <c r="AD307" s="572"/>
      <c r="AE307" s="514"/>
    </row>
    <row r="308" spans="6:31" s="281" customFormat="1" ht="12" thickBot="1">
      <c r="F308" s="501" t="str">
        <f ca="1">IF('CDO Bespoke'!O309&lt;&gt;"",'CDO Bespoke'!O309,"")</f>
        <v/>
      </c>
      <c r="G308" s="502" t="str">
        <f ca="1">IF(F308&lt;&gt;"",ABS(MIN(-0.75*('CDO Bespoke'!Q309+'CDO Bespoke'!T309)+'CDO Bespoke'!T309,0)),"")</f>
        <v/>
      </c>
      <c r="H308" s="502" t="str">
        <f t="shared" ca="1" si="16"/>
        <v/>
      </c>
      <c r="I308" s="502" t="str">
        <f t="shared" ca="1" si="19"/>
        <v/>
      </c>
      <c r="J308" s="501" t="str">
        <f ca="1">IF('CDO Bespoke'!O309&lt;&gt;"",'CDO Bespoke'!O309,"")</f>
        <v/>
      </c>
      <c r="K308" s="502" t="str">
        <f ca="1">IF(J308&lt;&gt;"",ABS(MIN(-0.75*('CDO Bespoke'!K309+'CDO Bespoke'!T309)+'CDO Bespoke'!T309,0)),"")</f>
        <v/>
      </c>
      <c r="L308" s="502" t="str">
        <f t="shared" ca="1" si="17"/>
        <v/>
      </c>
      <c r="M308" s="506" t="str">
        <f t="shared" ca="1" si="18"/>
        <v/>
      </c>
      <c r="O308" s="511" t="str">
        <f ca="1">IF('CDO Bespoke'!C333&lt;&gt;"",'CDO Bespoke'!C333,"")</f>
        <v/>
      </c>
      <c r="P308" s="513" t="str" cm="1">
        <f t="array" aca="1" ref="P308" ca="1">IF($O308&lt;&gt;"",-TRANSPOSE(INDEX(getcds('CDO Bespoke'!$C333,P$13,'CDO Bespoke'!$G333/10000,'CDO Bespoke'!F333,'CDO Bespoke'!D333,'CDO Bespoke'!$C$13,'CDO Bespoke'!$C$14,'CDO Bespoke'!$C$15,'CDO Bespoke'!$C$8,,,TRUE,TRUE,FALSE,'CDO Bespoke'!$C$29:'CDO Bespoke'!$C$31,'CDO Bespoke'!$C$33),{5})),"")</f>
        <v/>
      </c>
      <c r="Q308" s="524" t="str" cm="1">
        <f t="array" aca="1" ref="Q308" ca="1">IF($O308&lt;&gt;"",-TRANSPOSE(INDEX(getcds('CDO Bespoke'!$C333,Q$13,'CDO Bespoke'!$G333/10000,'CDO Bespoke'!G333,'CDO Bespoke'!E333,'CDO Bespoke'!$C$13,'CDO Bespoke'!$C$14,'CDO Bespoke'!$C$15,'CDO Bespoke'!$C$8,,,TRUE,TRUE,FALSE,'CDO Bespoke'!$C$29:'CDO Bespoke'!$C$31,'CDO Bespoke'!$C$33),{5})),"")</f>
        <v/>
      </c>
      <c r="R308" s="524" t="str" cm="1">
        <f t="array" aca="1" ref="R308" ca="1">IF($O308&lt;&gt;"",-TRANSPOSE(INDEX(getcds('CDO Bespoke'!$C333,R$13,'CDO Bespoke'!$G333/10000,'CDO Bespoke'!H333,'CDO Bespoke'!F333,'CDO Bespoke'!$C$13,'CDO Bespoke'!$C$14,'CDO Bespoke'!$C$15,'CDO Bespoke'!$C$8,,,TRUE,TRUE,FALSE,'CDO Bespoke'!$C$29:'CDO Bespoke'!$C$31,'CDO Bespoke'!$C$33),{5})),"")</f>
        <v/>
      </c>
      <c r="S308" s="524" t="str" cm="1">
        <f t="array" aca="1" ref="S308" ca="1">IF($O308&lt;&gt;"",-TRANSPOSE(INDEX(getcds('CDO Bespoke'!$C333,S$13,'CDO Bespoke'!$G333/10000,'CDO Bespoke'!I333,'CDO Bespoke'!G333,'CDO Bespoke'!$C$13,'CDO Bespoke'!$C$14,'CDO Bespoke'!$C$15,'CDO Bespoke'!$C$8,,,TRUE,TRUE,FALSE,'CDO Bespoke'!$C$29:'CDO Bespoke'!$C$31,'CDO Bespoke'!$C$33),{5})),"")</f>
        <v/>
      </c>
      <c r="T308" s="514" t="str" cm="1">
        <f t="array" aca="1" ref="T308" ca="1">IF($O308&lt;&gt;"",-TRANSPOSE(INDEX(getcds('CDO Bespoke'!$C333,T$13,'CDO Bespoke'!$G333/10000,'CDO Bespoke'!J333,'CDO Bespoke'!H333,'CDO Bespoke'!$C$13,'CDO Bespoke'!$C$14,'CDO Bespoke'!$C$15,'CDO Bespoke'!$C$8,,,TRUE,TRUE,FALSE,'CDO Bespoke'!$C$29:'CDO Bespoke'!$C$31,'CDO Bespoke'!$C$33),{5})),"")</f>
        <v/>
      </c>
      <c r="U308" s="493"/>
      <c r="V308" s="513"/>
      <c r="W308" s="572"/>
      <c r="X308" s="572"/>
      <c r="Y308" s="572"/>
      <c r="Z308" s="572"/>
      <c r="AA308" s="572"/>
      <c r="AB308" s="572"/>
      <c r="AC308" s="572"/>
      <c r="AD308" s="572"/>
      <c r="AE308" s="514"/>
    </row>
    <row r="309" spans="6:31" s="281" customFormat="1" ht="12" thickBot="1">
      <c r="F309" s="501" t="str">
        <f ca="1">IF('CDO Bespoke'!O310&lt;&gt;"",'CDO Bespoke'!O310,"")</f>
        <v/>
      </c>
      <c r="G309" s="502" t="str">
        <f ca="1">IF(F309&lt;&gt;"",ABS(MIN(-0.75*('CDO Bespoke'!Q310+'CDO Bespoke'!T310)+'CDO Bespoke'!T310,0)),"")</f>
        <v/>
      </c>
      <c r="H309" s="502" t="str">
        <f t="shared" ca="1" si="16"/>
        <v/>
      </c>
      <c r="I309" s="502" t="str">
        <f t="shared" ca="1" si="19"/>
        <v/>
      </c>
      <c r="J309" s="501" t="str">
        <f ca="1">IF('CDO Bespoke'!O310&lt;&gt;"",'CDO Bespoke'!O310,"")</f>
        <v/>
      </c>
      <c r="K309" s="502" t="str">
        <f ca="1">IF(J309&lt;&gt;"",ABS(MIN(-0.75*('CDO Bespoke'!K310+'CDO Bespoke'!T310)+'CDO Bespoke'!T310,0)),"")</f>
        <v/>
      </c>
      <c r="L309" s="502" t="str">
        <f t="shared" ca="1" si="17"/>
        <v/>
      </c>
      <c r="M309" s="506" t="str">
        <f t="shared" ca="1" si="18"/>
        <v/>
      </c>
      <c r="O309" s="511" t="str">
        <f ca="1">IF('CDO Bespoke'!C334&lt;&gt;"",'CDO Bespoke'!C334,"")</f>
        <v/>
      </c>
      <c r="P309" s="513" t="str" cm="1">
        <f t="array" aca="1" ref="P309" ca="1">IF($O309&lt;&gt;"",-TRANSPOSE(INDEX(getcds('CDO Bespoke'!$C334,P$13,'CDO Bespoke'!$G334/10000,'CDO Bespoke'!F334,'CDO Bespoke'!D334,'CDO Bespoke'!$C$13,'CDO Bespoke'!$C$14,'CDO Bespoke'!$C$15,'CDO Bespoke'!$C$8,,,TRUE,TRUE,FALSE,'CDO Bespoke'!$C$29:'CDO Bespoke'!$C$31,'CDO Bespoke'!$C$33),{5})),"")</f>
        <v/>
      </c>
      <c r="Q309" s="524" t="str" cm="1">
        <f t="array" aca="1" ref="Q309" ca="1">IF($O309&lt;&gt;"",-TRANSPOSE(INDEX(getcds('CDO Bespoke'!$C334,Q$13,'CDO Bespoke'!$G334/10000,'CDO Bespoke'!G334,'CDO Bespoke'!E334,'CDO Bespoke'!$C$13,'CDO Bespoke'!$C$14,'CDO Bespoke'!$C$15,'CDO Bespoke'!$C$8,,,TRUE,TRUE,FALSE,'CDO Bespoke'!$C$29:'CDO Bespoke'!$C$31,'CDO Bespoke'!$C$33),{5})),"")</f>
        <v/>
      </c>
      <c r="R309" s="524" t="str" cm="1">
        <f t="array" aca="1" ref="R309" ca="1">IF($O309&lt;&gt;"",-TRANSPOSE(INDEX(getcds('CDO Bespoke'!$C334,R$13,'CDO Bespoke'!$G334/10000,'CDO Bespoke'!H334,'CDO Bespoke'!F334,'CDO Bespoke'!$C$13,'CDO Bespoke'!$C$14,'CDO Bespoke'!$C$15,'CDO Bespoke'!$C$8,,,TRUE,TRUE,FALSE,'CDO Bespoke'!$C$29:'CDO Bespoke'!$C$31,'CDO Bespoke'!$C$33),{5})),"")</f>
        <v/>
      </c>
      <c r="S309" s="524" t="str" cm="1">
        <f t="array" aca="1" ref="S309" ca="1">IF($O309&lt;&gt;"",-TRANSPOSE(INDEX(getcds('CDO Bespoke'!$C334,S$13,'CDO Bespoke'!$G334/10000,'CDO Bespoke'!I334,'CDO Bespoke'!G334,'CDO Bespoke'!$C$13,'CDO Bespoke'!$C$14,'CDO Bespoke'!$C$15,'CDO Bespoke'!$C$8,,,TRUE,TRUE,FALSE,'CDO Bespoke'!$C$29:'CDO Bespoke'!$C$31,'CDO Bespoke'!$C$33),{5})),"")</f>
        <v/>
      </c>
      <c r="T309" s="514" t="str" cm="1">
        <f t="array" aca="1" ref="T309" ca="1">IF($O309&lt;&gt;"",-TRANSPOSE(INDEX(getcds('CDO Bespoke'!$C334,T$13,'CDO Bespoke'!$G334/10000,'CDO Bespoke'!J334,'CDO Bespoke'!H334,'CDO Bespoke'!$C$13,'CDO Bespoke'!$C$14,'CDO Bespoke'!$C$15,'CDO Bespoke'!$C$8,,,TRUE,TRUE,FALSE,'CDO Bespoke'!$C$29:'CDO Bespoke'!$C$31,'CDO Bespoke'!$C$33),{5})),"")</f>
        <v/>
      </c>
      <c r="U309" s="493"/>
      <c r="V309" s="513"/>
      <c r="W309" s="572"/>
      <c r="X309" s="572"/>
      <c r="Y309" s="572"/>
      <c r="Z309" s="572"/>
      <c r="AA309" s="572"/>
      <c r="AB309" s="572"/>
      <c r="AC309" s="572"/>
      <c r="AD309" s="572"/>
      <c r="AE309" s="514"/>
    </row>
    <row r="310" spans="6:31" s="281" customFormat="1" ht="12" thickBot="1">
      <c r="F310" s="501" t="str">
        <f ca="1">IF('CDO Bespoke'!O311&lt;&gt;"",'CDO Bespoke'!O311,"")</f>
        <v/>
      </c>
      <c r="G310" s="502" t="str">
        <f ca="1">IF(F310&lt;&gt;"",ABS(MIN(-0.75*('CDO Bespoke'!Q311+'CDO Bespoke'!T311)+'CDO Bespoke'!T311,0)),"")</f>
        <v/>
      </c>
      <c r="H310" s="502" t="str">
        <f t="shared" ca="1" si="16"/>
        <v/>
      </c>
      <c r="I310" s="502" t="str">
        <f t="shared" ca="1" si="19"/>
        <v/>
      </c>
      <c r="J310" s="501" t="str">
        <f ca="1">IF('CDO Bespoke'!O311&lt;&gt;"",'CDO Bespoke'!O311,"")</f>
        <v/>
      </c>
      <c r="K310" s="502" t="str">
        <f ca="1">IF(J310&lt;&gt;"",ABS(MIN(-0.75*('CDO Bespoke'!K311+'CDO Bespoke'!T311)+'CDO Bespoke'!T311,0)),"")</f>
        <v/>
      </c>
      <c r="L310" s="502" t="str">
        <f t="shared" ca="1" si="17"/>
        <v/>
      </c>
      <c r="M310" s="506" t="str">
        <f t="shared" ca="1" si="18"/>
        <v/>
      </c>
      <c r="O310" s="511" t="str">
        <f ca="1">IF('CDO Bespoke'!C335&lt;&gt;"",'CDO Bespoke'!C335,"")</f>
        <v/>
      </c>
      <c r="P310" s="513" t="str" cm="1">
        <f t="array" aca="1" ref="P310" ca="1">IF($O310&lt;&gt;"",-TRANSPOSE(INDEX(getcds('CDO Bespoke'!$C335,P$13,'CDO Bespoke'!$G335/10000,'CDO Bespoke'!F335,'CDO Bespoke'!D335,'CDO Bespoke'!$C$13,'CDO Bespoke'!$C$14,'CDO Bespoke'!$C$15,'CDO Bespoke'!$C$8,,,TRUE,TRUE,FALSE,'CDO Bespoke'!$C$29:'CDO Bespoke'!$C$31,'CDO Bespoke'!$C$33),{5})),"")</f>
        <v/>
      </c>
      <c r="Q310" s="524" t="str" cm="1">
        <f t="array" aca="1" ref="Q310" ca="1">IF($O310&lt;&gt;"",-TRANSPOSE(INDEX(getcds('CDO Bespoke'!$C335,Q$13,'CDO Bespoke'!$G335/10000,'CDO Bespoke'!G335,'CDO Bespoke'!E335,'CDO Bespoke'!$C$13,'CDO Bespoke'!$C$14,'CDO Bespoke'!$C$15,'CDO Bespoke'!$C$8,,,TRUE,TRUE,FALSE,'CDO Bespoke'!$C$29:'CDO Bespoke'!$C$31,'CDO Bespoke'!$C$33),{5})),"")</f>
        <v/>
      </c>
      <c r="R310" s="524" t="str" cm="1">
        <f t="array" aca="1" ref="R310" ca="1">IF($O310&lt;&gt;"",-TRANSPOSE(INDEX(getcds('CDO Bespoke'!$C335,R$13,'CDO Bespoke'!$G335/10000,'CDO Bespoke'!H335,'CDO Bespoke'!F335,'CDO Bespoke'!$C$13,'CDO Bespoke'!$C$14,'CDO Bespoke'!$C$15,'CDO Bespoke'!$C$8,,,TRUE,TRUE,FALSE,'CDO Bespoke'!$C$29:'CDO Bespoke'!$C$31,'CDO Bespoke'!$C$33),{5})),"")</f>
        <v/>
      </c>
      <c r="S310" s="524" t="str" cm="1">
        <f t="array" aca="1" ref="S310" ca="1">IF($O310&lt;&gt;"",-TRANSPOSE(INDEX(getcds('CDO Bespoke'!$C335,S$13,'CDO Bespoke'!$G335/10000,'CDO Bespoke'!I335,'CDO Bespoke'!G335,'CDO Bespoke'!$C$13,'CDO Bespoke'!$C$14,'CDO Bespoke'!$C$15,'CDO Bespoke'!$C$8,,,TRUE,TRUE,FALSE,'CDO Bespoke'!$C$29:'CDO Bespoke'!$C$31,'CDO Bespoke'!$C$33),{5})),"")</f>
        <v/>
      </c>
      <c r="T310" s="514" t="str" cm="1">
        <f t="array" aca="1" ref="T310" ca="1">IF($O310&lt;&gt;"",-TRANSPOSE(INDEX(getcds('CDO Bespoke'!$C335,T$13,'CDO Bespoke'!$G335/10000,'CDO Bespoke'!J335,'CDO Bespoke'!H335,'CDO Bespoke'!$C$13,'CDO Bespoke'!$C$14,'CDO Bespoke'!$C$15,'CDO Bespoke'!$C$8,,,TRUE,TRUE,FALSE,'CDO Bespoke'!$C$29:'CDO Bespoke'!$C$31,'CDO Bespoke'!$C$33),{5})),"")</f>
        <v/>
      </c>
      <c r="U310" s="493"/>
      <c r="V310" s="513"/>
      <c r="W310" s="572"/>
      <c r="X310" s="572"/>
      <c r="Y310" s="572"/>
      <c r="Z310" s="572"/>
      <c r="AA310" s="572"/>
      <c r="AB310" s="572"/>
      <c r="AC310" s="572"/>
      <c r="AD310" s="572"/>
      <c r="AE310" s="514"/>
    </row>
    <row r="311" spans="6:31" s="281" customFormat="1" ht="12" thickBot="1">
      <c r="F311" s="501" t="str">
        <f ca="1">IF('CDO Bespoke'!O312&lt;&gt;"",'CDO Bespoke'!O312,"")</f>
        <v/>
      </c>
      <c r="G311" s="502" t="str">
        <f ca="1">IF(F311&lt;&gt;"",ABS(MIN(-0.75*('CDO Bespoke'!Q312+'CDO Bespoke'!T312)+'CDO Bespoke'!T312,0)),"")</f>
        <v/>
      </c>
      <c r="H311" s="502" t="str">
        <f t="shared" ca="1" si="16"/>
        <v/>
      </c>
      <c r="I311" s="502" t="str">
        <f t="shared" ca="1" si="19"/>
        <v/>
      </c>
      <c r="J311" s="501" t="str">
        <f ca="1">IF('CDO Bespoke'!O312&lt;&gt;"",'CDO Bespoke'!O312,"")</f>
        <v/>
      </c>
      <c r="K311" s="502" t="str">
        <f ca="1">IF(J311&lt;&gt;"",ABS(MIN(-0.75*('CDO Bespoke'!K312+'CDO Bespoke'!T312)+'CDO Bespoke'!T312,0)),"")</f>
        <v/>
      </c>
      <c r="L311" s="502" t="str">
        <f t="shared" ca="1" si="17"/>
        <v/>
      </c>
      <c r="M311" s="506" t="str">
        <f t="shared" ca="1" si="18"/>
        <v/>
      </c>
      <c r="O311" s="511" t="str">
        <f ca="1">IF('CDO Bespoke'!C336&lt;&gt;"",'CDO Bespoke'!C336,"")</f>
        <v/>
      </c>
      <c r="P311" s="513" t="str" cm="1">
        <f t="array" aca="1" ref="P311" ca="1">IF($O311&lt;&gt;"",-TRANSPOSE(INDEX(getcds('CDO Bespoke'!$C336,P$13,'CDO Bespoke'!$G336/10000,'CDO Bespoke'!F336,'CDO Bespoke'!D336,'CDO Bespoke'!$C$13,'CDO Bespoke'!$C$14,'CDO Bespoke'!$C$15,'CDO Bespoke'!$C$8,,,TRUE,TRUE,FALSE,'CDO Bespoke'!$C$29:'CDO Bespoke'!$C$31,'CDO Bespoke'!$C$33),{5})),"")</f>
        <v/>
      </c>
      <c r="Q311" s="524" t="str" cm="1">
        <f t="array" aca="1" ref="Q311" ca="1">IF($O311&lt;&gt;"",-TRANSPOSE(INDEX(getcds('CDO Bespoke'!$C336,Q$13,'CDO Bespoke'!$G336/10000,'CDO Bespoke'!G336,'CDO Bespoke'!E336,'CDO Bespoke'!$C$13,'CDO Bespoke'!$C$14,'CDO Bespoke'!$C$15,'CDO Bespoke'!$C$8,,,TRUE,TRUE,FALSE,'CDO Bespoke'!$C$29:'CDO Bespoke'!$C$31,'CDO Bespoke'!$C$33),{5})),"")</f>
        <v/>
      </c>
      <c r="R311" s="524" t="str" cm="1">
        <f t="array" aca="1" ref="R311" ca="1">IF($O311&lt;&gt;"",-TRANSPOSE(INDEX(getcds('CDO Bespoke'!$C336,R$13,'CDO Bespoke'!$G336/10000,'CDO Bespoke'!H336,'CDO Bespoke'!F336,'CDO Bespoke'!$C$13,'CDO Bespoke'!$C$14,'CDO Bespoke'!$C$15,'CDO Bespoke'!$C$8,,,TRUE,TRUE,FALSE,'CDO Bespoke'!$C$29:'CDO Bespoke'!$C$31,'CDO Bespoke'!$C$33),{5})),"")</f>
        <v/>
      </c>
      <c r="S311" s="524" t="str" cm="1">
        <f t="array" aca="1" ref="S311" ca="1">IF($O311&lt;&gt;"",-TRANSPOSE(INDEX(getcds('CDO Bespoke'!$C336,S$13,'CDO Bespoke'!$G336/10000,'CDO Bespoke'!I336,'CDO Bespoke'!G336,'CDO Bespoke'!$C$13,'CDO Bespoke'!$C$14,'CDO Bespoke'!$C$15,'CDO Bespoke'!$C$8,,,TRUE,TRUE,FALSE,'CDO Bespoke'!$C$29:'CDO Bespoke'!$C$31,'CDO Bespoke'!$C$33),{5})),"")</f>
        <v/>
      </c>
      <c r="T311" s="514" t="str" cm="1">
        <f t="array" aca="1" ref="T311" ca="1">IF($O311&lt;&gt;"",-TRANSPOSE(INDEX(getcds('CDO Bespoke'!$C336,T$13,'CDO Bespoke'!$G336/10000,'CDO Bespoke'!J336,'CDO Bespoke'!H336,'CDO Bespoke'!$C$13,'CDO Bespoke'!$C$14,'CDO Bespoke'!$C$15,'CDO Bespoke'!$C$8,,,TRUE,TRUE,FALSE,'CDO Bespoke'!$C$29:'CDO Bespoke'!$C$31,'CDO Bespoke'!$C$33),{5})),"")</f>
        <v/>
      </c>
      <c r="U311" s="493"/>
      <c r="V311" s="513"/>
      <c r="W311" s="572"/>
      <c r="X311" s="572"/>
      <c r="Y311" s="572"/>
      <c r="Z311" s="572"/>
      <c r="AA311" s="572"/>
      <c r="AB311" s="572"/>
      <c r="AC311" s="572"/>
      <c r="AD311" s="572"/>
      <c r="AE311" s="514"/>
    </row>
    <row r="312" spans="6:31" s="281" customFormat="1" ht="12" thickBot="1">
      <c r="F312" s="501" t="str">
        <f ca="1">IF('CDO Bespoke'!O313&lt;&gt;"",'CDO Bespoke'!O313,"")</f>
        <v/>
      </c>
      <c r="G312" s="502" t="str">
        <f ca="1">IF(F312&lt;&gt;"",ABS(MIN(-0.75*('CDO Bespoke'!Q313+'CDO Bespoke'!T313)+'CDO Bespoke'!T313,0)),"")</f>
        <v/>
      </c>
      <c r="H312" s="502" t="str">
        <f t="shared" ca="1" si="16"/>
        <v/>
      </c>
      <c r="I312" s="502" t="str">
        <f t="shared" ca="1" si="19"/>
        <v/>
      </c>
      <c r="J312" s="501" t="str">
        <f ca="1">IF('CDO Bespoke'!O313&lt;&gt;"",'CDO Bespoke'!O313,"")</f>
        <v/>
      </c>
      <c r="K312" s="502" t="str">
        <f ca="1">IF(J312&lt;&gt;"",ABS(MIN(-0.75*('CDO Bespoke'!K313+'CDO Bespoke'!T313)+'CDO Bespoke'!T313,0)),"")</f>
        <v/>
      </c>
      <c r="L312" s="502" t="str">
        <f t="shared" ca="1" si="17"/>
        <v/>
      </c>
      <c r="M312" s="506" t="str">
        <f t="shared" ca="1" si="18"/>
        <v/>
      </c>
      <c r="O312" s="511" t="str">
        <f ca="1">IF('CDO Bespoke'!C337&lt;&gt;"",'CDO Bespoke'!C337,"")</f>
        <v/>
      </c>
      <c r="P312" s="513" t="str" cm="1">
        <f t="array" aca="1" ref="P312" ca="1">IF($O312&lt;&gt;"",-TRANSPOSE(INDEX(getcds('CDO Bespoke'!$C337,P$13,'CDO Bespoke'!$G337/10000,'CDO Bespoke'!F337,'CDO Bespoke'!D337,'CDO Bespoke'!$C$13,'CDO Bespoke'!$C$14,'CDO Bespoke'!$C$15,'CDO Bespoke'!$C$8,,,TRUE,TRUE,FALSE,'CDO Bespoke'!$C$29:'CDO Bespoke'!$C$31,'CDO Bespoke'!$C$33),{5})),"")</f>
        <v/>
      </c>
      <c r="Q312" s="524" t="str" cm="1">
        <f t="array" aca="1" ref="Q312" ca="1">IF($O312&lt;&gt;"",-TRANSPOSE(INDEX(getcds('CDO Bespoke'!$C337,Q$13,'CDO Bespoke'!$G337/10000,'CDO Bespoke'!G337,'CDO Bespoke'!E337,'CDO Bespoke'!$C$13,'CDO Bespoke'!$C$14,'CDO Bespoke'!$C$15,'CDO Bespoke'!$C$8,,,TRUE,TRUE,FALSE,'CDO Bespoke'!$C$29:'CDO Bespoke'!$C$31,'CDO Bespoke'!$C$33),{5})),"")</f>
        <v/>
      </c>
      <c r="R312" s="524" t="str" cm="1">
        <f t="array" aca="1" ref="R312" ca="1">IF($O312&lt;&gt;"",-TRANSPOSE(INDEX(getcds('CDO Bespoke'!$C337,R$13,'CDO Bespoke'!$G337/10000,'CDO Bespoke'!H337,'CDO Bespoke'!F337,'CDO Bespoke'!$C$13,'CDO Bespoke'!$C$14,'CDO Bespoke'!$C$15,'CDO Bespoke'!$C$8,,,TRUE,TRUE,FALSE,'CDO Bespoke'!$C$29:'CDO Bespoke'!$C$31,'CDO Bespoke'!$C$33),{5})),"")</f>
        <v/>
      </c>
      <c r="S312" s="524" t="str" cm="1">
        <f t="array" aca="1" ref="S312" ca="1">IF($O312&lt;&gt;"",-TRANSPOSE(INDEX(getcds('CDO Bespoke'!$C337,S$13,'CDO Bespoke'!$G337/10000,'CDO Bespoke'!I337,'CDO Bespoke'!G337,'CDO Bespoke'!$C$13,'CDO Bespoke'!$C$14,'CDO Bespoke'!$C$15,'CDO Bespoke'!$C$8,,,TRUE,TRUE,FALSE,'CDO Bespoke'!$C$29:'CDO Bespoke'!$C$31,'CDO Bespoke'!$C$33),{5})),"")</f>
        <v/>
      </c>
      <c r="T312" s="514" t="str" cm="1">
        <f t="array" aca="1" ref="T312" ca="1">IF($O312&lt;&gt;"",-TRANSPOSE(INDEX(getcds('CDO Bespoke'!$C337,T$13,'CDO Bespoke'!$G337/10000,'CDO Bespoke'!J337,'CDO Bespoke'!H337,'CDO Bespoke'!$C$13,'CDO Bespoke'!$C$14,'CDO Bespoke'!$C$15,'CDO Bespoke'!$C$8,,,TRUE,TRUE,FALSE,'CDO Bespoke'!$C$29:'CDO Bespoke'!$C$31,'CDO Bespoke'!$C$33),{5})),"")</f>
        <v/>
      </c>
      <c r="U312" s="493"/>
      <c r="V312" s="513"/>
      <c r="W312" s="572"/>
      <c r="X312" s="572"/>
      <c r="Y312" s="572"/>
      <c r="Z312" s="572"/>
      <c r="AA312" s="572"/>
      <c r="AB312" s="572"/>
      <c r="AC312" s="572"/>
      <c r="AD312" s="572"/>
      <c r="AE312" s="514"/>
    </row>
    <row r="313" spans="6:31" s="281" customFormat="1" ht="12" thickBot="1">
      <c r="F313" s="507" t="str">
        <f ca="1">IF('CDO Bespoke'!O314&lt;&gt;"",'CDO Bespoke'!O314,"")</f>
        <v/>
      </c>
      <c r="G313" s="508" t="str">
        <f ca="1">IF(F313&lt;&gt;"",ABS(MIN(-0.75*('CDO Bespoke'!Q314+'CDO Bespoke'!T314)+'CDO Bespoke'!T314,0)),"")</f>
        <v/>
      </c>
      <c r="H313" s="508" t="str">
        <f t="shared" ca="1" si="16"/>
        <v/>
      </c>
      <c r="I313" s="502" t="str">
        <f t="shared" ca="1" si="19"/>
        <v/>
      </c>
      <c r="J313" s="507" t="str">
        <f ca="1">IF('CDO Bespoke'!O314&lt;&gt;"",'CDO Bespoke'!O314,"")</f>
        <v/>
      </c>
      <c r="K313" s="508" t="str">
        <f ca="1">IF(J313&lt;&gt;"",ABS(MIN(-0.75*('CDO Bespoke'!K314+'CDO Bespoke'!T314)+'CDO Bespoke'!T314,0)),"")</f>
        <v/>
      </c>
      <c r="L313" s="508" t="str">
        <f t="shared" ca="1" si="17"/>
        <v/>
      </c>
      <c r="M313" s="509" t="str">
        <f t="shared" ca="1" si="18"/>
        <v/>
      </c>
      <c r="O313" s="512" t="str">
        <f ca="1">IF('CDO Bespoke'!C338&lt;&gt;"",'CDO Bespoke'!C338,"")</f>
        <v/>
      </c>
      <c r="P313" s="515" t="str" cm="1">
        <f t="array" aca="1" ref="P313" ca="1">IF($O313&lt;&gt;"",-TRANSPOSE(INDEX(getcds('CDO Bespoke'!$C338,P$13,'CDO Bespoke'!$G338/10000,'CDO Bespoke'!F338,'CDO Bespoke'!D338,'CDO Bespoke'!$C$13,'CDO Bespoke'!$C$14,'CDO Bespoke'!$C$15,'CDO Bespoke'!$C$8,,,TRUE,TRUE,FALSE,'CDO Bespoke'!$C$29:'CDO Bespoke'!$C$31,'CDO Bespoke'!$C$33),{5})),"")</f>
        <v/>
      </c>
      <c r="Q313" s="516" t="str" cm="1">
        <f t="array" aca="1" ref="Q313" ca="1">IF($O313&lt;&gt;"",-TRANSPOSE(INDEX(getcds('CDO Bespoke'!$C338,Q$13,'CDO Bespoke'!$G338/10000,'CDO Bespoke'!G338,'CDO Bespoke'!E338,'CDO Bespoke'!$C$13,'CDO Bespoke'!$C$14,'CDO Bespoke'!$C$15,'CDO Bespoke'!$C$8,,,TRUE,TRUE,FALSE,'CDO Bespoke'!$C$29:'CDO Bespoke'!$C$31,'CDO Bespoke'!$C$33),{5})),"")</f>
        <v/>
      </c>
      <c r="R313" s="516" t="str" cm="1">
        <f t="array" aca="1" ref="R313" ca="1">IF($O313&lt;&gt;"",-TRANSPOSE(INDEX(getcds('CDO Bespoke'!$C338,R$13,'CDO Bespoke'!$G338/10000,'CDO Bespoke'!H338,'CDO Bespoke'!F338,'CDO Bespoke'!$C$13,'CDO Bespoke'!$C$14,'CDO Bespoke'!$C$15,'CDO Bespoke'!$C$8,,,TRUE,TRUE,FALSE,'CDO Bespoke'!$C$29:'CDO Bespoke'!$C$31,'CDO Bespoke'!$C$33),{5})),"")</f>
        <v/>
      </c>
      <c r="S313" s="516" t="str" cm="1">
        <f t="array" aca="1" ref="S313" ca="1">IF($O313&lt;&gt;"",-TRANSPOSE(INDEX(getcds('CDO Bespoke'!$C338,S$13,'CDO Bespoke'!$G338/10000,'CDO Bespoke'!I338,'CDO Bespoke'!G338,'CDO Bespoke'!$C$13,'CDO Bespoke'!$C$14,'CDO Bespoke'!$C$15,'CDO Bespoke'!$C$8,,,TRUE,TRUE,FALSE,'CDO Bespoke'!$C$29:'CDO Bespoke'!$C$31,'CDO Bespoke'!$C$33),{5})),"")</f>
        <v/>
      </c>
      <c r="T313" s="517" t="str" cm="1">
        <f t="array" aca="1" ref="T313" ca="1">IF($O313&lt;&gt;"",-TRANSPOSE(INDEX(getcds('CDO Bespoke'!$C338,T$13,'CDO Bespoke'!$G338/10000,'CDO Bespoke'!J338,'CDO Bespoke'!H338,'CDO Bespoke'!$C$13,'CDO Bespoke'!$C$14,'CDO Bespoke'!$C$15,'CDO Bespoke'!$C$8,,,TRUE,TRUE,FALSE,'CDO Bespoke'!$C$29:'CDO Bespoke'!$C$31,'CDO Bespoke'!$C$33),{5})),"")</f>
        <v/>
      </c>
      <c r="U313" s="493"/>
      <c r="V313" s="515"/>
      <c r="W313" s="516"/>
      <c r="X313" s="516"/>
      <c r="Y313" s="516"/>
      <c r="Z313" s="516"/>
      <c r="AA313" s="516"/>
      <c r="AB313" s="516"/>
      <c r="AC313" s="516"/>
      <c r="AD313" s="516"/>
      <c r="AE313" s="517"/>
    </row>
    <row r="314" spans="6:31" s="281" customFormat="1"/>
    <row r="315" spans="6:31" s="281" customFormat="1"/>
    <row r="316" spans="6:31" s="281" customFormat="1"/>
    <row r="317" spans="6:31" s="281" customFormat="1"/>
    <row r="318" spans="6:31" s="281" customFormat="1"/>
    <row r="319" spans="6:31" s="281" customFormat="1"/>
    <row r="320" spans="6:31" s="281" customFormat="1"/>
    <row r="321" s="281" customFormat="1"/>
    <row r="322" s="281" customFormat="1"/>
    <row r="323" s="281" customFormat="1"/>
    <row r="324" s="281" customFormat="1"/>
    <row r="325" s="281" customFormat="1"/>
    <row r="326" s="281" customFormat="1"/>
    <row r="327" s="281" customFormat="1"/>
    <row r="328" s="281" customFormat="1"/>
    <row r="329" s="281" customFormat="1"/>
    <row r="330" s="281" customFormat="1"/>
    <row r="331" s="281" customFormat="1"/>
    <row r="332" s="281" customFormat="1"/>
    <row r="333" s="281" customFormat="1"/>
    <row r="334" s="281" customFormat="1"/>
    <row r="335" s="281" customFormat="1"/>
    <row r="336" s="281" customFormat="1"/>
    <row r="337" s="281" customFormat="1"/>
    <row r="338" s="281" customFormat="1"/>
    <row r="339" s="281" customFormat="1"/>
    <row r="340" s="281" customFormat="1"/>
    <row r="341" s="281" customFormat="1"/>
    <row r="342" s="281" customFormat="1"/>
    <row r="343" s="281" customFormat="1"/>
    <row r="344" s="281" customFormat="1"/>
    <row r="345" s="281" customFormat="1"/>
    <row r="346" s="281" customFormat="1"/>
    <row r="347" s="281" customFormat="1"/>
    <row r="348" s="281" customFormat="1"/>
    <row r="349" s="281" customFormat="1"/>
    <row r="350" s="281" customFormat="1"/>
    <row r="351" s="281" customFormat="1"/>
    <row r="352" s="281" customFormat="1"/>
    <row r="353" s="281" customFormat="1"/>
    <row r="354" s="281" customFormat="1"/>
    <row r="355" s="281" customFormat="1"/>
    <row r="356" s="281" customFormat="1"/>
    <row r="357" s="281" customFormat="1"/>
    <row r="358" s="281" customFormat="1"/>
    <row r="359" s="281" customFormat="1"/>
    <row r="360" s="281" customFormat="1"/>
    <row r="361" s="281" customFormat="1"/>
    <row r="362" s="281" customFormat="1"/>
    <row r="363" s="281" customFormat="1"/>
    <row r="364" s="281" customFormat="1"/>
    <row r="365" s="281" customFormat="1"/>
    <row r="366" s="281" customFormat="1"/>
    <row r="367" s="281" customFormat="1"/>
    <row r="368" s="281" customFormat="1"/>
    <row r="369" s="281" customFormat="1"/>
    <row r="370" s="281" customFormat="1"/>
    <row r="371" s="281" customFormat="1"/>
    <row r="372" s="281" customFormat="1"/>
    <row r="373" s="281" customFormat="1"/>
    <row r="374" s="281" customFormat="1"/>
    <row r="375" s="281" customFormat="1"/>
    <row r="376" s="281" customFormat="1"/>
    <row r="377" s="281" customFormat="1"/>
    <row r="378" s="281" customFormat="1"/>
    <row r="379" s="281" customFormat="1"/>
    <row r="380" s="281" customFormat="1"/>
    <row r="381" s="281" customFormat="1"/>
    <row r="382" s="281" customFormat="1"/>
    <row r="383" s="281" customFormat="1"/>
    <row r="384" s="281" customFormat="1"/>
    <row r="385" s="281" customFormat="1"/>
    <row r="386" s="281" customFormat="1"/>
    <row r="387" s="281" customFormat="1"/>
    <row r="388" s="281" customFormat="1"/>
    <row r="389" s="281" customFormat="1"/>
    <row r="390" s="281" customFormat="1"/>
    <row r="391" s="281" customFormat="1"/>
    <row r="392" s="281" customFormat="1"/>
    <row r="393" s="281" customFormat="1"/>
    <row r="394" s="281" customFormat="1"/>
    <row r="395" s="281" customFormat="1"/>
    <row r="396" s="281" customFormat="1"/>
    <row r="397" s="281" customFormat="1"/>
    <row r="398" s="281" customFormat="1"/>
    <row r="399" s="281" customFormat="1"/>
    <row r="400" s="281" customFormat="1"/>
    <row r="401" s="281" customFormat="1"/>
    <row r="402" s="281" customFormat="1"/>
    <row r="403" s="281" customFormat="1"/>
    <row r="404" s="281" customFormat="1"/>
    <row r="405" s="281" customFormat="1"/>
    <row r="406" s="281" customFormat="1"/>
    <row r="407" s="281" customFormat="1"/>
    <row r="408" s="281" customFormat="1"/>
    <row r="409" s="281" customFormat="1"/>
    <row r="410" s="281" customFormat="1"/>
    <row r="411" s="281" customFormat="1"/>
    <row r="412" s="281" customFormat="1"/>
    <row r="413" s="281" customFormat="1"/>
    <row r="414" s="281" customFormat="1"/>
    <row r="415" s="281" customFormat="1"/>
    <row r="416" s="281" customFormat="1"/>
    <row r="417" s="281" customFormat="1"/>
    <row r="418" s="281" customFormat="1"/>
    <row r="419" s="281" customFormat="1"/>
    <row r="420" s="281" customFormat="1"/>
    <row r="421" s="281" customFormat="1"/>
    <row r="422" s="281" customFormat="1"/>
    <row r="423" s="281" customFormat="1"/>
    <row r="424" s="281" customFormat="1"/>
    <row r="425" s="281" customFormat="1"/>
    <row r="426" s="281" customFormat="1"/>
    <row r="427" s="281" customFormat="1"/>
    <row r="428" s="281" customFormat="1"/>
    <row r="429" s="281" customFormat="1"/>
    <row r="430" s="281" customFormat="1"/>
    <row r="431" s="281" customFormat="1"/>
    <row r="432" s="281" customFormat="1"/>
    <row r="433" s="281" customFormat="1"/>
    <row r="434" s="281" customFormat="1"/>
    <row r="435" s="281" customFormat="1"/>
    <row r="436" s="281" customFormat="1"/>
    <row r="437" s="281" customFormat="1"/>
    <row r="438" s="281" customFormat="1"/>
    <row r="439" s="281" customFormat="1"/>
    <row r="440" s="281" customFormat="1"/>
    <row r="441" s="281" customFormat="1"/>
    <row r="442" s="281" customFormat="1"/>
    <row r="443" s="281" customFormat="1"/>
    <row r="444" s="281" customFormat="1"/>
    <row r="445" s="281" customFormat="1"/>
    <row r="446" s="281" customFormat="1"/>
    <row r="447" s="281" customFormat="1"/>
    <row r="448" s="281" customFormat="1"/>
    <row r="449" s="281" customFormat="1"/>
    <row r="450" s="281" customFormat="1"/>
    <row r="451" s="281" customFormat="1"/>
    <row r="452" s="281" customFormat="1"/>
    <row r="453" s="281" customFormat="1"/>
    <row r="454" s="281" customFormat="1"/>
    <row r="455" s="281" customFormat="1"/>
    <row r="456" s="281" customFormat="1"/>
    <row r="457" s="281" customFormat="1"/>
    <row r="458" s="281" customFormat="1"/>
    <row r="459" s="281" customFormat="1"/>
    <row r="460" s="281" customFormat="1"/>
    <row r="461" s="281" customFormat="1"/>
    <row r="462" s="281" customFormat="1"/>
    <row r="463" s="281" customFormat="1"/>
    <row r="464" s="281" customFormat="1"/>
    <row r="465" s="281" customFormat="1"/>
    <row r="466" s="281" customFormat="1"/>
    <row r="467" s="281" customFormat="1"/>
    <row r="468" s="281" customFormat="1"/>
    <row r="469" s="281" customFormat="1"/>
    <row r="470" s="281" customFormat="1"/>
    <row r="471" s="281" customFormat="1"/>
    <row r="472" s="281" customFormat="1"/>
    <row r="473" s="281" customFormat="1"/>
    <row r="474" s="281" customFormat="1"/>
    <row r="475" s="281" customFormat="1"/>
    <row r="476" s="281" customFormat="1"/>
    <row r="477" s="281" customFormat="1"/>
    <row r="478" s="281" customFormat="1"/>
    <row r="479" s="281" customFormat="1"/>
    <row r="480" s="281" customFormat="1"/>
    <row r="481" s="281" customFormat="1"/>
    <row r="482" s="281" customFormat="1"/>
    <row r="483" s="281" customFormat="1"/>
    <row r="484" s="281" customFormat="1"/>
    <row r="485" s="281" customFormat="1"/>
    <row r="486" s="281" customFormat="1"/>
    <row r="487" s="281" customFormat="1"/>
    <row r="488" s="281" customFormat="1"/>
    <row r="489" s="281" customFormat="1"/>
    <row r="490" s="281" customFormat="1"/>
    <row r="491" s="281" customFormat="1"/>
    <row r="492" s="281" customFormat="1"/>
    <row r="493" s="281" customFormat="1"/>
    <row r="494" s="281" customFormat="1"/>
    <row r="495" s="281" customFormat="1"/>
    <row r="496" s="281" customFormat="1"/>
    <row r="497" s="281" customFormat="1"/>
    <row r="498" s="281" customFormat="1"/>
    <row r="499" s="281" customFormat="1"/>
    <row r="500" s="281" customFormat="1"/>
    <row r="501" s="281" customFormat="1"/>
    <row r="502" s="281" customFormat="1"/>
    <row r="503" s="281" customFormat="1"/>
    <row r="504" s="281" customFormat="1"/>
    <row r="505" s="281" customFormat="1"/>
    <row r="506" s="281" customFormat="1"/>
    <row r="507" s="281" customFormat="1"/>
    <row r="508" s="281" customFormat="1"/>
    <row r="509" s="281" customFormat="1"/>
    <row r="510" s="281" customFormat="1"/>
    <row r="511" s="281" customFormat="1"/>
    <row r="512" s="281" customFormat="1"/>
    <row r="513" s="281" customFormat="1"/>
    <row r="514" s="281" customFormat="1"/>
    <row r="515" s="281" customFormat="1"/>
    <row r="516" s="281" customFormat="1"/>
    <row r="517" s="281" customFormat="1"/>
    <row r="518" s="281" customFormat="1"/>
    <row r="519" s="281" customFormat="1"/>
    <row r="520" s="281" customFormat="1"/>
    <row r="521" s="281" customFormat="1"/>
    <row r="522" s="281" customFormat="1"/>
    <row r="523" s="281" customFormat="1"/>
    <row r="524" s="281" customFormat="1"/>
    <row r="525" s="281" customFormat="1"/>
    <row r="526" s="281" customFormat="1"/>
    <row r="527" s="281" customFormat="1"/>
    <row r="528" s="281" customFormat="1"/>
    <row r="529" s="281" customFormat="1"/>
    <row r="530" s="281" customFormat="1"/>
    <row r="531" s="281" customFormat="1"/>
    <row r="532" s="281" customFormat="1"/>
    <row r="533" s="281" customFormat="1"/>
    <row r="534" s="281" customFormat="1"/>
    <row r="535" s="281" customFormat="1"/>
    <row r="536" s="281" customFormat="1"/>
    <row r="537" s="281" customFormat="1"/>
    <row r="538" s="281" customFormat="1"/>
    <row r="539" s="281" customFormat="1"/>
    <row r="540" s="281" customFormat="1"/>
    <row r="541" s="281" customFormat="1"/>
    <row r="542" s="281" customFormat="1"/>
    <row r="543" s="281" customFormat="1"/>
    <row r="544" s="281" customFormat="1"/>
    <row r="545" s="281" customFormat="1"/>
    <row r="546" s="281" customFormat="1"/>
    <row r="547" s="281" customFormat="1"/>
    <row r="548" s="281" customFormat="1"/>
    <row r="549" s="281" customFormat="1"/>
    <row r="550" s="281" customFormat="1"/>
    <row r="551" s="281" customFormat="1"/>
    <row r="552" s="281" customFormat="1"/>
    <row r="553" s="281" customFormat="1"/>
    <row r="554" s="281" customFormat="1"/>
    <row r="555" s="281" customFormat="1"/>
    <row r="556" s="281" customFormat="1"/>
    <row r="557" s="281" customFormat="1"/>
    <row r="558" s="281" customFormat="1"/>
    <row r="559" s="281" customFormat="1"/>
    <row r="560" s="281" customFormat="1"/>
    <row r="561" s="281" customFormat="1"/>
    <row r="562" s="281" customFormat="1"/>
    <row r="563" s="281" customFormat="1"/>
    <row r="564" s="281" customFormat="1"/>
    <row r="565" s="281" customFormat="1"/>
    <row r="566" s="281" customFormat="1"/>
    <row r="567" s="281" customFormat="1"/>
    <row r="568" s="281" customFormat="1"/>
    <row r="569" s="281" customFormat="1"/>
    <row r="570" s="281" customFormat="1"/>
    <row r="571" s="281" customFormat="1"/>
    <row r="572" s="281" customFormat="1"/>
    <row r="573" s="281" customFormat="1"/>
    <row r="574" s="281" customFormat="1"/>
    <row r="575" s="281" customFormat="1"/>
    <row r="576" s="281" customFormat="1"/>
    <row r="577" s="281" customFormat="1"/>
    <row r="578" s="281" customFormat="1"/>
    <row r="579" s="281" customFormat="1"/>
    <row r="580" s="281" customFormat="1"/>
    <row r="581" s="281" customFormat="1"/>
    <row r="582" s="281" customFormat="1"/>
    <row r="583" s="281" customFormat="1"/>
    <row r="584" s="281" customFormat="1"/>
    <row r="585" s="281" customFormat="1"/>
    <row r="586" s="281" customFormat="1"/>
    <row r="587" s="281" customFormat="1"/>
    <row r="588" s="281" customFormat="1"/>
    <row r="589" s="281" customFormat="1"/>
    <row r="590" s="281" customFormat="1"/>
    <row r="591" s="281" customFormat="1"/>
    <row r="592" s="281" customFormat="1"/>
    <row r="593" s="281" customFormat="1"/>
    <row r="594" s="281" customFormat="1"/>
    <row r="595" s="281" customFormat="1"/>
    <row r="596" s="281" customFormat="1"/>
    <row r="597" s="281" customFormat="1"/>
    <row r="598" s="281" customFormat="1"/>
    <row r="599" s="281" customFormat="1"/>
    <row r="600" s="281" customFormat="1"/>
    <row r="601" s="281" customFormat="1"/>
    <row r="602" s="281" customFormat="1"/>
    <row r="603" s="281" customFormat="1"/>
    <row r="604" s="281" customFormat="1"/>
    <row r="605" s="281" customFormat="1"/>
    <row r="606" s="281" customFormat="1"/>
    <row r="607" s="281" customFormat="1"/>
    <row r="608" s="281" customFormat="1"/>
    <row r="609" s="281" customFormat="1"/>
    <row r="610" s="281" customFormat="1"/>
    <row r="611" s="281" customFormat="1"/>
    <row r="612" s="281" customFormat="1"/>
    <row r="613" s="281" customFormat="1"/>
    <row r="614" s="281" customFormat="1"/>
    <row r="615" s="281" customFormat="1"/>
    <row r="616" s="281" customFormat="1"/>
    <row r="617" s="281" customFormat="1"/>
    <row r="618" s="281" customFormat="1"/>
    <row r="619" s="281" customFormat="1"/>
    <row r="620" s="281" customFormat="1"/>
    <row r="621" s="281" customFormat="1"/>
    <row r="622" s="281" customFormat="1"/>
    <row r="623" s="281" customFormat="1"/>
    <row r="624" s="281" customFormat="1"/>
    <row r="625" s="281" customFormat="1"/>
    <row r="626" s="281" customFormat="1"/>
    <row r="627" s="281" customFormat="1"/>
    <row r="628" s="281" customFormat="1"/>
    <row r="629" s="281" customFormat="1"/>
    <row r="630" s="281" customFormat="1"/>
    <row r="631" s="281" customFormat="1"/>
    <row r="632" s="281" customFormat="1"/>
    <row r="633" s="281" customFormat="1"/>
    <row r="634" s="281" customFormat="1"/>
    <row r="635" s="281" customFormat="1"/>
    <row r="636" s="281" customFormat="1"/>
    <row r="637" s="281" customFormat="1"/>
    <row r="638" s="281" customFormat="1"/>
    <row r="639" s="281" customFormat="1"/>
    <row r="640" s="281" customFormat="1"/>
    <row r="641" s="281" customFormat="1"/>
    <row r="642" s="281" customFormat="1"/>
    <row r="643" s="281" customFormat="1"/>
    <row r="644" s="281" customFormat="1"/>
    <row r="645" s="281" customFormat="1"/>
    <row r="646" s="281" customFormat="1"/>
    <row r="647" s="281" customFormat="1"/>
    <row r="648" s="281" customFormat="1"/>
    <row r="649" s="281" customFormat="1"/>
    <row r="650" s="281" customFormat="1"/>
    <row r="651" s="281" customFormat="1"/>
    <row r="652" s="281" customFormat="1"/>
    <row r="653" s="281" customFormat="1"/>
    <row r="654" s="281" customFormat="1"/>
    <row r="655" s="281" customFormat="1"/>
    <row r="656" s="281" customFormat="1"/>
    <row r="657" s="281" customFormat="1"/>
    <row r="658" s="281" customFormat="1"/>
    <row r="659" s="281" customFormat="1"/>
    <row r="660" s="281" customFormat="1"/>
    <row r="661" s="281" customFormat="1"/>
    <row r="662" s="281" customFormat="1"/>
    <row r="663" s="281" customFormat="1"/>
    <row r="664" s="281" customFormat="1"/>
    <row r="665" s="281" customFormat="1"/>
    <row r="666" s="281" customFormat="1"/>
    <row r="667" s="281" customFormat="1"/>
    <row r="668" s="281" customFormat="1"/>
    <row r="669" s="281" customFormat="1"/>
    <row r="670" s="281" customFormat="1"/>
    <row r="671" s="281" customFormat="1"/>
    <row r="672" s="281" customFormat="1"/>
    <row r="673" s="281" customFormat="1"/>
    <row r="674" s="281" customFormat="1"/>
    <row r="675" s="281" customFormat="1"/>
    <row r="676" s="281" customFormat="1"/>
    <row r="677" s="281" customFormat="1"/>
    <row r="678" s="281" customFormat="1"/>
    <row r="679" s="281" customFormat="1"/>
    <row r="680" s="281" customFormat="1"/>
    <row r="681" s="281" customFormat="1"/>
    <row r="682" s="281" customFormat="1"/>
    <row r="683" s="281" customFormat="1"/>
    <row r="684" s="281" customFormat="1"/>
    <row r="685" s="281" customFormat="1"/>
    <row r="686" s="281" customFormat="1"/>
    <row r="687" s="281" customFormat="1"/>
    <row r="688" s="281" customFormat="1"/>
    <row r="689" s="281" customFormat="1"/>
    <row r="690" s="281" customFormat="1"/>
    <row r="691" s="281" customFormat="1"/>
    <row r="692" s="281" customFormat="1"/>
    <row r="693" s="281" customFormat="1"/>
    <row r="694" s="281" customFormat="1"/>
    <row r="695" s="281" customFormat="1"/>
    <row r="696" s="281" customFormat="1"/>
    <row r="697" s="281" customFormat="1"/>
    <row r="698" s="281" customFormat="1"/>
    <row r="699" s="281" customFormat="1"/>
    <row r="700" s="281" customFormat="1"/>
    <row r="701" s="281" customFormat="1"/>
    <row r="702" s="281" customFormat="1"/>
    <row r="703" s="281" customFormat="1"/>
    <row r="704" s="281" customFormat="1"/>
    <row r="705" s="281" customFormat="1"/>
    <row r="706" s="281" customFormat="1"/>
    <row r="707" s="281" customFormat="1"/>
    <row r="708" s="281" customFormat="1"/>
    <row r="709" s="281" customFormat="1"/>
    <row r="710" s="281" customFormat="1"/>
    <row r="711" s="281" customFormat="1"/>
    <row r="712" s="281" customFormat="1"/>
    <row r="713" s="281" customFormat="1"/>
    <row r="714" s="281" customFormat="1"/>
    <row r="715" s="281" customFormat="1"/>
    <row r="716" s="281" customFormat="1"/>
    <row r="717" s="281" customFormat="1"/>
    <row r="718" s="281" customFormat="1"/>
    <row r="719" s="281" customFormat="1"/>
    <row r="720" s="281" customFormat="1"/>
    <row r="721" s="281" customFormat="1"/>
    <row r="722" s="281" customFormat="1"/>
    <row r="723" s="281" customFormat="1"/>
    <row r="724" s="281" customFormat="1"/>
    <row r="725" s="281" customFormat="1"/>
    <row r="726" s="281" customFormat="1"/>
    <row r="727" s="281" customFormat="1"/>
    <row r="728" s="281" customFormat="1"/>
    <row r="729" s="281" customFormat="1"/>
    <row r="730" s="281" customFormat="1"/>
    <row r="731" s="281" customFormat="1"/>
    <row r="732" s="281" customFormat="1"/>
    <row r="733" s="281" customFormat="1"/>
    <row r="734" s="281" customFormat="1"/>
    <row r="735" s="281" customFormat="1"/>
    <row r="736" s="281" customFormat="1"/>
    <row r="737" s="281" customFormat="1"/>
    <row r="738" s="281" customFormat="1"/>
    <row r="739" s="281" customFormat="1"/>
    <row r="740" s="281" customFormat="1"/>
    <row r="741" s="281" customFormat="1"/>
    <row r="742" s="281" customFormat="1"/>
    <row r="743" s="281" customFormat="1"/>
    <row r="744" s="281" customFormat="1"/>
    <row r="745" s="281" customFormat="1"/>
    <row r="746" s="281" customFormat="1"/>
    <row r="747" s="281" customFormat="1"/>
    <row r="748" s="281" customFormat="1"/>
    <row r="749" s="281" customFormat="1"/>
    <row r="750" s="281" customFormat="1"/>
    <row r="751" s="281" customFormat="1"/>
    <row r="752" s="281" customFormat="1"/>
    <row r="753" spans="4:31">
      <c r="D753" s="281"/>
      <c r="E753" s="281"/>
      <c r="F753" s="281"/>
      <c r="G753" s="281"/>
      <c r="H753" s="281"/>
      <c r="I753" s="281"/>
      <c r="J753" s="281"/>
      <c r="K753" s="281"/>
      <c r="L753" s="281"/>
      <c r="M753" s="281"/>
      <c r="N753" s="281"/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</row>
    <row r="754" spans="4:31">
      <c r="D754" s="281"/>
      <c r="E754" s="281"/>
      <c r="F754" s="281"/>
      <c r="G754" s="281"/>
      <c r="H754" s="281"/>
      <c r="I754" s="281"/>
      <c r="J754" s="281"/>
      <c r="K754" s="281"/>
      <c r="L754" s="281"/>
      <c r="M754" s="281"/>
      <c r="N754" s="281"/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</row>
    <row r="755" spans="4:31">
      <c r="D755" s="281"/>
      <c r="E755" s="281"/>
      <c r="F755" s="281"/>
      <c r="G755" s="281"/>
      <c r="H755" s="281"/>
      <c r="I755" s="281"/>
      <c r="J755" s="281"/>
      <c r="K755" s="281"/>
      <c r="L755" s="281"/>
      <c r="M755" s="281"/>
      <c r="N755" s="281"/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</row>
    <row r="756" spans="4:31">
      <c r="D756" s="281"/>
      <c r="E756" s="281"/>
      <c r="F756" s="281"/>
      <c r="G756" s="281"/>
      <c r="H756" s="281"/>
      <c r="I756" s="281"/>
      <c r="J756" s="281"/>
      <c r="K756" s="281"/>
      <c r="L756" s="281"/>
      <c r="M756" s="281"/>
      <c r="N756" s="281"/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</row>
    <row r="757" spans="4:31">
      <c r="D757" s="281"/>
      <c r="E757" s="281"/>
      <c r="F757" s="281"/>
      <c r="G757" s="281"/>
      <c r="H757" s="281"/>
      <c r="I757" s="281"/>
      <c r="J757" s="281"/>
      <c r="K757" s="281"/>
      <c r="L757" s="281"/>
      <c r="M757" s="281"/>
      <c r="N757" s="281"/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</row>
    <row r="758" spans="4:31"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</row>
    <row r="759" spans="4:31"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</row>
    <row r="760" spans="4:31"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</row>
    <row r="761" spans="4:31"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</row>
    <row r="762" spans="4:31"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</row>
    <row r="763" spans="4:31"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</row>
    <row r="764" spans="4:31"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</row>
    <row r="765" spans="4:31"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</row>
    <row r="766" spans="4:31"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</row>
    <row r="767" spans="4:31"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</row>
    <row r="768" spans="4:31"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</row>
    <row r="769" spans="15:31"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</row>
    <row r="770" spans="15:31"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</row>
    <row r="771" spans="15:31"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</row>
    <row r="772" spans="15:31"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</row>
    <row r="773" spans="15:31"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</row>
    <row r="774" spans="15:31"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</row>
    <row r="775" spans="15:31"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</row>
    <row r="776" spans="15:31"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</row>
    <row r="777" spans="15:31"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</row>
    <row r="778" spans="15:31"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</row>
    <row r="779" spans="15:31"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</row>
    <row r="780" spans="15:31"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</row>
    <row r="781" spans="15:31"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</row>
    <row r="782" spans="15:31"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</row>
    <row r="783" spans="15:31"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</row>
    <row r="784" spans="15:31"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</row>
    <row r="785" spans="15:31"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</row>
    <row r="786" spans="15:31"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</row>
    <row r="787" spans="15:31"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</row>
    <row r="788" spans="15:31"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</row>
    <row r="789" spans="15:31"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</row>
    <row r="790" spans="15:31"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</row>
    <row r="791" spans="15:31"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</row>
    <row r="792" spans="15:31"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</row>
    <row r="793" spans="15:31"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</row>
    <row r="794" spans="15:31"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</row>
    <row r="795" spans="15:31"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</row>
    <row r="796" spans="15:31"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</row>
    <row r="797" spans="15:31"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</row>
    <row r="798" spans="15:31"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</row>
    <row r="799" spans="15:31"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</row>
    <row r="800" spans="15:31"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</row>
    <row r="801" spans="15:31"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</row>
    <row r="802" spans="15:31"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</row>
    <row r="803" spans="15:31"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</row>
    <row r="804" spans="15:31"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</row>
    <row r="805" spans="15:31"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</row>
    <row r="806" spans="15:31"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</row>
    <row r="807" spans="15:31"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</row>
    <row r="808" spans="15:31"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</row>
  </sheetData>
  <dataValidations disablePrompts="1" count="1">
    <dataValidation type="list" allowBlank="1" showInputMessage="1" showErrorMessage="1" sqref="G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11</xdr:col>
                    <xdr:colOff>666750</xdr:colOff>
                    <xdr:row>5</xdr:row>
                    <xdr:rowOff>123825</xdr:rowOff>
                  </from>
                  <to>
                    <xdr:col>12</xdr:col>
                    <xdr:colOff>428625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1" customWidth="1"/>
    <col min="2" max="2" width="17" style="281" bestFit="1" customWidth="1"/>
    <col min="3" max="3" width="26.5703125" style="281" bestFit="1" customWidth="1"/>
    <col min="4" max="4" width="10.5703125" style="282" customWidth="1"/>
    <col min="5" max="14" width="9.85546875" style="282" customWidth="1"/>
    <col min="15" max="31" width="9.140625" style="79"/>
    <col min="32" max="16384" width="9.140625" style="281"/>
  </cols>
  <sheetData>
    <row r="1" spans="1:228" customFormat="1" ht="29.25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8"/>
      <c r="AM1" s="278"/>
      <c r="AN1" s="278"/>
      <c r="AO1" s="278"/>
      <c r="AP1" s="278"/>
      <c r="AQ1" s="278"/>
      <c r="AR1" s="278"/>
      <c r="AS1" s="278"/>
      <c r="AT1" s="278"/>
      <c r="AU1" s="278"/>
      <c r="AV1" s="278"/>
      <c r="AW1" s="278"/>
      <c r="AX1" s="278"/>
      <c r="AY1" s="278"/>
      <c r="AZ1" s="278"/>
      <c r="BA1" s="278"/>
      <c r="BB1" s="278"/>
      <c r="BC1" s="278"/>
      <c r="BD1" s="278"/>
      <c r="BE1" s="278"/>
      <c r="BF1" s="278"/>
      <c r="BG1" s="278"/>
      <c r="BH1" s="278"/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s="278"/>
      <c r="BT1" s="278"/>
      <c r="BU1" s="278"/>
      <c r="BV1" s="278"/>
      <c r="BW1" s="278"/>
      <c r="BX1" s="278"/>
      <c r="BY1" s="278"/>
      <c r="BZ1" s="278"/>
      <c r="CA1" s="278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s="278"/>
      <c r="CV1" s="278"/>
      <c r="CW1" s="278"/>
      <c r="CX1" s="278"/>
      <c r="CY1" s="278"/>
      <c r="CZ1" s="278"/>
      <c r="DA1" s="278"/>
      <c r="DB1" s="278"/>
      <c r="DC1" s="278"/>
      <c r="DD1" s="278"/>
      <c r="DE1" s="278"/>
      <c r="DF1" s="278"/>
      <c r="DG1" s="278"/>
      <c r="DH1" s="278"/>
      <c r="DI1" s="278"/>
      <c r="DJ1" s="278"/>
      <c r="DK1" s="278"/>
      <c r="DL1" s="278"/>
      <c r="DM1" s="278"/>
      <c r="DN1" s="278"/>
      <c r="DO1" s="278"/>
      <c r="DP1" s="278"/>
      <c r="DQ1" s="278"/>
      <c r="DR1" s="278"/>
      <c r="DS1" s="278"/>
      <c r="DT1" s="278"/>
      <c r="DU1" s="278"/>
      <c r="DV1" s="278"/>
      <c r="DW1" s="278"/>
      <c r="DX1" s="278"/>
      <c r="DY1" s="278"/>
      <c r="DZ1" s="278"/>
      <c r="EA1" s="278"/>
      <c r="EB1" s="278"/>
      <c r="EC1" s="278"/>
      <c r="ED1" s="278"/>
      <c r="EE1" s="278"/>
      <c r="EF1" s="278"/>
      <c r="EG1" s="278"/>
      <c r="EH1" s="278"/>
      <c r="EI1" s="278"/>
      <c r="EJ1" s="278"/>
      <c r="EK1" s="278"/>
      <c r="EL1" s="278"/>
      <c r="EM1" s="278"/>
      <c r="EN1" s="278"/>
      <c r="EO1" s="278"/>
      <c r="EP1" s="278"/>
      <c r="EQ1" s="278"/>
      <c r="ER1" s="278"/>
      <c r="ES1" s="278"/>
      <c r="ET1" s="278"/>
      <c r="EU1" s="278"/>
      <c r="EV1" s="278"/>
      <c r="EW1" s="278"/>
      <c r="EX1" s="278"/>
      <c r="EY1" s="278"/>
      <c r="EZ1" s="278"/>
      <c r="FA1" s="278"/>
      <c r="FB1" s="278"/>
      <c r="FC1" s="278"/>
      <c r="FD1" s="278"/>
      <c r="FE1" s="278"/>
      <c r="FF1" s="278"/>
      <c r="FG1" s="278"/>
      <c r="FH1" s="278"/>
      <c r="FI1" s="278"/>
      <c r="FJ1" s="278"/>
      <c r="FK1" s="278"/>
      <c r="FL1" s="278"/>
      <c r="FM1" s="278"/>
      <c r="FN1" s="278"/>
      <c r="FO1" s="278"/>
      <c r="FP1" s="278"/>
      <c r="FQ1" s="278"/>
      <c r="FR1" s="278"/>
      <c r="FS1" s="278"/>
      <c r="FT1" s="278"/>
      <c r="FU1" s="278"/>
      <c r="FV1" s="278"/>
      <c r="FW1" s="278"/>
      <c r="FX1" s="278"/>
      <c r="FY1" s="278"/>
      <c r="FZ1" s="278"/>
      <c r="GA1" s="278"/>
      <c r="GB1" s="278"/>
      <c r="GC1" s="278"/>
      <c r="GD1" s="278"/>
      <c r="GE1" s="278"/>
      <c r="GF1" s="278"/>
      <c r="GG1" s="278"/>
      <c r="GH1" s="278"/>
      <c r="GI1" s="278"/>
      <c r="GJ1" s="278"/>
      <c r="GK1" s="278"/>
      <c r="GL1" s="278"/>
      <c r="GM1" s="278"/>
      <c r="GN1" s="278"/>
      <c r="GO1" s="278"/>
      <c r="GP1" s="278"/>
      <c r="GQ1" s="278"/>
      <c r="GR1" s="278"/>
      <c r="GS1" s="278"/>
      <c r="GT1" s="278"/>
      <c r="GU1" s="278"/>
      <c r="GV1" s="278"/>
      <c r="GW1" s="278"/>
      <c r="GX1" s="278"/>
      <c r="GY1" s="278"/>
      <c r="GZ1" s="278"/>
      <c r="HA1" s="278"/>
      <c r="HB1" s="278"/>
      <c r="HC1" s="278"/>
      <c r="HD1" s="278"/>
      <c r="HE1" s="278"/>
      <c r="HF1" s="278"/>
      <c r="HG1" s="278"/>
      <c r="HH1" s="278"/>
      <c r="HI1" s="278"/>
      <c r="HJ1" s="278"/>
      <c r="HK1" s="278"/>
      <c r="HL1" s="278"/>
      <c r="HM1" s="278"/>
      <c r="HN1" s="278"/>
      <c r="HO1" s="278"/>
      <c r="HP1" s="278"/>
      <c r="HQ1" s="278"/>
      <c r="HR1" s="278"/>
      <c r="HS1" s="278"/>
      <c r="HT1" s="278"/>
    </row>
    <row r="2" spans="1:228" customFormat="1" ht="54.75" customHeight="1">
      <c r="A2" s="278"/>
      <c r="B2" s="278"/>
      <c r="C2" s="279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278"/>
      <c r="AS2" s="278"/>
      <c r="AT2" s="278"/>
      <c r="AU2" s="278"/>
      <c r="AV2" s="278"/>
      <c r="AW2" s="278"/>
      <c r="AX2" s="278"/>
      <c r="AY2" s="278"/>
      <c r="AZ2" s="278"/>
      <c r="BA2" s="278"/>
      <c r="BB2" s="278"/>
      <c r="BC2" s="278"/>
      <c r="BD2" s="278"/>
      <c r="BE2" s="278"/>
      <c r="BF2" s="278"/>
      <c r="BG2" s="278"/>
      <c r="BH2" s="278"/>
      <c r="BI2" s="278"/>
      <c r="BJ2" s="278"/>
      <c r="BK2" s="278"/>
      <c r="BL2" s="278"/>
      <c r="BM2" s="278"/>
      <c r="BN2" s="278"/>
      <c r="BO2" s="278"/>
      <c r="BP2" s="278"/>
      <c r="BQ2" s="278"/>
      <c r="BR2" s="278"/>
      <c r="BS2" s="278"/>
      <c r="BT2" s="278"/>
      <c r="BU2" s="278"/>
      <c r="BV2" s="278"/>
      <c r="BW2" s="278"/>
      <c r="BX2" s="278"/>
      <c r="BY2" s="278"/>
      <c r="BZ2" s="278"/>
      <c r="CA2" s="278"/>
      <c r="CB2" s="278"/>
      <c r="CC2" s="278"/>
      <c r="CD2" s="278"/>
      <c r="CE2" s="278"/>
      <c r="CF2" s="278"/>
      <c r="CG2" s="278"/>
      <c r="CH2" s="278"/>
      <c r="CI2" s="278"/>
      <c r="CJ2" s="278"/>
      <c r="CK2" s="278"/>
      <c r="CL2" s="278"/>
      <c r="CM2" s="278"/>
      <c r="CN2" s="278"/>
      <c r="CO2" s="278"/>
      <c r="CP2" s="278"/>
      <c r="CQ2" s="278"/>
      <c r="CR2" s="278"/>
      <c r="CS2" s="278"/>
      <c r="CT2" s="278"/>
      <c r="CU2" s="278"/>
      <c r="CV2" s="278"/>
      <c r="CW2" s="278"/>
      <c r="CX2" s="278"/>
      <c r="CY2" s="278"/>
      <c r="CZ2" s="278"/>
      <c r="DA2" s="278"/>
      <c r="DB2" s="278"/>
      <c r="DC2" s="278"/>
      <c r="DD2" s="278"/>
      <c r="DE2" s="278"/>
      <c r="DF2" s="278"/>
      <c r="DG2" s="278"/>
      <c r="DH2" s="278"/>
      <c r="DI2" s="278"/>
      <c r="DJ2" s="278"/>
      <c r="DK2" s="278"/>
      <c r="DL2" s="278"/>
      <c r="DM2" s="278"/>
      <c r="DN2" s="278"/>
      <c r="DO2" s="278"/>
      <c r="DP2" s="278"/>
      <c r="DQ2" s="278"/>
      <c r="DR2" s="278"/>
      <c r="DS2" s="278"/>
      <c r="DT2" s="278"/>
      <c r="DU2" s="278"/>
      <c r="DV2" s="278"/>
      <c r="DW2" s="278"/>
      <c r="DX2" s="278"/>
      <c r="DY2" s="278"/>
      <c r="DZ2" s="278"/>
      <c r="EA2" s="278"/>
      <c r="EB2" s="278"/>
      <c r="EC2" s="278"/>
      <c r="ED2" s="278"/>
      <c r="EE2" s="278"/>
      <c r="EF2" s="278"/>
      <c r="EG2" s="278"/>
      <c r="EH2" s="278"/>
      <c r="EI2" s="278"/>
      <c r="EJ2" s="278"/>
      <c r="EK2" s="278"/>
      <c r="EL2" s="278"/>
      <c r="EM2" s="278"/>
      <c r="EN2" s="278"/>
      <c r="EO2" s="278"/>
      <c r="EP2" s="278"/>
      <c r="EQ2" s="278"/>
      <c r="ER2" s="278"/>
      <c r="ES2" s="278"/>
      <c r="ET2" s="278"/>
      <c r="EU2" s="278"/>
      <c r="EV2" s="278"/>
      <c r="EW2" s="278"/>
      <c r="EX2" s="278"/>
      <c r="EY2" s="278"/>
      <c r="EZ2" s="278"/>
      <c r="FA2" s="278"/>
      <c r="FB2" s="278"/>
      <c r="FC2" s="278"/>
      <c r="FD2" s="278"/>
      <c r="FE2" s="278"/>
      <c r="FF2" s="278"/>
      <c r="FG2" s="278"/>
      <c r="FH2" s="278"/>
      <c r="FI2" s="278"/>
      <c r="FJ2" s="278"/>
      <c r="FK2" s="278"/>
      <c r="FL2" s="278"/>
      <c r="FM2" s="278"/>
      <c r="FN2" s="278"/>
      <c r="FO2" s="278"/>
      <c r="FP2" s="278"/>
      <c r="FQ2" s="278"/>
      <c r="FR2" s="278"/>
      <c r="FS2" s="278"/>
      <c r="FT2" s="278"/>
      <c r="FU2" s="278"/>
      <c r="FV2" s="278"/>
      <c r="FW2" s="278"/>
      <c r="FX2" s="278"/>
      <c r="FY2" s="278"/>
      <c r="FZ2" s="278"/>
      <c r="GA2" s="278"/>
      <c r="GB2" s="278"/>
      <c r="GC2" s="278"/>
      <c r="GD2" s="278"/>
      <c r="GE2" s="278"/>
      <c r="GF2" s="278"/>
      <c r="GG2" s="278"/>
      <c r="GH2" s="278"/>
      <c r="GI2" s="278"/>
      <c r="GJ2" s="278"/>
      <c r="GK2" s="278"/>
      <c r="GL2" s="278"/>
      <c r="GM2" s="278"/>
      <c r="GN2" s="278"/>
      <c r="GO2" s="278"/>
      <c r="GP2" s="278"/>
      <c r="GQ2" s="278"/>
      <c r="GR2" s="278"/>
      <c r="GS2" s="278"/>
      <c r="GT2" s="278"/>
      <c r="GU2" s="278"/>
      <c r="GV2" s="278"/>
      <c r="GW2" s="278"/>
      <c r="GX2" s="278"/>
      <c r="GY2" s="278"/>
      <c r="GZ2" s="278"/>
      <c r="HA2" s="278"/>
      <c r="HB2" s="278"/>
      <c r="HC2" s="278"/>
      <c r="HD2" s="278"/>
      <c r="HE2" s="278"/>
      <c r="HF2" s="278"/>
      <c r="HG2" s="278"/>
      <c r="HH2" s="278"/>
      <c r="HI2" s="278"/>
      <c r="HJ2" s="278"/>
      <c r="HK2" s="278"/>
      <c r="HL2" s="278"/>
      <c r="HM2" s="278"/>
      <c r="HN2" s="278"/>
      <c r="HO2" s="278"/>
      <c r="HP2" s="278"/>
      <c r="HQ2" s="278"/>
      <c r="HR2" s="278"/>
      <c r="HS2" s="278"/>
      <c r="HT2" s="278"/>
    </row>
    <row r="3" spans="1:228" customFormat="1" ht="36.75" customHeight="1">
      <c r="A3" s="278"/>
      <c r="B3" s="278"/>
      <c r="C3" s="278"/>
      <c r="D3" s="278"/>
      <c r="E3" s="278"/>
      <c r="F3" s="278"/>
      <c r="G3" s="278"/>
      <c r="H3" s="278"/>
      <c r="I3" s="280"/>
      <c r="J3" s="280"/>
      <c r="K3" s="280"/>
      <c r="L3" s="280"/>
      <c r="M3" s="280"/>
      <c r="N3" s="280"/>
      <c r="O3" s="280"/>
      <c r="P3" s="280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80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278"/>
      <c r="AZ3" s="278"/>
      <c r="BA3" s="278"/>
      <c r="BB3" s="278"/>
      <c r="BC3" s="278"/>
      <c r="BD3" s="278"/>
      <c r="BE3" s="278"/>
      <c r="BF3" s="278"/>
      <c r="BG3" s="278"/>
      <c r="BH3" s="278"/>
      <c r="BI3" s="278"/>
      <c r="BJ3" s="278"/>
      <c r="BK3" s="278"/>
      <c r="BL3" s="278"/>
      <c r="BM3" s="278"/>
      <c r="BN3" s="278"/>
      <c r="BO3" s="278"/>
      <c r="BP3" s="278"/>
      <c r="BQ3" s="278"/>
      <c r="BR3" s="278"/>
      <c r="BS3" s="278"/>
      <c r="BT3" s="278"/>
      <c r="BU3" s="278"/>
      <c r="BV3" s="278"/>
      <c r="BW3" s="278"/>
      <c r="BX3" s="278"/>
      <c r="BY3" s="278"/>
      <c r="BZ3" s="278"/>
      <c r="CA3" s="278"/>
      <c r="CB3" s="278"/>
      <c r="CC3" s="278"/>
      <c r="CD3" s="278"/>
      <c r="CE3" s="278"/>
      <c r="CF3" s="278"/>
      <c r="CG3" s="278"/>
      <c r="CH3" s="278"/>
      <c r="CI3" s="278"/>
      <c r="CJ3" s="278"/>
      <c r="CK3" s="278"/>
      <c r="CL3" s="278"/>
      <c r="CM3" s="278"/>
      <c r="CN3" s="278"/>
      <c r="CO3" s="278"/>
      <c r="CP3" s="278"/>
      <c r="CQ3" s="278"/>
      <c r="CR3" s="278"/>
      <c r="CS3" s="278"/>
      <c r="CT3" s="278"/>
      <c r="CU3" s="278"/>
      <c r="CV3" s="278"/>
      <c r="CW3" s="278"/>
      <c r="CX3" s="278"/>
      <c r="CY3" s="278"/>
      <c r="CZ3" s="278"/>
      <c r="DA3" s="278"/>
      <c r="DB3" s="278"/>
      <c r="DC3" s="278"/>
      <c r="DD3" s="278"/>
      <c r="DE3" s="278"/>
      <c r="DF3" s="278"/>
      <c r="DG3" s="278"/>
      <c r="DH3" s="278"/>
      <c r="DI3" s="278"/>
      <c r="DJ3" s="278"/>
      <c r="DK3" s="278"/>
      <c r="DL3" s="278"/>
      <c r="DM3" s="278"/>
      <c r="DN3" s="278"/>
      <c r="DO3" s="278"/>
      <c r="DP3" s="278"/>
      <c r="DQ3" s="278"/>
      <c r="DR3" s="278"/>
      <c r="DS3" s="278"/>
      <c r="DT3" s="278"/>
      <c r="DU3" s="278"/>
      <c r="DV3" s="278"/>
      <c r="DW3" s="278"/>
      <c r="DX3" s="278"/>
      <c r="DY3" s="278"/>
      <c r="DZ3" s="278"/>
      <c r="EA3" s="278"/>
      <c r="EB3" s="278"/>
      <c r="EC3" s="278"/>
      <c r="ED3" s="278"/>
      <c r="EE3" s="278"/>
      <c r="EF3" s="278"/>
      <c r="EG3" s="278"/>
      <c r="EH3" s="278"/>
      <c r="EI3" s="278"/>
      <c r="EJ3" s="278"/>
      <c r="EK3" s="278"/>
      <c r="EL3" s="278"/>
      <c r="EM3" s="278"/>
      <c r="EN3" s="278"/>
      <c r="EO3" s="278"/>
      <c r="EP3" s="278"/>
      <c r="EQ3" s="278"/>
      <c r="ER3" s="278"/>
      <c r="ES3" s="278"/>
      <c r="ET3" s="278"/>
      <c r="EU3" s="278"/>
      <c r="EV3" s="278"/>
      <c r="EW3" s="278"/>
      <c r="EX3" s="278"/>
      <c r="EY3" s="278"/>
      <c r="EZ3" s="278"/>
      <c r="FA3" s="278"/>
      <c r="FB3" s="278"/>
      <c r="FC3" s="278"/>
      <c r="FD3" s="278"/>
      <c r="FE3" s="278"/>
      <c r="FF3" s="278"/>
      <c r="FG3" s="278"/>
      <c r="FH3" s="278"/>
      <c r="FI3" s="278"/>
      <c r="FJ3" s="278"/>
      <c r="FK3" s="278"/>
      <c r="FL3" s="278"/>
      <c r="FM3" s="278"/>
      <c r="FN3" s="278"/>
      <c r="FO3" s="278"/>
      <c r="FP3" s="278"/>
      <c r="FQ3" s="278"/>
      <c r="FR3" s="278"/>
      <c r="FS3" s="278"/>
      <c r="FT3" s="278"/>
      <c r="FU3" s="278"/>
      <c r="FV3" s="278"/>
      <c r="FW3" s="278"/>
      <c r="FX3" s="278"/>
      <c r="FY3" s="278"/>
      <c r="FZ3" s="278"/>
      <c r="GA3" s="278"/>
      <c r="GB3" s="278"/>
      <c r="GC3" s="278"/>
      <c r="GD3" s="278"/>
      <c r="GE3" s="278"/>
      <c r="GF3" s="278"/>
      <c r="GG3" s="278"/>
      <c r="GH3" s="278"/>
      <c r="GI3" s="278"/>
      <c r="GJ3" s="278"/>
      <c r="GK3" s="278"/>
      <c r="GL3" s="278"/>
      <c r="GM3" s="278"/>
      <c r="GN3" s="278"/>
      <c r="GO3" s="278"/>
      <c r="GP3" s="278"/>
      <c r="GQ3" s="278"/>
      <c r="GR3" s="278"/>
      <c r="GS3" s="278"/>
      <c r="GT3" s="278"/>
      <c r="GU3" s="278"/>
      <c r="GV3" s="278"/>
      <c r="GW3" s="278"/>
      <c r="GX3" s="278"/>
      <c r="GY3" s="278"/>
      <c r="GZ3" s="278"/>
      <c r="HA3" s="278"/>
      <c r="HB3" s="278"/>
      <c r="HC3" s="278"/>
      <c r="HD3" s="278"/>
      <c r="HE3" s="278"/>
      <c r="HF3" s="278"/>
      <c r="HG3" s="278"/>
      <c r="HH3" s="278"/>
      <c r="HI3" s="278"/>
      <c r="HJ3" s="278"/>
      <c r="HK3" s="278"/>
      <c r="HL3" s="278"/>
      <c r="HM3" s="278"/>
      <c r="HN3" s="278"/>
      <c r="HO3" s="278"/>
      <c r="HP3" s="278"/>
      <c r="HQ3" s="278"/>
      <c r="HR3" s="278"/>
      <c r="HS3" s="278"/>
      <c r="HT3" s="278"/>
    </row>
    <row r="4" spans="1:228" ht="12" thickBot="1"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</row>
    <row r="5" spans="1:228">
      <c r="B5" s="283" t="s">
        <v>432</v>
      </c>
      <c r="C5" s="284">
        <v>46828</v>
      </c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</row>
    <row r="6" spans="1:228">
      <c r="B6" s="285" t="s">
        <v>475</v>
      </c>
      <c r="C6" s="286">
        <v>5000</v>
      </c>
      <c r="D6" s="281"/>
      <c r="E6" s="566"/>
      <c r="F6" s="566"/>
      <c r="G6" s="566"/>
      <c r="H6" s="566"/>
      <c r="I6" s="566"/>
      <c r="J6" s="566"/>
      <c r="K6" s="566"/>
      <c r="L6" s="566"/>
      <c r="M6" s="566"/>
      <c r="N6" s="566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</row>
    <row r="7" spans="1:228" ht="12" thickBot="1">
      <c r="B7" s="287" t="s">
        <v>476</v>
      </c>
      <c r="C7" s="288" t="b">
        <v>0</v>
      </c>
      <c r="D7" s="281"/>
      <c r="E7" s="281"/>
      <c r="H7" s="289"/>
      <c r="O7" s="566"/>
      <c r="P7" s="566"/>
      <c r="Q7" s="566"/>
      <c r="R7" s="566"/>
      <c r="S7" s="566"/>
      <c r="T7" s="566"/>
      <c r="U7" s="566"/>
      <c r="V7" s="566"/>
      <c r="W7" s="566"/>
      <c r="X7" s="566"/>
      <c r="Y7" s="281"/>
      <c r="Z7" s="281"/>
      <c r="AA7" s="281"/>
      <c r="AB7" s="281"/>
      <c r="AC7" s="281"/>
      <c r="AD7" s="281"/>
      <c r="AE7" s="281"/>
    </row>
    <row r="8" spans="1:228" ht="12" thickBot="1">
      <c r="B8" s="287" t="s">
        <v>477</v>
      </c>
      <c r="C8" s="290">
        <v>0.3</v>
      </c>
      <c r="D8" s="291"/>
      <c r="E8" s="281"/>
      <c r="H8" s="289"/>
      <c r="O8" s="281"/>
      <c r="P8" s="281"/>
      <c r="Q8" s="281"/>
      <c r="R8" s="281"/>
      <c r="S8" s="281"/>
      <c r="T8" s="281"/>
      <c r="U8" s="281"/>
      <c r="V8" s="281"/>
      <c r="W8" s="281"/>
      <c r="X8" s="281"/>
      <c r="Y8" s="281"/>
      <c r="Z8" s="281"/>
      <c r="AA8" s="281"/>
      <c r="AB8" s="281"/>
      <c r="AC8" s="281"/>
      <c r="AD8" s="281"/>
      <c r="AE8" s="281"/>
    </row>
    <row r="9" spans="1:228" ht="12" thickBot="1">
      <c r="B9" s="287" t="s">
        <v>478</v>
      </c>
      <c r="C9" s="292">
        <v>125</v>
      </c>
      <c r="D9" s="291"/>
      <c r="E9" s="281"/>
      <c r="H9" s="289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</row>
    <row r="10" spans="1:228" ht="12" thickBot="1">
      <c r="B10" s="293"/>
      <c r="C10" s="294"/>
      <c r="D10" s="291"/>
      <c r="E10" s="281"/>
      <c r="H10" s="289"/>
      <c r="O10" s="281"/>
      <c r="P10" s="281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281"/>
    </row>
    <row r="11" spans="1:228">
      <c r="B11" s="295" t="s">
        <v>82</v>
      </c>
      <c r="C11" s="296" t="s">
        <v>67</v>
      </c>
      <c r="D11" s="281"/>
      <c r="E11" s="281"/>
      <c r="H11" s="289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</row>
    <row r="12" spans="1:228">
      <c r="B12" s="297" t="s">
        <v>437</v>
      </c>
      <c r="C12" s="298">
        <v>-0.1</v>
      </c>
      <c r="D12" s="291"/>
      <c r="E12" s="281"/>
      <c r="H12" s="289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1"/>
      <c r="AC12" s="281"/>
      <c r="AD12" s="281"/>
      <c r="AE12" s="281"/>
    </row>
    <row r="13" spans="1:228" ht="12" thickBot="1">
      <c r="B13" s="299" t="s">
        <v>439</v>
      </c>
      <c r="C13" s="233">
        <v>0.1</v>
      </c>
      <c r="E13" s="300"/>
      <c r="H13" s="289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281"/>
    </row>
    <row r="14" spans="1:228" ht="12" thickBot="1">
      <c r="B14" s="301"/>
      <c r="C14" s="302"/>
      <c r="E14" s="300"/>
      <c r="H14" s="289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</row>
    <row r="15" spans="1:228">
      <c r="B15" s="283" t="s">
        <v>458</v>
      </c>
      <c r="C15" s="303" t="s">
        <v>459</v>
      </c>
      <c r="E15" s="300"/>
      <c r="H15" s="289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</row>
    <row r="16" spans="1:228">
      <c r="B16" s="285" t="s">
        <v>461</v>
      </c>
      <c r="C16" s="304" t="s">
        <v>479</v>
      </c>
      <c r="E16" s="300"/>
      <c r="H16" s="289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</row>
    <row r="17" spans="2:31" ht="12" thickBot="1">
      <c r="B17" s="287" t="s">
        <v>462</v>
      </c>
      <c r="C17" s="305"/>
      <c r="E17" s="300"/>
      <c r="H17" s="289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</row>
    <row r="18" spans="2:31" ht="12" thickBot="1">
      <c r="B18" s="293"/>
      <c r="C18" s="306"/>
      <c r="E18" s="300"/>
      <c r="H18" s="289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</row>
    <row r="19" spans="2:31" ht="12" thickBot="1">
      <c r="B19" s="295" t="s">
        <v>480</v>
      </c>
      <c r="C19" s="307"/>
      <c r="D19" s="308"/>
      <c r="E19" s="567" t="s">
        <v>481</v>
      </c>
      <c r="F19" s="567"/>
      <c r="G19" s="567"/>
      <c r="H19" s="567"/>
      <c r="I19" s="567"/>
      <c r="J19" s="567"/>
      <c r="K19" s="567"/>
      <c r="L19" s="567"/>
      <c r="M19" s="567"/>
      <c r="N19" s="568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1"/>
      <c r="AC19" s="281"/>
      <c r="AD19" s="281"/>
      <c r="AE19" s="281"/>
    </row>
    <row r="20" spans="2:31" ht="12" thickBot="1">
      <c r="B20" s="310"/>
      <c r="C20" s="311"/>
      <c r="D20" s="312" t="s">
        <v>482</v>
      </c>
      <c r="E20" s="313">
        <v>1</v>
      </c>
      <c r="F20" s="314">
        <v>2</v>
      </c>
      <c r="G20" s="313">
        <v>3</v>
      </c>
      <c r="H20" s="315">
        <v>4</v>
      </c>
      <c r="I20" s="315">
        <v>5</v>
      </c>
      <c r="J20" s="315">
        <v>6</v>
      </c>
      <c r="K20" s="315">
        <v>7</v>
      </c>
      <c r="L20" s="314">
        <v>8</v>
      </c>
      <c r="M20" s="315">
        <v>9</v>
      </c>
      <c r="N20" s="316">
        <v>10</v>
      </c>
      <c r="O20" s="281"/>
      <c r="P20" s="281"/>
      <c r="Q20" s="281"/>
      <c r="R20" s="281"/>
      <c r="S20" s="281"/>
      <c r="T20" s="281"/>
      <c r="U20" s="281"/>
      <c r="V20" s="281"/>
      <c r="W20" s="293"/>
      <c r="X20" s="281"/>
      <c r="Y20" s="281"/>
      <c r="Z20" s="281"/>
      <c r="AA20" s="281"/>
      <c r="AB20" s="281"/>
      <c r="AC20" s="281"/>
      <c r="AD20" s="281"/>
      <c r="AE20" s="281"/>
    </row>
    <row r="21" spans="2:31">
      <c r="B21" s="283" t="s">
        <v>465</v>
      </c>
      <c r="C21" s="317">
        <v>0.54</v>
      </c>
      <c r="D21" s="318" t="s">
        <v>465</v>
      </c>
      <c r="E21" s="319">
        <v>6.0999999999999999E-2</v>
      </c>
      <c r="F21" s="319">
        <v>6.0999999999999999E-2</v>
      </c>
      <c r="G21" s="319">
        <v>6.0999999999999999E-2</v>
      </c>
      <c r="H21" s="319">
        <v>6.0999999999999999E-2</v>
      </c>
      <c r="I21" s="320">
        <v>0.06</v>
      </c>
      <c r="J21" s="320">
        <v>0.06</v>
      </c>
      <c r="K21" s="321"/>
      <c r="L21" s="322"/>
      <c r="M21" s="321"/>
      <c r="N21" s="323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</row>
    <row r="22" spans="2:31" ht="12" thickBot="1">
      <c r="B22" s="287" t="s">
        <v>466</v>
      </c>
      <c r="C22" s="324">
        <v>0.84</v>
      </c>
      <c r="D22" s="318" t="s">
        <v>483</v>
      </c>
      <c r="E22" s="325">
        <v>0.111</v>
      </c>
      <c r="F22" s="325">
        <v>0.111</v>
      </c>
      <c r="G22" s="325">
        <v>0.111</v>
      </c>
      <c r="H22" s="325">
        <v>0.111</v>
      </c>
      <c r="I22" s="326">
        <v>0.11</v>
      </c>
      <c r="J22" s="326">
        <v>0.11</v>
      </c>
      <c r="K22" s="327"/>
      <c r="L22" s="328"/>
      <c r="M22" s="327"/>
      <c r="N22" s="329"/>
      <c r="O22" s="281"/>
      <c r="P22" s="281"/>
      <c r="Q22" s="330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</row>
    <row r="23" spans="2:31" ht="12" thickBot="1">
      <c r="B23" s="331"/>
      <c r="C23" s="332"/>
      <c r="D23" s="333" t="s">
        <v>484</v>
      </c>
      <c r="E23" s="334">
        <f t="shared" ref="E23:J23" si="0">0.166666666666667%*100</f>
        <v>0.16666666666666699</v>
      </c>
      <c r="F23" s="334">
        <f t="shared" si="0"/>
        <v>0.16666666666666699</v>
      </c>
      <c r="G23" s="334">
        <f t="shared" si="0"/>
        <v>0.16666666666666699</v>
      </c>
      <c r="H23" s="334">
        <f t="shared" si="0"/>
        <v>0.16666666666666699</v>
      </c>
      <c r="I23" s="334">
        <f t="shared" si="0"/>
        <v>0.16666666666666699</v>
      </c>
      <c r="J23" s="334">
        <f t="shared" si="0"/>
        <v>0.16666666666666699</v>
      </c>
      <c r="K23" s="327"/>
      <c r="L23" s="328"/>
      <c r="M23" s="327"/>
      <c r="N23" s="329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</row>
    <row r="24" spans="2:31" ht="12" thickBot="1">
      <c r="B24" s="331"/>
      <c r="C24" s="332"/>
      <c r="D24" s="335"/>
      <c r="E24" s="336"/>
      <c r="F24" s="337"/>
      <c r="G24" s="337"/>
      <c r="H24" s="337"/>
      <c r="I24" s="337"/>
      <c r="J24" s="337"/>
      <c r="K24" s="337"/>
      <c r="L24" s="337"/>
      <c r="M24" s="337"/>
      <c r="N24" s="126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</row>
    <row r="25" spans="2:31" ht="12" thickBot="1">
      <c r="B25" s="283" t="s">
        <v>485</v>
      </c>
      <c r="C25" s="338">
        <v>8.3836702003960026E-2</v>
      </c>
      <c r="D25" s="339"/>
      <c r="E25" s="565" t="s">
        <v>486</v>
      </c>
      <c r="F25" s="565"/>
      <c r="G25" s="565"/>
      <c r="H25" s="565"/>
      <c r="I25" s="565"/>
      <c r="J25" s="565"/>
      <c r="K25" s="565"/>
      <c r="L25" s="565"/>
      <c r="M25" s="565"/>
      <c r="N25" s="564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</row>
    <row r="26" spans="2:31" ht="12" thickBot="1">
      <c r="B26" s="287" t="s">
        <v>487</v>
      </c>
      <c r="C26" s="340" t="b">
        <v>1</v>
      </c>
      <c r="D26" s="312" t="s">
        <v>488</v>
      </c>
      <c r="E26" s="341">
        <v>1</v>
      </c>
      <c r="F26" s="59">
        <f t="shared" ref="F26:N26" si="1">E26+1</f>
        <v>2</v>
      </c>
      <c r="G26" s="342">
        <f t="shared" si="1"/>
        <v>3</v>
      </c>
      <c r="H26" s="343">
        <f t="shared" si="1"/>
        <v>4</v>
      </c>
      <c r="I26" s="343">
        <f t="shared" si="1"/>
        <v>5</v>
      </c>
      <c r="J26" s="343">
        <f t="shared" si="1"/>
        <v>6</v>
      </c>
      <c r="K26" s="343">
        <f t="shared" si="1"/>
        <v>7</v>
      </c>
      <c r="L26" s="59">
        <f t="shared" si="1"/>
        <v>8</v>
      </c>
      <c r="M26" s="343">
        <f t="shared" si="1"/>
        <v>9</v>
      </c>
      <c r="N26" s="344">
        <f t="shared" si="1"/>
        <v>10</v>
      </c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</row>
    <row r="27" spans="2:31">
      <c r="B27" s="331"/>
      <c r="D27" s="345">
        <v>0</v>
      </c>
      <c r="E27" s="346">
        <v>1.9E-2</v>
      </c>
      <c r="F27" s="347">
        <v>2.1000000000000001E-2</v>
      </c>
      <c r="G27" s="348">
        <v>2.1999999999999999E-2</v>
      </c>
      <c r="H27" s="349">
        <v>2.1000000000000001E-2</v>
      </c>
      <c r="I27" s="348">
        <v>2.1999999999999999E-2</v>
      </c>
      <c r="J27" s="348">
        <v>2.1000000000000001E-2</v>
      </c>
      <c r="K27" s="322"/>
      <c r="L27" s="350"/>
      <c r="M27" s="322"/>
      <c r="N27" s="298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</row>
    <row r="28" spans="2:31">
      <c r="B28" s="331"/>
      <c r="D28" s="351">
        <v>2.4E-2</v>
      </c>
      <c r="E28" s="346">
        <v>3.5999999999999997E-2</v>
      </c>
      <c r="F28" s="352">
        <v>0.04</v>
      </c>
      <c r="G28" s="353">
        <v>4.1000000000000002E-2</v>
      </c>
      <c r="H28" s="354">
        <v>0.04</v>
      </c>
      <c r="I28" s="354">
        <v>4.1000000000000002E-2</v>
      </c>
      <c r="J28" s="354">
        <v>0.04</v>
      </c>
      <c r="K28" s="355"/>
      <c r="L28" s="355"/>
      <c r="M28" s="355"/>
      <c r="N28" s="355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</row>
    <row r="29" spans="2:31">
      <c r="B29" s="331"/>
      <c r="D29" s="351">
        <v>4.9000000000000002E-2</v>
      </c>
      <c r="E29" s="346">
        <v>6.3E-2</v>
      </c>
      <c r="F29" s="352">
        <v>6.9000000000000006E-2</v>
      </c>
      <c r="G29" s="353">
        <v>7.0999999999999994E-2</v>
      </c>
      <c r="H29" s="354">
        <v>6.9000000000000006E-2</v>
      </c>
      <c r="I29" s="354">
        <v>7.0999999999999994E-2</v>
      </c>
      <c r="J29" s="354">
        <v>6.9000000000000006E-2</v>
      </c>
      <c r="K29" s="355"/>
      <c r="L29" s="355"/>
      <c r="M29" s="355"/>
      <c r="N29" s="355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</row>
    <row r="30" spans="2:31">
      <c r="B30" s="331"/>
      <c r="D30" s="351">
        <v>6.5000000000000002E-2</v>
      </c>
      <c r="E30" s="346">
        <v>9.2999999999999999E-2</v>
      </c>
      <c r="F30" s="352">
        <v>0.107</v>
      </c>
      <c r="G30" s="353">
        <v>0.111</v>
      </c>
      <c r="H30" s="354">
        <v>0.108</v>
      </c>
      <c r="I30" s="354">
        <v>0.112</v>
      </c>
      <c r="J30" s="354">
        <v>0.108</v>
      </c>
      <c r="K30" s="355"/>
      <c r="L30" s="355"/>
      <c r="M30" s="355"/>
      <c r="N30" s="355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</row>
    <row r="31" spans="2:31">
      <c r="B31" s="331"/>
      <c r="D31" s="351">
        <v>8.1000000000000003E-2</v>
      </c>
      <c r="E31" s="346">
        <v>0.13300000000000001</v>
      </c>
      <c r="F31" s="352">
        <v>0.14899999999999999</v>
      </c>
      <c r="G31" s="353">
        <v>0.154</v>
      </c>
      <c r="H31" s="354">
        <v>0.151</v>
      </c>
      <c r="I31" s="354">
        <v>0.154</v>
      </c>
      <c r="J31" s="354">
        <v>0.14899999999999999</v>
      </c>
      <c r="K31" s="355"/>
      <c r="L31" s="355"/>
      <c r="M31" s="355"/>
      <c r="N31" s="355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</row>
    <row r="32" spans="2:31">
      <c r="B32" s="331"/>
      <c r="D32" s="351">
        <v>9.8000000000000004E-2</v>
      </c>
      <c r="E32" s="346">
        <v>0.17399999999999999</v>
      </c>
      <c r="F32" s="352">
        <v>0.191</v>
      </c>
      <c r="G32" s="353">
        <v>0.19600000000000001</v>
      </c>
      <c r="H32" s="354">
        <v>0.19400000000000001</v>
      </c>
      <c r="I32" s="354">
        <v>0.19700000000000001</v>
      </c>
      <c r="J32" s="354">
        <v>0.191</v>
      </c>
      <c r="K32" s="355"/>
      <c r="L32" s="355"/>
      <c r="M32" s="355"/>
      <c r="N32" s="355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</row>
    <row r="33" spans="1:31" ht="12" thickBot="1">
      <c r="B33" s="356"/>
      <c r="C33" s="357"/>
      <c r="D33" s="358">
        <v>0.114</v>
      </c>
      <c r="E33" s="359">
        <v>0.214</v>
      </c>
      <c r="F33" s="360">
        <v>0.23200000000000001</v>
      </c>
      <c r="G33" s="361">
        <v>0.23799999999999999</v>
      </c>
      <c r="H33" s="362">
        <v>0.23499999999999999</v>
      </c>
      <c r="I33" s="361">
        <v>0.23899999999999999</v>
      </c>
      <c r="J33" s="361">
        <v>0.23200000000000001</v>
      </c>
      <c r="K33" s="328"/>
      <c r="L33" s="363"/>
      <c r="M33" s="328"/>
      <c r="N33" s="324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</row>
    <row r="34" spans="1:31" ht="12" thickBot="1"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</row>
    <row r="35" spans="1:31" ht="12" thickBot="1">
      <c r="D35" s="364" t="s">
        <v>423</v>
      </c>
      <c r="E35" s="365" t="b">
        <v>1</v>
      </c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</row>
    <row r="36" spans="1:31" ht="12" thickBot="1">
      <c r="B36" s="366"/>
      <c r="C36" s="79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</row>
    <row r="37" spans="1:31" ht="13.5" customHeight="1" thickBot="1">
      <c r="B37" s="366"/>
      <c r="C37" s="563" t="s">
        <v>480</v>
      </c>
      <c r="D37" s="564"/>
      <c r="E37" s="565" t="s">
        <v>489</v>
      </c>
      <c r="F37" s="565"/>
      <c r="G37" s="565"/>
      <c r="H37" s="565"/>
      <c r="I37" s="565"/>
      <c r="J37" s="565"/>
      <c r="K37" s="565"/>
      <c r="L37" s="565"/>
      <c r="M37" s="565"/>
      <c r="N37" s="564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</row>
    <row r="38" spans="1:31" ht="12" thickBot="1">
      <c r="B38" s="293"/>
      <c r="C38" s="367" t="s">
        <v>434</v>
      </c>
      <c r="D38" s="368" t="s">
        <v>490</v>
      </c>
      <c r="E38" s="282">
        <v>1</v>
      </c>
      <c r="F38" s="282">
        <f t="shared" ref="F38:N38" si="2">E38+1</f>
        <v>2</v>
      </c>
      <c r="G38" s="282">
        <f t="shared" si="2"/>
        <v>3</v>
      </c>
      <c r="H38" s="282">
        <f t="shared" si="2"/>
        <v>4</v>
      </c>
      <c r="I38" s="282">
        <f t="shared" si="2"/>
        <v>5</v>
      </c>
      <c r="J38" s="282">
        <f t="shared" si="2"/>
        <v>6</v>
      </c>
      <c r="K38" s="282">
        <f t="shared" si="2"/>
        <v>7</v>
      </c>
      <c r="L38" s="282">
        <f t="shared" si="2"/>
        <v>8</v>
      </c>
      <c r="M38" s="282">
        <f t="shared" si="2"/>
        <v>9</v>
      </c>
      <c r="N38" s="369">
        <f t="shared" si="2"/>
        <v>10</v>
      </c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</row>
    <row r="39" spans="1:31" ht="12" thickBot="1">
      <c r="A39" s="79"/>
      <c r="B39" s="367" t="s">
        <v>491</v>
      </c>
      <c r="C39" s="370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1" t="e">
        <f ca="1"/>
        <v>#NAME?</v>
      </c>
      <c r="E39" s="372" t="e">
        <f ca="1"/>
        <v>#NAME?</v>
      </c>
      <c r="F39" s="372" t="e">
        <f ca="1"/>
        <v>#NAME?</v>
      </c>
      <c r="G39" s="372" t="e">
        <f ca="1"/>
        <v>#NAME?</v>
      </c>
      <c r="H39" s="372" t="e">
        <f ca="1"/>
        <v>#NAME?</v>
      </c>
      <c r="I39" s="372" t="e">
        <f ca="1"/>
        <v>#NAME?</v>
      </c>
      <c r="J39" s="372" t="e">
        <f ca="1"/>
        <v>#NAME?</v>
      </c>
      <c r="K39" s="372" t="e">
        <f ca="1"/>
        <v>#NAME?</v>
      </c>
      <c r="L39" s="372" t="e">
        <f ca="1"/>
        <v>#NAME?</v>
      </c>
      <c r="M39" s="372" t="e">
        <f ca="1"/>
        <v>#NAME?</v>
      </c>
      <c r="N39" s="373" t="e">
        <f ca="1"/>
        <v>#NAME?</v>
      </c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</row>
    <row r="40" spans="1:31" ht="12" thickBot="1">
      <c r="B40" s="367" t="s">
        <v>492</v>
      </c>
      <c r="C40" s="374" t="e">
        <f ca="1"/>
        <v>#NAME?</v>
      </c>
      <c r="D40" s="375" t="e">
        <f ca="1"/>
        <v>#NAME?</v>
      </c>
      <c r="E40" s="376" t="e">
        <f ca="1"/>
        <v>#NAME?</v>
      </c>
      <c r="F40" s="376" t="e">
        <f ca="1"/>
        <v>#NAME?</v>
      </c>
      <c r="G40" s="376" t="e">
        <f ca="1"/>
        <v>#NAME?</v>
      </c>
      <c r="H40" s="376" t="e">
        <f ca="1"/>
        <v>#NAME?</v>
      </c>
      <c r="I40" s="376" t="e">
        <f ca="1"/>
        <v>#NAME?</v>
      </c>
      <c r="J40" s="376" t="e">
        <f ca="1"/>
        <v>#NAME?</v>
      </c>
      <c r="K40" s="376" t="e">
        <f ca="1"/>
        <v>#NAME?</v>
      </c>
      <c r="L40" s="376" t="e">
        <f ca="1"/>
        <v>#NAME?</v>
      </c>
      <c r="M40" s="376" t="e">
        <f ca="1"/>
        <v>#NAME?</v>
      </c>
      <c r="N40" s="377" t="e">
        <f ca="1"/>
        <v>#NAME?</v>
      </c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</row>
    <row r="41" spans="1:31">
      <c r="C41" s="378"/>
      <c r="D41" s="379" t="e" cm="1">
        <f t="array" aca="1" ref="D41" ca="1">GetTest2(E21:N23)</f>
        <v>#NAME?</v>
      </c>
      <c r="E41" s="379"/>
      <c r="F41" s="380"/>
      <c r="G41" s="379"/>
      <c r="H41" s="380"/>
      <c r="I41" s="378"/>
      <c r="J41" s="380"/>
      <c r="K41" s="378"/>
      <c r="L41" s="380"/>
      <c r="M41" s="378"/>
      <c r="N41" s="378"/>
      <c r="O41" s="281"/>
      <c r="P41" s="566"/>
      <c r="Q41" s="566"/>
      <c r="R41" s="566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</row>
    <row r="42" spans="1:31">
      <c r="B42" s="281" t="e" cm="1">
        <f t="array" aca="1" ref="B42" ca="1">GetTest2(E21:N23,C21,C22,C26,D46:N345,Parameter_Date,C5,C11)</f>
        <v>#NAME?</v>
      </c>
      <c r="D42" s="379"/>
      <c r="E42" s="379"/>
      <c r="F42" s="380"/>
      <c r="G42" s="379"/>
      <c r="H42" s="380"/>
      <c r="I42" s="378"/>
      <c r="J42" s="380"/>
      <c r="K42" s="378"/>
      <c r="L42" s="380"/>
      <c r="M42" s="378"/>
      <c r="N42" s="378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</row>
    <row r="43" spans="1:31" ht="12" thickBot="1">
      <c r="D43" s="281"/>
      <c r="E43" s="3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</row>
    <row r="44" spans="1:31" ht="12" thickBot="1">
      <c r="C44" s="332"/>
      <c r="D44" s="382"/>
      <c r="E44" s="563" t="s">
        <v>493</v>
      </c>
      <c r="F44" s="565"/>
      <c r="G44" s="565"/>
      <c r="H44" s="565"/>
      <c r="I44" s="565"/>
      <c r="J44" s="565"/>
      <c r="K44" s="565"/>
      <c r="L44" s="565"/>
      <c r="M44" s="565"/>
      <c r="N44" s="564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</row>
    <row r="45" spans="1:31" ht="12" thickBot="1">
      <c r="B45" s="312" t="s">
        <v>494</v>
      </c>
      <c r="C45" s="309" t="s">
        <v>495</v>
      </c>
      <c r="D45" s="367" t="s">
        <v>474</v>
      </c>
      <c r="E45" s="383">
        <v>1</v>
      </c>
      <c r="F45" s="384">
        <f t="shared" ref="F45:N45" si="3">E45+1</f>
        <v>2</v>
      </c>
      <c r="G45" s="384">
        <f t="shared" si="3"/>
        <v>3</v>
      </c>
      <c r="H45" s="384">
        <f t="shared" si="3"/>
        <v>4</v>
      </c>
      <c r="I45" s="384">
        <f t="shared" si="3"/>
        <v>5</v>
      </c>
      <c r="J45" s="384">
        <f t="shared" si="3"/>
        <v>6</v>
      </c>
      <c r="K45" s="384">
        <f t="shared" si="3"/>
        <v>7</v>
      </c>
      <c r="L45" s="384">
        <f t="shared" si="3"/>
        <v>8</v>
      </c>
      <c r="M45" s="384">
        <f t="shared" si="3"/>
        <v>9</v>
      </c>
      <c r="N45" s="385">
        <f t="shared" si="3"/>
        <v>10</v>
      </c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</row>
    <row r="46" spans="1:31" ht="15">
      <c r="B46" s="386">
        <v>1</v>
      </c>
      <c r="C46" s="394" t="str" cm="1">
        <f t="array" aca="1" ref="C46" ca="1">IF(B46&lt;=$C$9,GetGetCDSName(B46),"")</f>
        <v>CDS Name - Issuer 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46" s="354">
        <v>0</v>
      </c>
      <c r="E46" s="387">
        <v>0</v>
      </c>
      <c r="F46" s="306">
        <v>0</v>
      </c>
      <c r="G46" s="306">
        <v>1</v>
      </c>
      <c r="H46" s="306">
        <v>0</v>
      </c>
      <c r="I46" s="306">
        <v>0</v>
      </c>
      <c r="J46" s="306">
        <v>0</v>
      </c>
      <c r="K46" s="306"/>
      <c r="L46" s="306"/>
      <c r="M46" s="306"/>
      <c r="N46" s="388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</row>
    <row r="47" spans="1:31" ht="15">
      <c r="B47" s="386">
        <f t="shared" ref="B47:B110" si="4">B46+1</f>
        <v>2</v>
      </c>
      <c r="C47" s="394" t="str" cm="1">
        <f t="array" aca="1" ref="C47" ca="1">IF(B47&lt;=$C$9,GetGetCDSName(B47),"")</f>
        <v>CDS Name - Issuer 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47" s="354">
        <v>0</v>
      </c>
      <c r="E47" s="387">
        <v>0</v>
      </c>
      <c r="F47" s="306">
        <v>0</v>
      </c>
      <c r="G47" s="306">
        <v>0</v>
      </c>
      <c r="H47" s="306">
        <v>0</v>
      </c>
      <c r="I47" s="306">
        <v>1</v>
      </c>
      <c r="J47" s="306">
        <v>1</v>
      </c>
      <c r="K47" s="306"/>
      <c r="L47" s="306"/>
      <c r="M47" s="306"/>
      <c r="N47" s="388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</row>
    <row r="48" spans="1:31" ht="15">
      <c r="B48" s="386">
        <f t="shared" si="4"/>
        <v>3</v>
      </c>
      <c r="C48" s="394" t="str" cm="1">
        <f t="array" aca="1" ref="C48" ca="1">IF(B48&lt;=$C$9,GetGetCDSName(B48),"")</f>
        <v>CDS Name - Issuer 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48" s="354">
        <v>0</v>
      </c>
      <c r="E48" s="387">
        <v>0</v>
      </c>
      <c r="F48" s="306">
        <v>0</v>
      </c>
      <c r="G48" s="306">
        <v>1</v>
      </c>
      <c r="H48" s="306">
        <v>0</v>
      </c>
      <c r="I48" s="306">
        <v>1</v>
      </c>
      <c r="J48" s="306">
        <v>0</v>
      </c>
      <c r="K48" s="306"/>
      <c r="L48" s="306"/>
      <c r="M48" s="306"/>
      <c r="N48" s="388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</row>
    <row r="49" spans="2:31" ht="15">
      <c r="B49" s="386">
        <f t="shared" si="4"/>
        <v>4</v>
      </c>
      <c r="C49" s="394" t="str" cm="1">
        <f t="array" aca="1" ref="C49" ca="1">IF(B49&lt;=$C$9,GetGetCDSName(B49),"")</f>
        <v>CDS Name - Issuer 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49" s="354">
        <v>0</v>
      </c>
      <c r="E49" s="387">
        <v>0</v>
      </c>
      <c r="F49" s="306">
        <v>0</v>
      </c>
      <c r="G49" s="306">
        <v>0</v>
      </c>
      <c r="H49" s="306">
        <v>0</v>
      </c>
      <c r="I49" s="306">
        <v>0</v>
      </c>
      <c r="J49" s="306">
        <v>1</v>
      </c>
      <c r="K49" s="306"/>
      <c r="L49" s="306"/>
      <c r="M49" s="306"/>
      <c r="N49" s="388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</row>
    <row r="50" spans="2:31" ht="15">
      <c r="B50" s="386">
        <f t="shared" si="4"/>
        <v>5</v>
      </c>
      <c r="C50" s="394" t="str" cm="1">
        <f t="array" aca="1" ref="C50" ca="1">IF(B50&lt;=$C$9,GetGetCDSName(B50),"")</f>
        <v>CDS Name - Issuer 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0" s="354">
        <v>0</v>
      </c>
      <c r="E50" s="387">
        <v>0</v>
      </c>
      <c r="F50" s="306">
        <v>0</v>
      </c>
      <c r="G50" s="306">
        <v>0</v>
      </c>
      <c r="H50" s="306">
        <v>1</v>
      </c>
      <c r="I50" s="306">
        <v>0</v>
      </c>
      <c r="J50" s="306">
        <v>0</v>
      </c>
      <c r="K50" s="306"/>
      <c r="L50" s="306"/>
      <c r="M50" s="306"/>
      <c r="N50" s="388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</row>
    <row r="51" spans="2:31" ht="15">
      <c r="B51" s="386">
        <f t="shared" si="4"/>
        <v>6</v>
      </c>
      <c r="C51" s="394" t="str" cm="1">
        <f t="array" aca="1" ref="C51" ca="1">IF(B51&lt;=$C$9,GetGetCDSName(B51),"")</f>
        <v>CDS Name - Issuer 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1" s="354">
        <v>0</v>
      </c>
      <c r="E51" s="387">
        <v>1</v>
      </c>
      <c r="F51" s="306">
        <v>1</v>
      </c>
      <c r="G51" s="306">
        <v>0</v>
      </c>
      <c r="H51" s="306">
        <v>0</v>
      </c>
      <c r="I51" s="306">
        <v>0</v>
      </c>
      <c r="J51" s="306">
        <v>1</v>
      </c>
      <c r="K51" s="306"/>
      <c r="L51" s="306"/>
      <c r="M51" s="306"/>
      <c r="N51" s="388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</row>
    <row r="52" spans="2:31" ht="15">
      <c r="B52" s="386">
        <f t="shared" si="4"/>
        <v>7</v>
      </c>
      <c r="C52" s="394" t="str" cm="1">
        <f t="array" aca="1" ref="C52" ca="1">IF(B52&lt;=$C$9,GetGetCDSName(B52),"")</f>
        <v>CDS Name - Issuer 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2" s="354">
        <v>0</v>
      </c>
      <c r="E52" s="387">
        <v>0</v>
      </c>
      <c r="F52" s="306">
        <v>0</v>
      </c>
      <c r="G52" s="306">
        <v>1</v>
      </c>
      <c r="H52" s="306">
        <v>1</v>
      </c>
      <c r="I52" s="306">
        <v>1</v>
      </c>
      <c r="J52" s="306">
        <v>0</v>
      </c>
      <c r="K52" s="306"/>
      <c r="L52" s="306"/>
      <c r="M52" s="306"/>
      <c r="N52" s="388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</row>
    <row r="53" spans="2:31" ht="15">
      <c r="B53" s="386">
        <f t="shared" si="4"/>
        <v>8</v>
      </c>
      <c r="C53" s="394" t="str" cm="1">
        <f t="array" aca="1" ref="C53" ca="1">IF(B53&lt;=$C$9,GetGetCDSName(B53),"")</f>
        <v>CDS Name - Issuer 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3" s="354">
        <v>0</v>
      </c>
      <c r="E53" s="387">
        <v>1</v>
      </c>
      <c r="F53" s="306">
        <v>1</v>
      </c>
      <c r="G53" s="306">
        <v>0</v>
      </c>
      <c r="H53" s="306">
        <v>0</v>
      </c>
      <c r="I53" s="306">
        <v>1</v>
      </c>
      <c r="J53" s="306">
        <v>0</v>
      </c>
      <c r="K53" s="306"/>
      <c r="L53" s="306"/>
      <c r="M53" s="306"/>
      <c r="N53" s="388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</row>
    <row r="54" spans="2:31" ht="15">
      <c r="B54" s="386">
        <f t="shared" si="4"/>
        <v>9</v>
      </c>
      <c r="C54" s="394" t="str" cm="1">
        <f t="array" aca="1" ref="C54" ca="1">IF(B54&lt;=$C$9,GetGetCDSName(B54),"")</f>
        <v>CDS Name - Issuer 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4" s="354">
        <v>0</v>
      </c>
      <c r="E54" s="387">
        <v>0</v>
      </c>
      <c r="F54" s="306">
        <v>0</v>
      </c>
      <c r="G54" s="306">
        <v>0</v>
      </c>
      <c r="H54" s="306">
        <v>0</v>
      </c>
      <c r="I54" s="306">
        <v>0</v>
      </c>
      <c r="J54" s="306">
        <v>1</v>
      </c>
      <c r="K54" s="306"/>
      <c r="L54" s="306"/>
      <c r="M54" s="306"/>
      <c r="N54" s="388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</row>
    <row r="55" spans="2:31" ht="15">
      <c r="B55" s="386">
        <f t="shared" si="4"/>
        <v>10</v>
      </c>
      <c r="C55" s="394" t="str" cm="1">
        <f t="array" aca="1" ref="C55" ca="1">IF(B55&lt;=$C$9,GetGetCDSName(B55),"")</f>
        <v>CDS Name - Issuer 10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5" s="354">
        <v>0</v>
      </c>
      <c r="E55" s="387">
        <v>0</v>
      </c>
      <c r="F55" s="306">
        <v>0</v>
      </c>
      <c r="G55" s="306">
        <v>1</v>
      </c>
      <c r="H55" s="306">
        <v>1</v>
      </c>
      <c r="I55" s="306">
        <v>0</v>
      </c>
      <c r="J55" s="306">
        <v>0</v>
      </c>
      <c r="K55" s="306"/>
      <c r="L55" s="306"/>
      <c r="M55" s="306"/>
      <c r="N55" s="388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</row>
    <row r="56" spans="2:31" ht="15">
      <c r="B56" s="386">
        <f t="shared" si="4"/>
        <v>11</v>
      </c>
      <c r="C56" s="394" t="str" cm="1">
        <f t="array" aca="1" ref="C56" ca="1">IF(B56&lt;=$C$9,GetGetCDSName(B56),"")</f>
        <v>CDS Name - Issuer 11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6" s="354">
        <v>0</v>
      </c>
      <c r="E56" s="387">
        <v>1</v>
      </c>
      <c r="F56" s="306">
        <v>0</v>
      </c>
      <c r="G56" s="306">
        <v>0</v>
      </c>
      <c r="H56" s="306">
        <v>0</v>
      </c>
      <c r="I56" s="306">
        <v>0</v>
      </c>
      <c r="J56" s="306">
        <v>0</v>
      </c>
      <c r="K56" s="306"/>
      <c r="L56" s="306"/>
      <c r="M56" s="306"/>
      <c r="N56" s="388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</row>
    <row r="57" spans="2:31" ht="15">
      <c r="B57" s="386">
        <f t="shared" si="4"/>
        <v>12</v>
      </c>
      <c r="C57" s="394" t="str" cm="1">
        <f t="array" aca="1" ref="C57" ca="1">IF(B57&lt;=$C$9,GetGetCDSName(B57),"")</f>
        <v>CDS Name - Issuer 12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7" s="354">
        <v>0</v>
      </c>
      <c r="E57" s="387">
        <v>0</v>
      </c>
      <c r="F57" s="306">
        <v>1</v>
      </c>
      <c r="G57" s="306">
        <v>0</v>
      </c>
      <c r="H57" s="306">
        <v>0</v>
      </c>
      <c r="I57" s="306">
        <v>0</v>
      </c>
      <c r="J57" s="306">
        <v>0</v>
      </c>
      <c r="K57" s="306"/>
      <c r="L57" s="306"/>
      <c r="M57" s="306"/>
      <c r="N57" s="388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</row>
    <row r="58" spans="2:31" ht="15">
      <c r="B58" s="386">
        <f t="shared" si="4"/>
        <v>13</v>
      </c>
      <c r="C58" s="394" t="str" cm="1">
        <f t="array" aca="1" ref="C58" ca="1">IF(B58&lt;=$C$9,GetGetCDSName(B58),"")</f>
        <v>CDS Name - Issuer 13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8" s="354">
        <v>0</v>
      </c>
      <c r="E58" s="387">
        <v>0</v>
      </c>
      <c r="F58" s="306">
        <v>0</v>
      </c>
      <c r="G58" s="306">
        <v>0</v>
      </c>
      <c r="H58" s="306">
        <v>1</v>
      </c>
      <c r="I58" s="306">
        <v>0</v>
      </c>
      <c r="J58" s="306">
        <v>0</v>
      </c>
      <c r="K58" s="306"/>
      <c r="L58" s="306"/>
      <c r="M58" s="306"/>
      <c r="N58" s="388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</row>
    <row r="59" spans="2:31" ht="15">
      <c r="B59" s="386">
        <f t="shared" si="4"/>
        <v>14</v>
      </c>
      <c r="C59" s="394" t="str" cm="1">
        <f t="array" aca="1" ref="C59" ca="1">IF(B59&lt;=$C$9,GetGetCDSName(B59),"")</f>
        <v>CDS Name - Issuer 14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9" s="354">
        <v>0</v>
      </c>
      <c r="E59" s="387">
        <v>0</v>
      </c>
      <c r="F59" s="306">
        <v>0</v>
      </c>
      <c r="G59" s="306">
        <v>0</v>
      </c>
      <c r="H59" s="306">
        <v>1</v>
      </c>
      <c r="I59" s="306">
        <v>1</v>
      </c>
      <c r="J59" s="306">
        <v>0</v>
      </c>
      <c r="K59" s="306"/>
      <c r="L59" s="306"/>
      <c r="M59" s="306"/>
      <c r="N59" s="388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</row>
    <row r="60" spans="2:31" ht="15">
      <c r="B60" s="386">
        <f t="shared" si="4"/>
        <v>15</v>
      </c>
      <c r="C60" s="394" t="str" cm="1">
        <f t="array" aca="1" ref="C60" ca="1">IF(B60&lt;=$C$9,GetGetCDSName(B60),"")</f>
        <v>CDS Name - Issuer 15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0" s="354">
        <v>0</v>
      </c>
      <c r="E60" s="387">
        <v>1</v>
      </c>
      <c r="F60" s="306">
        <v>0</v>
      </c>
      <c r="G60" s="306">
        <v>0</v>
      </c>
      <c r="H60" s="306">
        <v>1</v>
      </c>
      <c r="I60" s="306">
        <v>1</v>
      </c>
      <c r="J60" s="306">
        <v>0</v>
      </c>
      <c r="K60" s="306"/>
      <c r="L60" s="306"/>
      <c r="M60" s="306"/>
      <c r="N60" s="388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</row>
    <row r="61" spans="2:31" ht="15">
      <c r="B61" s="386">
        <f t="shared" si="4"/>
        <v>16</v>
      </c>
      <c r="C61" s="394" t="str" cm="1">
        <f t="array" aca="1" ref="C61" ca="1">IF(B61&lt;=$C$9,GetGetCDSName(B61),"")</f>
        <v>CDS Name - Issuer 16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1" s="354">
        <v>0</v>
      </c>
      <c r="E61" s="387">
        <v>0</v>
      </c>
      <c r="F61" s="306">
        <v>0</v>
      </c>
      <c r="G61" s="306">
        <v>0</v>
      </c>
      <c r="H61" s="306">
        <v>0</v>
      </c>
      <c r="I61" s="306">
        <v>1</v>
      </c>
      <c r="J61" s="306">
        <v>0</v>
      </c>
      <c r="K61" s="306"/>
      <c r="L61" s="306"/>
      <c r="M61" s="306"/>
      <c r="N61" s="388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</row>
    <row r="62" spans="2:31" ht="15">
      <c r="B62" s="386">
        <f t="shared" si="4"/>
        <v>17</v>
      </c>
      <c r="C62" s="394" t="str" cm="1">
        <f t="array" aca="1" ref="C62" ca="1">IF(B62&lt;=$C$9,GetGetCDSName(B62),"")</f>
        <v>CDS Name - Issuer 17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2" s="354">
        <v>0</v>
      </c>
      <c r="E62" s="387">
        <v>1</v>
      </c>
      <c r="F62" s="306">
        <v>0</v>
      </c>
      <c r="G62" s="306">
        <v>0</v>
      </c>
      <c r="H62" s="306">
        <v>0</v>
      </c>
      <c r="I62" s="306">
        <v>0</v>
      </c>
      <c r="J62" s="306">
        <v>0</v>
      </c>
      <c r="K62" s="306"/>
      <c r="L62" s="306"/>
      <c r="M62" s="306"/>
      <c r="N62" s="388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</row>
    <row r="63" spans="2:31" ht="15">
      <c r="B63" s="386">
        <f t="shared" si="4"/>
        <v>18</v>
      </c>
      <c r="C63" s="394" t="str" cm="1">
        <f t="array" aca="1" ref="C63" ca="1">IF(B63&lt;=$C$9,GetGetCDSName(B63),"")</f>
        <v>CDS Name - Issuer 18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3" s="354">
        <v>0</v>
      </c>
      <c r="E63" s="387">
        <v>0</v>
      </c>
      <c r="F63" s="306">
        <v>1</v>
      </c>
      <c r="G63" s="306">
        <v>0</v>
      </c>
      <c r="H63" s="306">
        <v>0</v>
      </c>
      <c r="I63" s="306">
        <v>0</v>
      </c>
      <c r="J63" s="306">
        <v>0</v>
      </c>
      <c r="K63" s="306"/>
      <c r="L63" s="306"/>
      <c r="M63" s="306"/>
      <c r="N63" s="388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</row>
    <row r="64" spans="2:31" ht="15">
      <c r="B64" s="386">
        <f t="shared" si="4"/>
        <v>19</v>
      </c>
      <c r="C64" s="394" t="str" cm="1">
        <f t="array" aca="1" ref="C64" ca="1">IF(B64&lt;=$C$9,GetGetCDSName(B64),"")</f>
        <v>CDS Name - Issuer 19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4" s="354">
        <v>0</v>
      </c>
      <c r="E64" s="387">
        <v>0</v>
      </c>
      <c r="F64" s="306">
        <v>0</v>
      </c>
      <c r="G64" s="306">
        <v>1</v>
      </c>
      <c r="H64" s="306">
        <v>0</v>
      </c>
      <c r="I64" s="306">
        <v>0</v>
      </c>
      <c r="J64" s="306">
        <v>0</v>
      </c>
      <c r="K64" s="306"/>
      <c r="L64" s="306"/>
      <c r="M64" s="306"/>
      <c r="N64" s="388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</row>
    <row r="65" spans="2:31" ht="15">
      <c r="B65" s="386">
        <f t="shared" si="4"/>
        <v>20</v>
      </c>
      <c r="C65" s="394" t="str" cm="1">
        <f t="array" aca="1" ref="C65" ca="1">IF(B65&lt;=$C$9,GetGetCDSName(B65),"")</f>
        <v>CDS Name - Issuer 20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5" s="354">
        <v>0</v>
      </c>
      <c r="E65" s="387">
        <v>1</v>
      </c>
      <c r="F65" s="306">
        <v>0</v>
      </c>
      <c r="G65" s="306">
        <v>1</v>
      </c>
      <c r="H65" s="306">
        <v>1</v>
      </c>
      <c r="I65" s="306">
        <v>0</v>
      </c>
      <c r="J65" s="306">
        <v>0</v>
      </c>
      <c r="K65" s="306"/>
      <c r="L65" s="306"/>
      <c r="M65" s="306"/>
      <c r="N65" s="388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</row>
    <row r="66" spans="2:31" ht="15">
      <c r="B66" s="386">
        <f t="shared" si="4"/>
        <v>21</v>
      </c>
      <c r="C66" s="394" t="str" cm="1">
        <f t="array" aca="1" ref="C66" ca="1">IF(B66&lt;=$C$9,GetGetCDSName(B66),"")</f>
        <v>CDS Name - Issuer 21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6" s="354">
        <v>0</v>
      </c>
      <c r="E66" s="387">
        <v>0</v>
      </c>
      <c r="F66" s="306">
        <v>1</v>
      </c>
      <c r="G66" s="306">
        <v>1</v>
      </c>
      <c r="H66" s="306">
        <v>0</v>
      </c>
      <c r="I66" s="306">
        <v>0</v>
      </c>
      <c r="J66" s="306">
        <v>1</v>
      </c>
      <c r="K66" s="306"/>
      <c r="L66" s="306"/>
      <c r="M66" s="306"/>
      <c r="N66" s="388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</row>
    <row r="67" spans="2:31" ht="15">
      <c r="B67" s="386">
        <f t="shared" si="4"/>
        <v>22</v>
      </c>
      <c r="C67" s="394" t="str" cm="1">
        <f t="array" aca="1" ref="C67" ca="1">IF(B67&lt;=$C$9,GetGetCDSName(B67),"")</f>
        <v>CDS Name - Issuer 22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7" s="354">
        <v>0</v>
      </c>
      <c r="E67" s="387">
        <v>0</v>
      </c>
      <c r="F67" s="306">
        <v>0</v>
      </c>
      <c r="G67" s="306">
        <v>1</v>
      </c>
      <c r="H67" s="306">
        <v>0</v>
      </c>
      <c r="I67" s="306">
        <v>0</v>
      </c>
      <c r="J67" s="306">
        <v>1</v>
      </c>
      <c r="K67" s="306"/>
      <c r="L67" s="306"/>
      <c r="M67" s="306"/>
      <c r="N67" s="388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</row>
    <row r="68" spans="2:31" ht="15">
      <c r="B68" s="386">
        <f t="shared" si="4"/>
        <v>23</v>
      </c>
      <c r="C68" s="394" t="str" cm="1">
        <f t="array" aca="1" ref="C68" ca="1">IF(B68&lt;=$C$9,GetGetCDSName(B68),"")</f>
        <v>CDS Name - Issuer 23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8" s="354">
        <v>0</v>
      </c>
      <c r="E68" s="387">
        <v>0</v>
      </c>
      <c r="F68" s="306">
        <v>0</v>
      </c>
      <c r="G68" s="306">
        <v>0</v>
      </c>
      <c r="H68" s="306">
        <v>0</v>
      </c>
      <c r="I68" s="306">
        <v>0</v>
      </c>
      <c r="J68" s="306">
        <v>1</v>
      </c>
      <c r="K68" s="306"/>
      <c r="L68" s="306"/>
      <c r="M68" s="306"/>
      <c r="N68" s="388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</row>
    <row r="69" spans="2:31" ht="15">
      <c r="B69" s="386">
        <f t="shared" si="4"/>
        <v>24</v>
      </c>
      <c r="C69" s="394" t="str" cm="1">
        <f t="array" aca="1" ref="C69" ca="1">IF(B69&lt;=$C$9,GetGetCDSName(B69),"")</f>
        <v>CDS Name - Issuer 24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9" s="354">
        <v>0</v>
      </c>
      <c r="E69" s="387">
        <v>0</v>
      </c>
      <c r="F69" s="306">
        <v>1</v>
      </c>
      <c r="G69" s="306">
        <v>1</v>
      </c>
      <c r="H69" s="306">
        <v>0</v>
      </c>
      <c r="I69" s="306">
        <v>0</v>
      </c>
      <c r="J69" s="306">
        <v>0</v>
      </c>
      <c r="K69" s="306"/>
      <c r="L69" s="306"/>
      <c r="M69" s="306"/>
      <c r="N69" s="388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</row>
    <row r="70" spans="2:31" ht="15">
      <c r="B70" s="386">
        <f t="shared" si="4"/>
        <v>25</v>
      </c>
      <c r="C70" s="394" t="str" cm="1">
        <f t="array" aca="1" ref="C70" ca="1">IF(B70&lt;=$C$9,GetGetCDSName(B70),"")</f>
        <v>CDS Name - Issuer 25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0" s="354">
        <v>0</v>
      </c>
      <c r="E70" s="387">
        <v>0</v>
      </c>
      <c r="F70" s="306">
        <v>0</v>
      </c>
      <c r="G70" s="306">
        <v>0</v>
      </c>
      <c r="H70" s="306">
        <v>0</v>
      </c>
      <c r="I70" s="306">
        <v>1</v>
      </c>
      <c r="J70" s="306">
        <v>0</v>
      </c>
      <c r="K70" s="306"/>
      <c r="L70" s="306"/>
      <c r="M70" s="306"/>
      <c r="N70" s="388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</row>
    <row r="71" spans="2:31" ht="15">
      <c r="B71" s="386">
        <f t="shared" si="4"/>
        <v>26</v>
      </c>
      <c r="C71" s="394" t="str" cm="1">
        <f t="array" aca="1" ref="C71" ca="1">IF(B71&lt;=$C$9,GetGetCDSName(B71),"")</f>
        <v>CDS Name - Issuer 26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1" s="354">
        <v>0</v>
      </c>
      <c r="E71" s="387">
        <v>1</v>
      </c>
      <c r="F71" s="306">
        <v>0</v>
      </c>
      <c r="G71" s="306">
        <v>0</v>
      </c>
      <c r="H71" s="306">
        <v>0</v>
      </c>
      <c r="I71" s="306">
        <v>1</v>
      </c>
      <c r="J71" s="306">
        <v>1</v>
      </c>
      <c r="K71" s="306"/>
      <c r="L71" s="306"/>
      <c r="M71" s="306"/>
      <c r="N71" s="388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</row>
    <row r="72" spans="2:31" ht="15">
      <c r="B72" s="386">
        <f t="shared" si="4"/>
        <v>27</v>
      </c>
      <c r="C72" s="394" t="str" cm="1">
        <f t="array" aca="1" ref="C72" ca="1">IF(B72&lt;=$C$9,GetGetCDSName(B72),"")</f>
        <v>CDS Name - Issuer 27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2" s="354">
        <v>0</v>
      </c>
      <c r="E72" s="387">
        <v>0</v>
      </c>
      <c r="F72" s="306">
        <v>1</v>
      </c>
      <c r="G72" s="306">
        <v>0</v>
      </c>
      <c r="H72" s="306">
        <v>1</v>
      </c>
      <c r="I72" s="306">
        <v>0</v>
      </c>
      <c r="J72" s="306">
        <v>0</v>
      </c>
      <c r="K72" s="306"/>
      <c r="L72" s="306"/>
      <c r="M72" s="306"/>
      <c r="N72" s="388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</row>
    <row r="73" spans="2:31" ht="15">
      <c r="B73" s="386">
        <f t="shared" si="4"/>
        <v>28</v>
      </c>
      <c r="C73" s="394" t="str" cm="1">
        <f t="array" aca="1" ref="C73" ca="1">IF(B73&lt;=$C$9,GetGetCDSName(B73),"")</f>
        <v>CDS Name - Issuer 28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3" s="354">
        <v>0</v>
      </c>
      <c r="E73" s="387">
        <v>1</v>
      </c>
      <c r="F73" s="306">
        <v>0</v>
      </c>
      <c r="G73" s="306">
        <v>0</v>
      </c>
      <c r="H73" s="306">
        <v>0</v>
      </c>
      <c r="I73" s="306">
        <v>0</v>
      </c>
      <c r="J73" s="306">
        <v>1</v>
      </c>
      <c r="K73" s="306"/>
      <c r="L73" s="306"/>
      <c r="M73" s="306"/>
      <c r="N73" s="388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</row>
    <row r="74" spans="2:31" ht="15">
      <c r="B74" s="386">
        <f t="shared" si="4"/>
        <v>29</v>
      </c>
      <c r="C74" s="394" t="str" cm="1">
        <f t="array" aca="1" ref="C74" ca="1">IF(B74&lt;=$C$9,GetGetCDSName(B74),"")</f>
        <v>CDS Name - Issuer 29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4" s="354">
        <v>0</v>
      </c>
      <c r="E74" s="387">
        <v>1</v>
      </c>
      <c r="F74" s="306">
        <v>0</v>
      </c>
      <c r="G74" s="306">
        <v>0</v>
      </c>
      <c r="H74" s="306">
        <v>0</v>
      </c>
      <c r="I74" s="306">
        <v>0</v>
      </c>
      <c r="J74" s="306">
        <v>0</v>
      </c>
      <c r="K74" s="306"/>
      <c r="L74" s="306"/>
      <c r="M74" s="306"/>
      <c r="N74" s="388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</row>
    <row r="75" spans="2:31" ht="15">
      <c r="B75" s="386">
        <f t="shared" si="4"/>
        <v>30</v>
      </c>
      <c r="C75" s="394" t="str" cm="1">
        <f t="array" aca="1" ref="C75" ca="1">IF(B75&lt;=$C$9,GetGetCDSName(B75),"")</f>
        <v>CDS Name - Issuer 30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5" s="354">
        <v>0</v>
      </c>
      <c r="E75" s="387">
        <v>0</v>
      </c>
      <c r="F75" s="306">
        <v>1</v>
      </c>
      <c r="G75" s="306">
        <v>0</v>
      </c>
      <c r="H75" s="306">
        <v>0</v>
      </c>
      <c r="I75" s="306">
        <v>1</v>
      </c>
      <c r="J75" s="306">
        <v>1</v>
      </c>
      <c r="K75" s="306"/>
      <c r="L75" s="306"/>
      <c r="M75" s="306"/>
      <c r="N75" s="388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</row>
    <row r="76" spans="2:31" ht="15">
      <c r="B76" s="386">
        <f t="shared" si="4"/>
        <v>31</v>
      </c>
      <c r="C76" s="394" t="str" cm="1">
        <f t="array" aca="1" ref="C76" ca="1">IF(B76&lt;=$C$9,GetGetCDSName(B76),"")</f>
        <v>CDS Name - Issuer 31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6" s="354">
        <v>0</v>
      </c>
      <c r="E76" s="387">
        <v>0</v>
      </c>
      <c r="F76" s="306">
        <v>0</v>
      </c>
      <c r="G76" s="306">
        <v>1</v>
      </c>
      <c r="H76" s="306">
        <v>1</v>
      </c>
      <c r="I76" s="306">
        <v>0</v>
      </c>
      <c r="J76" s="306">
        <v>1</v>
      </c>
      <c r="K76" s="306"/>
      <c r="L76" s="306"/>
      <c r="M76" s="306"/>
      <c r="N76" s="388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</row>
    <row r="77" spans="2:31" ht="15">
      <c r="B77" s="386">
        <f t="shared" si="4"/>
        <v>32</v>
      </c>
      <c r="C77" s="394" t="str" cm="1">
        <f t="array" aca="1" ref="C77" ca="1">IF(B77&lt;=$C$9,GetGetCDSName(B77),"")</f>
        <v>CDS Name - Issuer 32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7" s="354">
        <v>0</v>
      </c>
      <c r="E77" s="387">
        <v>0</v>
      </c>
      <c r="F77" s="306">
        <v>0</v>
      </c>
      <c r="G77" s="306">
        <v>1</v>
      </c>
      <c r="H77" s="306">
        <v>0</v>
      </c>
      <c r="I77" s="306">
        <v>0</v>
      </c>
      <c r="J77" s="306">
        <v>1</v>
      </c>
      <c r="K77" s="306"/>
      <c r="L77" s="306"/>
      <c r="M77" s="306"/>
      <c r="N77" s="388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</row>
    <row r="78" spans="2:31" ht="15">
      <c r="B78" s="386">
        <f t="shared" si="4"/>
        <v>33</v>
      </c>
      <c r="C78" s="394" t="str" cm="1">
        <f t="array" aca="1" ref="C78" ca="1">IF(B78&lt;=$C$9,GetGetCDSName(B78),"")</f>
        <v>CDS Name - Issuer 33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8" s="354">
        <v>0</v>
      </c>
      <c r="E78" s="387">
        <v>1</v>
      </c>
      <c r="F78" s="306">
        <v>0</v>
      </c>
      <c r="G78" s="306">
        <v>0</v>
      </c>
      <c r="H78" s="306">
        <v>1</v>
      </c>
      <c r="I78" s="306">
        <v>0</v>
      </c>
      <c r="J78" s="306">
        <v>0</v>
      </c>
      <c r="K78" s="306"/>
      <c r="L78" s="306"/>
      <c r="M78" s="306"/>
      <c r="N78" s="388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</row>
    <row r="79" spans="2:31" ht="15">
      <c r="B79" s="386">
        <f t="shared" si="4"/>
        <v>34</v>
      </c>
      <c r="C79" s="394" t="str" cm="1">
        <f t="array" aca="1" ref="C79" ca="1">IF(B79&lt;=$C$9,GetGetCDSName(B79),"")</f>
        <v>CDS Name - Issuer 34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9" s="354">
        <v>0</v>
      </c>
      <c r="E79" s="387">
        <v>1</v>
      </c>
      <c r="F79" s="306">
        <v>0</v>
      </c>
      <c r="G79" s="306">
        <v>1</v>
      </c>
      <c r="H79" s="306">
        <v>0</v>
      </c>
      <c r="I79" s="306">
        <v>0</v>
      </c>
      <c r="J79" s="306">
        <v>1</v>
      </c>
      <c r="K79" s="306"/>
      <c r="L79" s="306"/>
      <c r="M79" s="306"/>
      <c r="N79" s="388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</row>
    <row r="80" spans="2:31" ht="15">
      <c r="B80" s="386">
        <f t="shared" si="4"/>
        <v>35</v>
      </c>
      <c r="C80" s="394" t="str" cm="1">
        <f t="array" aca="1" ref="C80" ca="1">IF(B80&lt;=$C$9,GetGetCDSName(B80),"")</f>
        <v>CDS Name - Issuer 35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0" s="354">
        <v>0</v>
      </c>
      <c r="E80" s="387">
        <v>0</v>
      </c>
      <c r="F80" s="306">
        <v>1</v>
      </c>
      <c r="G80" s="306">
        <v>1</v>
      </c>
      <c r="H80" s="306">
        <v>1</v>
      </c>
      <c r="I80" s="306">
        <v>0</v>
      </c>
      <c r="J80" s="306">
        <v>0</v>
      </c>
      <c r="K80" s="306"/>
      <c r="L80" s="306"/>
      <c r="M80" s="306"/>
      <c r="N80" s="388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</row>
    <row r="81" spans="2:31" ht="15">
      <c r="B81" s="386">
        <f t="shared" si="4"/>
        <v>36</v>
      </c>
      <c r="C81" s="394" t="str" cm="1">
        <f t="array" aca="1" ref="C81" ca="1">IF(B81&lt;=$C$9,GetGetCDSName(B81),"")</f>
        <v>CDS Name - Issuer 36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1" s="354">
        <v>0</v>
      </c>
      <c r="E81" s="387">
        <v>0</v>
      </c>
      <c r="F81" s="306">
        <v>1</v>
      </c>
      <c r="G81" s="306">
        <v>0</v>
      </c>
      <c r="H81" s="306">
        <v>0</v>
      </c>
      <c r="I81" s="306">
        <v>1</v>
      </c>
      <c r="J81" s="306">
        <v>0</v>
      </c>
      <c r="K81" s="306"/>
      <c r="L81" s="306"/>
      <c r="M81" s="306"/>
      <c r="N81" s="388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</row>
    <row r="82" spans="2:31" ht="15">
      <c r="B82" s="386">
        <f t="shared" si="4"/>
        <v>37</v>
      </c>
      <c r="C82" s="394" t="str" cm="1">
        <f t="array" aca="1" ref="C82" ca="1">IF(B82&lt;=$C$9,GetGetCDSName(B82),"")</f>
        <v>CDS Name - Issuer 37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2" s="354">
        <v>0</v>
      </c>
      <c r="E82" s="387">
        <v>0</v>
      </c>
      <c r="F82" s="306">
        <v>0</v>
      </c>
      <c r="G82" s="306">
        <v>1</v>
      </c>
      <c r="H82" s="306">
        <v>0</v>
      </c>
      <c r="I82" s="306">
        <v>1</v>
      </c>
      <c r="J82" s="306">
        <v>0</v>
      </c>
      <c r="K82" s="306"/>
      <c r="L82" s="306"/>
      <c r="M82" s="306"/>
      <c r="N82" s="388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</row>
    <row r="83" spans="2:31" ht="15">
      <c r="B83" s="386">
        <f t="shared" si="4"/>
        <v>38</v>
      </c>
      <c r="C83" s="394" t="str" cm="1">
        <f t="array" aca="1" ref="C83" ca="1">IF(B83&lt;=$C$9,GetGetCDSName(B83),"")</f>
        <v>CDS Name - Issuer 38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3" s="354">
        <v>0</v>
      </c>
      <c r="E83" s="387">
        <v>0</v>
      </c>
      <c r="F83" s="306">
        <v>1</v>
      </c>
      <c r="G83" s="306">
        <v>0</v>
      </c>
      <c r="H83" s="306">
        <v>0</v>
      </c>
      <c r="I83" s="306">
        <v>0</v>
      </c>
      <c r="J83" s="306">
        <v>1</v>
      </c>
      <c r="K83" s="306"/>
      <c r="L83" s="306"/>
      <c r="M83" s="306"/>
      <c r="N83" s="388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</row>
    <row r="84" spans="2:31" ht="15">
      <c r="B84" s="386">
        <f t="shared" si="4"/>
        <v>39</v>
      </c>
      <c r="C84" s="394" t="str" cm="1">
        <f t="array" aca="1" ref="C84" ca="1">IF(B84&lt;=$C$9,GetGetCDSName(B84),"")</f>
        <v>CDS Name - Issuer 39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4" s="354">
        <v>0</v>
      </c>
      <c r="E84" s="387">
        <v>1</v>
      </c>
      <c r="F84" s="306">
        <v>0</v>
      </c>
      <c r="G84" s="306">
        <v>0</v>
      </c>
      <c r="H84" s="306">
        <v>0</v>
      </c>
      <c r="I84" s="306">
        <v>1</v>
      </c>
      <c r="J84" s="306">
        <v>0</v>
      </c>
      <c r="K84" s="306"/>
      <c r="L84" s="306"/>
      <c r="M84" s="306"/>
      <c r="N84" s="388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</row>
    <row r="85" spans="2:31" ht="15">
      <c r="B85" s="386">
        <f t="shared" si="4"/>
        <v>40</v>
      </c>
      <c r="C85" s="394" t="str" cm="1">
        <f t="array" aca="1" ref="C85" ca="1">IF(B85&lt;=$C$9,GetGetCDSName(B85),"")</f>
        <v>CDS Name - Issuer 40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5" s="354">
        <v>0</v>
      </c>
      <c r="E85" s="387">
        <v>0</v>
      </c>
      <c r="F85" s="306">
        <v>0</v>
      </c>
      <c r="G85" s="306">
        <v>0</v>
      </c>
      <c r="H85" s="306">
        <v>1</v>
      </c>
      <c r="I85" s="306">
        <v>1</v>
      </c>
      <c r="J85" s="306">
        <v>1</v>
      </c>
      <c r="K85" s="306"/>
      <c r="L85" s="306"/>
      <c r="M85" s="306"/>
      <c r="N85" s="388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</row>
    <row r="86" spans="2:31" ht="15">
      <c r="B86" s="386">
        <f t="shared" si="4"/>
        <v>41</v>
      </c>
      <c r="C86" s="394" t="str" cm="1">
        <f t="array" aca="1" ref="C86" ca="1">IF(B86&lt;=$C$9,GetGetCDSName(B86),"")</f>
        <v>CDS Name - Issuer 41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6" s="354">
        <v>0</v>
      </c>
      <c r="E86" s="387">
        <v>0</v>
      </c>
      <c r="F86" s="306">
        <v>0</v>
      </c>
      <c r="G86" s="306">
        <v>0</v>
      </c>
      <c r="H86" s="306">
        <v>1</v>
      </c>
      <c r="I86" s="306">
        <v>0</v>
      </c>
      <c r="J86" s="306">
        <v>1</v>
      </c>
      <c r="K86" s="306"/>
      <c r="L86" s="306"/>
      <c r="M86" s="306"/>
      <c r="N86" s="388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</row>
    <row r="87" spans="2:31" ht="15">
      <c r="B87" s="386">
        <f t="shared" si="4"/>
        <v>42</v>
      </c>
      <c r="C87" s="394" t="str" cm="1">
        <f t="array" aca="1" ref="C87" ca="1">IF(B87&lt;=$C$9,GetGetCDSName(B87),"")</f>
        <v>CDS Name - Issuer 42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7" s="354">
        <v>0</v>
      </c>
      <c r="E87" s="387">
        <v>1</v>
      </c>
      <c r="F87" s="306">
        <v>0</v>
      </c>
      <c r="G87" s="306">
        <v>1</v>
      </c>
      <c r="H87" s="306">
        <v>0</v>
      </c>
      <c r="I87" s="306">
        <v>0</v>
      </c>
      <c r="J87" s="306">
        <v>0</v>
      </c>
      <c r="K87" s="306"/>
      <c r="L87" s="306"/>
      <c r="M87" s="306"/>
      <c r="N87" s="388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</row>
    <row r="88" spans="2:31" ht="15">
      <c r="B88" s="386">
        <f t="shared" si="4"/>
        <v>43</v>
      </c>
      <c r="C88" s="394" t="str" cm="1">
        <f t="array" aca="1" ref="C88" ca="1">IF(B88&lt;=$C$9,GetGetCDSName(B88),"")</f>
        <v>CDS Name - Issuer 43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8" s="354">
        <v>0</v>
      </c>
      <c r="E88" s="387">
        <v>0</v>
      </c>
      <c r="F88" s="306">
        <v>1</v>
      </c>
      <c r="G88" s="306">
        <v>0</v>
      </c>
      <c r="H88" s="306">
        <v>0</v>
      </c>
      <c r="I88" s="306">
        <v>0</v>
      </c>
      <c r="J88" s="306">
        <v>0</v>
      </c>
      <c r="K88" s="306"/>
      <c r="L88" s="306"/>
      <c r="M88" s="306"/>
      <c r="N88" s="388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</row>
    <row r="89" spans="2:31" ht="15">
      <c r="B89" s="386">
        <f t="shared" si="4"/>
        <v>44</v>
      </c>
      <c r="C89" s="394" t="str" cm="1">
        <f t="array" aca="1" ref="C89" ca="1">IF(B89&lt;=$C$9,GetGetCDSName(B89),"")</f>
        <v>CDS Name - Issuer 44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9" s="354">
        <v>0</v>
      </c>
      <c r="E89" s="387">
        <v>1</v>
      </c>
      <c r="F89" s="306">
        <v>0</v>
      </c>
      <c r="G89" s="306">
        <v>0</v>
      </c>
      <c r="H89" s="306">
        <v>0</v>
      </c>
      <c r="I89" s="306">
        <v>0</v>
      </c>
      <c r="J89" s="306">
        <v>0</v>
      </c>
      <c r="K89" s="306"/>
      <c r="L89" s="306"/>
      <c r="M89" s="306"/>
      <c r="N89" s="388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</row>
    <row r="90" spans="2:31" ht="15">
      <c r="B90" s="386">
        <f t="shared" si="4"/>
        <v>45</v>
      </c>
      <c r="C90" s="394" t="str" cm="1">
        <f t="array" aca="1" ref="C90" ca="1">IF(B90&lt;=$C$9,GetGetCDSName(B90),"")</f>
        <v>CDS Name - Issuer 45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0" s="354">
        <v>0</v>
      </c>
      <c r="E90" s="387">
        <v>0</v>
      </c>
      <c r="F90" s="306">
        <v>0</v>
      </c>
      <c r="G90" s="306">
        <v>1</v>
      </c>
      <c r="H90" s="306">
        <v>0</v>
      </c>
      <c r="I90" s="306">
        <v>0</v>
      </c>
      <c r="J90" s="306">
        <v>0</v>
      </c>
      <c r="K90" s="306"/>
      <c r="L90" s="306"/>
      <c r="M90" s="306"/>
      <c r="N90" s="388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</row>
    <row r="91" spans="2:31" ht="15">
      <c r="B91" s="386">
        <f t="shared" si="4"/>
        <v>46</v>
      </c>
      <c r="C91" s="394" t="str" cm="1">
        <f t="array" aca="1" ref="C91" ca="1">IF(B91&lt;=$C$9,GetGetCDSName(B91),"")</f>
        <v>CDS Name - Issuer 46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1" s="354">
        <v>0</v>
      </c>
      <c r="E91" s="387">
        <v>1</v>
      </c>
      <c r="F91" s="306">
        <v>1</v>
      </c>
      <c r="G91" s="306">
        <v>1</v>
      </c>
      <c r="H91" s="306">
        <v>0</v>
      </c>
      <c r="I91" s="306">
        <v>0</v>
      </c>
      <c r="J91" s="306">
        <v>0</v>
      </c>
      <c r="K91" s="306"/>
      <c r="L91" s="306"/>
      <c r="M91" s="306"/>
      <c r="N91" s="388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</row>
    <row r="92" spans="2:31" ht="15">
      <c r="B92" s="386">
        <f t="shared" si="4"/>
        <v>47</v>
      </c>
      <c r="C92" s="394" t="str" cm="1">
        <f t="array" aca="1" ref="C92" ca="1">IF(B92&lt;=$C$9,GetGetCDSName(B92),"")</f>
        <v>CDS Name - Issuer 47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2" s="354">
        <v>0</v>
      </c>
      <c r="E92" s="387">
        <v>0</v>
      </c>
      <c r="F92" s="306">
        <v>1</v>
      </c>
      <c r="G92" s="306">
        <v>0</v>
      </c>
      <c r="H92" s="306">
        <v>1</v>
      </c>
      <c r="I92" s="306">
        <v>1</v>
      </c>
      <c r="J92" s="306">
        <v>0</v>
      </c>
      <c r="K92" s="306"/>
      <c r="L92" s="306"/>
      <c r="M92" s="306"/>
      <c r="N92" s="388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</row>
    <row r="93" spans="2:31" ht="15">
      <c r="B93" s="386">
        <f t="shared" si="4"/>
        <v>48</v>
      </c>
      <c r="C93" s="394" t="str" cm="1">
        <f t="array" aca="1" ref="C93" ca="1">IF(B93&lt;=$C$9,GetGetCDSName(B93),"")</f>
        <v>CDS Name - Issuer 48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3" s="354">
        <v>0</v>
      </c>
      <c r="E93" s="387">
        <v>1</v>
      </c>
      <c r="F93" s="306">
        <v>1</v>
      </c>
      <c r="G93" s="306">
        <v>1</v>
      </c>
      <c r="H93" s="306">
        <v>0</v>
      </c>
      <c r="I93" s="306">
        <v>0</v>
      </c>
      <c r="J93" s="306">
        <v>0</v>
      </c>
      <c r="K93" s="306"/>
      <c r="L93" s="306"/>
      <c r="M93" s="306"/>
      <c r="N93" s="388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</row>
    <row r="94" spans="2:31" ht="15">
      <c r="B94" s="386">
        <f t="shared" si="4"/>
        <v>49</v>
      </c>
      <c r="C94" s="394" t="str" cm="1">
        <f t="array" aca="1" ref="C94" ca="1">IF(B94&lt;=$C$9,GetGetCDSName(B94),"")</f>
        <v>CDS Name - Issuer 49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4" s="354">
        <v>0</v>
      </c>
      <c r="E94" s="387">
        <v>0</v>
      </c>
      <c r="F94" s="306">
        <v>1</v>
      </c>
      <c r="G94" s="306">
        <v>0</v>
      </c>
      <c r="H94" s="306">
        <v>0</v>
      </c>
      <c r="I94" s="306">
        <v>0</v>
      </c>
      <c r="J94" s="306">
        <v>1</v>
      </c>
      <c r="K94" s="306"/>
      <c r="L94" s="306"/>
      <c r="M94" s="306"/>
      <c r="N94" s="388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</row>
    <row r="95" spans="2:31" ht="15">
      <c r="B95" s="386">
        <f t="shared" si="4"/>
        <v>50</v>
      </c>
      <c r="C95" s="394" t="str" cm="1">
        <f t="array" aca="1" ref="C95" ca="1">IF(B95&lt;=$C$9,GetGetCDSName(B95),"")</f>
        <v>CDS Name - Issuer 50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5" s="354">
        <v>0</v>
      </c>
      <c r="E95" s="387">
        <v>0</v>
      </c>
      <c r="F95" s="306">
        <v>0</v>
      </c>
      <c r="G95" s="306">
        <v>1</v>
      </c>
      <c r="H95" s="306">
        <v>0</v>
      </c>
      <c r="I95" s="306">
        <v>0</v>
      </c>
      <c r="J95" s="306">
        <v>0</v>
      </c>
      <c r="K95" s="306"/>
      <c r="L95" s="306"/>
      <c r="M95" s="306"/>
      <c r="N95" s="388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</row>
    <row r="96" spans="2:31" ht="15">
      <c r="B96" s="386">
        <f t="shared" si="4"/>
        <v>51</v>
      </c>
      <c r="C96" s="394" t="str" cm="1">
        <f t="array" aca="1" ref="C96" ca="1">IF(B96&lt;=$C$9,GetGetCDSName(B96),"")</f>
        <v>CDS Name - Issuer 51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6" s="354">
        <v>0</v>
      </c>
      <c r="E96" s="387">
        <v>0</v>
      </c>
      <c r="F96" s="306">
        <v>0</v>
      </c>
      <c r="G96" s="306">
        <v>0</v>
      </c>
      <c r="H96" s="306">
        <v>0</v>
      </c>
      <c r="I96" s="306">
        <v>1</v>
      </c>
      <c r="J96" s="306">
        <v>0</v>
      </c>
      <c r="K96" s="306"/>
      <c r="L96" s="306"/>
      <c r="M96" s="306"/>
      <c r="N96" s="388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</row>
    <row r="97" spans="2:31" ht="15">
      <c r="B97" s="386">
        <f t="shared" si="4"/>
        <v>52</v>
      </c>
      <c r="C97" s="394" t="str" cm="1">
        <f t="array" aca="1" ref="C97" ca="1">IF(B97&lt;=$C$9,GetGetCDSName(B97),"")</f>
        <v>CDS Name - Issuer 52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7" s="354">
        <v>0</v>
      </c>
      <c r="E97" s="387">
        <v>1</v>
      </c>
      <c r="F97" s="306">
        <v>0</v>
      </c>
      <c r="G97" s="306">
        <v>0</v>
      </c>
      <c r="H97" s="306">
        <v>1</v>
      </c>
      <c r="I97" s="306">
        <v>0</v>
      </c>
      <c r="J97" s="306">
        <v>1</v>
      </c>
      <c r="K97" s="306"/>
      <c r="L97" s="306"/>
      <c r="M97" s="306"/>
      <c r="N97" s="388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</row>
    <row r="98" spans="2:31" ht="15">
      <c r="B98" s="386">
        <f t="shared" si="4"/>
        <v>53</v>
      </c>
      <c r="C98" s="394" t="str" cm="1">
        <f t="array" aca="1" ref="C98" ca="1">IF(B98&lt;=$C$9,GetGetCDSName(B98),"")</f>
        <v>CDS Name - Issuer 53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8" s="354">
        <v>0</v>
      </c>
      <c r="E98" s="387">
        <v>0</v>
      </c>
      <c r="F98" s="306">
        <v>0</v>
      </c>
      <c r="G98" s="306">
        <v>0</v>
      </c>
      <c r="H98" s="306">
        <v>1</v>
      </c>
      <c r="I98" s="306">
        <v>1</v>
      </c>
      <c r="J98" s="306">
        <v>1</v>
      </c>
      <c r="K98" s="306"/>
      <c r="L98" s="306"/>
      <c r="M98" s="306"/>
      <c r="N98" s="388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</row>
    <row r="99" spans="2:31" ht="15">
      <c r="B99" s="386">
        <f t="shared" si="4"/>
        <v>54</v>
      </c>
      <c r="C99" s="394" t="str" cm="1">
        <f t="array" aca="1" ref="C99" ca="1">IF(B99&lt;=$C$9,GetGetCDSName(B99),"")</f>
        <v>CDS Name - Issuer 54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9" s="354">
        <v>0</v>
      </c>
      <c r="E99" s="387">
        <v>1</v>
      </c>
      <c r="F99" s="306">
        <v>0</v>
      </c>
      <c r="G99" s="306">
        <v>0</v>
      </c>
      <c r="H99" s="306">
        <v>1</v>
      </c>
      <c r="I99" s="306">
        <v>0</v>
      </c>
      <c r="J99" s="306">
        <v>0</v>
      </c>
      <c r="K99" s="306"/>
      <c r="L99" s="306"/>
      <c r="M99" s="306"/>
      <c r="N99" s="388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</row>
    <row r="100" spans="2:31" ht="15">
      <c r="B100" s="386">
        <f t="shared" si="4"/>
        <v>55</v>
      </c>
      <c r="C100" s="394" t="str" cm="1">
        <f t="array" aca="1" ref="C100" ca="1">IF(B100&lt;=$C$9,GetGetCDSName(B100),"")</f>
        <v>CDS Name - Issuer 55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0" s="354">
        <v>0</v>
      </c>
      <c r="E100" s="387">
        <v>0</v>
      </c>
      <c r="F100" s="306">
        <v>0</v>
      </c>
      <c r="G100" s="306">
        <v>0</v>
      </c>
      <c r="H100" s="306">
        <v>0</v>
      </c>
      <c r="I100" s="306">
        <v>1</v>
      </c>
      <c r="J100" s="306">
        <v>0</v>
      </c>
      <c r="K100" s="306"/>
      <c r="L100" s="306"/>
      <c r="M100" s="306"/>
      <c r="N100" s="388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</row>
    <row r="101" spans="2:31" ht="15">
      <c r="B101" s="386">
        <f t="shared" si="4"/>
        <v>56</v>
      </c>
      <c r="C101" s="394" t="str" cm="1">
        <f t="array" aca="1" ref="C101" ca="1">IF(B101&lt;=$C$9,GetGetCDSName(B101),"")</f>
        <v>CDS Name - Issuer 56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1" s="354">
        <v>0</v>
      </c>
      <c r="E101" s="387">
        <v>0</v>
      </c>
      <c r="F101" s="306">
        <v>0</v>
      </c>
      <c r="G101" s="306">
        <v>0</v>
      </c>
      <c r="H101" s="306">
        <v>1</v>
      </c>
      <c r="I101" s="306">
        <v>0</v>
      </c>
      <c r="J101" s="306">
        <v>0</v>
      </c>
      <c r="K101" s="306"/>
      <c r="L101" s="306"/>
      <c r="M101" s="306"/>
      <c r="N101" s="388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</row>
    <row r="102" spans="2:31" ht="15">
      <c r="B102" s="386">
        <f t="shared" si="4"/>
        <v>57</v>
      </c>
      <c r="C102" s="394" t="str" cm="1">
        <f t="array" aca="1" ref="C102" ca="1">IF(B102&lt;=$C$9,GetGetCDSName(B102),"")</f>
        <v>CDS Name - Issuer 57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2" s="354">
        <v>0</v>
      </c>
      <c r="E102" s="387">
        <v>0</v>
      </c>
      <c r="F102" s="306">
        <v>0</v>
      </c>
      <c r="G102" s="306">
        <v>0</v>
      </c>
      <c r="H102" s="306">
        <v>0</v>
      </c>
      <c r="I102" s="306">
        <v>0</v>
      </c>
      <c r="J102" s="306">
        <v>1</v>
      </c>
      <c r="K102" s="306"/>
      <c r="L102" s="306"/>
      <c r="M102" s="306"/>
      <c r="N102" s="388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</row>
    <row r="103" spans="2:31" ht="15">
      <c r="B103" s="386">
        <f t="shared" si="4"/>
        <v>58</v>
      </c>
      <c r="C103" s="394" t="str" cm="1">
        <f t="array" aca="1" ref="C103" ca="1">IF(B103&lt;=$C$9,GetGetCDSName(B103),"")</f>
        <v>CDS Name - Issuer 58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3" s="354">
        <v>0</v>
      </c>
      <c r="E103" s="387">
        <v>0</v>
      </c>
      <c r="F103" s="306">
        <v>0</v>
      </c>
      <c r="G103" s="306">
        <v>0</v>
      </c>
      <c r="H103" s="306">
        <v>1</v>
      </c>
      <c r="I103" s="306">
        <v>0</v>
      </c>
      <c r="J103" s="306">
        <v>0</v>
      </c>
      <c r="K103" s="306"/>
      <c r="L103" s="306"/>
      <c r="M103" s="306"/>
      <c r="N103" s="388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</row>
    <row r="104" spans="2:31" ht="15">
      <c r="B104" s="386">
        <f t="shared" si="4"/>
        <v>59</v>
      </c>
      <c r="C104" s="394" t="str" cm="1">
        <f t="array" aca="1" ref="C104" ca="1">IF(B104&lt;=$C$9,GetGetCDSName(B104),"")</f>
        <v>CDS Name - Issuer 59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4" s="354">
        <v>0</v>
      </c>
      <c r="E104" s="387">
        <v>0</v>
      </c>
      <c r="F104" s="306">
        <v>1</v>
      </c>
      <c r="G104" s="306">
        <v>1</v>
      </c>
      <c r="H104" s="306">
        <v>0</v>
      </c>
      <c r="I104" s="306">
        <v>1</v>
      </c>
      <c r="J104" s="306">
        <v>0</v>
      </c>
      <c r="K104" s="306"/>
      <c r="L104" s="306"/>
      <c r="M104" s="306"/>
      <c r="N104" s="388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</row>
    <row r="105" spans="2:31" ht="15">
      <c r="B105" s="386">
        <f t="shared" si="4"/>
        <v>60</v>
      </c>
      <c r="C105" s="394" t="str" cm="1">
        <f t="array" aca="1" ref="C105" ca="1">IF(B105&lt;=$C$9,GetGetCDSName(B105),"")</f>
        <v>CDS Name - Issuer 60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5" s="354">
        <v>0</v>
      </c>
      <c r="E105" s="387">
        <v>0</v>
      </c>
      <c r="F105" s="306">
        <v>1</v>
      </c>
      <c r="G105" s="306">
        <v>0</v>
      </c>
      <c r="H105" s="306">
        <v>0</v>
      </c>
      <c r="I105" s="306">
        <v>0</v>
      </c>
      <c r="J105" s="306">
        <v>1</v>
      </c>
      <c r="K105" s="306"/>
      <c r="L105" s="306"/>
      <c r="M105" s="306"/>
      <c r="N105" s="388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</row>
    <row r="106" spans="2:31" ht="15">
      <c r="B106" s="386">
        <f t="shared" si="4"/>
        <v>61</v>
      </c>
      <c r="C106" s="394" t="str" cm="1">
        <f t="array" aca="1" ref="C106" ca="1">IF(B106&lt;=$C$9,GetGetCDSName(B106),"")</f>
        <v>CDS Name - Issuer 61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6" s="354">
        <v>0</v>
      </c>
      <c r="E106" s="387">
        <v>0</v>
      </c>
      <c r="F106" s="306">
        <v>1</v>
      </c>
      <c r="G106" s="306">
        <v>0</v>
      </c>
      <c r="H106" s="306">
        <v>1</v>
      </c>
      <c r="I106" s="306">
        <v>0</v>
      </c>
      <c r="J106" s="306">
        <v>0</v>
      </c>
      <c r="K106" s="306"/>
      <c r="L106" s="306"/>
      <c r="M106" s="306"/>
      <c r="N106" s="388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</row>
    <row r="107" spans="2:31" ht="15">
      <c r="B107" s="386">
        <f t="shared" si="4"/>
        <v>62</v>
      </c>
      <c r="C107" s="394" t="str" cm="1">
        <f t="array" aca="1" ref="C107" ca="1">IF(B107&lt;=$C$9,GetGetCDSName(B107),"")</f>
        <v>CDS Name - Issuer 62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7" s="354">
        <v>0</v>
      </c>
      <c r="E107" s="387">
        <v>1</v>
      </c>
      <c r="F107" s="306">
        <v>0</v>
      </c>
      <c r="G107" s="306">
        <v>0</v>
      </c>
      <c r="H107" s="306">
        <v>0</v>
      </c>
      <c r="I107" s="306">
        <v>0</v>
      </c>
      <c r="J107" s="306">
        <v>1</v>
      </c>
      <c r="K107" s="306"/>
      <c r="L107" s="306"/>
      <c r="M107" s="306"/>
      <c r="N107" s="388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</row>
    <row r="108" spans="2:31" ht="15">
      <c r="B108" s="386">
        <f t="shared" si="4"/>
        <v>63</v>
      </c>
      <c r="C108" s="394" t="str" cm="1">
        <f t="array" aca="1" ref="C108" ca="1">IF(B108&lt;=$C$9,GetGetCDSName(B108),"")</f>
        <v>CDS Name - Issuer 63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8" s="354">
        <v>0</v>
      </c>
      <c r="E108" s="387">
        <v>1</v>
      </c>
      <c r="F108" s="306">
        <v>1</v>
      </c>
      <c r="G108" s="306">
        <v>0</v>
      </c>
      <c r="H108" s="306">
        <v>1</v>
      </c>
      <c r="I108" s="306">
        <v>0</v>
      </c>
      <c r="J108" s="306">
        <v>0</v>
      </c>
      <c r="K108" s="306"/>
      <c r="L108" s="306"/>
      <c r="M108" s="306"/>
      <c r="N108" s="388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</row>
    <row r="109" spans="2:31" ht="15">
      <c r="B109" s="386">
        <f t="shared" si="4"/>
        <v>64</v>
      </c>
      <c r="C109" s="394" t="str" cm="1">
        <f t="array" aca="1" ref="C109" ca="1">IF(B109&lt;=$C$9,GetGetCDSName(B109),"")</f>
        <v>CDS Name - Issuer 64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9" s="354">
        <v>0</v>
      </c>
      <c r="E109" s="387">
        <v>1</v>
      </c>
      <c r="F109" s="306">
        <v>0</v>
      </c>
      <c r="G109" s="306">
        <v>0</v>
      </c>
      <c r="H109" s="306">
        <v>1</v>
      </c>
      <c r="I109" s="306">
        <v>0</v>
      </c>
      <c r="J109" s="306">
        <v>1</v>
      </c>
      <c r="K109" s="306"/>
      <c r="L109" s="306"/>
      <c r="M109" s="306"/>
      <c r="N109" s="388"/>
      <c r="O109" s="281"/>
      <c r="P109" s="281"/>
      <c r="Q109" s="281"/>
      <c r="R109" s="281"/>
      <c r="S109" s="281"/>
      <c r="T109" s="281"/>
      <c r="U109" s="281"/>
      <c r="V109" s="281"/>
      <c r="W109" s="281"/>
      <c r="X109" s="281"/>
      <c r="Y109" s="281"/>
      <c r="Z109" s="281"/>
      <c r="AA109" s="281"/>
      <c r="AB109" s="281"/>
      <c r="AC109" s="281"/>
      <c r="AD109" s="281"/>
      <c r="AE109" s="281"/>
    </row>
    <row r="110" spans="2:31" ht="15">
      <c r="B110" s="386">
        <f t="shared" si="4"/>
        <v>65</v>
      </c>
      <c r="C110" s="394" t="str" cm="1">
        <f t="array" aca="1" ref="C110" ca="1">IF(B110&lt;=$C$9,GetGetCDSName(B110),"")</f>
        <v>CDS Name - Issuer 65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0" s="354">
        <v>0</v>
      </c>
      <c r="E110" s="387">
        <v>0</v>
      </c>
      <c r="F110" s="306">
        <v>1</v>
      </c>
      <c r="G110" s="306">
        <v>1</v>
      </c>
      <c r="H110" s="306">
        <v>0</v>
      </c>
      <c r="I110" s="306">
        <v>1</v>
      </c>
      <c r="J110" s="306">
        <v>0</v>
      </c>
      <c r="K110" s="306"/>
      <c r="L110" s="306"/>
      <c r="M110" s="306"/>
      <c r="N110" s="388"/>
      <c r="O110" s="281"/>
      <c r="P110" s="281"/>
      <c r="Q110" s="281"/>
      <c r="R110" s="281"/>
      <c r="S110" s="281"/>
      <c r="T110" s="281"/>
      <c r="U110" s="281"/>
      <c r="V110" s="281"/>
      <c r="W110" s="281"/>
      <c r="X110" s="281"/>
      <c r="Y110" s="281"/>
      <c r="Z110" s="281"/>
      <c r="AA110" s="281"/>
      <c r="AB110" s="281"/>
      <c r="AC110" s="281"/>
      <c r="AD110" s="281"/>
      <c r="AE110" s="281"/>
    </row>
    <row r="111" spans="2:31" ht="15">
      <c r="B111" s="386">
        <f t="shared" ref="B111:B174" si="5">B110+1</f>
        <v>66</v>
      </c>
      <c r="C111" s="394" t="str" cm="1">
        <f t="array" aca="1" ref="C111" ca="1">IF(B111&lt;=$C$9,GetGetCDSName(B111),"")</f>
        <v>CDS Name - Issuer 66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1" s="354">
        <v>0</v>
      </c>
      <c r="E111" s="387">
        <v>1</v>
      </c>
      <c r="F111" s="306">
        <v>0</v>
      </c>
      <c r="G111" s="306">
        <v>1</v>
      </c>
      <c r="H111" s="306">
        <v>0</v>
      </c>
      <c r="I111" s="306">
        <v>1</v>
      </c>
      <c r="J111" s="306">
        <v>0</v>
      </c>
      <c r="K111" s="306"/>
      <c r="L111" s="306"/>
      <c r="M111" s="306"/>
      <c r="N111" s="388"/>
      <c r="O111" s="281"/>
      <c r="P111" s="281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81"/>
    </row>
    <row r="112" spans="2:31" ht="15">
      <c r="B112" s="386">
        <f t="shared" si="5"/>
        <v>67</v>
      </c>
      <c r="C112" s="394" t="str" cm="1">
        <f t="array" aca="1" ref="C112" ca="1">IF(B112&lt;=$C$9,GetGetCDSName(B112),"")</f>
        <v>CDS Name - Issuer 67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2" s="354">
        <v>0</v>
      </c>
      <c r="E112" s="387">
        <v>1</v>
      </c>
      <c r="F112" s="306">
        <v>0</v>
      </c>
      <c r="G112" s="306">
        <v>0</v>
      </c>
      <c r="H112" s="306">
        <v>1</v>
      </c>
      <c r="I112" s="306">
        <v>0</v>
      </c>
      <c r="J112" s="306">
        <v>1</v>
      </c>
      <c r="K112" s="306"/>
      <c r="L112" s="306"/>
      <c r="M112" s="306"/>
      <c r="N112" s="388"/>
      <c r="O112" s="281"/>
      <c r="P112" s="281"/>
      <c r="Q112" s="281"/>
      <c r="R112" s="281"/>
      <c r="S112" s="281"/>
      <c r="T112" s="281"/>
      <c r="U112" s="281"/>
      <c r="V112" s="281"/>
      <c r="W112" s="281"/>
      <c r="X112" s="281"/>
      <c r="Y112" s="281"/>
      <c r="Z112" s="281"/>
      <c r="AA112" s="281"/>
      <c r="AB112" s="281"/>
      <c r="AC112" s="281"/>
      <c r="AD112" s="281"/>
      <c r="AE112" s="281"/>
    </row>
    <row r="113" spans="2:31" ht="15">
      <c r="B113" s="386">
        <f t="shared" si="5"/>
        <v>68</v>
      </c>
      <c r="C113" s="394" t="str" cm="1">
        <f t="array" aca="1" ref="C113" ca="1">IF(B113&lt;=$C$9,GetGetCDSName(B113),"")</f>
        <v>CDS Name - Issuer 68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3" s="354">
        <v>0</v>
      </c>
      <c r="E113" s="387">
        <v>0</v>
      </c>
      <c r="F113" s="306">
        <v>1</v>
      </c>
      <c r="G113" s="306">
        <v>0</v>
      </c>
      <c r="H113" s="306">
        <v>1</v>
      </c>
      <c r="I113" s="306">
        <v>0</v>
      </c>
      <c r="J113" s="306">
        <v>1</v>
      </c>
      <c r="K113" s="306"/>
      <c r="L113" s="306"/>
      <c r="M113" s="306"/>
      <c r="N113" s="388"/>
      <c r="O113" s="281"/>
      <c r="P113" s="281"/>
      <c r="Q113" s="281"/>
      <c r="R113" s="281"/>
      <c r="S113" s="281"/>
      <c r="T113" s="281"/>
      <c r="U113" s="281"/>
      <c r="V113" s="281"/>
      <c r="W113" s="281"/>
      <c r="X113" s="281"/>
      <c r="Y113" s="281"/>
      <c r="Z113" s="281"/>
      <c r="AA113" s="281"/>
      <c r="AB113" s="281"/>
      <c r="AC113" s="281"/>
      <c r="AD113" s="281"/>
      <c r="AE113" s="281"/>
    </row>
    <row r="114" spans="2:31" ht="15">
      <c r="B114" s="386">
        <f t="shared" si="5"/>
        <v>69</v>
      </c>
      <c r="C114" s="394" t="str" cm="1">
        <f t="array" aca="1" ref="C114" ca="1">IF(B114&lt;=$C$9,GetGetCDSName(B114),"")</f>
        <v>CDS Name - Issuer 69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4" s="354">
        <v>0</v>
      </c>
      <c r="E114" s="387">
        <v>0</v>
      </c>
      <c r="F114" s="306">
        <v>0</v>
      </c>
      <c r="G114" s="306">
        <v>1</v>
      </c>
      <c r="H114" s="306">
        <v>0</v>
      </c>
      <c r="I114" s="306">
        <v>1</v>
      </c>
      <c r="J114" s="306">
        <v>1</v>
      </c>
      <c r="K114" s="306"/>
      <c r="L114" s="306"/>
      <c r="M114" s="306"/>
      <c r="N114" s="388"/>
      <c r="O114" s="281"/>
      <c r="P114" s="281"/>
      <c r="Q114" s="281"/>
      <c r="R114" s="281"/>
      <c r="S114" s="281"/>
      <c r="T114" s="281"/>
      <c r="U114" s="281"/>
      <c r="V114" s="281"/>
      <c r="W114" s="281"/>
      <c r="X114" s="281"/>
      <c r="Y114" s="281"/>
      <c r="Z114" s="281"/>
      <c r="AA114" s="281"/>
      <c r="AB114" s="281"/>
      <c r="AC114" s="281"/>
      <c r="AD114" s="281"/>
      <c r="AE114" s="281"/>
    </row>
    <row r="115" spans="2:31" ht="15">
      <c r="B115" s="386">
        <f t="shared" si="5"/>
        <v>70</v>
      </c>
      <c r="C115" s="394" t="str" cm="1">
        <f t="array" aca="1" ref="C115" ca="1">IF(B115&lt;=$C$9,GetGetCDSName(B115),"")</f>
        <v>CDS Name - Issuer 70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5" s="354">
        <v>0</v>
      </c>
      <c r="E115" s="387">
        <v>1</v>
      </c>
      <c r="F115" s="306">
        <v>0</v>
      </c>
      <c r="G115" s="306">
        <v>0</v>
      </c>
      <c r="H115" s="306">
        <v>0</v>
      </c>
      <c r="I115" s="306">
        <v>1</v>
      </c>
      <c r="J115" s="306">
        <v>1</v>
      </c>
      <c r="K115" s="306"/>
      <c r="L115" s="306"/>
      <c r="M115" s="306"/>
      <c r="N115" s="388"/>
      <c r="O115" s="281"/>
      <c r="P115" s="281"/>
      <c r="Q115" s="281"/>
      <c r="R115" s="281"/>
      <c r="S115" s="281"/>
      <c r="T115" s="281"/>
      <c r="U115" s="281"/>
      <c r="V115" s="281"/>
      <c r="W115" s="281"/>
      <c r="X115" s="281"/>
      <c r="Y115" s="281"/>
      <c r="Z115" s="281"/>
      <c r="AA115" s="281"/>
      <c r="AB115" s="281"/>
      <c r="AC115" s="281"/>
      <c r="AD115" s="281"/>
      <c r="AE115" s="281"/>
    </row>
    <row r="116" spans="2:31" ht="15">
      <c r="B116" s="386">
        <f t="shared" si="5"/>
        <v>71</v>
      </c>
      <c r="C116" s="394" t="str" cm="1">
        <f t="array" aca="1" ref="C116" ca="1">IF(B116&lt;=$C$9,GetGetCDSName(B116),"")</f>
        <v>CDS Name - Issuer 71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6" s="354">
        <v>0</v>
      </c>
      <c r="E116" s="387">
        <v>1</v>
      </c>
      <c r="F116" s="306">
        <v>1</v>
      </c>
      <c r="G116" s="306">
        <v>0</v>
      </c>
      <c r="H116" s="306">
        <v>0</v>
      </c>
      <c r="I116" s="306">
        <v>0</v>
      </c>
      <c r="J116" s="306">
        <v>1</v>
      </c>
      <c r="K116" s="306"/>
      <c r="L116" s="306"/>
      <c r="M116" s="306"/>
      <c r="N116" s="388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81"/>
    </row>
    <row r="117" spans="2:31" ht="15">
      <c r="B117" s="386">
        <f t="shared" si="5"/>
        <v>72</v>
      </c>
      <c r="C117" s="394" t="str" cm="1">
        <f t="array" aca="1" ref="C117" ca="1">IF(B117&lt;=$C$9,GetGetCDSName(B117),"")</f>
        <v>CDS Name - Issuer 72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7" s="354">
        <v>0</v>
      </c>
      <c r="E117" s="387">
        <v>1</v>
      </c>
      <c r="F117" s="306">
        <v>1</v>
      </c>
      <c r="G117" s="306">
        <v>0</v>
      </c>
      <c r="H117" s="306">
        <v>0</v>
      </c>
      <c r="I117" s="306">
        <v>0</v>
      </c>
      <c r="J117" s="306">
        <v>0</v>
      </c>
      <c r="K117" s="306"/>
      <c r="L117" s="306"/>
      <c r="M117" s="306"/>
      <c r="N117" s="388"/>
      <c r="O117" s="281"/>
      <c r="P117" s="281"/>
      <c r="Q117" s="281"/>
      <c r="R117" s="281"/>
      <c r="S117" s="281"/>
      <c r="T117" s="281"/>
      <c r="U117" s="281"/>
      <c r="V117" s="281"/>
      <c r="W117" s="281"/>
      <c r="X117" s="281"/>
      <c r="Y117" s="281"/>
      <c r="Z117" s="281"/>
      <c r="AA117" s="281"/>
      <c r="AB117" s="281"/>
      <c r="AC117" s="281"/>
      <c r="AD117" s="281"/>
      <c r="AE117" s="281"/>
    </row>
    <row r="118" spans="2:31" ht="15">
      <c r="B118" s="386">
        <f t="shared" si="5"/>
        <v>73</v>
      </c>
      <c r="C118" s="394" t="str" cm="1">
        <f t="array" aca="1" ref="C118" ca="1">IF(B118&lt;=$C$9,GetGetCDSName(B118),"")</f>
        <v>CDS Name - Issuer 73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8" s="354">
        <v>0</v>
      </c>
      <c r="E118" s="387">
        <v>0</v>
      </c>
      <c r="F118" s="306">
        <v>1</v>
      </c>
      <c r="G118" s="306">
        <v>0</v>
      </c>
      <c r="H118" s="306">
        <v>1</v>
      </c>
      <c r="I118" s="306">
        <v>0</v>
      </c>
      <c r="J118" s="306">
        <v>1</v>
      </c>
      <c r="K118" s="306"/>
      <c r="L118" s="306"/>
      <c r="M118" s="306"/>
      <c r="N118" s="388"/>
      <c r="O118" s="281"/>
      <c r="P118" s="281"/>
      <c r="Q118" s="281"/>
      <c r="R118" s="281"/>
      <c r="S118" s="281"/>
      <c r="T118" s="281"/>
      <c r="U118" s="281"/>
      <c r="V118" s="281"/>
      <c r="W118" s="281"/>
      <c r="X118" s="281"/>
      <c r="Y118" s="281"/>
      <c r="Z118" s="281"/>
      <c r="AA118" s="281"/>
      <c r="AB118" s="281"/>
      <c r="AC118" s="281"/>
      <c r="AD118" s="281"/>
      <c r="AE118" s="281"/>
    </row>
    <row r="119" spans="2:31" ht="15">
      <c r="B119" s="386">
        <f t="shared" si="5"/>
        <v>74</v>
      </c>
      <c r="C119" s="394" t="str" cm="1">
        <f t="array" aca="1" ref="C119" ca="1">IF(B119&lt;=$C$9,GetGetCDSName(B119),"")</f>
        <v>CDS Name - Issuer 74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9" s="354">
        <v>0</v>
      </c>
      <c r="E119" s="387">
        <v>1</v>
      </c>
      <c r="F119" s="306">
        <v>1</v>
      </c>
      <c r="G119" s="306">
        <v>0</v>
      </c>
      <c r="H119" s="306">
        <v>1</v>
      </c>
      <c r="I119" s="306">
        <v>0</v>
      </c>
      <c r="J119" s="306">
        <v>0</v>
      </c>
      <c r="K119" s="306"/>
      <c r="L119" s="306"/>
      <c r="M119" s="306"/>
      <c r="N119" s="388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81"/>
      <c r="Z119" s="281"/>
      <c r="AA119" s="281"/>
      <c r="AB119" s="281"/>
      <c r="AC119" s="281"/>
      <c r="AD119" s="281"/>
      <c r="AE119" s="281"/>
    </row>
    <row r="120" spans="2:31" ht="15">
      <c r="B120" s="386">
        <f t="shared" si="5"/>
        <v>75</v>
      </c>
      <c r="C120" s="394" t="str" cm="1">
        <f t="array" aca="1" ref="C120" ca="1">IF(B120&lt;=$C$9,GetGetCDSName(B120),"")</f>
        <v>CDS Name - Issuer 75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0" s="354">
        <v>0</v>
      </c>
      <c r="E120" s="387">
        <v>0</v>
      </c>
      <c r="F120" s="306">
        <v>0</v>
      </c>
      <c r="G120" s="306">
        <v>0</v>
      </c>
      <c r="H120" s="306">
        <v>1</v>
      </c>
      <c r="I120" s="306">
        <v>0</v>
      </c>
      <c r="J120" s="306">
        <v>1</v>
      </c>
      <c r="K120" s="306"/>
      <c r="L120" s="306"/>
      <c r="M120" s="306"/>
      <c r="N120" s="388"/>
      <c r="O120" s="281"/>
      <c r="P120" s="281"/>
      <c r="Q120" s="281"/>
      <c r="R120" s="281"/>
      <c r="S120" s="281"/>
      <c r="T120" s="281"/>
      <c r="U120" s="281"/>
      <c r="V120" s="281"/>
      <c r="W120" s="281"/>
      <c r="X120" s="281"/>
      <c r="Y120" s="281"/>
      <c r="Z120" s="281"/>
      <c r="AA120" s="281"/>
      <c r="AB120" s="281"/>
      <c r="AC120" s="281"/>
      <c r="AD120" s="281"/>
      <c r="AE120" s="281"/>
    </row>
    <row r="121" spans="2:31" ht="15">
      <c r="B121" s="386">
        <f t="shared" si="5"/>
        <v>76</v>
      </c>
      <c r="C121" s="394" t="str" cm="1">
        <f t="array" aca="1" ref="C121" ca="1">IF(B121&lt;=$C$9,GetGetCDSName(B121),"")</f>
        <v>CDS Name - Issuer 76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1" s="354">
        <v>0</v>
      </c>
      <c r="E121" s="387">
        <v>0</v>
      </c>
      <c r="F121" s="306">
        <v>0</v>
      </c>
      <c r="G121" s="306">
        <v>1</v>
      </c>
      <c r="H121" s="306">
        <v>1</v>
      </c>
      <c r="I121" s="306">
        <v>0</v>
      </c>
      <c r="J121" s="306">
        <v>1</v>
      </c>
      <c r="K121" s="306"/>
      <c r="L121" s="306"/>
      <c r="M121" s="306"/>
      <c r="N121" s="388"/>
      <c r="O121" s="281"/>
      <c r="P121" s="281"/>
      <c r="Q121" s="281"/>
      <c r="R121" s="281"/>
      <c r="S121" s="281"/>
      <c r="T121" s="281"/>
      <c r="U121" s="281"/>
      <c r="V121" s="281"/>
      <c r="W121" s="281"/>
      <c r="X121" s="281"/>
      <c r="Y121" s="281"/>
      <c r="Z121" s="281"/>
      <c r="AA121" s="281"/>
      <c r="AB121" s="281"/>
      <c r="AC121" s="281"/>
      <c r="AD121" s="281"/>
      <c r="AE121" s="281"/>
    </row>
    <row r="122" spans="2:31" ht="15">
      <c r="B122" s="386">
        <f t="shared" si="5"/>
        <v>77</v>
      </c>
      <c r="C122" s="394" t="str" cm="1">
        <f t="array" aca="1" ref="C122" ca="1">IF(B122&lt;=$C$9,GetGetCDSName(B122),"")</f>
        <v>CDS Name - Issuer 77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2" s="354">
        <v>0</v>
      </c>
      <c r="E122" s="387">
        <v>1</v>
      </c>
      <c r="F122" s="306">
        <v>0</v>
      </c>
      <c r="G122" s="306">
        <v>1</v>
      </c>
      <c r="H122" s="306">
        <v>0</v>
      </c>
      <c r="I122" s="306">
        <v>1</v>
      </c>
      <c r="J122" s="306">
        <v>0</v>
      </c>
      <c r="K122" s="306"/>
      <c r="L122" s="306"/>
      <c r="M122" s="306"/>
      <c r="N122" s="388"/>
      <c r="O122" s="281"/>
      <c r="P122" s="281"/>
      <c r="Q122" s="281"/>
      <c r="R122" s="281"/>
      <c r="S122" s="281"/>
      <c r="T122" s="281"/>
      <c r="U122" s="281"/>
      <c r="V122" s="281"/>
      <c r="W122" s="281"/>
      <c r="X122" s="281"/>
      <c r="Y122" s="281"/>
      <c r="Z122" s="281"/>
      <c r="AA122" s="281"/>
      <c r="AB122" s="281"/>
      <c r="AC122" s="281"/>
      <c r="AD122" s="281"/>
      <c r="AE122" s="281"/>
    </row>
    <row r="123" spans="2:31" ht="15">
      <c r="B123" s="386">
        <f t="shared" si="5"/>
        <v>78</v>
      </c>
      <c r="C123" s="394" t="str" cm="1">
        <f t="array" aca="1" ref="C123" ca="1">IF(B123&lt;=$C$9,GetGetCDSName(B123),"")</f>
        <v>CDS Name - Issuer 78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3" s="354">
        <v>0</v>
      </c>
      <c r="E123" s="387">
        <v>0</v>
      </c>
      <c r="F123" s="306">
        <v>0</v>
      </c>
      <c r="G123" s="306">
        <v>0</v>
      </c>
      <c r="H123" s="306">
        <v>0</v>
      </c>
      <c r="I123" s="306">
        <v>1</v>
      </c>
      <c r="J123" s="306">
        <v>1</v>
      </c>
      <c r="K123" s="306"/>
      <c r="L123" s="306"/>
      <c r="M123" s="306"/>
      <c r="N123" s="388"/>
      <c r="O123" s="281"/>
      <c r="P123" s="281"/>
      <c r="Q123" s="281"/>
      <c r="R123" s="281"/>
      <c r="S123" s="281"/>
      <c r="T123" s="281"/>
      <c r="U123" s="281"/>
      <c r="V123" s="281"/>
      <c r="W123" s="281"/>
      <c r="X123" s="281"/>
      <c r="Y123" s="281"/>
      <c r="Z123" s="281"/>
      <c r="AA123" s="281"/>
      <c r="AB123" s="281"/>
      <c r="AC123" s="281"/>
      <c r="AD123" s="281"/>
      <c r="AE123" s="281"/>
    </row>
    <row r="124" spans="2:31" ht="15">
      <c r="B124" s="386">
        <f t="shared" si="5"/>
        <v>79</v>
      </c>
      <c r="C124" s="394" t="str" cm="1">
        <f t="array" aca="1" ref="C124" ca="1">IF(B124&lt;=$C$9,GetGetCDSName(B124),"")</f>
        <v>CDS Name - Issuer 79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4" s="354">
        <v>0</v>
      </c>
      <c r="E124" s="387">
        <v>0</v>
      </c>
      <c r="F124" s="306">
        <v>0</v>
      </c>
      <c r="G124" s="306">
        <v>1</v>
      </c>
      <c r="H124" s="306">
        <v>0</v>
      </c>
      <c r="I124" s="306">
        <v>0</v>
      </c>
      <c r="J124" s="306">
        <v>1</v>
      </c>
      <c r="K124" s="306"/>
      <c r="L124" s="306"/>
      <c r="M124" s="306"/>
      <c r="N124" s="388"/>
      <c r="O124" s="281"/>
      <c r="P124" s="281"/>
      <c r="Q124" s="281"/>
      <c r="R124" s="281"/>
      <c r="S124" s="281"/>
      <c r="T124" s="281"/>
      <c r="U124" s="281"/>
      <c r="V124" s="281"/>
      <c r="W124" s="281"/>
      <c r="X124" s="281"/>
      <c r="Y124" s="281"/>
      <c r="Z124" s="281"/>
      <c r="AA124" s="281"/>
      <c r="AB124" s="281"/>
      <c r="AC124" s="281"/>
      <c r="AD124" s="281"/>
      <c r="AE124" s="281"/>
    </row>
    <row r="125" spans="2:31" ht="15">
      <c r="B125" s="386">
        <f t="shared" si="5"/>
        <v>80</v>
      </c>
      <c r="C125" s="394" t="str" cm="1">
        <f t="array" aca="1" ref="C125" ca="1">IF(B125&lt;=$C$9,GetGetCDSName(B125),"")</f>
        <v>CDS Name - Issuer 80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5" s="354">
        <v>0</v>
      </c>
      <c r="E125" s="387">
        <v>1</v>
      </c>
      <c r="F125" s="306">
        <v>1</v>
      </c>
      <c r="G125" s="306">
        <v>0</v>
      </c>
      <c r="H125" s="306">
        <v>0</v>
      </c>
      <c r="I125" s="306">
        <v>0</v>
      </c>
      <c r="J125" s="306">
        <v>0</v>
      </c>
      <c r="K125" s="306"/>
      <c r="L125" s="306"/>
      <c r="M125" s="306"/>
      <c r="N125" s="388"/>
      <c r="O125" s="281"/>
      <c r="P125" s="281"/>
      <c r="Q125" s="281"/>
      <c r="R125" s="281"/>
      <c r="S125" s="281"/>
      <c r="T125" s="281"/>
      <c r="U125" s="281"/>
      <c r="V125" s="281"/>
      <c r="W125" s="281"/>
      <c r="X125" s="281"/>
      <c r="Y125" s="281"/>
      <c r="Z125" s="281"/>
      <c r="AA125" s="281"/>
      <c r="AB125" s="281"/>
      <c r="AC125" s="281"/>
      <c r="AD125" s="281"/>
      <c r="AE125" s="281"/>
    </row>
    <row r="126" spans="2:31" ht="15">
      <c r="B126" s="386">
        <f t="shared" si="5"/>
        <v>81</v>
      </c>
      <c r="C126" s="394" t="str" cm="1">
        <f t="array" aca="1" ref="C126" ca="1">IF(B126&lt;=$C$9,GetGetCDSName(B126),"")</f>
        <v>CDS Name - Issuer 81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6" s="354">
        <v>0</v>
      </c>
      <c r="E126" s="387">
        <v>0</v>
      </c>
      <c r="F126" s="306">
        <v>0</v>
      </c>
      <c r="G126" s="306">
        <v>0</v>
      </c>
      <c r="H126" s="306">
        <v>1</v>
      </c>
      <c r="I126" s="306">
        <v>0</v>
      </c>
      <c r="J126" s="306">
        <v>1</v>
      </c>
      <c r="K126" s="306"/>
      <c r="L126" s="306"/>
      <c r="M126" s="306"/>
      <c r="N126" s="388"/>
      <c r="O126" s="281"/>
      <c r="P126" s="281"/>
      <c r="Q126" s="281"/>
      <c r="R126" s="281"/>
      <c r="S126" s="281"/>
      <c r="T126" s="281"/>
      <c r="U126" s="281"/>
      <c r="V126" s="281"/>
      <c r="W126" s="281"/>
      <c r="X126" s="281"/>
      <c r="Y126" s="281"/>
      <c r="Z126" s="281"/>
      <c r="AA126" s="281"/>
      <c r="AB126" s="281"/>
      <c r="AC126" s="281"/>
      <c r="AD126" s="281"/>
      <c r="AE126" s="281"/>
    </row>
    <row r="127" spans="2:31" ht="15">
      <c r="B127" s="386">
        <f t="shared" si="5"/>
        <v>82</v>
      </c>
      <c r="C127" s="394" t="str" cm="1">
        <f t="array" aca="1" ref="C127" ca="1">IF(B127&lt;=$C$9,GetGetCDSName(B127),"")</f>
        <v>CDS Name - Issuer 82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7" s="354">
        <v>0</v>
      </c>
      <c r="E127" s="387">
        <v>0</v>
      </c>
      <c r="F127" s="306">
        <v>0</v>
      </c>
      <c r="G127" s="306">
        <v>1</v>
      </c>
      <c r="H127" s="306">
        <v>1</v>
      </c>
      <c r="I127" s="306">
        <v>0</v>
      </c>
      <c r="J127" s="306">
        <v>0</v>
      </c>
      <c r="K127" s="306"/>
      <c r="L127" s="306"/>
      <c r="M127" s="306"/>
      <c r="N127" s="388"/>
      <c r="O127" s="281"/>
      <c r="P127" s="281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81"/>
    </row>
    <row r="128" spans="2:31" ht="15">
      <c r="B128" s="386">
        <f t="shared" si="5"/>
        <v>83</v>
      </c>
      <c r="C128" s="394" t="str" cm="1">
        <f t="array" aca="1" ref="C128" ca="1">IF(B128&lt;=$C$9,GetGetCDSName(B128),"")</f>
        <v>CDS Name - Issuer 83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8" s="354">
        <v>0</v>
      </c>
      <c r="E128" s="387">
        <v>0</v>
      </c>
      <c r="F128" s="306">
        <v>0</v>
      </c>
      <c r="G128" s="306">
        <v>1</v>
      </c>
      <c r="H128" s="306">
        <v>0</v>
      </c>
      <c r="I128" s="306">
        <v>1</v>
      </c>
      <c r="J128" s="306">
        <v>1</v>
      </c>
      <c r="K128" s="306"/>
      <c r="L128" s="306"/>
      <c r="M128" s="306"/>
      <c r="N128" s="388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</row>
    <row r="129" spans="2:31" ht="15">
      <c r="B129" s="386">
        <f t="shared" si="5"/>
        <v>84</v>
      </c>
      <c r="C129" s="394" t="str" cm="1">
        <f t="array" aca="1" ref="C129" ca="1">IF(B129&lt;=$C$9,GetGetCDSName(B129),"")</f>
        <v>CDS Name - Issuer 84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9" s="354">
        <v>0</v>
      </c>
      <c r="E129" s="387">
        <v>1</v>
      </c>
      <c r="F129" s="306">
        <v>0</v>
      </c>
      <c r="G129" s="306">
        <v>1</v>
      </c>
      <c r="H129" s="306">
        <v>1</v>
      </c>
      <c r="I129" s="306">
        <v>0</v>
      </c>
      <c r="J129" s="306">
        <v>0</v>
      </c>
      <c r="K129" s="306"/>
      <c r="L129" s="306"/>
      <c r="M129" s="306"/>
      <c r="N129" s="388"/>
      <c r="O129" s="281"/>
      <c r="P129" s="281"/>
      <c r="Q129" s="281"/>
      <c r="R129" s="281"/>
      <c r="S129" s="281"/>
      <c r="T129" s="281"/>
      <c r="U129" s="281"/>
      <c r="V129" s="281"/>
      <c r="W129" s="281"/>
      <c r="X129" s="281"/>
      <c r="Y129" s="281"/>
      <c r="Z129" s="281"/>
      <c r="AA129" s="281"/>
      <c r="AB129" s="281"/>
      <c r="AC129" s="281"/>
      <c r="AD129" s="281"/>
      <c r="AE129" s="281"/>
    </row>
    <row r="130" spans="2:31" ht="15">
      <c r="B130" s="386">
        <f t="shared" si="5"/>
        <v>85</v>
      </c>
      <c r="C130" s="394" t="str" cm="1">
        <f t="array" aca="1" ref="C130" ca="1">IF(B130&lt;=$C$9,GetGetCDSName(B130),"")</f>
        <v>CDS Name - Issuer 85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0" s="354">
        <v>0</v>
      </c>
      <c r="E130" s="387">
        <v>0</v>
      </c>
      <c r="F130" s="306">
        <v>1</v>
      </c>
      <c r="G130" s="306">
        <v>0</v>
      </c>
      <c r="H130" s="306">
        <v>0</v>
      </c>
      <c r="I130" s="306">
        <v>1</v>
      </c>
      <c r="J130" s="306">
        <v>0</v>
      </c>
      <c r="K130" s="306"/>
      <c r="L130" s="306"/>
      <c r="M130" s="306"/>
      <c r="N130" s="388"/>
      <c r="O130" s="281"/>
      <c r="P130" s="281"/>
      <c r="Q130" s="281"/>
      <c r="R130" s="281"/>
      <c r="S130" s="281"/>
      <c r="T130" s="281"/>
      <c r="U130" s="281"/>
      <c r="V130" s="281"/>
      <c r="W130" s="281"/>
      <c r="X130" s="281"/>
      <c r="Y130" s="281"/>
      <c r="Z130" s="281"/>
      <c r="AA130" s="281"/>
      <c r="AB130" s="281"/>
      <c r="AC130" s="281"/>
      <c r="AD130" s="281"/>
      <c r="AE130" s="281"/>
    </row>
    <row r="131" spans="2:31" ht="15">
      <c r="B131" s="386">
        <f t="shared" si="5"/>
        <v>86</v>
      </c>
      <c r="C131" s="394" t="str" cm="1">
        <f t="array" aca="1" ref="C131" ca="1">IF(B131&lt;=$C$9,GetGetCDSName(B131),"")</f>
        <v>CDS Name - Issuer 86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1" s="354">
        <v>0</v>
      </c>
      <c r="E131" s="387">
        <v>1</v>
      </c>
      <c r="F131" s="306">
        <v>0</v>
      </c>
      <c r="G131" s="306">
        <v>1</v>
      </c>
      <c r="H131" s="306">
        <v>0</v>
      </c>
      <c r="I131" s="306">
        <v>0</v>
      </c>
      <c r="J131" s="306">
        <v>0</v>
      </c>
      <c r="K131" s="306"/>
      <c r="L131" s="306"/>
      <c r="M131" s="306"/>
      <c r="N131" s="388"/>
      <c r="O131" s="281"/>
      <c r="P131" s="281"/>
      <c r="Q131" s="281"/>
      <c r="R131" s="281"/>
      <c r="S131" s="281"/>
      <c r="T131" s="281"/>
      <c r="U131" s="281"/>
      <c r="V131" s="281"/>
      <c r="W131" s="281"/>
      <c r="X131" s="281"/>
      <c r="Y131" s="281"/>
      <c r="Z131" s="281"/>
      <c r="AA131" s="281"/>
      <c r="AB131" s="281"/>
      <c r="AC131" s="281"/>
      <c r="AD131" s="281"/>
      <c r="AE131" s="281"/>
    </row>
    <row r="132" spans="2:31" ht="15">
      <c r="B132" s="386">
        <f t="shared" si="5"/>
        <v>87</v>
      </c>
      <c r="C132" s="394" t="str" cm="1">
        <f t="array" aca="1" ref="C132" ca="1">IF(B132&lt;=$C$9,GetGetCDSName(B132),"")</f>
        <v>CDS Name - Issuer 87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2" s="354">
        <v>0</v>
      </c>
      <c r="E132" s="387">
        <v>1</v>
      </c>
      <c r="F132" s="306">
        <v>0</v>
      </c>
      <c r="G132" s="306">
        <v>0</v>
      </c>
      <c r="H132" s="306">
        <v>1</v>
      </c>
      <c r="I132" s="306">
        <v>0</v>
      </c>
      <c r="J132" s="306">
        <v>0</v>
      </c>
      <c r="K132" s="306"/>
      <c r="L132" s="306"/>
      <c r="M132" s="306"/>
      <c r="N132" s="388"/>
      <c r="O132" s="281"/>
      <c r="P132" s="281"/>
      <c r="Q132" s="281"/>
      <c r="R132" s="281"/>
      <c r="S132" s="281"/>
      <c r="T132" s="281"/>
      <c r="U132" s="281"/>
      <c r="V132" s="281"/>
      <c r="W132" s="281"/>
      <c r="X132" s="281"/>
      <c r="Y132" s="281"/>
      <c r="Z132" s="281"/>
      <c r="AA132" s="281"/>
      <c r="AB132" s="281"/>
      <c r="AC132" s="281"/>
      <c r="AD132" s="281"/>
      <c r="AE132" s="281"/>
    </row>
    <row r="133" spans="2:31" ht="15">
      <c r="B133" s="386">
        <f t="shared" si="5"/>
        <v>88</v>
      </c>
      <c r="C133" s="394" t="str" cm="1">
        <f t="array" aca="1" ref="C133" ca="1">IF(B133&lt;=$C$9,GetGetCDSName(B133),"")</f>
        <v>CDS Name - Issuer 88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3" s="354">
        <v>0</v>
      </c>
      <c r="E133" s="387">
        <v>0</v>
      </c>
      <c r="F133" s="306">
        <v>0</v>
      </c>
      <c r="G133" s="306">
        <v>1</v>
      </c>
      <c r="H133" s="306">
        <v>1</v>
      </c>
      <c r="I133" s="306">
        <v>1</v>
      </c>
      <c r="J133" s="306">
        <v>0</v>
      </c>
      <c r="K133" s="306"/>
      <c r="L133" s="306"/>
      <c r="M133" s="306"/>
      <c r="N133" s="388"/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81"/>
    </row>
    <row r="134" spans="2:31" ht="15">
      <c r="B134" s="386">
        <f t="shared" si="5"/>
        <v>89</v>
      </c>
      <c r="C134" s="394" t="str" cm="1">
        <f t="array" aca="1" ref="C134" ca="1">IF(B134&lt;=$C$9,GetGetCDSName(B134),"")</f>
        <v>CDS Name - Issuer 89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4" s="354">
        <v>0</v>
      </c>
      <c r="E134" s="387">
        <v>0</v>
      </c>
      <c r="F134" s="306">
        <v>0</v>
      </c>
      <c r="G134" s="306">
        <v>0</v>
      </c>
      <c r="H134" s="306">
        <v>1</v>
      </c>
      <c r="I134" s="306">
        <v>1</v>
      </c>
      <c r="J134" s="306">
        <v>0</v>
      </c>
      <c r="K134" s="306"/>
      <c r="L134" s="306"/>
      <c r="M134" s="306"/>
      <c r="N134" s="388"/>
      <c r="O134" s="281"/>
      <c r="P134" s="281"/>
      <c r="Q134" s="281"/>
      <c r="R134" s="281"/>
      <c r="S134" s="281"/>
      <c r="T134" s="281"/>
      <c r="U134" s="281"/>
      <c r="V134" s="281"/>
      <c r="W134" s="281"/>
      <c r="X134" s="281"/>
      <c r="Y134" s="281"/>
      <c r="Z134" s="281"/>
      <c r="AA134" s="281"/>
      <c r="AB134" s="281"/>
      <c r="AC134" s="281"/>
      <c r="AD134" s="281"/>
      <c r="AE134" s="281"/>
    </row>
    <row r="135" spans="2:31" ht="15">
      <c r="B135" s="386">
        <f t="shared" si="5"/>
        <v>90</v>
      </c>
      <c r="C135" s="394" t="str" cm="1">
        <f t="array" aca="1" ref="C135" ca="1">IF(B135&lt;=$C$9,GetGetCDSName(B135),"")</f>
        <v>CDS Name - Issuer 90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5" s="354">
        <v>0</v>
      </c>
      <c r="E135" s="387">
        <v>0</v>
      </c>
      <c r="F135" s="306">
        <v>1</v>
      </c>
      <c r="G135" s="306">
        <v>0</v>
      </c>
      <c r="H135" s="306">
        <v>1</v>
      </c>
      <c r="I135" s="306">
        <v>0</v>
      </c>
      <c r="J135" s="306">
        <v>0</v>
      </c>
      <c r="K135" s="306"/>
      <c r="L135" s="306"/>
      <c r="M135" s="306"/>
      <c r="N135" s="388"/>
      <c r="O135" s="281"/>
      <c r="P135" s="281"/>
      <c r="Q135" s="281"/>
      <c r="R135" s="281"/>
      <c r="S135" s="281"/>
      <c r="T135" s="281"/>
      <c r="U135" s="281"/>
      <c r="V135" s="281"/>
      <c r="W135" s="281"/>
      <c r="X135" s="281"/>
      <c r="Y135" s="281"/>
      <c r="Z135" s="281"/>
      <c r="AA135" s="281"/>
      <c r="AB135" s="281"/>
      <c r="AC135" s="281"/>
      <c r="AD135" s="281"/>
      <c r="AE135" s="281"/>
    </row>
    <row r="136" spans="2:31" ht="15">
      <c r="B136" s="386">
        <f t="shared" si="5"/>
        <v>91</v>
      </c>
      <c r="C136" s="394" t="str" cm="1">
        <f t="array" aca="1" ref="C136" ca="1">IF(B136&lt;=$C$9,GetGetCDSName(B136),"")</f>
        <v>CDS Name - Issuer 91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6" s="354">
        <v>0</v>
      </c>
      <c r="E136" s="387">
        <v>0</v>
      </c>
      <c r="F136" s="306">
        <v>1</v>
      </c>
      <c r="G136" s="306">
        <v>1</v>
      </c>
      <c r="H136" s="306">
        <v>0</v>
      </c>
      <c r="I136" s="306">
        <v>0</v>
      </c>
      <c r="J136" s="306">
        <v>1</v>
      </c>
      <c r="K136" s="306"/>
      <c r="L136" s="306"/>
      <c r="M136" s="306"/>
      <c r="N136" s="388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</row>
    <row r="137" spans="2:31" ht="15">
      <c r="B137" s="386">
        <f t="shared" si="5"/>
        <v>92</v>
      </c>
      <c r="C137" s="394" t="str" cm="1">
        <f t="array" aca="1" ref="C137" ca="1">IF(B137&lt;=$C$9,GetGetCDSName(B137),"")</f>
        <v>CDS Name - Issuer 92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7" s="354">
        <v>0</v>
      </c>
      <c r="E137" s="387">
        <v>0</v>
      </c>
      <c r="F137" s="306">
        <v>1</v>
      </c>
      <c r="G137" s="306">
        <v>0</v>
      </c>
      <c r="H137" s="306">
        <v>0</v>
      </c>
      <c r="I137" s="306">
        <v>1</v>
      </c>
      <c r="J137" s="306">
        <v>1</v>
      </c>
      <c r="K137" s="306"/>
      <c r="L137" s="306"/>
      <c r="M137" s="306"/>
      <c r="N137" s="388"/>
      <c r="O137" s="281"/>
      <c r="P137" s="281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81"/>
    </row>
    <row r="138" spans="2:31" ht="15">
      <c r="B138" s="386">
        <f t="shared" si="5"/>
        <v>93</v>
      </c>
      <c r="C138" s="394" t="str" cm="1">
        <f t="array" aca="1" ref="C138" ca="1">IF(B138&lt;=$C$9,GetGetCDSName(B138),"")</f>
        <v>CDS Name - Issuer 93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8" s="354">
        <v>0</v>
      </c>
      <c r="E138" s="387">
        <v>1</v>
      </c>
      <c r="F138" s="306">
        <v>1</v>
      </c>
      <c r="G138" s="306">
        <v>0</v>
      </c>
      <c r="H138" s="306">
        <v>0</v>
      </c>
      <c r="I138" s="306">
        <v>1</v>
      </c>
      <c r="J138" s="306">
        <v>0</v>
      </c>
      <c r="K138" s="306"/>
      <c r="L138" s="306"/>
      <c r="M138" s="306"/>
      <c r="N138" s="388"/>
      <c r="O138" s="281"/>
      <c r="P138" s="281"/>
      <c r="Q138" s="281"/>
      <c r="R138" s="281"/>
      <c r="S138" s="281"/>
      <c r="T138" s="281"/>
      <c r="U138" s="281"/>
      <c r="V138" s="281"/>
      <c r="W138" s="281"/>
      <c r="X138" s="281"/>
      <c r="Y138" s="281"/>
      <c r="Z138" s="281"/>
      <c r="AA138" s="281"/>
      <c r="AB138" s="281"/>
      <c r="AC138" s="281"/>
      <c r="AD138" s="281"/>
      <c r="AE138" s="281"/>
    </row>
    <row r="139" spans="2:31" ht="15">
      <c r="B139" s="386">
        <f t="shared" si="5"/>
        <v>94</v>
      </c>
      <c r="C139" s="394" t="str" cm="1">
        <f t="array" aca="1" ref="C139" ca="1">IF(B139&lt;=$C$9,GetGetCDSName(B139),"")</f>
        <v>CDS Name - Issuer 94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9" s="354">
        <v>0</v>
      </c>
      <c r="E139" s="387">
        <v>1</v>
      </c>
      <c r="F139" s="306">
        <v>0</v>
      </c>
      <c r="G139" s="306">
        <v>0</v>
      </c>
      <c r="H139" s="306">
        <v>0</v>
      </c>
      <c r="I139" s="306">
        <v>1</v>
      </c>
      <c r="J139" s="306">
        <v>0</v>
      </c>
      <c r="K139" s="306"/>
      <c r="L139" s="306"/>
      <c r="M139" s="306"/>
      <c r="N139" s="388"/>
      <c r="O139" s="281"/>
      <c r="P139" s="281"/>
      <c r="Q139" s="281"/>
      <c r="R139" s="281"/>
      <c r="S139" s="281"/>
      <c r="T139" s="281"/>
      <c r="U139" s="281"/>
      <c r="V139" s="281"/>
      <c r="W139" s="281"/>
      <c r="X139" s="281"/>
      <c r="Y139" s="281"/>
      <c r="Z139" s="281"/>
      <c r="AA139" s="281"/>
      <c r="AB139" s="281"/>
      <c r="AC139" s="281"/>
      <c r="AD139" s="281"/>
      <c r="AE139" s="281"/>
    </row>
    <row r="140" spans="2:31" ht="15">
      <c r="B140" s="386">
        <f t="shared" si="5"/>
        <v>95</v>
      </c>
      <c r="C140" s="394" t="str" cm="1">
        <f t="array" aca="1" ref="C140" ca="1">IF(B140&lt;=$C$9,GetGetCDSName(B140),"")</f>
        <v>CDS Name - Issuer 95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0" s="354">
        <v>0</v>
      </c>
      <c r="E140" s="387">
        <v>1</v>
      </c>
      <c r="F140" s="306">
        <v>1</v>
      </c>
      <c r="G140" s="306">
        <v>0</v>
      </c>
      <c r="H140" s="306">
        <v>0</v>
      </c>
      <c r="I140" s="306">
        <v>1</v>
      </c>
      <c r="J140" s="306">
        <v>0</v>
      </c>
      <c r="K140" s="306"/>
      <c r="L140" s="306"/>
      <c r="M140" s="306"/>
      <c r="N140" s="388"/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81"/>
    </row>
    <row r="141" spans="2:31" ht="15">
      <c r="B141" s="386">
        <f t="shared" si="5"/>
        <v>96</v>
      </c>
      <c r="C141" s="394" t="str" cm="1">
        <f t="array" aca="1" ref="C141" ca="1">IF(B141&lt;=$C$9,GetGetCDSName(B141),"")</f>
        <v>CDS Name - Issuer 96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1" s="354">
        <v>0</v>
      </c>
      <c r="E141" s="387">
        <v>0</v>
      </c>
      <c r="F141" s="306">
        <v>0</v>
      </c>
      <c r="G141" s="306">
        <v>0</v>
      </c>
      <c r="H141" s="306">
        <v>0</v>
      </c>
      <c r="I141" s="306">
        <v>0</v>
      </c>
      <c r="J141" s="306">
        <v>1</v>
      </c>
      <c r="K141" s="306"/>
      <c r="L141" s="306"/>
      <c r="M141" s="306"/>
      <c r="N141" s="388"/>
      <c r="O141" s="281"/>
      <c r="P141" s="281"/>
      <c r="Q141" s="281"/>
      <c r="R141" s="281"/>
      <c r="S141" s="281"/>
      <c r="T141" s="281"/>
      <c r="U141" s="281"/>
      <c r="V141" s="281"/>
      <c r="W141" s="281"/>
      <c r="X141" s="281"/>
      <c r="Y141" s="281"/>
      <c r="Z141" s="281"/>
      <c r="AA141" s="281"/>
      <c r="AB141" s="281"/>
      <c r="AC141" s="281"/>
      <c r="AD141" s="281"/>
      <c r="AE141" s="281"/>
    </row>
    <row r="142" spans="2:31" ht="15">
      <c r="B142" s="386">
        <f t="shared" si="5"/>
        <v>97</v>
      </c>
      <c r="C142" s="394" t="str" cm="1">
        <f t="array" aca="1" ref="C142" ca="1">IF(B142&lt;=$C$9,GetGetCDSName(B142),"")</f>
        <v>CDS Name - Issuer 97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2" s="354">
        <v>0</v>
      </c>
      <c r="E142" s="387">
        <v>1</v>
      </c>
      <c r="F142" s="306">
        <v>0</v>
      </c>
      <c r="G142" s="306">
        <v>0</v>
      </c>
      <c r="H142" s="306">
        <v>0</v>
      </c>
      <c r="I142" s="306">
        <v>0</v>
      </c>
      <c r="J142" s="306">
        <v>0</v>
      </c>
      <c r="K142" s="306"/>
      <c r="L142" s="306"/>
      <c r="M142" s="306"/>
      <c r="N142" s="388"/>
      <c r="O142" s="281"/>
      <c r="P142" s="281"/>
      <c r="Q142" s="281"/>
      <c r="R142" s="281"/>
      <c r="S142" s="281"/>
      <c r="T142" s="281"/>
      <c r="U142" s="281"/>
      <c r="V142" s="281"/>
      <c r="W142" s="281"/>
      <c r="X142" s="281"/>
      <c r="Y142" s="281"/>
      <c r="Z142" s="281"/>
      <c r="AA142" s="281"/>
      <c r="AB142" s="281"/>
      <c r="AC142" s="281"/>
      <c r="AD142" s="281"/>
      <c r="AE142" s="281"/>
    </row>
    <row r="143" spans="2:31" ht="15">
      <c r="B143" s="386">
        <f t="shared" si="5"/>
        <v>98</v>
      </c>
      <c r="C143" s="394" t="str" cm="1">
        <f t="array" aca="1" ref="C143" ca="1">IF(B143&lt;=$C$9,GetGetCDSName(B143),"")</f>
        <v>CDS Name - Issuer 98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3" s="354">
        <v>0</v>
      </c>
      <c r="E143" s="387">
        <v>0</v>
      </c>
      <c r="F143" s="306">
        <v>0</v>
      </c>
      <c r="G143" s="306">
        <v>1</v>
      </c>
      <c r="H143" s="306">
        <v>0</v>
      </c>
      <c r="I143" s="306">
        <v>0</v>
      </c>
      <c r="J143" s="306">
        <v>0</v>
      </c>
      <c r="K143" s="306"/>
      <c r="L143" s="306"/>
      <c r="M143" s="306"/>
      <c r="N143" s="388"/>
      <c r="O143" s="281"/>
      <c r="P143" s="281"/>
      <c r="Q143" s="281"/>
      <c r="R143" s="281"/>
      <c r="S143" s="281"/>
      <c r="T143" s="281"/>
      <c r="U143" s="281"/>
      <c r="V143" s="281"/>
      <c r="W143" s="281"/>
      <c r="X143" s="281"/>
      <c r="Y143" s="281"/>
      <c r="Z143" s="281"/>
      <c r="AA143" s="281"/>
      <c r="AB143" s="281"/>
      <c r="AC143" s="281"/>
      <c r="AD143" s="281"/>
      <c r="AE143" s="281"/>
    </row>
    <row r="144" spans="2:31" ht="15">
      <c r="B144" s="386">
        <f t="shared" si="5"/>
        <v>99</v>
      </c>
      <c r="C144" s="394" t="str" cm="1">
        <f t="array" aca="1" ref="C144" ca="1">IF(B144&lt;=$C$9,GetGetCDSName(B144),"")</f>
        <v>CDS Name - Issuer 99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4" s="354">
        <v>0</v>
      </c>
      <c r="E144" s="387">
        <v>0</v>
      </c>
      <c r="F144" s="306">
        <v>0</v>
      </c>
      <c r="G144" s="306">
        <v>0</v>
      </c>
      <c r="H144" s="306">
        <v>0</v>
      </c>
      <c r="I144" s="306">
        <v>1</v>
      </c>
      <c r="J144" s="306">
        <v>0</v>
      </c>
      <c r="K144" s="306"/>
      <c r="L144" s="306"/>
      <c r="M144" s="306"/>
      <c r="N144" s="388"/>
      <c r="O144" s="281"/>
      <c r="P144" s="281"/>
      <c r="Q144" s="281"/>
      <c r="R144" s="281"/>
      <c r="S144" s="281"/>
      <c r="T144" s="281"/>
      <c r="U144" s="281"/>
      <c r="V144" s="281"/>
      <c r="W144" s="281"/>
      <c r="X144" s="281"/>
      <c r="Y144" s="281"/>
      <c r="Z144" s="281"/>
      <c r="AA144" s="281"/>
      <c r="AB144" s="281"/>
      <c r="AC144" s="281"/>
      <c r="AD144" s="281"/>
      <c r="AE144" s="281"/>
    </row>
    <row r="145" spans="2:31" ht="15">
      <c r="B145" s="386">
        <f t="shared" si="5"/>
        <v>100</v>
      </c>
      <c r="C145" s="394" t="str" cm="1">
        <f t="array" aca="1" ref="C145" ca="1">IF(B145&lt;=$C$9,GetGetCDSName(B145),"")</f>
        <v>CDS Name - Issuer 100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5" s="354">
        <v>0</v>
      </c>
      <c r="E145" s="387">
        <v>0</v>
      </c>
      <c r="F145" s="306">
        <v>0</v>
      </c>
      <c r="G145" s="306">
        <v>1</v>
      </c>
      <c r="H145" s="306">
        <v>0</v>
      </c>
      <c r="I145" s="306">
        <v>1</v>
      </c>
      <c r="J145" s="306">
        <v>1</v>
      </c>
      <c r="K145" s="306"/>
      <c r="L145" s="306"/>
      <c r="M145" s="306"/>
      <c r="N145" s="388"/>
      <c r="O145" s="281"/>
      <c r="P145" s="281"/>
      <c r="Q145" s="281"/>
      <c r="R145" s="281"/>
      <c r="S145" s="281"/>
      <c r="T145" s="281"/>
      <c r="U145" s="281"/>
      <c r="V145" s="281"/>
      <c r="W145" s="281"/>
      <c r="X145" s="281"/>
      <c r="Y145" s="281"/>
      <c r="Z145" s="281"/>
      <c r="AA145" s="281"/>
      <c r="AB145" s="281"/>
      <c r="AC145" s="281"/>
      <c r="AD145" s="281"/>
      <c r="AE145" s="281"/>
    </row>
    <row r="146" spans="2:31" ht="15">
      <c r="B146" s="386">
        <f t="shared" si="5"/>
        <v>101</v>
      </c>
      <c r="C146" s="394" t="str" cm="1">
        <f t="array" aca="1" ref="C146" ca="1">IF(B146&lt;=$C$9,GetGetCDSName(B146),"")</f>
        <v>CDS Name - Issuer 101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6" s="354">
        <v>0</v>
      </c>
      <c r="E146" s="387">
        <v>0</v>
      </c>
      <c r="F146" s="306">
        <v>1</v>
      </c>
      <c r="G146" s="306">
        <v>1</v>
      </c>
      <c r="H146" s="306">
        <v>0</v>
      </c>
      <c r="I146" s="306">
        <v>0</v>
      </c>
      <c r="J146" s="306">
        <v>0</v>
      </c>
      <c r="K146" s="306"/>
      <c r="L146" s="306"/>
      <c r="M146" s="306"/>
      <c r="N146" s="388"/>
      <c r="O146" s="281"/>
      <c r="P146" s="281"/>
      <c r="Q146" s="281"/>
      <c r="R146" s="281"/>
      <c r="S146" s="281"/>
      <c r="T146" s="281"/>
      <c r="U146" s="281"/>
      <c r="V146" s="281"/>
      <c r="W146" s="281"/>
      <c r="X146" s="281"/>
      <c r="Y146" s="281"/>
      <c r="Z146" s="281"/>
      <c r="AA146" s="281"/>
      <c r="AB146" s="281"/>
      <c r="AC146" s="281"/>
      <c r="AD146" s="281"/>
      <c r="AE146" s="281"/>
    </row>
    <row r="147" spans="2:31" ht="15">
      <c r="B147" s="386">
        <f t="shared" si="5"/>
        <v>102</v>
      </c>
      <c r="C147" s="394" t="str" cm="1">
        <f t="array" aca="1" ref="C147" ca="1">IF(B147&lt;=$C$9,GetGetCDSName(B147),"")</f>
        <v>CDS Name - Issuer 102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7" s="354">
        <v>0</v>
      </c>
      <c r="E147" s="387">
        <v>1</v>
      </c>
      <c r="F147" s="306">
        <v>1</v>
      </c>
      <c r="G147" s="306">
        <v>0</v>
      </c>
      <c r="H147" s="306">
        <v>0</v>
      </c>
      <c r="I147" s="306">
        <v>0</v>
      </c>
      <c r="J147" s="306">
        <v>0</v>
      </c>
      <c r="K147" s="306"/>
      <c r="L147" s="306"/>
      <c r="M147" s="306"/>
      <c r="N147" s="388"/>
      <c r="O147" s="281"/>
      <c r="P147" s="281"/>
      <c r="Q147" s="281"/>
      <c r="R147" s="281"/>
      <c r="S147" s="281"/>
      <c r="T147" s="281"/>
      <c r="U147" s="281"/>
      <c r="V147" s="281"/>
      <c r="W147" s="281"/>
      <c r="X147" s="281"/>
      <c r="Y147" s="281"/>
      <c r="Z147" s="281"/>
      <c r="AA147" s="281"/>
      <c r="AB147" s="281"/>
      <c r="AC147" s="281"/>
      <c r="AD147" s="281"/>
      <c r="AE147" s="281"/>
    </row>
    <row r="148" spans="2:31" ht="15">
      <c r="B148" s="386">
        <f t="shared" si="5"/>
        <v>103</v>
      </c>
      <c r="C148" s="394" t="str" cm="1">
        <f t="array" aca="1" ref="C148" ca="1">IF(B148&lt;=$C$9,GetGetCDSName(B148),"")</f>
        <v>CDS Name - Issuer 103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8" s="354">
        <v>0</v>
      </c>
      <c r="E148" s="387">
        <v>0</v>
      </c>
      <c r="F148" s="306">
        <v>0</v>
      </c>
      <c r="G148" s="306">
        <v>0</v>
      </c>
      <c r="H148" s="306">
        <v>1</v>
      </c>
      <c r="I148" s="306">
        <v>0</v>
      </c>
      <c r="J148" s="306">
        <v>0</v>
      </c>
      <c r="K148" s="306"/>
      <c r="L148" s="306"/>
      <c r="M148" s="306"/>
      <c r="N148" s="388"/>
      <c r="O148" s="281"/>
      <c r="P148" s="281"/>
      <c r="Q148" s="281"/>
      <c r="R148" s="281"/>
      <c r="S148" s="281"/>
      <c r="T148" s="281"/>
      <c r="U148" s="281"/>
      <c r="V148" s="281"/>
      <c r="W148" s="281"/>
      <c r="X148" s="281"/>
      <c r="Y148" s="281"/>
      <c r="Z148" s="281"/>
      <c r="AA148" s="281"/>
      <c r="AB148" s="281"/>
      <c r="AC148" s="281"/>
      <c r="AD148" s="281"/>
      <c r="AE148" s="281"/>
    </row>
    <row r="149" spans="2:31" ht="15">
      <c r="B149" s="386">
        <f t="shared" si="5"/>
        <v>104</v>
      </c>
      <c r="C149" s="394" t="str" cm="1">
        <f t="array" aca="1" ref="C149" ca="1">IF(B149&lt;=$C$9,GetGetCDSName(B149),"")</f>
        <v>CDS Name - Issuer 104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9" s="354">
        <v>0</v>
      </c>
      <c r="E149" s="387">
        <v>0</v>
      </c>
      <c r="F149" s="306">
        <v>0</v>
      </c>
      <c r="G149" s="306">
        <v>0</v>
      </c>
      <c r="H149" s="306">
        <v>0</v>
      </c>
      <c r="I149" s="306">
        <v>0</v>
      </c>
      <c r="J149" s="306">
        <v>1</v>
      </c>
      <c r="K149" s="306"/>
      <c r="L149" s="306"/>
      <c r="M149" s="306"/>
      <c r="N149" s="388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</row>
    <row r="150" spans="2:31" ht="15">
      <c r="B150" s="386">
        <f t="shared" si="5"/>
        <v>105</v>
      </c>
      <c r="C150" s="394" t="str" cm="1">
        <f t="array" aca="1" ref="C150" ca="1">IF(B150&lt;=$C$9,GetGetCDSName(B150),"")</f>
        <v>CDS Name - Issuer 105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0" s="354">
        <v>0</v>
      </c>
      <c r="E150" s="387">
        <v>0</v>
      </c>
      <c r="F150" s="306">
        <v>1</v>
      </c>
      <c r="G150" s="306">
        <v>0</v>
      </c>
      <c r="H150" s="306">
        <v>1</v>
      </c>
      <c r="I150" s="306">
        <v>1</v>
      </c>
      <c r="J150" s="306">
        <v>0</v>
      </c>
      <c r="K150" s="306"/>
      <c r="L150" s="306"/>
      <c r="M150" s="306"/>
      <c r="N150" s="388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281"/>
      <c r="AA150" s="281"/>
      <c r="AB150" s="281"/>
      <c r="AC150" s="281"/>
      <c r="AD150" s="281"/>
      <c r="AE150" s="281"/>
    </row>
    <row r="151" spans="2:31" ht="15">
      <c r="B151" s="386">
        <f t="shared" si="5"/>
        <v>106</v>
      </c>
      <c r="C151" s="394" t="str" cm="1">
        <f t="array" aca="1" ref="C151" ca="1">IF(B151&lt;=$C$9,GetGetCDSName(B151),"")</f>
        <v>CDS Name - Issuer 106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1" s="354">
        <v>0</v>
      </c>
      <c r="E151" s="387">
        <v>0</v>
      </c>
      <c r="F151" s="306">
        <v>0</v>
      </c>
      <c r="G151" s="306">
        <v>0</v>
      </c>
      <c r="H151" s="306">
        <v>0</v>
      </c>
      <c r="I151" s="306">
        <v>1</v>
      </c>
      <c r="J151" s="306">
        <v>0</v>
      </c>
      <c r="K151" s="306"/>
      <c r="L151" s="306"/>
      <c r="M151" s="306"/>
      <c r="N151" s="388"/>
      <c r="O151" s="281"/>
      <c r="P151" s="281"/>
      <c r="Q151" s="281"/>
      <c r="R151" s="281"/>
      <c r="S151" s="281"/>
      <c r="T151" s="281"/>
      <c r="U151" s="281"/>
      <c r="V151" s="281"/>
      <c r="W151" s="281"/>
      <c r="X151" s="281"/>
      <c r="Y151" s="281"/>
      <c r="Z151" s="281"/>
      <c r="AA151" s="281"/>
      <c r="AB151" s="281"/>
      <c r="AC151" s="281"/>
      <c r="AD151" s="281"/>
      <c r="AE151" s="281"/>
    </row>
    <row r="152" spans="2:31" ht="15">
      <c r="B152" s="386">
        <f t="shared" si="5"/>
        <v>107</v>
      </c>
      <c r="C152" s="394" t="str" cm="1">
        <f t="array" aca="1" ref="C152" ca="1">IF(B152&lt;=$C$9,GetGetCDSName(B152),"")</f>
        <v>CDS Name - Issuer 107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2" s="354">
        <v>0</v>
      </c>
      <c r="E152" s="387">
        <v>0</v>
      </c>
      <c r="F152" s="306">
        <v>0</v>
      </c>
      <c r="G152" s="306">
        <v>1</v>
      </c>
      <c r="H152" s="306">
        <v>0</v>
      </c>
      <c r="I152" s="306">
        <v>0</v>
      </c>
      <c r="J152" s="306">
        <v>0</v>
      </c>
      <c r="K152" s="306"/>
      <c r="L152" s="306"/>
      <c r="M152" s="306"/>
      <c r="N152" s="388"/>
      <c r="O152" s="281"/>
      <c r="P152" s="281"/>
      <c r="Q152" s="281"/>
      <c r="R152" s="281"/>
      <c r="S152" s="281"/>
      <c r="T152" s="281"/>
      <c r="U152" s="281"/>
      <c r="V152" s="281"/>
      <c r="W152" s="281"/>
      <c r="X152" s="281"/>
      <c r="Y152" s="281"/>
      <c r="Z152" s="281"/>
      <c r="AA152" s="281"/>
      <c r="AB152" s="281"/>
      <c r="AC152" s="281"/>
      <c r="AD152" s="281"/>
      <c r="AE152" s="281"/>
    </row>
    <row r="153" spans="2:31" ht="15">
      <c r="B153" s="386">
        <f t="shared" si="5"/>
        <v>108</v>
      </c>
      <c r="C153" s="394" t="str" cm="1">
        <f t="array" aca="1" ref="C153" ca="1">IF(B153&lt;=$C$9,GetGetCDSName(B153),"")</f>
        <v>CDS Name - Issuer 108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3" s="354">
        <v>0</v>
      </c>
      <c r="E153" s="387">
        <v>0</v>
      </c>
      <c r="F153" s="306">
        <v>0</v>
      </c>
      <c r="G153" s="306">
        <v>0</v>
      </c>
      <c r="H153" s="306">
        <v>1</v>
      </c>
      <c r="I153" s="306">
        <v>1</v>
      </c>
      <c r="J153" s="306">
        <v>1</v>
      </c>
      <c r="K153" s="306"/>
      <c r="L153" s="306"/>
      <c r="M153" s="306"/>
      <c r="N153" s="388"/>
      <c r="O153" s="281"/>
      <c r="P153" s="281"/>
      <c r="Q153" s="281"/>
      <c r="R153" s="281"/>
      <c r="S153" s="281"/>
      <c r="T153" s="281"/>
      <c r="U153" s="281"/>
      <c r="V153" s="281"/>
      <c r="W153" s="281"/>
      <c r="X153" s="281"/>
      <c r="Y153" s="281"/>
      <c r="Z153" s="281"/>
      <c r="AA153" s="281"/>
      <c r="AB153" s="281"/>
      <c r="AC153" s="281"/>
      <c r="AD153" s="281"/>
      <c r="AE153" s="281"/>
    </row>
    <row r="154" spans="2:31" ht="15">
      <c r="B154" s="386">
        <f t="shared" si="5"/>
        <v>109</v>
      </c>
      <c r="C154" s="394" t="str" cm="1">
        <f t="array" aca="1" ref="C154" ca="1">IF(B154&lt;=$C$9,GetGetCDSName(B154),"")</f>
        <v>CDS Name - Issuer 109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4" s="354">
        <v>0</v>
      </c>
      <c r="E154" s="387">
        <v>1</v>
      </c>
      <c r="F154" s="306">
        <v>0</v>
      </c>
      <c r="G154" s="306">
        <v>0</v>
      </c>
      <c r="H154" s="306">
        <v>0</v>
      </c>
      <c r="I154" s="306">
        <v>0</v>
      </c>
      <c r="J154" s="306">
        <v>0</v>
      </c>
      <c r="K154" s="306"/>
      <c r="L154" s="306"/>
      <c r="M154" s="306"/>
      <c r="N154" s="388"/>
      <c r="O154" s="281"/>
      <c r="P154" s="281"/>
      <c r="Q154" s="281"/>
      <c r="R154" s="281"/>
      <c r="S154" s="281"/>
      <c r="T154" s="281"/>
      <c r="U154" s="281"/>
      <c r="V154" s="281"/>
      <c r="W154" s="281"/>
      <c r="X154" s="281"/>
      <c r="Y154" s="281"/>
      <c r="Z154" s="281"/>
      <c r="AA154" s="281"/>
      <c r="AB154" s="281"/>
      <c r="AC154" s="281"/>
      <c r="AD154" s="281"/>
      <c r="AE154" s="281"/>
    </row>
    <row r="155" spans="2:31" ht="15">
      <c r="B155" s="386">
        <f t="shared" si="5"/>
        <v>110</v>
      </c>
      <c r="C155" s="394" t="str" cm="1">
        <f t="array" aca="1" ref="C155" ca="1">IF(B155&lt;=$C$9,GetGetCDSName(B155),"")</f>
        <v>CDS Name - Issuer 110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5" s="354">
        <v>0</v>
      </c>
      <c r="E155" s="387">
        <v>1</v>
      </c>
      <c r="F155" s="306">
        <v>0</v>
      </c>
      <c r="G155" s="306">
        <v>0</v>
      </c>
      <c r="H155" s="306">
        <v>1</v>
      </c>
      <c r="I155" s="306">
        <v>1</v>
      </c>
      <c r="J155" s="306">
        <v>0</v>
      </c>
      <c r="K155" s="306"/>
      <c r="L155" s="306"/>
      <c r="M155" s="306"/>
      <c r="N155" s="388"/>
      <c r="O155" s="281"/>
      <c r="P155" s="281"/>
      <c r="Q155" s="281"/>
      <c r="R155" s="281"/>
      <c r="S155" s="281"/>
      <c r="T155" s="281"/>
      <c r="U155" s="281"/>
      <c r="V155" s="281"/>
      <c r="W155" s="281"/>
      <c r="X155" s="281"/>
      <c r="Y155" s="281"/>
      <c r="Z155" s="281"/>
      <c r="AA155" s="281"/>
      <c r="AB155" s="281"/>
      <c r="AC155" s="281"/>
      <c r="AD155" s="281"/>
      <c r="AE155" s="281"/>
    </row>
    <row r="156" spans="2:31" ht="15">
      <c r="B156" s="386">
        <f t="shared" si="5"/>
        <v>111</v>
      </c>
      <c r="C156" s="394" t="str" cm="1">
        <f t="array" aca="1" ref="C156" ca="1">IF(B156&lt;=$C$9,GetGetCDSName(B156),"")</f>
        <v>CDS Name - Issuer 111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6" s="354">
        <v>0</v>
      </c>
      <c r="E156" s="387">
        <v>0</v>
      </c>
      <c r="F156" s="306">
        <v>0</v>
      </c>
      <c r="G156" s="306">
        <v>0</v>
      </c>
      <c r="H156" s="306">
        <v>0</v>
      </c>
      <c r="I156" s="306">
        <v>1</v>
      </c>
      <c r="J156" s="306">
        <v>1</v>
      </c>
      <c r="K156" s="306"/>
      <c r="L156" s="306"/>
      <c r="M156" s="306"/>
      <c r="N156" s="388"/>
      <c r="O156" s="281"/>
      <c r="P156" s="281"/>
      <c r="Q156" s="281"/>
      <c r="R156" s="281"/>
      <c r="S156" s="281"/>
      <c r="T156" s="281"/>
      <c r="U156" s="281"/>
      <c r="V156" s="281"/>
      <c r="W156" s="281"/>
      <c r="X156" s="281"/>
      <c r="Y156" s="281"/>
      <c r="Z156" s="281"/>
      <c r="AA156" s="281"/>
      <c r="AB156" s="281"/>
      <c r="AC156" s="281"/>
      <c r="AD156" s="281"/>
      <c r="AE156" s="281"/>
    </row>
    <row r="157" spans="2:31" ht="15">
      <c r="B157" s="386">
        <f t="shared" si="5"/>
        <v>112</v>
      </c>
      <c r="C157" s="394" t="str" cm="1">
        <f t="array" aca="1" ref="C157" ca="1">IF(B157&lt;=$C$9,GetGetCDSName(B157),"")</f>
        <v>CDS Name - Issuer 112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7" s="354">
        <v>0</v>
      </c>
      <c r="E157" s="387">
        <v>0</v>
      </c>
      <c r="F157" s="306">
        <v>0</v>
      </c>
      <c r="G157" s="306">
        <v>1</v>
      </c>
      <c r="H157" s="306">
        <v>1</v>
      </c>
      <c r="I157" s="306">
        <v>0</v>
      </c>
      <c r="J157" s="306">
        <v>0</v>
      </c>
      <c r="K157" s="306"/>
      <c r="L157" s="306"/>
      <c r="M157" s="306"/>
      <c r="N157" s="388"/>
      <c r="O157" s="281"/>
      <c r="P157" s="281"/>
      <c r="Q157" s="281"/>
      <c r="R157" s="281"/>
      <c r="S157" s="281"/>
      <c r="T157" s="281"/>
      <c r="U157" s="281"/>
      <c r="V157" s="281"/>
      <c r="W157" s="281"/>
      <c r="X157" s="281"/>
      <c r="Y157" s="281"/>
      <c r="Z157" s="281"/>
      <c r="AA157" s="281"/>
      <c r="AB157" s="281"/>
      <c r="AC157" s="281"/>
      <c r="AD157" s="281"/>
      <c r="AE157" s="281"/>
    </row>
    <row r="158" spans="2:31" ht="15">
      <c r="B158" s="386">
        <f t="shared" si="5"/>
        <v>113</v>
      </c>
      <c r="C158" s="394" t="str" cm="1">
        <f t="array" aca="1" ref="C158" ca="1">IF(B158&lt;=$C$9,GetGetCDSName(B158),"")</f>
        <v>CDS Name - Issuer 113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8" s="354">
        <v>0</v>
      </c>
      <c r="E158" s="387">
        <v>0</v>
      </c>
      <c r="F158" s="306">
        <v>0</v>
      </c>
      <c r="G158" s="306">
        <v>0</v>
      </c>
      <c r="H158" s="306">
        <v>0</v>
      </c>
      <c r="I158" s="306">
        <v>0</v>
      </c>
      <c r="J158" s="306">
        <v>1</v>
      </c>
      <c r="K158" s="306"/>
      <c r="L158" s="306"/>
      <c r="M158" s="306"/>
      <c r="N158" s="388"/>
      <c r="O158" s="281"/>
      <c r="P158" s="281"/>
      <c r="Q158" s="281"/>
      <c r="R158" s="281"/>
      <c r="S158" s="281"/>
      <c r="T158" s="281"/>
      <c r="U158" s="281"/>
      <c r="V158" s="281"/>
      <c r="W158" s="281"/>
      <c r="X158" s="281"/>
      <c r="Y158" s="281"/>
      <c r="Z158" s="281"/>
      <c r="AA158" s="281"/>
      <c r="AB158" s="281"/>
      <c r="AC158" s="281"/>
      <c r="AD158" s="281"/>
      <c r="AE158" s="281"/>
    </row>
    <row r="159" spans="2:31" ht="15">
      <c r="B159" s="386">
        <f t="shared" si="5"/>
        <v>114</v>
      </c>
      <c r="C159" s="394" t="str" cm="1">
        <f t="array" aca="1" ref="C159" ca="1">IF(B159&lt;=$C$9,GetGetCDSName(B159),"")</f>
        <v>CDS Name - Issuer 114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9" s="354">
        <v>0</v>
      </c>
      <c r="E159" s="387">
        <v>0</v>
      </c>
      <c r="F159" s="306">
        <v>1</v>
      </c>
      <c r="G159" s="306">
        <v>0</v>
      </c>
      <c r="H159" s="306">
        <v>0</v>
      </c>
      <c r="I159" s="306">
        <v>0</v>
      </c>
      <c r="J159" s="306">
        <v>0</v>
      </c>
      <c r="K159" s="306"/>
      <c r="L159" s="306"/>
      <c r="M159" s="306"/>
      <c r="N159" s="388"/>
      <c r="O159" s="281"/>
      <c r="P159" s="281"/>
      <c r="Q159" s="281"/>
      <c r="R159" s="281"/>
      <c r="S159" s="281"/>
      <c r="T159" s="281"/>
      <c r="U159" s="281"/>
      <c r="V159" s="281"/>
      <c r="W159" s="281"/>
      <c r="X159" s="281"/>
      <c r="Y159" s="281"/>
      <c r="Z159" s="281"/>
      <c r="AA159" s="281"/>
      <c r="AB159" s="281"/>
      <c r="AC159" s="281"/>
      <c r="AD159" s="281"/>
      <c r="AE159" s="281"/>
    </row>
    <row r="160" spans="2:31" ht="15">
      <c r="B160" s="386">
        <f t="shared" si="5"/>
        <v>115</v>
      </c>
      <c r="C160" s="394" t="str" cm="1">
        <f t="array" aca="1" ref="C160" ca="1">IF(B160&lt;=$C$9,GetGetCDSName(B160),"")</f>
        <v>CDS Name - Issuer 115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0" s="354">
        <v>0</v>
      </c>
      <c r="E160" s="387">
        <v>0</v>
      </c>
      <c r="F160" s="306">
        <v>0</v>
      </c>
      <c r="G160" s="306">
        <v>1</v>
      </c>
      <c r="H160" s="306">
        <v>0</v>
      </c>
      <c r="I160" s="306">
        <v>0</v>
      </c>
      <c r="J160" s="306">
        <v>1</v>
      </c>
      <c r="K160" s="306"/>
      <c r="L160" s="306"/>
      <c r="M160" s="306"/>
      <c r="N160" s="388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</row>
    <row r="161" spans="2:31" ht="15">
      <c r="B161" s="386">
        <f t="shared" si="5"/>
        <v>116</v>
      </c>
      <c r="C161" s="394" t="str" cm="1">
        <f t="array" aca="1" ref="C161" ca="1">IF(B161&lt;=$C$9,GetGetCDSName(B161),"")</f>
        <v>CDS Name - Issuer 116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1" s="354">
        <v>0</v>
      </c>
      <c r="E161" s="387">
        <v>0</v>
      </c>
      <c r="F161" s="306">
        <v>0</v>
      </c>
      <c r="G161" s="306">
        <v>0</v>
      </c>
      <c r="H161" s="306">
        <v>0</v>
      </c>
      <c r="I161" s="306">
        <v>0</v>
      </c>
      <c r="J161" s="306">
        <v>1</v>
      </c>
      <c r="K161" s="306"/>
      <c r="L161" s="306"/>
      <c r="M161" s="306"/>
      <c r="N161" s="388"/>
      <c r="O161" s="281"/>
      <c r="P161" s="281"/>
      <c r="Q161" s="281"/>
      <c r="R161" s="281"/>
      <c r="S161" s="281"/>
      <c r="T161" s="281"/>
      <c r="U161" s="281"/>
      <c r="V161" s="281"/>
      <c r="W161" s="281"/>
      <c r="X161" s="281"/>
      <c r="Y161" s="281"/>
      <c r="Z161" s="281"/>
      <c r="AA161" s="281"/>
      <c r="AB161" s="281"/>
      <c r="AC161" s="281"/>
      <c r="AD161" s="281"/>
      <c r="AE161" s="281"/>
    </row>
    <row r="162" spans="2:31" ht="15">
      <c r="B162" s="386">
        <f t="shared" si="5"/>
        <v>117</v>
      </c>
      <c r="C162" s="394" t="str" cm="1">
        <f t="array" aca="1" ref="C162" ca="1">IF(B162&lt;=$C$9,GetGetCDSName(B162),"")</f>
        <v>CDS Name - Issuer 117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2" s="354">
        <v>0</v>
      </c>
      <c r="E162" s="387">
        <v>0</v>
      </c>
      <c r="F162" s="306">
        <v>0</v>
      </c>
      <c r="G162" s="306">
        <v>1</v>
      </c>
      <c r="H162" s="306">
        <v>0</v>
      </c>
      <c r="I162" s="306">
        <v>1</v>
      </c>
      <c r="J162" s="306">
        <v>0</v>
      </c>
      <c r="K162" s="306"/>
      <c r="L162" s="306"/>
      <c r="M162" s="306"/>
      <c r="N162" s="388"/>
      <c r="O162" s="281"/>
      <c r="P162" s="281"/>
      <c r="Q162" s="281"/>
      <c r="R162" s="281"/>
      <c r="S162" s="281"/>
      <c r="T162" s="281"/>
      <c r="U162" s="281"/>
      <c r="V162" s="281"/>
      <c r="W162" s="281"/>
      <c r="X162" s="281"/>
      <c r="Y162" s="281"/>
      <c r="Z162" s="281"/>
      <c r="AA162" s="281"/>
      <c r="AB162" s="281"/>
      <c r="AC162" s="281"/>
      <c r="AD162" s="281"/>
      <c r="AE162" s="281"/>
    </row>
    <row r="163" spans="2:31" ht="15">
      <c r="B163" s="386">
        <f t="shared" si="5"/>
        <v>118</v>
      </c>
      <c r="C163" s="394" t="str" cm="1">
        <f t="array" aca="1" ref="C163" ca="1">IF(B163&lt;=$C$9,GetGetCDSName(B163),"")</f>
        <v>CDS Name - Issuer 118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3" s="354">
        <v>0</v>
      </c>
      <c r="E163" s="387">
        <v>0</v>
      </c>
      <c r="F163" s="306">
        <v>1</v>
      </c>
      <c r="G163" s="306">
        <v>0</v>
      </c>
      <c r="H163" s="306">
        <v>0</v>
      </c>
      <c r="I163" s="306">
        <v>0</v>
      </c>
      <c r="J163" s="306">
        <v>0</v>
      </c>
      <c r="K163" s="306"/>
      <c r="L163" s="306"/>
      <c r="M163" s="306"/>
      <c r="N163" s="388"/>
      <c r="O163" s="281"/>
      <c r="P163" s="281"/>
      <c r="Q163" s="281"/>
      <c r="R163" s="281"/>
      <c r="S163" s="281"/>
      <c r="T163" s="281"/>
      <c r="U163" s="281"/>
      <c r="V163" s="281"/>
      <c r="W163" s="281"/>
      <c r="X163" s="281"/>
      <c r="Y163" s="281"/>
      <c r="Z163" s="281"/>
      <c r="AA163" s="281"/>
      <c r="AB163" s="281"/>
      <c r="AC163" s="281"/>
      <c r="AD163" s="281"/>
      <c r="AE163" s="281"/>
    </row>
    <row r="164" spans="2:31" ht="15">
      <c r="B164" s="386">
        <f t="shared" si="5"/>
        <v>119</v>
      </c>
      <c r="C164" s="394" t="str" cm="1">
        <f t="array" aca="1" ref="C164" ca="1">IF(B164&lt;=$C$9,GetGetCDSName(B164),"")</f>
        <v>CDS Name - Issuer 119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4" s="354">
        <v>0</v>
      </c>
      <c r="E164" s="387">
        <v>0</v>
      </c>
      <c r="F164" s="306">
        <v>0</v>
      </c>
      <c r="G164" s="306">
        <v>1</v>
      </c>
      <c r="H164" s="306">
        <v>0</v>
      </c>
      <c r="I164" s="306">
        <v>0</v>
      </c>
      <c r="J164" s="306">
        <v>0</v>
      </c>
      <c r="K164" s="306"/>
      <c r="L164" s="306"/>
      <c r="M164" s="306"/>
      <c r="N164" s="388"/>
      <c r="O164" s="281"/>
      <c r="P164" s="281"/>
      <c r="Q164" s="281"/>
      <c r="R164" s="281"/>
      <c r="S164" s="281"/>
      <c r="T164" s="281"/>
      <c r="U164" s="281"/>
      <c r="V164" s="281"/>
      <c r="W164" s="281"/>
      <c r="X164" s="281"/>
      <c r="Y164" s="281"/>
      <c r="Z164" s="281"/>
      <c r="AA164" s="281"/>
      <c r="AB164" s="281"/>
      <c r="AC164" s="281"/>
      <c r="AD164" s="281"/>
      <c r="AE164" s="281"/>
    </row>
    <row r="165" spans="2:31" ht="15">
      <c r="B165" s="386">
        <f t="shared" si="5"/>
        <v>120</v>
      </c>
      <c r="C165" s="394" t="str" cm="1">
        <f t="array" aca="1" ref="C165" ca="1">IF(B165&lt;=$C$9,GetGetCDSName(B165),"")</f>
        <v>CDS Name - Issuer 120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5" s="354">
        <v>0</v>
      </c>
      <c r="E165" s="387">
        <v>1</v>
      </c>
      <c r="F165" s="306">
        <v>0</v>
      </c>
      <c r="G165" s="306">
        <v>0</v>
      </c>
      <c r="H165" s="306">
        <v>0</v>
      </c>
      <c r="I165" s="306">
        <v>0</v>
      </c>
      <c r="J165" s="306">
        <v>0</v>
      </c>
      <c r="K165" s="306"/>
      <c r="L165" s="306"/>
      <c r="M165" s="306"/>
      <c r="N165" s="388"/>
      <c r="O165" s="281"/>
      <c r="P165" s="281"/>
      <c r="Q165" s="281"/>
      <c r="R165" s="281"/>
      <c r="S165" s="281"/>
      <c r="T165" s="281"/>
      <c r="U165" s="281"/>
      <c r="V165" s="281"/>
      <c r="W165" s="281"/>
      <c r="X165" s="281"/>
      <c r="Y165" s="281"/>
      <c r="Z165" s="281"/>
      <c r="AA165" s="281"/>
      <c r="AB165" s="281"/>
      <c r="AC165" s="281"/>
      <c r="AD165" s="281"/>
      <c r="AE165" s="281"/>
    </row>
    <row r="166" spans="2:31" ht="15">
      <c r="B166" s="386">
        <f t="shared" si="5"/>
        <v>121</v>
      </c>
      <c r="C166" s="394" t="str" cm="1">
        <f t="array" aca="1" ref="C166" ca="1">IF(B166&lt;=$C$9,GetGetCDSName(B166),"")</f>
        <v>CDS Name - Issuer 121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6" s="354">
        <v>0</v>
      </c>
      <c r="E166" s="387">
        <v>0</v>
      </c>
      <c r="F166" s="306">
        <v>0</v>
      </c>
      <c r="G166" s="306">
        <v>0</v>
      </c>
      <c r="H166" s="306">
        <v>1</v>
      </c>
      <c r="I166" s="306">
        <v>0</v>
      </c>
      <c r="J166" s="306">
        <v>1</v>
      </c>
      <c r="K166" s="306"/>
      <c r="L166" s="306"/>
      <c r="M166" s="306"/>
      <c r="N166" s="388"/>
      <c r="O166" s="281"/>
      <c r="P166" s="281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81"/>
    </row>
    <row r="167" spans="2:31" ht="15">
      <c r="B167" s="386">
        <f t="shared" si="5"/>
        <v>122</v>
      </c>
      <c r="C167" s="394" t="str" cm="1">
        <f t="array" aca="1" ref="C167" ca="1">IF(B167&lt;=$C$9,GetGetCDSName(B167),"")</f>
        <v>CDS Name - Issuer 122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7" s="354">
        <v>0</v>
      </c>
      <c r="E167" s="387">
        <v>1</v>
      </c>
      <c r="F167" s="306">
        <v>0</v>
      </c>
      <c r="G167" s="306">
        <v>0</v>
      </c>
      <c r="H167" s="306">
        <v>0</v>
      </c>
      <c r="I167" s="306">
        <v>0</v>
      </c>
      <c r="J167" s="306">
        <v>0</v>
      </c>
      <c r="K167" s="306"/>
      <c r="L167" s="306"/>
      <c r="M167" s="306"/>
      <c r="N167" s="388"/>
      <c r="O167" s="281"/>
      <c r="P167" s="281"/>
      <c r="Q167" s="281"/>
      <c r="R167" s="281"/>
      <c r="S167" s="281"/>
      <c r="T167" s="281"/>
      <c r="U167" s="281"/>
      <c r="V167" s="281"/>
      <c r="W167" s="281"/>
      <c r="X167" s="281"/>
      <c r="Y167" s="281"/>
      <c r="Z167" s="281"/>
      <c r="AA167" s="281"/>
      <c r="AB167" s="281"/>
      <c r="AC167" s="281"/>
      <c r="AD167" s="281"/>
      <c r="AE167" s="281"/>
    </row>
    <row r="168" spans="2:31" ht="15">
      <c r="B168" s="386">
        <f t="shared" si="5"/>
        <v>123</v>
      </c>
      <c r="C168" s="394" t="str" cm="1">
        <f t="array" aca="1" ref="C168" ca="1">IF(B168&lt;=$C$9,GetGetCDSName(B168),"")</f>
        <v>CDS Name - Issuer 123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8" s="354">
        <v>0</v>
      </c>
      <c r="E168" s="387">
        <v>0</v>
      </c>
      <c r="F168" s="306">
        <v>1</v>
      </c>
      <c r="G168" s="306">
        <v>0</v>
      </c>
      <c r="H168" s="306">
        <v>0</v>
      </c>
      <c r="I168" s="306">
        <v>0</v>
      </c>
      <c r="J168" s="306">
        <v>0</v>
      </c>
      <c r="K168" s="306"/>
      <c r="L168" s="306"/>
      <c r="M168" s="306"/>
      <c r="N168" s="388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</row>
    <row r="169" spans="2:31" ht="15">
      <c r="B169" s="386">
        <f t="shared" si="5"/>
        <v>124</v>
      </c>
      <c r="C169" s="394" t="str" cm="1">
        <f t="array" aca="1" ref="C169" ca="1">IF(B169&lt;=$C$9,GetGetCDSName(B169),"")</f>
        <v>CDS Name - Issuer 124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9" s="354">
        <v>0</v>
      </c>
      <c r="E169" s="387">
        <v>1</v>
      </c>
      <c r="F169" s="306">
        <v>0</v>
      </c>
      <c r="G169" s="306">
        <v>1</v>
      </c>
      <c r="H169" s="306">
        <v>0</v>
      </c>
      <c r="I169" s="306">
        <v>1</v>
      </c>
      <c r="J169" s="306">
        <v>0</v>
      </c>
      <c r="K169" s="306"/>
      <c r="L169" s="306"/>
      <c r="M169" s="306"/>
      <c r="N169" s="388"/>
      <c r="O169" s="281"/>
      <c r="P169" s="281"/>
      <c r="Q169" s="281"/>
      <c r="R169" s="281"/>
      <c r="S169" s="281"/>
      <c r="T169" s="281"/>
      <c r="U169" s="281"/>
      <c r="V169" s="281"/>
      <c r="W169" s="281"/>
      <c r="X169" s="281"/>
      <c r="Y169" s="281"/>
      <c r="Z169" s="281"/>
      <c r="AA169" s="281"/>
      <c r="AB169" s="281"/>
      <c r="AC169" s="281"/>
      <c r="AD169" s="281"/>
      <c r="AE169" s="281"/>
    </row>
    <row r="170" spans="2:31" ht="15">
      <c r="B170" s="386">
        <f t="shared" si="5"/>
        <v>125</v>
      </c>
      <c r="C170" s="394" t="str" cm="1">
        <f t="array" aca="1" ref="C170" ca="1">IF(B170&lt;=$C$9,GetGetCDSName(B170),"")</f>
        <v>CDS Name - Issuer 125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70" s="354">
        <v>0</v>
      </c>
      <c r="E170" s="387">
        <v>0</v>
      </c>
      <c r="F170" s="306">
        <v>0</v>
      </c>
      <c r="G170" s="306">
        <v>0</v>
      </c>
      <c r="H170" s="306">
        <v>1</v>
      </c>
      <c r="I170" s="306">
        <v>0</v>
      </c>
      <c r="J170" s="306">
        <v>0</v>
      </c>
      <c r="K170" s="306"/>
      <c r="L170" s="306"/>
      <c r="M170" s="306"/>
      <c r="N170" s="388"/>
      <c r="O170" s="281"/>
      <c r="P170" s="281"/>
      <c r="Q170" s="281"/>
      <c r="R170" s="281"/>
      <c r="S170" s="281"/>
      <c r="T170" s="281"/>
      <c r="U170" s="281"/>
      <c r="V170" s="281"/>
      <c r="W170" s="281"/>
      <c r="X170" s="281"/>
      <c r="Y170" s="281"/>
      <c r="Z170" s="281"/>
      <c r="AA170" s="281"/>
      <c r="AB170" s="281"/>
      <c r="AC170" s="281"/>
      <c r="AD170" s="281"/>
      <c r="AE170" s="281"/>
    </row>
    <row r="171" spans="2:31" ht="15">
      <c r="B171" s="386">
        <f t="shared" si="5"/>
        <v>126</v>
      </c>
      <c r="C171" s="394" t="str" cm="1">
        <f t="array" aca="1" ref="C171" ca="1">IF(B171&lt;=$C$9,GetGetCDSName(B171),"")</f>
        <v/>
      </c>
      <c r="D171" s="354"/>
      <c r="E171" s="387"/>
      <c r="F171" s="306"/>
      <c r="G171" s="306"/>
      <c r="H171" s="306"/>
      <c r="I171" s="306"/>
      <c r="J171" s="306"/>
      <c r="K171" s="306"/>
      <c r="L171" s="306"/>
      <c r="M171" s="306"/>
      <c r="N171" s="388"/>
      <c r="O171" s="281"/>
      <c r="P171" s="281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81"/>
    </row>
    <row r="172" spans="2:31" ht="15">
      <c r="B172" s="386">
        <f t="shared" si="5"/>
        <v>127</v>
      </c>
      <c r="C172" s="394" t="str" cm="1">
        <f t="array" aca="1" ref="C172" ca="1">IF(B172&lt;=$C$9,GetGetCDSName(B172),"")</f>
        <v/>
      </c>
      <c r="D172" s="354"/>
      <c r="E172" s="387"/>
      <c r="F172" s="306"/>
      <c r="G172" s="306"/>
      <c r="H172" s="306"/>
      <c r="I172" s="306"/>
      <c r="J172" s="306"/>
      <c r="K172" s="306"/>
      <c r="L172" s="306"/>
      <c r="M172" s="306"/>
      <c r="N172" s="388"/>
      <c r="O172" s="281"/>
      <c r="P172" s="281"/>
      <c r="Q172" s="281"/>
      <c r="R172" s="281"/>
      <c r="S172" s="281"/>
      <c r="T172" s="281"/>
      <c r="U172" s="281"/>
      <c r="V172" s="281"/>
      <c r="W172" s="281"/>
      <c r="X172" s="281"/>
      <c r="Y172" s="281"/>
      <c r="Z172" s="281"/>
      <c r="AA172" s="281"/>
      <c r="AB172" s="281"/>
      <c r="AC172" s="281"/>
      <c r="AD172" s="281"/>
      <c r="AE172" s="281"/>
    </row>
    <row r="173" spans="2:31" ht="15">
      <c r="B173" s="386">
        <f t="shared" si="5"/>
        <v>128</v>
      </c>
      <c r="C173" s="394" t="str" cm="1">
        <f t="array" aca="1" ref="C173" ca="1">IF(B173&lt;=$C$9,GetGetCDSName(B173),"")</f>
        <v/>
      </c>
      <c r="D173" s="354"/>
      <c r="E173" s="387"/>
      <c r="F173" s="306"/>
      <c r="G173" s="306"/>
      <c r="H173" s="306"/>
      <c r="I173" s="306"/>
      <c r="J173" s="306"/>
      <c r="K173" s="306"/>
      <c r="L173" s="306"/>
      <c r="M173" s="306"/>
      <c r="N173" s="388"/>
      <c r="O173" s="281"/>
      <c r="P173" s="281"/>
      <c r="Q173" s="281"/>
      <c r="R173" s="281"/>
      <c r="S173" s="281"/>
      <c r="T173" s="281"/>
      <c r="U173" s="281"/>
      <c r="V173" s="281"/>
      <c r="W173" s="281"/>
      <c r="X173" s="281"/>
      <c r="Y173" s="281"/>
      <c r="Z173" s="281"/>
      <c r="AA173" s="281"/>
      <c r="AB173" s="281"/>
      <c r="AC173" s="281"/>
      <c r="AD173" s="281"/>
      <c r="AE173" s="281"/>
    </row>
    <row r="174" spans="2:31" ht="15">
      <c r="B174" s="386">
        <f t="shared" si="5"/>
        <v>129</v>
      </c>
      <c r="C174" s="394" t="str" cm="1">
        <f t="array" aca="1" ref="C174" ca="1">IF(B174&lt;=$C$9,GetGetCDSName(B174),"")</f>
        <v/>
      </c>
      <c r="D174" s="354"/>
      <c r="E174" s="387"/>
      <c r="F174" s="306"/>
      <c r="G174" s="306"/>
      <c r="H174" s="306"/>
      <c r="I174" s="306"/>
      <c r="J174" s="306"/>
      <c r="K174" s="306"/>
      <c r="L174" s="306"/>
      <c r="M174" s="306"/>
      <c r="N174" s="388"/>
      <c r="O174" s="281"/>
      <c r="P174" s="281"/>
      <c r="Q174" s="281"/>
      <c r="R174" s="281"/>
      <c r="S174" s="281"/>
      <c r="T174" s="281"/>
      <c r="U174" s="281"/>
      <c r="V174" s="281"/>
      <c r="W174" s="281"/>
      <c r="X174" s="281"/>
      <c r="Y174" s="281"/>
      <c r="Z174" s="281"/>
      <c r="AA174" s="281"/>
      <c r="AB174" s="281"/>
      <c r="AC174" s="281"/>
      <c r="AD174" s="281"/>
      <c r="AE174" s="281"/>
    </row>
    <row r="175" spans="2:31" ht="15">
      <c r="B175" s="386">
        <f t="shared" ref="B175:B238" si="6">B174+1</f>
        <v>130</v>
      </c>
      <c r="C175" s="394" t="str" cm="1">
        <f t="array" aca="1" ref="C175" ca="1">IF(B175&lt;=$C$9,GetGetCDSName(B175),"")</f>
        <v/>
      </c>
      <c r="D175" s="354"/>
      <c r="E175" s="387"/>
      <c r="F175" s="306"/>
      <c r="G175" s="306"/>
      <c r="H175" s="306"/>
      <c r="I175" s="306"/>
      <c r="J175" s="306"/>
      <c r="K175" s="306"/>
      <c r="L175" s="306"/>
      <c r="M175" s="306"/>
      <c r="N175" s="388"/>
      <c r="O175" s="281"/>
      <c r="P175" s="281"/>
      <c r="Q175" s="281"/>
      <c r="R175" s="281"/>
      <c r="S175" s="281"/>
      <c r="T175" s="281"/>
      <c r="U175" s="281"/>
      <c r="V175" s="281"/>
      <c r="W175" s="281"/>
      <c r="X175" s="281"/>
      <c r="Y175" s="281"/>
      <c r="Z175" s="281"/>
      <c r="AA175" s="281"/>
      <c r="AB175" s="281"/>
      <c r="AC175" s="281"/>
      <c r="AD175" s="281"/>
      <c r="AE175" s="281"/>
    </row>
    <row r="176" spans="2:31" ht="15">
      <c r="B176" s="386">
        <f t="shared" si="6"/>
        <v>131</v>
      </c>
      <c r="C176" s="394" t="str" cm="1">
        <f t="array" aca="1" ref="C176" ca="1">IF(B176&lt;=$C$9,GetGetCDSName(B176),"")</f>
        <v/>
      </c>
      <c r="D176" s="354"/>
      <c r="E176" s="387"/>
      <c r="F176" s="306"/>
      <c r="G176" s="306"/>
      <c r="H176" s="306"/>
      <c r="I176" s="306"/>
      <c r="J176" s="306"/>
      <c r="K176" s="306"/>
      <c r="L176" s="306"/>
      <c r="M176" s="306"/>
      <c r="N176" s="388"/>
      <c r="O176" s="281"/>
      <c r="P176" s="281"/>
      <c r="Q176" s="281"/>
      <c r="R176" s="281"/>
      <c r="S176" s="281"/>
      <c r="T176" s="281"/>
      <c r="U176" s="281"/>
      <c r="V176" s="281"/>
      <c r="W176" s="281"/>
      <c r="X176" s="281"/>
      <c r="Y176" s="281"/>
      <c r="Z176" s="281"/>
      <c r="AA176" s="281"/>
      <c r="AB176" s="281"/>
      <c r="AC176" s="281"/>
      <c r="AD176" s="281"/>
      <c r="AE176" s="281"/>
    </row>
    <row r="177" spans="2:31" ht="15">
      <c r="B177" s="386">
        <f t="shared" si="6"/>
        <v>132</v>
      </c>
      <c r="C177" s="394" t="str" cm="1">
        <f t="array" aca="1" ref="C177" ca="1">IF(B177&lt;=$C$9,GetGetCDSName(B177),"")</f>
        <v/>
      </c>
      <c r="D177" s="354"/>
      <c r="E177" s="387"/>
      <c r="F177" s="306"/>
      <c r="G177" s="306"/>
      <c r="H177" s="306"/>
      <c r="I177" s="306"/>
      <c r="J177" s="306"/>
      <c r="K177" s="306"/>
      <c r="L177" s="306"/>
      <c r="M177" s="306"/>
      <c r="N177" s="388"/>
      <c r="O177" s="281"/>
      <c r="P177" s="281"/>
      <c r="Q177" s="281"/>
      <c r="R177" s="281"/>
      <c r="S177" s="281"/>
      <c r="T177" s="281"/>
      <c r="U177" s="281"/>
      <c r="V177" s="281"/>
      <c r="W177" s="281"/>
      <c r="X177" s="281"/>
      <c r="Y177" s="281"/>
      <c r="Z177" s="281"/>
      <c r="AA177" s="281"/>
      <c r="AB177" s="281"/>
      <c r="AC177" s="281"/>
      <c r="AD177" s="281"/>
      <c r="AE177" s="281"/>
    </row>
    <row r="178" spans="2:31" ht="15">
      <c r="B178" s="386">
        <f t="shared" si="6"/>
        <v>133</v>
      </c>
      <c r="C178" s="394" t="str" cm="1">
        <f t="array" aca="1" ref="C178" ca="1">IF(B178&lt;=$C$9,GetGetCDSName(B178),"")</f>
        <v/>
      </c>
      <c r="D178" s="354"/>
      <c r="E178" s="387"/>
      <c r="F178" s="306"/>
      <c r="G178" s="306"/>
      <c r="H178" s="306"/>
      <c r="I178" s="306"/>
      <c r="J178" s="306"/>
      <c r="K178" s="306"/>
      <c r="L178" s="306"/>
      <c r="M178" s="306"/>
      <c r="N178" s="388"/>
      <c r="O178" s="281"/>
      <c r="P178" s="281"/>
      <c r="Q178" s="281"/>
      <c r="R178" s="281"/>
      <c r="S178" s="281"/>
      <c r="T178" s="281"/>
      <c r="U178" s="281"/>
      <c r="V178" s="281"/>
      <c r="W178" s="281"/>
      <c r="X178" s="281"/>
      <c r="Y178" s="281"/>
      <c r="Z178" s="281"/>
      <c r="AA178" s="281"/>
      <c r="AB178" s="281"/>
      <c r="AC178" s="281"/>
      <c r="AD178" s="281"/>
      <c r="AE178" s="281"/>
    </row>
    <row r="179" spans="2:31" ht="15">
      <c r="B179" s="386">
        <f t="shared" si="6"/>
        <v>134</v>
      </c>
      <c r="C179" s="394" t="str" cm="1">
        <f t="array" aca="1" ref="C179" ca="1">IF(B179&lt;=$C$9,GetGetCDSName(B179),"")</f>
        <v/>
      </c>
      <c r="D179" s="354"/>
      <c r="E179" s="387"/>
      <c r="F179" s="306"/>
      <c r="G179" s="306"/>
      <c r="H179" s="306"/>
      <c r="I179" s="306"/>
      <c r="J179" s="306"/>
      <c r="K179" s="306"/>
      <c r="L179" s="306"/>
      <c r="M179" s="306"/>
      <c r="N179" s="388"/>
      <c r="O179" s="281"/>
      <c r="P179" s="281"/>
      <c r="Q179" s="281"/>
      <c r="R179" s="281"/>
      <c r="S179" s="281"/>
      <c r="T179" s="281"/>
      <c r="U179" s="281"/>
      <c r="V179" s="281"/>
      <c r="W179" s="281"/>
      <c r="X179" s="281"/>
      <c r="Y179" s="281"/>
      <c r="Z179" s="281"/>
      <c r="AA179" s="281"/>
      <c r="AB179" s="281"/>
      <c r="AC179" s="281"/>
      <c r="AD179" s="281"/>
      <c r="AE179" s="281"/>
    </row>
    <row r="180" spans="2:31" ht="15">
      <c r="B180" s="386">
        <f t="shared" si="6"/>
        <v>135</v>
      </c>
      <c r="C180" s="394" t="str" cm="1">
        <f t="array" aca="1" ref="C180" ca="1">IF(B180&lt;=$C$9,GetGetCDSName(B180),"")</f>
        <v/>
      </c>
      <c r="D180" s="354"/>
      <c r="E180" s="387"/>
      <c r="F180" s="306"/>
      <c r="G180" s="306"/>
      <c r="H180" s="306"/>
      <c r="I180" s="306"/>
      <c r="J180" s="306"/>
      <c r="K180" s="306"/>
      <c r="L180" s="306"/>
      <c r="M180" s="306"/>
      <c r="N180" s="388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  <c r="Z180" s="281"/>
      <c r="AA180" s="281"/>
      <c r="AB180" s="281"/>
      <c r="AC180" s="281"/>
      <c r="AD180" s="281"/>
      <c r="AE180" s="281"/>
    </row>
    <row r="181" spans="2:31" ht="15">
      <c r="B181" s="386">
        <f t="shared" si="6"/>
        <v>136</v>
      </c>
      <c r="C181" s="394" t="str" cm="1">
        <f t="array" aca="1" ref="C181" ca="1">IF(B181&lt;=$C$9,GetGetCDSName(B181),"")</f>
        <v/>
      </c>
      <c r="D181" s="354"/>
      <c r="E181" s="387"/>
      <c r="F181" s="306"/>
      <c r="G181" s="306"/>
      <c r="H181" s="306"/>
      <c r="I181" s="306"/>
      <c r="J181" s="306"/>
      <c r="K181" s="306"/>
      <c r="L181" s="306"/>
      <c r="M181" s="306"/>
      <c r="N181" s="388"/>
      <c r="O181" s="281"/>
      <c r="P181" s="281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81"/>
    </row>
    <row r="182" spans="2:31" ht="15">
      <c r="B182" s="386">
        <f t="shared" si="6"/>
        <v>137</v>
      </c>
      <c r="C182" s="394" t="str" cm="1">
        <f t="array" aca="1" ref="C182" ca="1">IF(B182&lt;=$C$9,GetGetCDSName(B182),"")</f>
        <v/>
      </c>
      <c r="D182" s="354"/>
      <c r="E182" s="387"/>
      <c r="F182" s="306"/>
      <c r="G182" s="306"/>
      <c r="H182" s="306"/>
      <c r="I182" s="306"/>
      <c r="J182" s="306"/>
      <c r="K182" s="306"/>
      <c r="L182" s="306"/>
      <c r="M182" s="306"/>
      <c r="N182" s="388"/>
      <c r="O182" s="281"/>
      <c r="P182" s="281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81"/>
    </row>
    <row r="183" spans="2:31" ht="15">
      <c r="B183" s="386">
        <f t="shared" si="6"/>
        <v>138</v>
      </c>
      <c r="C183" s="394" t="str" cm="1">
        <f t="array" aca="1" ref="C183" ca="1">IF(B183&lt;=$C$9,GetGetCDSName(B183),"")</f>
        <v/>
      </c>
      <c r="D183" s="354"/>
      <c r="E183" s="387"/>
      <c r="F183" s="306"/>
      <c r="G183" s="306"/>
      <c r="H183" s="306"/>
      <c r="I183" s="306"/>
      <c r="J183" s="306"/>
      <c r="K183" s="306"/>
      <c r="L183" s="306"/>
      <c r="M183" s="306"/>
      <c r="N183" s="388"/>
      <c r="O183" s="281"/>
      <c r="P183" s="281"/>
      <c r="Q183" s="281"/>
      <c r="R183" s="281"/>
      <c r="S183" s="281"/>
      <c r="T183" s="281"/>
      <c r="U183" s="281"/>
      <c r="V183" s="281"/>
      <c r="W183" s="281"/>
      <c r="X183" s="281"/>
      <c r="Y183" s="281"/>
      <c r="Z183" s="281"/>
      <c r="AA183" s="281"/>
      <c r="AB183" s="281"/>
      <c r="AC183" s="281"/>
      <c r="AD183" s="281"/>
      <c r="AE183" s="281"/>
    </row>
    <row r="184" spans="2:31" ht="15">
      <c r="B184" s="386">
        <f t="shared" si="6"/>
        <v>139</v>
      </c>
      <c r="C184" s="394" t="str" cm="1">
        <f t="array" aca="1" ref="C184" ca="1">IF(B184&lt;=$C$9,GetGetCDSName(B184),"")</f>
        <v/>
      </c>
      <c r="D184" s="354"/>
      <c r="E184" s="387"/>
      <c r="F184" s="306"/>
      <c r="G184" s="306"/>
      <c r="H184" s="306"/>
      <c r="I184" s="306"/>
      <c r="J184" s="306"/>
      <c r="K184" s="306"/>
      <c r="L184" s="306"/>
      <c r="M184" s="306"/>
      <c r="N184" s="388"/>
      <c r="O184" s="281"/>
      <c r="P184" s="281"/>
      <c r="Q184" s="281"/>
      <c r="R184" s="281"/>
      <c r="S184" s="281"/>
      <c r="T184" s="281"/>
      <c r="U184" s="281"/>
      <c r="V184" s="281"/>
      <c r="W184" s="281"/>
      <c r="X184" s="281"/>
      <c r="Y184" s="281"/>
      <c r="Z184" s="281"/>
      <c r="AA184" s="281"/>
      <c r="AB184" s="281"/>
      <c r="AC184" s="281"/>
      <c r="AD184" s="281"/>
      <c r="AE184" s="281"/>
    </row>
    <row r="185" spans="2:31" ht="15">
      <c r="B185" s="386">
        <f t="shared" si="6"/>
        <v>140</v>
      </c>
      <c r="C185" s="394" t="str" cm="1">
        <f t="array" aca="1" ref="C185" ca="1">IF(B185&lt;=$C$9,GetGetCDSName(B185),"")</f>
        <v/>
      </c>
      <c r="D185" s="354"/>
      <c r="E185" s="387"/>
      <c r="F185" s="306"/>
      <c r="G185" s="306"/>
      <c r="H185" s="306"/>
      <c r="I185" s="306"/>
      <c r="J185" s="306"/>
      <c r="K185" s="306"/>
      <c r="L185" s="306"/>
      <c r="M185" s="306"/>
      <c r="N185" s="388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281"/>
      <c r="AA185" s="281"/>
      <c r="AB185" s="281"/>
      <c r="AC185" s="281"/>
      <c r="AD185" s="281"/>
      <c r="AE185" s="281"/>
    </row>
    <row r="186" spans="2:31" ht="15">
      <c r="B186" s="386">
        <f t="shared" si="6"/>
        <v>141</v>
      </c>
      <c r="C186" s="394" t="str" cm="1">
        <f t="array" aca="1" ref="C186" ca="1">IF(B186&lt;=$C$9,GetGetCDSName(B186),"")</f>
        <v/>
      </c>
      <c r="D186" s="354"/>
      <c r="E186" s="387"/>
      <c r="F186" s="306"/>
      <c r="G186" s="306"/>
      <c r="H186" s="306"/>
      <c r="I186" s="306"/>
      <c r="J186" s="306"/>
      <c r="K186" s="306"/>
      <c r="L186" s="306"/>
      <c r="M186" s="306"/>
      <c r="N186" s="388"/>
      <c r="O186" s="281"/>
      <c r="P186" s="281"/>
      <c r="Q186" s="281"/>
      <c r="R186" s="281"/>
      <c r="S186" s="281"/>
      <c r="T186" s="281"/>
      <c r="U186" s="281"/>
      <c r="V186" s="281"/>
      <c r="W186" s="281"/>
      <c r="X186" s="281"/>
      <c r="Y186" s="281"/>
      <c r="Z186" s="281"/>
      <c r="AA186" s="281"/>
      <c r="AB186" s="281"/>
      <c r="AC186" s="281"/>
      <c r="AD186" s="281"/>
      <c r="AE186" s="281"/>
    </row>
    <row r="187" spans="2:31" ht="15">
      <c r="B187" s="386">
        <f t="shared" si="6"/>
        <v>142</v>
      </c>
      <c r="C187" s="394" t="str" cm="1">
        <f t="array" aca="1" ref="C187" ca="1">IF(B187&lt;=$C$9,GetGetCDSName(B187),"")</f>
        <v/>
      </c>
      <c r="D187" s="354"/>
      <c r="E187" s="387"/>
      <c r="F187" s="306"/>
      <c r="G187" s="306"/>
      <c r="H187" s="306"/>
      <c r="I187" s="306"/>
      <c r="J187" s="306"/>
      <c r="K187" s="306"/>
      <c r="L187" s="306"/>
      <c r="M187" s="306"/>
      <c r="N187" s="388"/>
      <c r="O187" s="281"/>
      <c r="P187" s="281"/>
      <c r="Q187" s="281"/>
      <c r="R187" s="281"/>
      <c r="S187" s="281"/>
      <c r="T187" s="281"/>
      <c r="U187" s="281"/>
      <c r="V187" s="281"/>
      <c r="W187" s="281"/>
      <c r="X187" s="281"/>
      <c r="Y187" s="281"/>
      <c r="Z187" s="281"/>
      <c r="AA187" s="281"/>
      <c r="AB187" s="281"/>
      <c r="AC187" s="281"/>
      <c r="AD187" s="281"/>
      <c r="AE187" s="281"/>
    </row>
    <row r="188" spans="2:31" ht="15">
      <c r="B188" s="386">
        <f t="shared" si="6"/>
        <v>143</v>
      </c>
      <c r="C188" s="394" t="str" cm="1">
        <f t="array" aca="1" ref="C188" ca="1">IF(B188&lt;=$C$9,GetGetCDSName(B188),"")</f>
        <v/>
      </c>
      <c r="D188" s="354"/>
      <c r="E188" s="387"/>
      <c r="F188" s="306"/>
      <c r="G188" s="306"/>
      <c r="H188" s="306"/>
      <c r="I188" s="306"/>
      <c r="J188" s="306"/>
      <c r="K188" s="306"/>
      <c r="L188" s="306"/>
      <c r="M188" s="306"/>
      <c r="N188" s="388"/>
      <c r="O188" s="281"/>
      <c r="P188" s="281"/>
      <c r="Q188" s="281"/>
      <c r="R188" s="281"/>
      <c r="S188" s="281"/>
      <c r="T188" s="281"/>
      <c r="U188" s="281"/>
      <c r="V188" s="281"/>
      <c r="W188" s="281"/>
      <c r="X188" s="281"/>
      <c r="Y188" s="281"/>
      <c r="Z188" s="281"/>
      <c r="AA188" s="281"/>
      <c r="AB188" s="281"/>
      <c r="AC188" s="281"/>
      <c r="AD188" s="281"/>
      <c r="AE188" s="281"/>
    </row>
    <row r="189" spans="2:31" ht="15">
      <c r="B189" s="386">
        <f t="shared" si="6"/>
        <v>144</v>
      </c>
      <c r="C189" s="394" t="str" cm="1">
        <f t="array" aca="1" ref="C189" ca="1">IF(B189&lt;=$C$9,GetGetCDSName(B189),"")</f>
        <v/>
      </c>
      <c r="D189" s="354"/>
      <c r="E189" s="387"/>
      <c r="F189" s="306"/>
      <c r="G189" s="306"/>
      <c r="H189" s="306"/>
      <c r="I189" s="306"/>
      <c r="J189" s="306"/>
      <c r="K189" s="306"/>
      <c r="L189" s="306"/>
      <c r="M189" s="306"/>
      <c r="N189" s="388"/>
      <c r="O189" s="281"/>
      <c r="P189" s="281"/>
      <c r="Q189" s="281"/>
      <c r="R189" s="281"/>
      <c r="S189" s="281"/>
      <c r="T189" s="281"/>
      <c r="U189" s="281"/>
      <c r="V189" s="281"/>
      <c r="W189" s="281"/>
      <c r="X189" s="281"/>
      <c r="Y189" s="281"/>
      <c r="Z189" s="281"/>
      <c r="AA189" s="281"/>
      <c r="AB189" s="281"/>
      <c r="AC189" s="281"/>
      <c r="AD189" s="281"/>
      <c r="AE189" s="281"/>
    </row>
    <row r="190" spans="2:31" ht="15">
      <c r="B190" s="386">
        <f t="shared" si="6"/>
        <v>145</v>
      </c>
      <c r="C190" s="394" t="str" cm="1">
        <f t="array" aca="1" ref="C190" ca="1">IF(B190&lt;=$C$9,GetGetCDSName(B190),"")</f>
        <v/>
      </c>
      <c r="D190" s="354"/>
      <c r="E190" s="387"/>
      <c r="F190" s="306"/>
      <c r="G190" s="306"/>
      <c r="H190" s="306"/>
      <c r="I190" s="306"/>
      <c r="J190" s="306"/>
      <c r="K190" s="306"/>
      <c r="L190" s="306"/>
      <c r="M190" s="306"/>
      <c r="N190" s="388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  <c r="Z190" s="281"/>
      <c r="AA190" s="281"/>
      <c r="AB190" s="281"/>
      <c r="AC190" s="281"/>
      <c r="AD190" s="281"/>
      <c r="AE190" s="281"/>
    </row>
    <row r="191" spans="2:31" ht="15">
      <c r="B191" s="386">
        <f t="shared" si="6"/>
        <v>146</v>
      </c>
      <c r="C191" s="394" t="str" cm="1">
        <f t="array" aca="1" ref="C191" ca="1">IF(B191&lt;=$C$9,GetGetCDSName(B191),"")</f>
        <v/>
      </c>
      <c r="D191" s="354"/>
      <c r="E191" s="387"/>
      <c r="F191" s="306"/>
      <c r="G191" s="306"/>
      <c r="H191" s="306"/>
      <c r="I191" s="306"/>
      <c r="J191" s="306"/>
      <c r="K191" s="306"/>
      <c r="L191" s="306"/>
      <c r="M191" s="306"/>
      <c r="N191" s="388"/>
      <c r="O191" s="281"/>
      <c r="P191" s="281"/>
      <c r="Q191" s="281"/>
      <c r="R191" s="281"/>
      <c r="S191" s="281"/>
      <c r="T191" s="281"/>
      <c r="U191" s="281"/>
      <c r="V191" s="281"/>
      <c r="W191" s="281"/>
      <c r="X191" s="281"/>
      <c r="Y191" s="281"/>
      <c r="Z191" s="281"/>
      <c r="AA191" s="281"/>
      <c r="AB191" s="281"/>
      <c r="AC191" s="281"/>
      <c r="AD191" s="281"/>
      <c r="AE191" s="281"/>
    </row>
    <row r="192" spans="2:31" ht="15">
      <c r="B192" s="386">
        <f t="shared" si="6"/>
        <v>147</v>
      </c>
      <c r="C192" s="394" t="str" cm="1">
        <f t="array" aca="1" ref="C192" ca="1">IF(B192&lt;=$C$9,GetGetCDSName(B192),"")</f>
        <v/>
      </c>
      <c r="D192" s="354"/>
      <c r="E192" s="387"/>
      <c r="F192" s="306"/>
      <c r="G192" s="306"/>
      <c r="H192" s="306"/>
      <c r="I192" s="306"/>
      <c r="J192" s="306"/>
      <c r="K192" s="306"/>
      <c r="L192" s="306"/>
      <c r="M192" s="306"/>
      <c r="N192" s="388"/>
      <c r="O192" s="281"/>
      <c r="P192" s="281"/>
      <c r="Q192" s="281"/>
      <c r="R192" s="281"/>
      <c r="S192" s="281"/>
      <c r="T192" s="281"/>
      <c r="U192" s="281"/>
      <c r="V192" s="281"/>
      <c r="W192" s="281"/>
      <c r="X192" s="281"/>
      <c r="Y192" s="281"/>
      <c r="Z192" s="281"/>
      <c r="AA192" s="281"/>
      <c r="AB192" s="281"/>
      <c r="AC192" s="281"/>
      <c r="AD192" s="281"/>
      <c r="AE192" s="281"/>
    </row>
    <row r="193" spans="2:31" ht="15">
      <c r="B193" s="386">
        <f t="shared" si="6"/>
        <v>148</v>
      </c>
      <c r="C193" s="394" t="str" cm="1">
        <f t="array" aca="1" ref="C193" ca="1">IF(B193&lt;=$C$9,GetGetCDSName(B193),"")</f>
        <v/>
      </c>
      <c r="D193" s="354"/>
      <c r="E193" s="387"/>
      <c r="F193" s="306"/>
      <c r="G193" s="306"/>
      <c r="H193" s="306"/>
      <c r="I193" s="306"/>
      <c r="J193" s="306"/>
      <c r="K193" s="306"/>
      <c r="L193" s="306"/>
      <c r="M193" s="306"/>
      <c r="N193" s="388"/>
      <c r="O193" s="281"/>
      <c r="P193" s="281"/>
      <c r="Q193" s="281"/>
      <c r="R193" s="281"/>
      <c r="S193" s="281"/>
      <c r="T193" s="281"/>
      <c r="U193" s="281"/>
      <c r="V193" s="281"/>
      <c r="W193" s="281"/>
      <c r="X193" s="281"/>
      <c r="Y193" s="281"/>
      <c r="Z193" s="281"/>
      <c r="AA193" s="281"/>
      <c r="AB193" s="281"/>
      <c r="AC193" s="281"/>
      <c r="AD193" s="281"/>
      <c r="AE193" s="281"/>
    </row>
    <row r="194" spans="2:31" ht="15">
      <c r="B194" s="386">
        <f t="shared" si="6"/>
        <v>149</v>
      </c>
      <c r="C194" s="394" t="str" cm="1">
        <f t="array" aca="1" ref="C194" ca="1">IF(B194&lt;=$C$9,GetGetCDSName(B194),"")</f>
        <v/>
      </c>
      <c r="D194" s="354"/>
      <c r="E194" s="387"/>
      <c r="F194" s="306"/>
      <c r="G194" s="306"/>
      <c r="H194" s="306"/>
      <c r="I194" s="306"/>
      <c r="J194" s="306"/>
      <c r="K194" s="306"/>
      <c r="L194" s="306"/>
      <c r="M194" s="306"/>
      <c r="N194" s="388"/>
      <c r="O194" s="281"/>
      <c r="P194" s="281"/>
      <c r="Q194" s="281"/>
      <c r="R194" s="281"/>
      <c r="S194" s="281"/>
      <c r="T194" s="281"/>
      <c r="U194" s="281"/>
      <c r="V194" s="281"/>
      <c r="W194" s="281"/>
      <c r="X194" s="281"/>
      <c r="Y194" s="281"/>
      <c r="Z194" s="281"/>
      <c r="AA194" s="281"/>
      <c r="AB194" s="281"/>
      <c r="AC194" s="281"/>
      <c r="AD194" s="281"/>
      <c r="AE194" s="281"/>
    </row>
    <row r="195" spans="2:31" ht="15">
      <c r="B195" s="386">
        <f t="shared" si="6"/>
        <v>150</v>
      </c>
      <c r="C195" s="394" t="str" cm="1">
        <f t="array" aca="1" ref="C195" ca="1">IF(B195&lt;=$C$9,GetGetCDSName(B195),"")</f>
        <v/>
      </c>
      <c r="D195" s="354"/>
      <c r="E195" s="387"/>
      <c r="F195" s="306"/>
      <c r="G195" s="306"/>
      <c r="H195" s="306"/>
      <c r="I195" s="306"/>
      <c r="J195" s="306"/>
      <c r="K195" s="306"/>
      <c r="L195" s="306"/>
      <c r="M195" s="306"/>
      <c r="N195" s="388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  <c r="Z195" s="281"/>
      <c r="AA195" s="281"/>
      <c r="AB195" s="281"/>
      <c r="AC195" s="281"/>
      <c r="AD195" s="281"/>
      <c r="AE195" s="281"/>
    </row>
    <row r="196" spans="2:31" ht="15">
      <c r="B196" s="386">
        <f t="shared" si="6"/>
        <v>151</v>
      </c>
      <c r="C196" s="394" t="str" cm="1">
        <f t="array" aca="1" ref="C196" ca="1">IF(B196&lt;=$C$9,GetGetCDSName(B196),"")</f>
        <v/>
      </c>
      <c r="D196" s="354"/>
      <c r="E196" s="387"/>
      <c r="F196" s="306"/>
      <c r="G196" s="306"/>
      <c r="H196" s="306"/>
      <c r="I196" s="306"/>
      <c r="J196" s="306"/>
      <c r="K196" s="306"/>
      <c r="L196" s="306"/>
      <c r="M196" s="306"/>
      <c r="N196" s="388"/>
      <c r="O196" s="281"/>
      <c r="P196" s="281"/>
      <c r="Q196" s="281"/>
      <c r="R196" s="281"/>
      <c r="S196" s="281"/>
      <c r="T196" s="281"/>
      <c r="U196" s="281"/>
      <c r="V196" s="281"/>
      <c r="W196" s="281"/>
      <c r="X196" s="281"/>
      <c r="Y196" s="281"/>
      <c r="Z196" s="281"/>
      <c r="AA196" s="281"/>
      <c r="AB196" s="281"/>
      <c r="AC196" s="281"/>
      <c r="AD196" s="281"/>
      <c r="AE196" s="281"/>
    </row>
    <row r="197" spans="2:31" ht="15">
      <c r="B197" s="386">
        <f t="shared" si="6"/>
        <v>152</v>
      </c>
      <c r="C197" s="394" t="str" cm="1">
        <f t="array" aca="1" ref="C197" ca="1">IF(B197&lt;=$C$9,GetGetCDSName(B197),"")</f>
        <v/>
      </c>
      <c r="D197" s="354"/>
      <c r="E197" s="387"/>
      <c r="F197" s="306"/>
      <c r="G197" s="306"/>
      <c r="H197" s="306"/>
      <c r="I197" s="306"/>
      <c r="J197" s="306"/>
      <c r="K197" s="306"/>
      <c r="L197" s="306"/>
      <c r="M197" s="306"/>
      <c r="N197" s="388"/>
      <c r="O197" s="281"/>
      <c r="P197" s="281"/>
      <c r="Q197" s="281"/>
      <c r="R197" s="281"/>
      <c r="S197" s="281"/>
      <c r="T197" s="281"/>
      <c r="U197" s="281"/>
      <c r="V197" s="281"/>
      <c r="W197" s="281"/>
      <c r="X197" s="281"/>
      <c r="Y197" s="281"/>
      <c r="Z197" s="281"/>
      <c r="AA197" s="281"/>
      <c r="AB197" s="281"/>
      <c r="AC197" s="281"/>
      <c r="AD197" s="281"/>
      <c r="AE197" s="281"/>
    </row>
    <row r="198" spans="2:31" ht="15">
      <c r="B198" s="386">
        <f t="shared" si="6"/>
        <v>153</v>
      </c>
      <c r="C198" s="394" t="str" cm="1">
        <f t="array" aca="1" ref="C198" ca="1">IF(B198&lt;=$C$9,GetGetCDSName(B198),"")</f>
        <v/>
      </c>
      <c r="D198" s="354"/>
      <c r="E198" s="387"/>
      <c r="F198" s="306"/>
      <c r="G198" s="306"/>
      <c r="H198" s="306"/>
      <c r="I198" s="306"/>
      <c r="J198" s="306"/>
      <c r="K198" s="306"/>
      <c r="L198" s="306"/>
      <c r="M198" s="306"/>
      <c r="N198" s="388"/>
      <c r="O198" s="281"/>
      <c r="P198" s="281"/>
      <c r="Q198" s="281"/>
      <c r="R198" s="281"/>
      <c r="S198" s="281"/>
      <c r="T198" s="281"/>
      <c r="U198" s="281"/>
      <c r="V198" s="281"/>
      <c r="W198" s="281"/>
      <c r="X198" s="281"/>
      <c r="Y198" s="281"/>
      <c r="Z198" s="281"/>
      <c r="AA198" s="281"/>
      <c r="AB198" s="281"/>
      <c r="AC198" s="281"/>
      <c r="AD198" s="281"/>
      <c r="AE198" s="281"/>
    </row>
    <row r="199" spans="2:31" ht="15">
      <c r="B199" s="386">
        <f t="shared" si="6"/>
        <v>154</v>
      </c>
      <c r="C199" s="394" t="str" cm="1">
        <f t="array" aca="1" ref="C199" ca="1">IF(B199&lt;=$C$9,GetGetCDSName(B199),"")</f>
        <v/>
      </c>
      <c r="D199" s="354"/>
      <c r="E199" s="387"/>
      <c r="F199" s="306"/>
      <c r="G199" s="306"/>
      <c r="H199" s="306"/>
      <c r="I199" s="306"/>
      <c r="J199" s="306"/>
      <c r="K199" s="306"/>
      <c r="L199" s="306"/>
      <c r="M199" s="306"/>
      <c r="N199" s="388"/>
      <c r="O199" s="281"/>
      <c r="P199" s="281"/>
      <c r="Q199" s="281"/>
      <c r="R199" s="281"/>
      <c r="S199" s="281"/>
      <c r="T199" s="281"/>
      <c r="U199" s="281"/>
      <c r="V199" s="281"/>
      <c r="W199" s="281"/>
      <c r="X199" s="281"/>
      <c r="Y199" s="281"/>
      <c r="Z199" s="281"/>
      <c r="AA199" s="281"/>
      <c r="AB199" s="281"/>
      <c r="AC199" s="281"/>
      <c r="AD199" s="281"/>
      <c r="AE199" s="281"/>
    </row>
    <row r="200" spans="2:31" ht="15">
      <c r="B200" s="386">
        <f t="shared" si="6"/>
        <v>155</v>
      </c>
      <c r="C200" s="394" t="str" cm="1">
        <f t="array" aca="1" ref="C200" ca="1">IF(B200&lt;=$C$9,GetGetCDSName(B200),"")</f>
        <v/>
      </c>
      <c r="D200" s="354"/>
      <c r="E200" s="387"/>
      <c r="F200" s="306"/>
      <c r="G200" s="306"/>
      <c r="H200" s="306"/>
      <c r="I200" s="306"/>
      <c r="J200" s="306"/>
      <c r="K200" s="306"/>
      <c r="L200" s="306"/>
      <c r="M200" s="306"/>
      <c r="N200" s="388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  <c r="Z200" s="281"/>
      <c r="AA200" s="281"/>
      <c r="AB200" s="281"/>
      <c r="AC200" s="281"/>
      <c r="AD200" s="281"/>
      <c r="AE200" s="281"/>
    </row>
    <row r="201" spans="2:31" ht="15">
      <c r="B201" s="386">
        <f t="shared" si="6"/>
        <v>156</v>
      </c>
      <c r="C201" s="394" t="str" cm="1">
        <f t="array" aca="1" ref="C201" ca="1">IF(B201&lt;=$C$9,GetGetCDSName(B201),"")</f>
        <v/>
      </c>
      <c r="D201" s="354"/>
      <c r="E201" s="387"/>
      <c r="F201" s="306"/>
      <c r="G201" s="306"/>
      <c r="H201" s="306"/>
      <c r="I201" s="306"/>
      <c r="J201" s="306"/>
      <c r="K201" s="306"/>
      <c r="L201" s="306"/>
      <c r="M201" s="306"/>
      <c r="N201" s="388"/>
      <c r="O201" s="281"/>
      <c r="P201" s="281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81"/>
    </row>
    <row r="202" spans="2:31" ht="15">
      <c r="B202" s="386">
        <f t="shared" si="6"/>
        <v>157</v>
      </c>
      <c r="C202" s="394" t="str" cm="1">
        <f t="array" aca="1" ref="C202" ca="1">IF(B202&lt;=$C$9,GetGetCDSName(B202),"")</f>
        <v/>
      </c>
      <c r="D202" s="354"/>
      <c r="E202" s="387"/>
      <c r="F202" s="306"/>
      <c r="G202" s="306"/>
      <c r="H202" s="306"/>
      <c r="I202" s="306"/>
      <c r="J202" s="306"/>
      <c r="K202" s="306"/>
      <c r="L202" s="306"/>
      <c r="M202" s="306"/>
      <c r="N202" s="388"/>
      <c r="O202" s="281"/>
      <c r="P202" s="281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81"/>
    </row>
    <row r="203" spans="2:31" ht="15">
      <c r="B203" s="386">
        <f t="shared" si="6"/>
        <v>158</v>
      </c>
      <c r="C203" s="394" t="str" cm="1">
        <f t="array" aca="1" ref="C203" ca="1">IF(B203&lt;=$C$9,GetGetCDSName(B203),"")</f>
        <v/>
      </c>
      <c r="D203" s="354"/>
      <c r="E203" s="387"/>
      <c r="F203" s="306"/>
      <c r="G203" s="306"/>
      <c r="H203" s="306"/>
      <c r="I203" s="306"/>
      <c r="J203" s="306"/>
      <c r="K203" s="306"/>
      <c r="L203" s="306"/>
      <c r="M203" s="306"/>
      <c r="N203" s="388"/>
      <c r="O203" s="281"/>
      <c r="P203" s="281"/>
      <c r="Q203" s="281"/>
      <c r="R203" s="281"/>
      <c r="S203" s="281"/>
      <c r="T203" s="281"/>
      <c r="U203" s="281"/>
      <c r="V203" s="281"/>
      <c r="W203" s="281"/>
      <c r="X203" s="281"/>
      <c r="Y203" s="281"/>
      <c r="Z203" s="281"/>
      <c r="AA203" s="281"/>
      <c r="AB203" s="281"/>
      <c r="AC203" s="281"/>
      <c r="AD203" s="281"/>
      <c r="AE203" s="281"/>
    </row>
    <row r="204" spans="2:31" ht="15">
      <c r="B204" s="386">
        <f t="shared" si="6"/>
        <v>159</v>
      </c>
      <c r="C204" s="394" t="str" cm="1">
        <f t="array" aca="1" ref="C204" ca="1">IF(B204&lt;=$C$9,GetGetCDSName(B204),"")</f>
        <v/>
      </c>
      <c r="D204" s="354"/>
      <c r="E204" s="387"/>
      <c r="F204" s="306"/>
      <c r="G204" s="306"/>
      <c r="H204" s="306"/>
      <c r="I204" s="306"/>
      <c r="J204" s="306"/>
      <c r="K204" s="306"/>
      <c r="L204" s="306"/>
      <c r="M204" s="306"/>
      <c r="N204" s="388"/>
      <c r="O204" s="281"/>
      <c r="P204" s="281"/>
      <c r="Q204" s="281"/>
      <c r="R204" s="281"/>
      <c r="S204" s="281"/>
      <c r="T204" s="281"/>
      <c r="U204" s="281"/>
      <c r="V204" s="281"/>
      <c r="W204" s="281"/>
      <c r="X204" s="281"/>
      <c r="Y204" s="281"/>
      <c r="Z204" s="281"/>
      <c r="AA204" s="281"/>
      <c r="AB204" s="281"/>
      <c r="AC204" s="281"/>
      <c r="AD204" s="281"/>
      <c r="AE204" s="281"/>
    </row>
    <row r="205" spans="2:31" ht="15">
      <c r="B205" s="386">
        <f t="shared" si="6"/>
        <v>160</v>
      </c>
      <c r="C205" s="394" t="str" cm="1">
        <f t="array" aca="1" ref="C205" ca="1">IF(B205&lt;=$C$9,GetGetCDSName(B205),"")</f>
        <v/>
      </c>
      <c r="D205" s="354"/>
      <c r="E205" s="387"/>
      <c r="F205" s="306"/>
      <c r="G205" s="306"/>
      <c r="H205" s="306"/>
      <c r="I205" s="306"/>
      <c r="J205" s="306"/>
      <c r="K205" s="306"/>
      <c r="L205" s="306"/>
      <c r="M205" s="306"/>
      <c r="N205" s="388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  <c r="Z205" s="281"/>
      <c r="AA205" s="281"/>
      <c r="AB205" s="281"/>
      <c r="AC205" s="281"/>
      <c r="AD205" s="281"/>
      <c r="AE205" s="281"/>
    </row>
    <row r="206" spans="2:31" ht="15">
      <c r="B206" s="386">
        <f t="shared" si="6"/>
        <v>161</v>
      </c>
      <c r="C206" s="394" t="str" cm="1">
        <f t="array" aca="1" ref="C206" ca="1">IF(B206&lt;=$C$9,GetGetCDSName(B206),"")</f>
        <v/>
      </c>
      <c r="D206" s="354"/>
      <c r="E206" s="387"/>
      <c r="F206" s="306"/>
      <c r="G206" s="306"/>
      <c r="H206" s="306"/>
      <c r="I206" s="306"/>
      <c r="J206" s="306"/>
      <c r="K206" s="306"/>
      <c r="L206" s="306"/>
      <c r="M206" s="306"/>
      <c r="N206" s="388"/>
      <c r="O206" s="281"/>
      <c r="P206" s="281"/>
      <c r="Q206" s="281"/>
      <c r="R206" s="281"/>
      <c r="S206" s="281"/>
      <c r="T206" s="281"/>
      <c r="U206" s="281"/>
      <c r="V206" s="281"/>
      <c r="W206" s="281"/>
      <c r="X206" s="281"/>
      <c r="Y206" s="281"/>
      <c r="Z206" s="281"/>
      <c r="AA206" s="281"/>
      <c r="AB206" s="281"/>
      <c r="AC206" s="281"/>
      <c r="AD206" s="281"/>
      <c r="AE206" s="281"/>
    </row>
    <row r="207" spans="2:31" ht="15">
      <c r="B207" s="386">
        <f t="shared" si="6"/>
        <v>162</v>
      </c>
      <c r="C207" s="394" t="str" cm="1">
        <f t="array" aca="1" ref="C207" ca="1">IF(B207&lt;=$C$9,GetGetCDSName(B207),"")</f>
        <v/>
      </c>
      <c r="D207" s="354"/>
      <c r="E207" s="387"/>
      <c r="F207" s="306"/>
      <c r="G207" s="306"/>
      <c r="H207" s="306"/>
      <c r="I207" s="306"/>
      <c r="J207" s="306"/>
      <c r="K207" s="306"/>
      <c r="L207" s="306"/>
      <c r="M207" s="306"/>
      <c r="N207" s="388"/>
      <c r="O207" s="281"/>
      <c r="P207" s="281"/>
      <c r="Q207" s="281"/>
      <c r="R207" s="281"/>
      <c r="S207" s="281"/>
      <c r="T207" s="281"/>
      <c r="U207" s="281"/>
      <c r="V207" s="281"/>
      <c r="W207" s="281"/>
      <c r="X207" s="281"/>
      <c r="Y207" s="281"/>
      <c r="Z207" s="281"/>
      <c r="AA207" s="281"/>
      <c r="AB207" s="281"/>
      <c r="AC207" s="281"/>
      <c r="AD207" s="281"/>
      <c r="AE207" s="281"/>
    </row>
    <row r="208" spans="2:31" ht="15">
      <c r="B208" s="386">
        <f t="shared" si="6"/>
        <v>163</v>
      </c>
      <c r="C208" s="394" t="str" cm="1">
        <f t="array" aca="1" ref="C208" ca="1">IF(B208&lt;=$C$9,GetGetCDSName(B208),"")</f>
        <v/>
      </c>
      <c r="D208" s="354"/>
      <c r="E208" s="387"/>
      <c r="F208" s="306"/>
      <c r="G208" s="306"/>
      <c r="H208" s="306"/>
      <c r="I208" s="306"/>
      <c r="J208" s="306"/>
      <c r="K208" s="306"/>
      <c r="L208" s="306"/>
      <c r="M208" s="306"/>
      <c r="N208" s="388"/>
      <c r="O208" s="281"/>
      <c r="P208" s="281"/>
      <c r="Q208" s="281"/>
      <c r="R208" s="281"/>
      <c r="S208" s="281"/>
      <c r="T208" s="281"/>
      <c r="U208" s="281"/>
      <c r="V208" s="281"/>
      <c r="W208" s="281"/>
      <c r="X208" s="281"/>
      <c r="Y208" s="281"/>
      <c r="Z208" s="281"/>
      <c r="AA208" s="281"/>
      <c r="AB208" s="281"/>
      <c r="AC208" s="281"/>
      <c r="AD208" s="281"/>
      <c r="AE208" s="281"/>
    </row>
    <row r="209" spans="2:31" ht="15">
      <c r="B209" s="386">
        <f t="shared" si="6"/>
        <v>164</v>
      </c>
      <c r="C209" s="394" t="str" cm="1">
        <f t="array" aca="1" ref="C209" ca="1">IF(B209&lt;=$C$9,GetGetCDSName(B209),"")</f>
        <v/>
      </c>
      <c r="D209" s="354"/>
      <c r="E209" s="387"/>
      <c r="F209" s="306"/>
      <c r="G209" s="306"/>
      <c r="H209" s="306"/>
      <c r="I209" s="306"/>
      <c r="J209" s="306"/>
      <c r="K209" s="306"/>
      <c r="L209" s="306"/>
      <c r="M209" s="306"/>
      <c r="N209" s="388"/>
      <c r="O209" s="281"/>
      <c r="P209" s="281"/>
      <c r="Q209" s="281"/>
      <c r="R209" s="281"/>
      <c r="S209" s="281"/>
      <c r="T209" s="281"/>
      <c r="U209" s="281"/>
      <c r="V209" s="281"/>
      <c r="W209" s="281"/>
      <c r="X209" s="281"/>
      <c r="Y209" s="281"/>
      <c r="Z209" s="281"/>
      <c r="AA209" s="281"/>
      <c r="AB209" s="281"/>
      <c r="AC209" s="281"/>
      <c r="AD209" s="281"/>
      <c r="AE209" s="281"/>
    </row>
    <row r="210" spans="2:31" ht="15">
      <c r="B210" s="386">
        <f t="shared" si="6"/>
        <v>165</v>
      </c>
      <c r="C210" s="394" t="str" cm="1">
        <f t="array" aca="1" ref="C210" ca="1">IF(B210&lt;=$C$9,GetGetCDSName(B210),"")</f>
        <v/>
      </c>
      <c r="D210" s="354"/>
      <c r="E210" s="387"/>
      <c r="F210" s="306"/>
      <c r="G210" s="306"/>
      <c r="H210" s="306"/>
      <c r="I210" s="306"/>
      <c r="J210" s="306"/>
      <c r="K210" s="306"/>
      <c r="L210" s="306"/>
      <c r="M210" s="306"/>
      <c r="N210" s="388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  <c r="Z210" s="281"/>
      <c r="AA210" s="281"/>
      <c r="AB210" s="281"/>
      <c r="AC210" s="281"/>
      <c r="AD210" s="281"/>
      <c r="AE210" s="281"/>
    </row>
    <row r="211" spans="2:31" ht="15">
      <c r="B211" s="386">
        <f t="shared" si="6"/>
        <v>166</v>
      </c>
      <c r="C211" s="394" t="str" cm="1">
        <f t="array" aca="1" ref="C211" ca="1">IF(B211&lt;=$C$9,GetGetCDSName(B211),"")</f>
        <v/>
      </c>
      <c r="D211" s="354"/>
      <c r="E211" s="387"/>
      <c r="F211" s="306"/>
      <c r="G211" s="306"/>
      <c r="H211" s="306"/>
      <c r="I211" s="306"/>
      <c r="J211" s="306"/>
      <c r="K211" s="306"/>
      <c r="L211" s="306"/>
      <c r="M211" s="306"/>
      <c r="N211" s="388"/>
      <c r="O211" s="281"/>
      <c r="P211" s="281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81"/>
    </row>
    <row r="212" spans="2:31" ht="15">
      <c r="B212" s="386">
        <f t="shared" si="6"/>
        <v>167</v>
      </c>
      <c r="C212" s="394" t="str" cm="1">
        <f t="array" aca="1" ref="C212" ca="1">IF(B212&lt;=$C$9,GetGetCDSName(B212),"")</f>
        <v/>
      </c>
      <c r="D212" s="354"/>
      <c r="E212" s="387"/>
      <c r="F212" s="306"/>
      <c r="G212" s="306"/>
      <c r="H212" s="306"/>
      <c r="I212" s="306"/>
      <c r="J212" s="306"/>
      <c r="K212" s="306"/>
      <c r="L212" s="306"/>
      <c r="M212" s="306"/>
      <c r="N212" s="388"/>
      <c r="O212" s="281"/>
      <c r="P212" s="281"/>
      <c r="Q212" s="281"/>
      <c r="R212" s="281"/>
      <c r="S212" s="281"/>
      <c r="T212" s="281"/>
      <c r="U212" s="281"/>
      <c r="V212" s="281"/>
      <c r="W212" s="281"/>
      <c r="X212" s="281"/>
      <c r="Y212" s="281"/>
      <c r="Z212" s="281"/>
      <c r="AA212" s="281"/>
      <c r="AB212" s="281"/>
      <c r="AC212" s="281"/>
      <c r="AD212" s="281"/>
      <c r="AE212" s="281"/>
    </row>
    <row r="213" spans="2:31" ht="15">
      <c r="B213" s="386">
        <f t="shared" si="6"/>
        <v>168</v>
      </c>
      <c r="C213" s="394" t="str" cm="1">
        <f t="array" aca="1" ref="C213" ca="1">IF(B213&lt;=$C$9,GetGetCDSName(B213),"")</f>
        <v/>
      </c>
      <c r="D213" s="354"/>
      <c r="E213" s="387"/>
      <c r="F213" s="306"/>
      <c r="G213" s="306"/>
      <c r="H213" s="306"/>
      <c r="I213" s="306"/>
      <c r="J213" s="306"/>
      <c r="K213" s="306"/>
      <c r="L213" s="306"/>
      <c r="M213" s="306"/>
      <c r="N213" s="388"/>
      <c r="O213" s="281"/>
      <c r="P213" s="281"/>
      <c r="Q213" s="281"/>
      <c r="R213" s="281"/>
      <c r="S213" s="281"/>
      <c r="T213" s="281"/>
      <c r="U213" s="281"/>
      <c r="V213" s="281"/>
      <c r="W213" s="281"/>
      <c r="X213" s="281"/>
      <c r="Y213" s="281"/>
      <c r="Z213" s="281"/>
      <c r="AA213" s="281"/>
      <c r="AB213" s="281"/>
      <c r="AC213" s="281"/>
      <c r="AD213" s="281"/>
      <c r="AE213" s="281"/>
    </row>
    <row r="214" spans="2:31" ht="15">
      <c r="B214" s="386">
        <f t="shared" si="6"/>
        <v>169</v>
      </c>
      <c r="C214" s="394" t="str" cm="1">
        <f t="array" aca="1" ref="C214" ca="1">IF(B214&lt;=$C$9,GetGetCDSName(B214),"")</f>
        <v/>
      </c>
      <c r="D214" s="354"/>
      <c r="E214" s="387"/>
      <c r="F214" s="306"/>
      <c r="G214" s="306"/>
      <c r="H214" s="306"/>
      <c r="I214" s="306"/>
      <c r="J214" s="306"/>
      <c r="K214" s="306"/>
      <c r="L214" s="306"/>
      <c r="M214" s="306"/>
      <c r="N214" s="388"/>
      <c r="O214" s="281"/>
      <c r="P214" s="281"/>
      <c r="Q214" s="281"/>
      <c r="R214" s="281"/>
      <c r="S214" s="281"/>
      <c r="T214" s="281"/>
      <c r="U214" s="281"/>
      <c r="V214" s="281"/>
      <c r="W214" s="281"/>
      <c r="X214" s="281"/>
      <c r="Y214" s="281"/>
      <c r="Z214" s="281"/>
      <c r="AA214" s="281"/>
      <c r="AB214" s="281"/>
      <c r="AC214" s="281"/>
      <c r="AD214" s="281"/>
      <c r="AE214" s="281"/>
    </row>
    <row r="215" spans="2:31" ht="15">
      <c r="B215" s="386">
        <f t="shared" si="6"/>
        <v>170</v>
      </c>
      <c r="C215" s="394" t="str" cm="1">
        <f t="array" aca="1" ref="C215" ca="1">IF(B215&lt;=$C$9,GetGetCDSName(B215),"")</f>
        <v/>
      </c>
      <c r="D215" s="354"/>
      <c r="E215" s="387"/>
      <c r="F215" s="306"/>
      <c r="G215" s="306"/>
      <c r="H215" s="306"/>
      <c r="I215" s="306"/>
      <c r="J215" s="306"/>
      <c r="K215" s="306"/>
      <c r="L215" s="306"/>
      <c r="M215" s="306"/>
      <c r="N215" s="388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  <c r="Z215" s="281"/>
      <c r="AA215" s="281"/>
      <c r="AB215" s="281"/>
      <c r="AC215" s="281"/>
      <c r="AD215" s="281"/>
      <c r="AE215" s="281"/>
    </row>
    <row r="216" spans="2:31" ht="15">
      <c r="B216" s="386">
        <f t="shared" si="6"/>
        <v>171</v>
      </c>
      <c r="C216" s="394" t="str" cm="1">
        <f t="array" aca="1" ref="C216" ca="1">IF(B216&lt;=$C$9,GetGetCDSName(B216),"")</f>
        <v/>
      </c>
      <c r="D216" s="354"/>
      <c r="E216" s="387"/>
      <c r="F216" s="306"/>
      <c r="G216" s="306"/>
      <c r="H216" s="306"/>
      <c r="I216" s="306"/>
      <c r="J216" s="306"/>
      <c r="K216" s="306"/>
      <c r="L216" s="306"/>
      <c r="M216" s="306"/>
      <c r="N216" s="388"/>
      <c r="O216" s="281"/>
      <c r="P216" s="281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81"/>
    </row>
    <row r="217" spans="2:31" ht="15">
      <c r="B217" s="386">
        <f t="shared" si="6"/>
        <v>172</v>
      </c>
      <c r="C217" s="394" t="str" cm="1">
        <f t="array" aca="1" ref="C217" ca="1">IF(B217&lt;=$C$9,GetGetCDSName(B217),"")</f>
        <v/>
      </c>
      <c r="D217" s="354"/>
      <c r="E217" s="387"/>
      <c r="F217" s="306"/>
      <c r="G217" s="306"/>
      <c r="H217" s="306"/>
      <c r="I217" s="306"/>
      <c r="J217" s="306"/>
      <c r="K217" s="306"/>
      <c r="L217" s="306"/>
      <c r="M217" s="306"/>
      <c r="N217" s="388"/>
      <c r="O217" s="281"/>
      <c r="P217" s="281"/>
      <c r="Q217" s="281"/>
      <c r="R217" s="281"/>
      <c r="S217" s="281"/>
      <c r="T217" s="281"/>
      <c r="U217" s="281"/>
      <c r="V217" s="281"/>
      <c r="W217" s="281"/>
      <c r="X217" s="281"/>
      <c r="Y217" s="281"/>
      <c r="Z217" s="281"/>
      <c r="AA217" s="281"/>
      <c r="AB217" s="281"/>
      <c r="AC217" s="281"/>
      <c r="AD217" s="281"/>
      <c r="AE217" s="281"/>
    </row>
    <row r="218" spans="2:31" ht="15">
      <c r="B218" s="386">
        <f t="shared" si="6"/>
        <v>173</v>
      </c>
      <c r="C218" s="394" t="str" cm="1">
        <f t="array" aca="1" ref="C218" ca="1">IF(B218&lt;=$C$9,GetGetCDSName(B218),"")</f>
        <v/>
      </c>
      <c r="D218" s="354"/>
      <c r="E218" s="387"/>
      <c r="F218" s="306"/>
      <c r="G218" s="306"/>
      <c r="H218" s="306"/>
      <c r="I218" s="306"/>
      <c r="J218" s="306"/>
      <c r="K218" s="306"/>
      <c r="L218" s="306"/>
      <c r="M218" s="306"/>
      <c r="N218" s="388"/>
      <c r="O218" s="281"/>
      <c r="P218" s="281"/>
      <c r="Q218" s="281"/>
      <c r="R218" s="281"/>
      <c r="S218" s="281"/>
      <c r="T218" s="281"/>
      <c r="U218" s="281"/>
      <c r="V218" s="281"/>
      <c r="W218" s="281"/>
      <c r="X218" s="281"/>
      <c r="Y218" s="281"/>
      <c r="Z218" s="281"/>
      <c r="AA218" s="281"/>
      <c r="AB218" s="281"/>
      <c r="AC218" s="281"/>
      <c r="AD218" s="281"/>
      <c r="AE218" s="281"/>
    </row>
    <row r="219" spans="2:31" ht="15">
      <c r="B219" s="386">
        <f t="shared" si="6"/>
        <v>174</v>
      </c>
      <c r="C219" s="394" t="str" cm="1">
        <f t="array" aca="1" ref="C219" ca="1">IF(B219&lt;=$C$9,GetGetCDSName(B219),"")</f>
        <v/>
      </c>
      <c r="D219" s="354"/>
      <c r="E219" s="387"/>
      <c r="F219" s="306"/>
      <c r="G219" s="306"/>
      <c r="H219" s="306"/>
      <c r="I219" s="306"/>
      <c r="J219" s="306"/>
      <c r="K219" s="306"/>
      <c r="L219" s="306"/>
      <c r="M219" s="306"/>
      <c r="N219" s="388"/>
      <c r="O219" s="281"/>
      <c r="P219" s="281"/>
      <c r="Q219" s="281"/>
      <c r="R219" s="281"/>
      <c r="S219" s="281"/>
      <c r="T219" s="281"/>
      <c r="U219" s="281"/>
      <c r="V219" s="281"/>
      <c r="W219" s="281"/>
      <c r="X219" s="281"/>
      <c r="Y219" s="281"/>
      <c r="Z219" s="281"/>
      <c r="AA219" s="281"/>
      <c r="AB219" s="281"/>
      <c r="AC219" s="281"/>
      <c r="AD219" s="281"/>
      <c r="AE219" s="281"/>
    </row>
    <row r="220" spans="2:31" ht="15">
      <c r="B220" s="386">
        <f t="shared" si="6"/>
        <v>175</v>
      </c>
      <c r="C220" s="394" t="str" cm="1">
        <f t="array" aca="1" ref="C220" ca="1">IF(B220&lt;=$C$9,GetGetCDSName(B220),"")</f>
        <v/>
      </c>
      <c r="D220" s="354"/>
      <c r="E220" s="387"/>
      <c r="F220" s="306"/>
      <c r="G220" s="306"/>
      <c r="H220" s="306"/>
      <c r="I220" s="306"/>
      <c r="J220" s="306"/>
      <c r="K220" s="306"/>
      <c r="L220" s="306"/>
      <c r="M220" s="306"/>
      <c r="N220" s="388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  <c r="Z220" s="281"/>
      <c r="AA220" s="281"/>
      <c r="AB220" s="281"/>
      <c r="AC220" s="281"/>
      <c r="AD220" s="281"/>
      <c r="AE220" s="281"/>
    </row>
    <row r="221" spans="2:31" ht="15">
      <c r="B221" s="386">
        <f t="shared" si="6"/>
        <v>176</v>
      </c>
      <c r="C221" s="394" t="str" cm="1">
        <f t="array" aca="1" ref="C221" ca="1">IF(B221&lt;=$C$9,GetGetCDSName(B221),"")</f>
        <v/>
      </c>
      <c r="D221" s="354"/>
      <c r="E221" s="387"/>
      <c r="F221" s="306"/>
      <c r="G221" s="306"/>
      <c r="H221" s="306"/>
      <c r="I221" s="306"/>
      <c r="J221" s="306"/>
      <c r="K221" s="306"/>
      <c r="L221" s="306"/>
      <c r="M221" s="306"/>
      <c r="N221" s="388"/>
      <c r="O221" s="281"/>
      <c r="P221" s="281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81"/>
    </row>
    <row r="222" spans="2:31" ht="15">
      <c r="B222" s="386">
        <f t="shared" si="6"/>
        <v>177</v>
      </c>
      <c r="C222" s="394" t="str" cm="1">
        <f t="array" aca="1" ref="C222" ca="1">IF(B222&lt;=$C$9,GetGetCDSName(B222),"")</f>
        <v/>
      </c>
      <c r="D222" s="354"/>
      <c r="E222" s="387"/>
      <c r="F222" s="306"/>
      <c r="G222" s="306"/>
      <c r="H222" s="306"/>
      <c r="I222" s="306"/>
      <c r="J222" s="306"/>
      <c r="K222" s="306"/>
      <c r="L222" s="306"/>
      <c r="M222" s="306"/>
      <c r="N222" s="388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81"/>
    </row>
    <row r="223" spans="2:31" ht="15">
      <c r="B223" s="386">
        <f t="shared" si="6"/>
        <v>178</v>
      </c>
      <c r="C223" s="394" t="str" cm="1">
        <f t="array" aca="1" ref="C223" ca="1">IF(B223&lt;=$C$9,GetGetCDSName(B223),"")</f>
        <v/>
      </c>
      <c r="D223" s="354"/>
      <c r="E223" s="387"/>
      <c r="F223" s="306"/>
      <c r="G223" s="306"/>
      <c r="H223" s="306"/>
      <c r="I223" s="306"/>
      <c r="J223" s="306"/>
      <c r="K223" s="306"/>
      <c r="L223" s="306"/>
      <c r="M223" s="306"/>
      <c r="N223" s="388"/>
      <c r="O223" s="281"/>
      <c r="P223" s="281"/>
      <c r="Q223" s="281"/>
      <c r="R223" s="281"/>
      <c r="S223" s="281"/>
      <c r="T223" s="281"/>
      <c r="U223" s="281"/>
      <c r="V223" s="281"/>
      <c r="W223" s="281"/>
      <c r="X223" s="281"/>
      <c r="Y223" s="281"/>
      <c r="Z223" s="281"/>
      <c r="AA223" s="281"/>
      <c r="AB223" s="281"/>
      <c r="AC223" s="281"/>
      <c r="AD223" s="281"/>
      <c r="AE223" s="281"/>
    </row>
    <row r="224" spans="2:31" ht="15">
      <c r="B224" s="386">
        <f t="shared" si="6"/>
        <v>179</v>
      </c>
      <c r="C224" s="394" t="str" cm="1">
        <f t="array" aca="1" ref="C224" ca="1">IF(B224&lt;=$C$9,GetGetCDSName(B224),"")</f>
        <v/>
      </c>
      <c r="D224" s="354"/>
      <c r="E224" s="387"/>
      <c r="F224" s="306"/>
      <c r="G224" s="306"/>
      <c r="H224" s="306"/>
      <c r="I224" s="306"/>
      <c r="J224" s="306"/>
      <c r="K224" s="306"/>
      <c r="L224" s="306"/>
      <c r="M224" s="306"/>
      <c r="N224" s="388"/>
      <c r="O224" s="281"/>
      <c r="P224" s="281"/>
      <c r="Q224" s="281"/>
      <c r="R224" s="281"/>
      <c r="S224" s="281"/>
      <c r="T224" s="281"/>
      <c r="U224" s="281"/>
      <c r="V224" s="281"/>
      <c r="W224" s="281"/>
      <c r="X224" s="281"/>
      <c r="Y224" s="281"/>
      <c r="Z224" s="281"/>
      <c r="AA224" s="281"/>
      <c r="AB224" s="281"/>
      <c r="AC224" s="281"/>
      <c r="AD224" s="281"/>
      <c r="AE224" s="281"/>
    </row>
    <row r="225" spans="2:31" ht="15">
      <c r="B225" s="386">
        <f t="shared" si="6"/>
        <v>180</v>
      </c>
      <c r="C225" s="394" t="str" cm="1">
        <f t="array" aca="1" ref="C225" ca="1">IF(B225&lt;=$C$9,GetGetCDSName(B225),"")</f>
        <v/>
      </c>
      <c r="D225" s="354"/>
      <c r="E225" s="387"/>
      <c r="F225" s="306"/>
      <c r="G225" s="306"/>
      <c r="H225" s="306"/>
      <c r="I225" s="306"/>
      <c r="J225" s="306"/>
      <c r="K225" s="306"/>
      <c r="L225" s="306"/>
      <c r="M225" s="306"/>
      <c r="N225" s="388"/>
      <c r="O225" s="281"/>
      <c r="P225" s="281"/>
      <c r="Q225" s="281"/>
      <c r="R225" s="281"/>
      <c r="S225" s="281"/>
      <c r="T225" s="281"/>
      <c r="U225" s="281"/>
      <c r="V225" s="281"/>
      <c r="W225" s="281"/>
      <c r="X225" s="281"/>
      <c r="Y225" s="281"/>
      <c r="Z225" s="281"/>
      <c r="AA225" s="281"/>
      <c r="AB225" s="281"/>
      <c r="AC225" s="281"/>
      <c r="AD225" s="281"/>
      <c r="AE225" s="281"/>
    </row>
    <row r="226" spans="2:31" ht="15">
      <c r="B226" s="386">
        <f t="shared" si="6"/>
        <v>181</v>
      </c>
      <c r="C226" s="394" t="str" cm="1">
        <f t="array" aca="1" ref="C226" ca="1">IF(B226&lt;=$C$9,GetGetCDSName(B226),"")</f>
        <v/>
      </c>
      <c r="D226" s="354"/>
      <c r="E226" s="387"/>
      <c r="F226" s="306"/>
      <c r="G226" s="306"/>
      <c r="H226" s="306"/>
      <c r="I226" s="306"/>
      <c r="J226" s="306"/>
      <c r="K226" s="306"/>
      <c r="L226" s="306"/>
      <c r="M226" s="306"/>
      <c r="N226" s="388"/>
      <c r="O226" s="281"/>
      <c r="P226" s="281"/>
      <c r="Q226" s="281"/>
      <c r="R226" s="281"/>
      <c r="S226" s="281"/>
      <c r="T226" s="281"/>
      <c r="U226" s="281"/>
      <c r="V226" s="281"/>
      <c r="W226" s="281"/>
      <c r="X226" s="281"/>
      <c r="Y226" s="281"/>
      <c r="Z226" s="281"/>
      <c r="AA226" s="281"/>
      <c r="AB226" s="281"/>
      <c r="AC226" s="281"/>
      <c r="AD226" s="281"/>
      <c r="AE226" s="281"/>
    </row>
    <row r="227" spans="2:31" ht="15">
      <c r="B227" s="386">
        <f t="shared" si="6"/>
        <v>182</v>
      </c>
      <c r="C227" s="394" t="str" cm="1">
        <f t="array" aca="1" ref="C227" ca="1">IF(B227&lt;=$C$9,GetGetCDSName(B227),"")</f>
        <v/>
      </c>
      <c r="D227" s="354"/>
      <c r="E227" s="387"/>
      <c r="F227" s="306"/>
      <c r="G227" s="306"/>
      <c r="H227" s="306"/>
      <c r="I227" s="306"/>
      <c r="J227" s="306"/>
      <c r="K227" s="306"/>
      <c r="L227" s="306"/>
      <c r="M227" s="306"/>
      <c r="N227" s="388"/>
      <c r="O227" s="281"/>
      <c r="P227" s="281"/>
      <c r="Q227" s="281"/>
      <c r="R227" s="281"/>
      <c r="S227" s="281"/>
      <c r="T227" s="281"/>
      <c r="U227" s="281"/>
      <c r="V227" s="281"/>
      <c r="W227" s="281"/>
      <c r="X227" s="281"/>
      <c r="Y227" s="281"/>
      <c r="Z227" s="281"/>
      <c r="AA227" s="281"/>
      <c r="AB227" s="281"/>
      <c r="AC227" s="281"/>
      <c r="AD227" s="281"/>
      <c r="AE227" s="281"/>
    </row>
    <row r="228" spans="2:31" ht="15">
      <c r="B228" s="386">
        <f t="shared" si="6"/>
        <v>183</v>
      </c>
      <c r="C228" s="394" t="str" cm="1">
        <f t="array" aca="1" ref="C228" ca="1">IF(B228&lt;=$C$9,GetGetCDSName(B228),"")</f>
        <v/>
      </c>
      <c r="D228" s="354"/>
      <c r="E228" s="387"/>
      <c r="F228" s="306"/>
      <c r="G228" s="306"/>
      <c r="H228" s="306"/>
      <c r="I228" s="306"/>
      <c r="J228" s="306"/>
      <c r="K228" s="306"/>
      <c r="L228" s="306"/>
      <c r="M228" s="306"/>
      <c r="N228" s="388"/>
      <c r="O228" s="281"/>
      <c r="P228" s="281"/>
      <c r="Q228" s="281"/>
      <c r="R228" s="281"/>
      <c r="S228" s="281"/>
      <c r="T228" s="281"/>
      <c r="U228" s="281"/>
      <c r="V228" s="281"/>
      <c r="W228" s="281"/>
      <c r="X228" s="281"/>
      <c r="Y228" s="281"/>
      <c r="Z228" s="281"/>
      <c r="AA228" s="281"/>
      <c r="AB228" s="281"/>
      <c r="AC228" s="281"/>
      <c r="AD228" s="281"/>
      <c r="AE228" s="281"/>
    </row>
    <row r="229" spans="2:31" ht="15">
      <c r="B229" s="386">
        <f t="shared" si="6"/>
        <v>184</v>
      </c>
      <c r="C229" s="394" t="str" cm="1">
        <f t="array" aca="1" ref="C229" ca="1">IF(B229&lt;=$C$9,GetGetCDSName(B229),"")</f>
        <v/>
      </c>
      <c r="D229" s="354"/>
      <c r="E229" s="387"/>
      <c r="F229" s="306"/>
      <c r="G229" s="306"/>
      <c r="H229" s="306"/>
      <c r="I229" s="306"/>
      <c r="J229" s="306"/>
      <c r="K229" s="306"/>
      <c r="L229" s="306"/>
      <c r="M229" s="306"/>
      <c r="N229" s="388"/>
      <c r="O229" s="281"/>
      <c r="P229" s="281"/>
      <c r="Q229" s="281"/>
      <c r="R229" s="281"/>
      <c r="S229" s="281"/>
      <c r="T229" s="281"/>
      <c r="U229" s="281"/>
      <c r="V229" s="281"/>
      <c r="W229" s="281"/>
      <c r="X229" s="281"/>
      <c r="Y229" s="281"/>
      <c r="Z229" s="281"/>
      <c r="AA229" s="281"/>
      <c r="AB229" s="281"/>
      <c r="AC229" s="281"/>
      <c r="AD229" s="281"/>
      <c r="AE229" s="281"/>
    </row>
    <row r="230" spans="2:31" ht="15">
      <c r="B230" s="386">
        <f t="shared" si="6"/>
        <v>185</v>
      </c>
      <c r="C230" s="394" t="str" cm="1">
        <f t="array" aca="1" ref="C230" ca="1">IF(B230&lt;=$C$9,GetGetCDSName(B230),"")</f>
        <v/>
      </c>
      <c r="D230" s="354"/>
      <c r="E230" s="387"/>
      <c r="F230" s="306"/>
      <c r="G230" s="306"/>
      <c r="H230" s="306"/>
      <c r="I230" s="306"/>
      <c r="J230" s="306"/>
      <c r="K230" s="306"/>
      <c r="L230" s="306"/>
      <c r="M230" s="306"/>
      <c r="N230" s="388"/>
      <c r="O230" s="281"/>
      <c r="P230" s="281"/>
      <c r="Q230" s="281"/>
      <c r="R230" s="281"/>
      <c r="S230" s="281"/>
      <c r="T230" s="281"/>
      <c r="U230" s="281"/>
      <c r="V230" s="281"/>
      <c r="W230" s="281"/>
      <c r="X230" s="281"/>
      <c r="Y230" s="281"/>
      <c r="Z230" s="281"/>
      <c r="AA230" s="281"/>
      <c r="AB230" s="281"/>
      <c r="AC230" s="281"/>
      <c r="AD230" s="281"/>
      <c r="AE230" s="281"/>
    </row>
    <row r="231" spans="2:31" ht="15">
      <c r="B231" s="386">
        <f t="shared" si="6"/>
        <v>186</v>
      </c>
      <c r="C231" s="394" t="str" cm="1">
        <f t="array" aca="1" ref="C231" ca="1">IF(B231&lt;=$C$9,GetGetCDSName(B231),"")</f>
        <v/>
      </c>
      <c r="D231" s="354"/>
      <c r="E231" s="387"/>
      <c r="F231" s="306"/>
      <c r="G231" s="306"/>
      <c r="H231" s="306"/>
      <c r="I231" s="306"/>
      <c r="J231" s="306"/>
      <c r="K231" s="306"/>
      <c r="L231" s="306"/>
      <c r="M231" s="306"/>
      <c r="N231" s="388"/>
      <c r="O231" s="281"/>
      <c r="P231" s="281"/>
      <c r="Q231" s="281"/>
      <c r="R231" s="281"/>
      <c r="S231" s="281"/>
      <c r="T231" s="281"/>
      <c r="U231" s="281"/>
      <c r="V231" s="281"/>
      <c r="W231" s="281"/>
      <c r="X231" s="281"/>
      <c r="Y231" s="281"/>
      <c r="Z231" s="281"/>
      <c r="AA231" s="281"/>
      <c r="AB231" s="281"/>
      <c r="AC231" s="281"/>
      <c r="AD231" s="281"/>
      <c r="AE231" s="281"/>
    </row>
    <row r="232" spans="2:31" ht="15">
      <c r="B232" s="386">
        <f t="shared" si="6"/>
        <v>187</v>
      </c>
      <c r="C232" s="394" t="str" cm="1">
        <f t="array" aca="1" ref="C232" ca="1">IF(B232&lt;=$C$9,GetGetCDSName(B232),"")</f>
        <v/>
      </c>
      <c r="D232" s="354"/>
      <c r="E232" s="387"/>
      <c r="F232" s="306"/>
      <c r="G232" s="306"/>
      <c r="H232" s="306"/>
      <c r="I232" s="306"/>
      <c r="J232" s="306"/>
      <c r="K232" s="306"/>
      <c r="L232" s="306"/>
      <c r="M232" s="306"/>
      <c r="N232" s="388"/>
      <c r="O232" s="281"/>
      <c r="P232" s="281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81"/>
    </row>
    <row r="233" spans="2:31" ht="15">
      <c r="B233" s="386">
        <f t="shared" si="6"/>
        <v>188</v>
      </c>
      <c r="C233" s="394" t="str" cm="1">
        <f t="array" aca="1" ref="C233" ca="1">IF(B233&lt;=$C$9,GetGetCDSName(B233),"")</f>
        <v/>
      </c>
      <c r="D233" s="354"/>
      <c r="E233" s="387"/>
      <c r="F233" s="306"/>
      <c r="G233" s="306"/>
      <c r="H233" s="306"/>
      <c r="I233" s="306"/>
      <c r="J233" s="306"/>
      <c r="K233" s="306"/>
      <c r="L233" s="306"/>
      <c r="M233" s="306"/>
      <c r="N233" s="388"/>
      <c r="O233" s="281"/>
      <c r="P233" s="281"/>
      <c r="Q233" s="281"/>
      <c r="R233" s="281"/>
      <c r="S233" s="281"/>
      <c r="T233" s="281"/>
      <c r="U233" s="281"/>
      <c r="V233" s="281"/>
      <c r="W233" s="281"/>
      <c r="X233" s="281"/>
      <c r="Y233" s="281"/>
      <c r="Z233" s="281"/>
      <c r="AA233" s="281"/>
      <c r="AB233" s="281"/>
      <c r="AC233" s="281"/>
      <c r="AD233" s="281"/>
      <c r="AE233" s="281"/>
    </row>
    <row r="234" spans="2:31" ht="15">
      <c r="B234" s="386">
        <f t="shared" si="6"/>
        <v>189</v>
      </c>
      <c r="C234" s="394" t="str" cm="1">
        <f t="array" aca="1" ref="C234" ca="1">IF(B234&lt;=$C$9,GetGetCDSName(B234),"")</f>
        <v/>
      </c>
      <c r="D234" s="354"/>
      <c r="E234" s="387"/>
      <c r="F234" s="306"/>
      <c r="G234" s="306"/>
      <c r="H234" s="306"/>
      <c r="I234" s="306"/>
      <c r="J234" s="306"/>
      <c r="K234" s="306"/>
      <c r="L234" s="306"/>
      <c r="M234" s="306"/>
      <c r="N234" s="388"/>
      <c r="O234" s="281"/>
      <c r="P234" s="281"/>
      <c r="Q234" s="281"/>
      <c r="R234" s="281"/>
      <c r="S234" s="281"/>
      <c r="T234" s="281"/>
      <c r="U234" s="281"/>
      <c r="V234" s="281"/>
      <c r="W234" s="281"/>
      <c r="X234" s="281"/>
      <c r="Y234" s="281"/>
      <c r="Z234" s="281"/>
      <c r="AA234" s="281"/>
      <c r="AB234" s="281"/>
      <c r="AC234" s="281"/>
      <c r="AD234" s="281"/>
      <c r="AE234" s="281"/>
    </row>
    <row r="235" spans="2:31" ht="15">
      <c r="B235" s="386">
        <f t="shared" si="6"/>
        <v>190</v>
      </c>
      <c r="C235" s="394" t="str" cm="1">
        <f t="array" aca="1" ref="C235" ca="1">IF(B235&lt;=$C$9,GetGetCDSName(B235),"")</f>
        <v/>
      </c>
      <c r="D235" s="354"/>
      <c r="E235" s="387"/>
      <c r="F235" s="306"/>
      <c r="G235" s="306"/>
      <c r="H235" s="306"/>
      <c r="I235" s="306"/>
      <c r="J235" s="306"/>
      <c r="K235" s="306"/>
      <c r="L235" s="306"/>
      <c r="M235" s="306"/>
      <c r="N235" s="388"/>
      <c r="O235" s="281"/>
      <c r="P235" s="281"/>
      <c r="Q235" s="281"/>
      <c r="R235" s="281"/>
      <c r="S235" s="281"/>
      <c r="T235" s="281"/>
      <c r="U235" s="281"/>
      <c r="V235" s="281"/>
      <c r="W235" s="281"/>
      <c r="X235" s="281"/>
      <c r="Y235" s="281"/>
      <c r="Z235" s="281"/>
      <c r="AA235" s="281"/>
      <c r="AB235" s="281"/>
      <c r="AC235" s="281"/>
      <c r="AD235" s="281"/>
      <c r="AE235" s="281"/>
    </row>
    <row r="236" spans="2:31" ht="15">
      <c r="B236" s="386">
        <f t="shared" si="6"/>
        <v>191</v>
      </c>
      <c r="C236" s="394" t="str" cm="1">
        <f t="array" aca="1" ref="C236" ca="1">IF(B236&lt;=$C$9,GetGetCDSName(B236),"")</f>
        <v/>
      </c>
      <c r="D236" s="354"/>
      <c r="E236" s="387"/>
      <c r="F236" s="306"/>
      <c r="G236" s="306"/>
      <c r="H236" s="306"/>
      <c r="I236" s="306"/>
      <c r="J236" s="306"/>
      <c r="K236" s="306"/>
      <c r="L236" s="306"/>
      <c r="M236" s="306"/>
      <c r="N236" s="388"/>
      <c r="O236" s="281"/>
      <c r="P236" s="281"/>
      <c r="Q236" s="281"/>
      <c r="R236" s="281"/>
      <c r="S236" s="281"/>
      <c r="T236" s="281"/>
      <c r="U236" s="281"/>
      <c r="V236" s="281"/>
      <c r="W236" s="281"/>
      <c r="X236" s="281"/>
      <c r="Y236" s="281"/>
      <c r="Z236" s="281"/>
      <c r="AA236" s="281"/>
      <c r="AB236" s="281"/>
      <c r="AC236" s="281"/>
      <c r="AD236" s="281"/>
      <c r="AE236" s="281"/>
    </row>
    <row r="237" spans="2:31" ht="15">
      <c r="B237" s="386">
        <f t="shared" si="6"/>
        <v>192</v>
      </c>
      <c r="C237" s="394" t="str" cm="1">
        <f t="array" aca="1" ref="C237" ca="1">IF(B237&lt;=$C$9,GetGetCDSName(B237),"")</f>
        <v/>
      </c>
      <c r="D237" s="354"/>
      <c r="E237" s="387"/>
      <c r="F237" s="306"/>
      <c r="G237" s="306"/>
      <c r="H237" s="306"/>
      <c r="I237" s="306"/>
      <c r="J237" s="306"/>
      <c r="K237" s="306"/>
      <c r="L237" s="306"/>
      <c r="M237" s="306"/>
      <c r="N237" s="388"/>
      <c r="O237" s="281"/>
      <c r="P237" s="281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81"/>
    </row>
    <row r="238" spans="2:31" ht="15">
      <c r="B238" s="386">
        <f t="shared" si="6"/>
        <v>193</v>
      </c>
      <c r="C238" s="394" t="str" cm="1">
        <f t="array" aca="1" ref="C238" ca="1">IF(B238&lt;=$C$9,GetGetCDSName(B238),"")</f>
        <v/>
      </c>
      <c r="D238" s="354"/>
      <c r="E238" s="387"/>
      <c r="F238" s="306"/>
      <c r="G238" s="306"/>
      <c r="H238" s="306"/>
      <c r="I238" s="306"/>
      <c r="J238" s="306"/>
      <c r="K238" s="306"/>
      <c r="L238" s="306"/>
      <c r="M238" s="306"/>
      <c r="N238" s="388"/>
      <c r="O238" s="281"/>
      <c r="P238" s="281"/>
      <c r="Q238" s="281"/>
      <c r="R238" s="281"/>
      <c r="S238" s="281"/>
      <c r="T238" s="281"/>
      <c r="U238" s="281"/>
      <c r="V238" s="281"/>
      <c r="W238" s="281"/>
      <c r="X238" s="281"/>
      <c r="Y238" s="281"/>
      <c r="Z238" s="281"/>
      <c r="AA238" s="281"/>
      <c r="AB238" s="281"/>
      <c r="AC238" s="281"/>
      <c r="AD238" s="281"/>
      <c r="AE238" s="281"/>
    </row>
    <row r="239" spans="2:31" ht="15">
      <c r="B239" s="386">
        <f t="shared" ref="B239:B302" si="7">B238+1</f>
        <v>194</v>
      </c>
      <c r="C239" s="394" t="str" cm="1">
        <f t="array" aca="1" ref="C239" ca="1">IF(B239&lt;=$C$9,GetGetCDSName(B239),"")</f>
        <v/>
      </c>
      <c r="D239" s="354"/>
      <c r="E239" s="387"/>
      <c r="F239" s="306"/>
      <c r="G239" s="306"/>
      <c r="H239" s="306"/>
      <c r="I239" s="306"/>
      <c r="J239" s="306"/>
      <c r="K239" s="306"/>
      <c r="L239" s="306"/>
      <c r="M239" s="306"/>
      <c r="N239" s="388"/>
      <c r="O239" s="281"/>
      <c r="P239" s="281"/>
      <c r="Q239" s="281"/>
      <c r="R239" s="281"/>
      <c r="S239" s="281"/>
      <c r="T239" s="281"/>
      <c r="U239" s="281"/>
      <c r="V239" s="281"/>
      <c r="W239" s="281"/>
      <c r="X239" s="281"/>
      <c r="Y239" s="281"/>
      <c r="Z239" s="281"/>
      <c r="AA239" s="281"/>
      <c r="AB239" s="281"/>
      <c r="AC239" s="281"/>
      <c r="AD239" s="281"/>
      <c r="AE239" s="281"/>
    </row>
    <row r="240" spans="2:31" ht="15">
      <c r="B240" s="386">
        <f t="shared" si="7"/>
        <v>195</v>
      </c>
      <c r="C240" s="394" t="str" cm="1">
        <f t="array" aca="1" ref="C240" ca="1">IF(B240&lt;=$C$9,GetGetCDSName(B240),"")</f>
        <v/>
      </c>
      <c r="D240" s="354"/>
      <c r="E240" s="387"/>
      <c r="F240" s="306"/>
      <c r="G240" s="306"/>
      <c r="H240" s="306"/>
      <c r="I240" s="306"/>
      <c r="J240" s="306"/>
      <c r="K240" s="306"/>
      <c r="L240" s="306"/>
      <c r="M240" s="306"/>
      <c r="N240" s="388"/>
      <c r="O240" s="281"/>
      <c r="P240" s="281"/>
      <c r="Q240" s="281"/>
      <c r="R240" s="281"/>
      <c r="S240" s="281"/>
      <c r="T240" s="281"/>
      <c r="U240" s="281"/>
      <c r="V240" s="281"/>
      <c r="W240" s="281"/>
      <c r="X240" s="281"/>
      <c r="Y240" s="281"/>
      <c r="Z240" s="281"/>
      <c r="AA240" s="281"/>
      <c r="AB240" s="281"/>
      <c r="AC240" s="281"/>
      <c r="AD240" s="281"/>
      <c r="AE240" s="281"/>
    </row>
    <row r="241" spans="2:31" ht="15">
      <c r="B241" s="386">
        <f t="shared" si="7"/>
        <v>196</v>
      </c>
      <c r="C241" s="394" t="str" cm="1">
        <f t="array" aca="1" ref="C241" ca="1">IF(B241&lt;=$C$9,GetGetCDSName(B241),"")</f>
        <v/>
      </c>
      <c r="D241" s="354"/>
      <c r="E241" s="387"/>
      <c r="F241" s="306"/>
      <c r="G241" s="306"/>
      <c r="H241" s="306"/>
      <c r="I241" s="306"/>
      <c r="J241" s="306"/>
      <c r="K241" s="306"/>
      <c r="L241" s="306"/>
      <c r="M241" s="306"/>
      <c r="N241" s="388"/>
      <c r="O241" s="281"/>
      <c r="P241" s="281"/>
      <c r="Q241" s="281"/>
      <c r="R241" s="281"/>
      <c r="S241" s="281"/>
      <c r="T241" s="281"/>
      <c r="U241" s="281"/>
      <c r="V241" s="281"/>
      <c r="W241" s="281"/>
      <c r="X241" s="281"/>
      <c r="Y241" s="281"/>
      <c r="Z241" s="281"/>
      <c r="AA241" s="281"/>
      <c r="AB241" s="281"/>
      <c r="AC241" s="281"/>
      <c r="AD241" s="281"/>
      <c r="AE241" s="281"/>
    </row>
    <row r="242" spans="2:31" ht="15">
      <c r="B242" s="386">
        <f t="shared" si="7"/>
        <v>197</v>
      </c>
      <c r="C242" s="394" t="str" cm="1">
        <f t="array" aca="1" ref="C242" ca="1">IF(B242&lt;=$C$9,GetGetCDSName(B242),"")</f>
        <v/>
      </c>
      <c r="D242" s="354"/>
      <c r="E242" s="387"/>
      <c r="F242" s="306"/>
      <c r="G242" s="306"/>
      <c r="H242" s="306"/>
      <c r="I242" s="306"/>
      <c r="J242" s="306"/>
      <c r="K242" s="306"/>
      <c r="L242" s="306"/>
      <c r="M242" s="306"/>
      <c r="N242" s="388"/>
      <c r="O242" s="281"/>
      <c r="P242" s="281"/>
      <c r="Q242" s="281"/>
      <c r="R242" s="281"/>
      <c r="S242" s="281"/>
      <c r="T242" s="281"/>
      <c r="U242" s="281"/>
      <c r="V242" s="281"/>
      <c r="W242" s="281"/>
      <c r="X242" s="281"/>
      <c r="Y242" s="281"/>
      <c r="Z242" s="281"/>
      <c r="AA242" s="281"/>
      <c r="AB242" s="281"/>
      <c r="AC242" s="281"/>
      <c r="AD242" s="281"/>
      <c r="AE242" s="281"/>
    </row>
    <row r="243" spans="2:31" ht="15">
      <c r="B243" s="386">
        <f t="shared" si="7"/>
        <v>198</v>
      </c>
      <c r="C243" s="394" t="str" cm="1">
        <f t="array" aca="1" ref="C243" ca="1">IF(B243&lt;=$C$9,GetGetCDSName(B243),"")</f>
        <v/>
      </c>
      <c r="D243" s="354"/>
      <c r="E243" s="387"/>
      <c r="F243" s="306"/>
      <c r="G243" s="306"/>
      <c r="H243" s="306"/>
      <c r="I243" s="306"/>
      <c r="J243" s="306"/>
      <c r="K243" s="306"/>
      <c r="L243" s="306"/>
      <c r="M243" s="306"/>
      <c r="N243" s="388"/>
      <c r="O243" s="281"/>
      <c r="P243" s="281"/>
      <c r="Q243" s="281"/>
      <c r="R243" s="281"/>
      <c r="S243" s="281"/>
      <c r="T243" s="281"/>
      <c r="U243" s="281"/>
      <c r="V243" s="281"/>
      <c r="W243" s="281"/>
      <c r="X243" s="281"/>
      <c r="Y243" s="281"/>
      <c r="Z243" s="281"/>
      <c r="AA243" s="281"/>
      <c r="AB243" s="281"/>
      <c r="AC243" s="281"/>
      <c r="AD243" s="281"/>
      <c r="AE243" s="281"/>
    </row>
    <row r="244" spans="2:31" ht="15">
      <c r="B244" s="386">
        <f t="shared" si="7"/>
        <v>199</v>
      </c>
      <c r="C244" s="394" t="str" cm="1">
        <f t="array" aca="1" ref="C244" ca="1">IF(B244&lt;=$C$9,GetGetCDSName(B244),"")</f>
        <v/>
      </c>
      <c r="D244" s="354"/>
      <c r="E244" s="387"/>
      <c r="F244" s="306"/>
      <c r="G244" s="306"/>
      <c r="H244" s="306"/>
      <c r="I244" s="306"/>
      <c r="J244" s="306"/>
      <c r="K244" s="306"/>
      <c r="L244" s="306"/>
      <c r="M244" s="306"/>
      <c r="N244" s="388"/>
      <c r="O244" s="281"/>
      <c r="P244" s="281"/>
      <c r="Q244" s="281"/>
      <c r="R244" s="281"/>
      <c r="S244" s="281"/>
      <c r="T244" s="281"/>
      <c r="U244" s="281"/>
      <c r="V244" s="281"/>
      <c r="W244" s="281"/>
      <c r="X244" s="281"/>
      <c r="Y244" s="281"/>
      <c r="Z244" s="281"/>
      <c r="AA244" s="281"/>
      <c r="AB244" s="281"/>
      <c r="AC244" s="281"/>
      <c r="AD244" s="281"/>
      <c r="AE244" s="281"/>
    </row>
    <row r="245" spans="2:31" ht="15">
      <c r="B245" s="386">
        <f t="shared" si="7"/>
        <v>200</v>
      </c>
      <c r="C245" s="394" t="str" cm="1">
        <f t="array" aca="1" ref="C245" ca="1">IF(B245&lt;=$C$9,GetGetCDSName(B245),"")</f>
        <v/>
      </c>
      <c r="D245" s="354"/>
      <c r="E245" s="387"/>
      <c r="F245" s="306"/>
      <c r="G245" s="306"/>
      <c r="H245" s="306"/>
      <c r="I245" s="306"/>
      <c r="J245" s="306"/>
      <c r="K245" s="306"/>
      <c r="L245" s="306"/>
      <c r="M245" s="306"/>
      <c r="N245" s="388"/>
      <c r="O245" s="281"/>
      <c r="P245" s="281"/>
      <c r="Q245" s="281"/>
      <c r="R245" s="281"/>
      <c r="S245" s="281"/>
      <c r="T245" s="281"/>
      <c r="U245" s="281"/>
      <c r="V245" s="281"/>
      <c r="W245" s="281"/>
      <c r="X245" s="281"/>
      <c r="Y245" s="281"/>
      <c r="Z245" s="281"/>
      <c r="AA245" s="281"/>
      <c r="AB245" s="281"/>
      <c r="AC245" s="281"/>
      <c r="AD245" s="281"/>
      <c r="AE245" s="281"/>
    </row>
    <row r="246" spans="2:31" ht="15">
      <c r="B246" s="386">
        <f t="shared" si="7"/>
        <v>201</v>
      </c>
      <c r="C246" s="394" t="str" cm="1">
        <f t="array" aca="1" ref="C246" ca="1">IF(B246&lt;=$C$9,GetGetCDSName(B246),"")</f>
        <v/>
      </c>
      <c r="D246" s="354"/>
      <c r="E246" s="387"/>
      <c r="F246" s="306"/>
      <c r="G246" s="306"/>
      <c r="H246" s="306"/>
      <c r="I246" s="306"/>
      <c r="J246" s="306"/>
      <c r="K246" s="306"/>
      <c r="L246" s="306"/>
      <c r="M246" s="306"/>
      <c r="N246" s="388"/>
      <c r="O246" s="281"/>
      <c r="P246" s="281"/>
      <c r="Q246" s="281"/>
      <c r="R246" s="281"/>
      <c r="S246" s="281"/>
      <c r="T246" s="281"/>
      <c r="U246" s="281"/>
      <c r="V246" s="281"/>
      <c r="W246" s="281"/>
      <c r="X246" s="281"/>
      <c r="Y246" s="281"/>
      <c r="Z246" s="281"/>
      <c r="AA246" s="281"/>
      <c r="AB246" s="281"/>
      <c r="AC246" s="281"/>
      <c r="AD246" s="281"/>
      <c r="AE246" s="281"/>
    </row>
    <row r="247" spans="2:31" ht="15">
      <c r="B247" s="386">
        <f t="shared" si="7"/>
        <v>202</v>
      </c>
      <c r="C247" s="394" t="str" cm="1">
        <f t="array" aca="1" ref="C247" ca="1">IF(B247&lt;=$C$9,GetGetCDSName(B247),"")</f>
        <v/>
      </c>
      <c r="D247" s="354"/>
      <c r="E247" s="387"/>
      <c r="F247" s="306"/>
      <c r="G247" s="306"/>
      <c r="H247" s="306"/>
      <c r="I247" s="306"/>
      <c r="J247" s="306"/>
      <c r="K247" s="306"/>
      <c r="L247" s="306"/>
      <c r="M247" s="306"/>
      <c r="N247" s="388"/>
      <c r="O247" s="281"/>
      <c r="P247" s="281"/>
      <c r="Q247" s="281"/>
      <c r="R247" s="281"/>
      <c r="S247" s="281"/>
      <c r="T247" s="281"/>
      <c r="U247" s="281"/>
      <c r="V247" s="281"/>
      <c r="W247" s="281"/>
      <c r="X247" s="281"/>
      <c r="Y247" s="281"/>
      <c r="Z247" s="281"/>
      <c r="AA247" s="281"/>
      <c r="AB247" s="281"/>
      <c r="AC247" s="281"/>
      <c r="AD247" s="281"/>
      <c r="AE247" s="281"/>
    </row>
    <row r="248" spans="2:31" ht="15">
      <c r="B248" s="386">
        <f t="shared" si="7"/>
        <v>203</v>
      </c>
      <c r="C248" s="394" t="str" cm="1">
        <f t="array" aca="1" ref="C248" ca="1">IF(B248&lt;=$C$9,GetGetCDSName(B248),"")</f>
        <v/>
      </c>
      <c r="D248" s="354"/>
      <c r="E248" s="387"/>
      <c r="F248" s="306"/>
      <c r="G248" s="306"/>
      <c r="H248" s="306"/>
      <c r="I248" s="306"/>
      <c r="J248" s="306"/>
      <c r="K248" s="306"/>
      <c r="L248" s="306"/>
      <c r="M248" s="306"/>
      <c r="N248" s="388"/>
      <c r="O248" s="281"/>
      <c r="P248" s="281"/>
      <c r="Q248" s="281"/>
      <c r="R248" s="281"/>
      <c r="S248" s="281"/>
      <c r="T248" s="281"/>
      <c r="U248" s="281"/>
      <c r="V248" s="281"/>
      <c r="W248" s="281"/>
      <c r="X248" s="281"/>
      <c r="Y248" s="281"/>
      <c r="Z248" s="281"/>
      <c r="AA248" s="281"/>
      <c r="AB248" s="281"/>
      <c r="AC248" s="281"/>
      <c r="AD248" s="281"/>
      <c r="AE248" s="281"/>
    </row>
    <row r="249" spans="2:31" ht="15">
      <c r="B249" s="386">
        <f t="shared" si="7"/>
        <v>204</v>
      </c>
      <c r="C249" s="394" t="str" cm="1">
        <f t="array" aca="1" ref="C249" ca="1">IF(B249&lt;=$C$9,GetGetCDSName(B249),"")</f>
        <v/>
      </c>
      <c r="D249" s="354"/>
      <c r="E249" s="387"/>
      <c r="F249" s="306"/>
      <c r="G249" s="306"/>
      <c r="H249" s="306"/>
      <c r="I249" s="306"/>
      <c r="J249" s="306"/>
      <c r="K249" s="306"/>
      <c r="L249" s="306"/>
      <c r="M249" s="306"/>
      <c r="N249" s="388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281"/>
      <c r="AA249" s="281"/>
      <c r="AB249" s="281"/>
      <c r="AC249" s="281"/>
      <c r="AD249" s="281"/>
      <c r="AE249" s="281"/>
    </row>
    <row r="250" spans="2:31" ht="15">
      <c r="B250" s="386">
        <f t="shared" si="7"/>
        <v>205</v>
      </c>
      <c r="C250" s="394" t="str" cm="1">
        <f t="array" aca="1" ref="C250" ca="1">IF(B250&lt;=$C$9,GetGetCDSName(B250),"")</f>
        <v/>
      </c>
      <c r="D250" s="354"/>
      <c r="E250" s="387"/>
      <c r="F250" s="306"/>
      <c r="G250" s="306"/>
      <c r="H250" s="306"/>
      <c r="I250" s="306"/>
      <c r="J250" s="306"/>
      <c r="K250" s="306"/>
      <c r="L250" s="306"/>
      <c r="M250" s="306"/>
      <c r="N250" s="388"/>
      <c r="O250" s="281"/>
      <c r="P250" s="281"/>
      <c r="Q250" s="281"/>
      <c r="R250" s="281"/>
      <c r="S250" s="281"/>
      <c r="T250" s="281"/>
      <c r="U250" s="281"/>
      <c r="V250" s="281"/>
      <c r="W250" s="281"/>
      <c r="X250" s="281"/>
      <c r="Y250" s="281"/>
      <c r="Z250" s="281"/>
      <c r="AA250" s="281"/>
      <c r="AB250" s="281"/>
      <c r="AC250" s="281"/>
      <c r="AD250" s="281"/>
      <c r="AE250" s="281"/>
    </row>
    <row r="251" spans="2:31" ht="15">
      <c r="B251" s="386">
        <f t="shared" si="7"/>
        <v>206</v>
      </c>
      <c r="C251" s="394" t="str" cm="1">
        <f t="array" aca="1" ref="C251" ca="1">IF(B251&lt;=$C$9,GetGetCDSName(B251),"")</f>
        <v/>
      </c>
      <c r="D251" s="354"/>
      <c r="E251" s="387"/>
      <c r="F251" s="306"/>
      <c r="G251" s="306"/>
      <c r="H251" s="306"/>
      <c r="I251" s="306"/>
      <c r="J251" s="306"/>
      <c r="K251" s="306"/>
      <c r="L251" s="306"/>
      <c r="M251" s="306"/>
      <c r="N251" s="388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</row>
    <row r="252" spans="2:31" ht="15">
      <c r="B252" s="386">
        <f t="shared" si="7"/>
        <v>207</v>
      </c>
      <c r="C252" s="394" t="str" cm="1">
        <f t="array" aca="1" ref="C252" ca="1">IF(B252&lt;=$C$9,GetGetCDSName(B252),"")</f>
        <v/>
      </c>
      <c r="D252" s="354"/>
      <c r="E252" s="387"/>
      <c r="F252" s="306"/>
      <c r="G252" s="306"/>
      <c r="H252" s="306"/>
      <c r="I252" s="306"/>
      <c r="J252" s="306"/>
      <c r="K252" s="306"/>
      <c r="L252" s="306"/>
      <c r="M252" s="306"/>
      <c r="N252" s="388"/>
      <c r="O252" s="281"/>
      <c r="P252" s="281"/>
      <c r="Q252" s="281"/>
      <c r="R252" s="281"/>
      <c r="S252" s="281"/>
      <c r="T252" s="281"/>
      <c r="U252" s="281"/>
      <c r="V252" s="281"/>
      <c r="W252" s="281"/>
      <c r="X252" s="281"/>
      <c r="Y252" s="281"/>
      <c r="Z252" s="281"/>
      <c r="AA252" s="281"/>
      <c r="AB252" s="281"/>
      <c r="AC252" s="281"/>
      <c r="AD252" s="281"/>
      <c r="AE252" s="281"/>
    </row>
    <row r="253" spans="2:31" ht="15">
      <c r="B253" s="386">
        <f t="shared" si="7"/>
        <v>208</v>
      </c>
      <c r="C253" s="394" t="str" cm="1">
        <f t="array" aca="1" ref="C253" ca="1">IF(B253&lt;=$C$9,GetGetCDSName(B253),"")</f>
        <v/>
      </c>
      <c r="D253" s="354"/>
      <c r="E253" s="387"/>
      <c r="F253" s="306"/>
      <c r="G253" s="306"/>
      <c r="H253" s="306"/>
      <c r="I253" s="306"/>
      <c r="J253" s="306"/>
      <c r="K253" s="306"/>
      <c r="L253" s="306"/>
      <c r="M253" s="306"/>
      <c r="N253" s="388"/>
      <c r="O253" s="281"/>
      <c r="P253" s="281"/>
      <c r="Q253" s="281"/>
      <c r="R253" s="281"/>
      <c r="S253" s="281"/>
      <c r="T253" s="281"/>
      <c r="U253" s="281"/>
      <c r="V253" s="281"/>
      <c r="W253" s="281"/>
      <c r="X253" s="281"/>
      <c r="Y253" s="281"/>
      <c r="Z253" s="281"/>
      <c r="AA253" s="281"/>
      <c r="AB253" s="281"/>
      <c r="AC253" s="281"/>
      <c r="AD253" s="281"/>
      <c r="AE253" s="281"/>
    </row>
    <row r="254" spans="2:31" ht="15">
      <c r="B254" s="386">
        <f t="shared" si="7"/>
        <v>209</v>
      </c>
      <c r="C254" s="394" t="str" cm="1">
        <f t="array" aca="1" ref="C254" ca="1">IF(B254&lt;=$C$9,GetGetCDSName(B254),"")</f>
        <v/>
      </c>
      <c r="D254" s="354"/>
      <c r="E254" s="387"/>
      <c r="F254" s="306"/>
      <c r="G254" s="306"/>
      <c r="H254" s="306"/>
      <c r="I254" s="306"/>
      <c r="J254" s="306"/>
      <c r="K254" s="306"/>
      <c r="L254" s="306"/>
      <c r="M254" s="306"/>
      <c r="N254" s="388"/>
      <c r="O254" s="281"/>
      <c r="P254" s="281"/>
      <c r="Q254" s="281"/>
      <c r="R254" s="281"/>
      <c r="S254" s="281"/>
      <c r="T254" s="281"/>
      <c r="U254" s="281"/>
      <c r="V254" s="281"/>
      <c r="W254" s="281"/>
      <c r="X254" s="281"/>
      <c r="Y254" s="281"/>
      <c r="Z254" s="281"/>
      <c r="AA254" s="281"/>
      <c r="AB254" s="281"/>
      <c r="AC254" s="281"/>
      <c r="AD254" s="281"/>
      <c r="AE254" s="281"/>
    </row>
    <row r="255" spans="2:31" ht="15">
      <c r="B255" s="386">
        <f t="shared" si="7"/>
        <v>210</v>
      </c>
      <c r="C255" s="394" t="str" cm="1">
        <f t="array" aca="1" ref="C255" ca="1">IF(B255&lt;=$C$9,GetGetCDSName(B255),"")</f>
        <v/>
      </c>
      <c r="D255" s="354"/>
      <c r="E255" s="387"/>
      <c r="F255" s="306"/>
      <c r="G255" s="306"/>
      <c r="H255" s="306"/>
      <c r="I255" s="306"/>
      <c r="J255" s="306"/>
      <c r="K255" s="306"/>
      <c r="L255" s="306"/>
      <c r="M255" s="306"/>
      <c r="N255" s="388"/>
      <c r="O255" s="281"/>
      <c r="P255" s="281"/>
      <c r="Q255" s="281"/>
      <c r="R255" s="281"/>
      <c r="S255" s="281"/>
      <c r="T255" s="281"/>
      <c r="U255" s="281"/>
      <c r="V255" s="281"/>
      <c r="W255" s="281"/>
      <c r="X255" s="281"/>
      <c r="Y255" s="281"/>
      <c r="Z255" s="281"/>
      <c r="AA255" s="281"/>
      <c r="AB255" s="281"/>
      <c r="AC255" s="281"/>
      <c r="AD255" s="281"/>
      <c r="AE255" s="281"/>
    </row>
    <row r="256" spans="2:31" ht="15">
      <c r="B256" s="386">
        <f t="shared" si="7"/>
        <v>211</v>
      </c>
      <c r="C256" s="394" t="str" cm="1">
        <f t="array" aca="1" ref="C256" ca="1">IF(B256&lt;=$C$9,GetGetCDSName(B256),"")</f>
        <v/>
      </c>
      <c r="D256" s="354"/>
      <c r="E256" s="387"/>
      <c r="F256" s="306"/>
      <c r="G256" s="306"/>
      <c r="H256" s="306"/>
      <c r="I256" s="306"/>
      <c r="J256" s="306"/>
      <c r="K256" s="306"/>
      <c r="L256" s="306"/>
      <c r="M256" s="306"/>
      <c r="N256" s="388"/>
      <c r="O256" s="281"/>
      <c r="P256" s="281"/>
      <c r="Q256" s="281"/>
      <c r="R256" s="281"/>
      <c r="S256" s="281"/>
      <c r="T256" s="281"/>
      <c r="U256" s="281"/>
      <c r="V256" s="281"/>
      <c r="W256" s="281"/>
      <c r="X256" s="281"/>
      <c r="Y256" s="281"/>
      <c r="Z256" s="281"/>
      <c r="AA256" s="281"/>
      <c r="AB256" s="281"/>
      <c r="AC256" s="281"/>
      <c r="AD256" s="281"/>
      <c r="AE256" s="281"/>
    </row>
    <row r="257" spans="2:31" ht="15">
      <c r="B257" s="386">
        <f t="shared" si="7"/>
        <v>212</v>
      </c>
      <c r="C257" s="394" t="str" cm="1">
        <f t="array" aca="1" ref="C257" ca="1">IF(B257&lt;=$C$9,GetGetCDSName(B257),"")</f>
        <v/>
      </c>
      <c r="D257" s="354"/>
      <c r="E257" s="387"/>
      <c r="F257" s="306"/>
      <c r="G257" s="306"/>
      <c r="H257" s="306"/>
      <c r="I257" s="306"/>
      <c r="J257" s="306"/>
      <c r="K257" s="306"/>
      <c r="L257" s="306"/>
      <c r="M257" s="306"/>
      <c r="N257" s="388"/>
      <c r="O257" s="281"/>
      <c r="P257" s="281"/>
      <c r="Q257" s="281"/>
      <c r="R257" s="281"/>
      <c r="S257" s="281"/>
      <c r="T257" s="281"/>
      <c r="U257" s="281"/>
      <c r="V257" s="281"/>
      <c r="W257" s="281"/>
      <c r="X257" s="281"/>
      <c r="Y257" s="281"/>
      <c r="Z257" s="281"/>
      <c r="AA257" s="281"/>
      <c r="AB257" s="281"/>
      <c r="AC257" s="281"/>
      <c r="AD257" s="281"/>
      <c r="AE257" s="281"/>
    </row>
    <row r="258" spans="2:31" ht="15">
      <c r="B258" s="386">
        <f t="shared" si="7"/>
        <v>213</v>
      </c>
      <c r="C258" s="394" t="str" cm="1">
        <f t="array" aca="1" ref="C258" ca="1">IF(B258&lt;=$C$9,GetGetCDSName(B258),"")</f>
        <v/>
      </c>
      <c r="D258" s="354"/>
      <c r="E258" s="387"/>
      <c r="F258" s="306"/>
      <c r="G258" s="306"/>
      <c r="H258" s="306"/>
      <c r="I258" s="306"/>
      <c r="J258" s="306"/>
      <c r="K258" s="306"/>
      <c r="L258" s="306"/>
      <c r="M258" s="306"/>
      <c r="N258" s="388"/>
      <c r="O258" s="281"/>
      <c r="P258" s="281"/>
      <c r="Q258" s="281"/>
      <c r="R258" s="281"/>
      <c r="S258" s="281"/>
      <c r="T258" s="281"/>
      <c r="U258" s="281"/>
      <c r="V258" s="281"/>
      <c r="W258" s="281"/>
      <c r="X258" s="281"/>
      <c r="Y258" s="281"/>
      <c r="Z258" s="281"/>
      <c r="AA258" s="281"/>
      <c r="AB258" s="281"/>
      <c r="AC258" s="281"/>
      <c r="AD258" s="281"/>
      <c r="AE258" s="281"/>
    </row>
    <row r="259" spans="2:31" ht="15">
      <c r="B259" s="386">
        <f t="shared" si="7"/>
        <v>214</v>
      </c>
      <c r="C259" s="394" t="str" cm="1">
        <f t="array" aca="1" ref="C259" ca="1">IF(B259&lt;=$C$9,GetGetCDSName(B259),"")</f>
        <v/>
      </c>
      <c r="D259" s="354"/>
      <c r="E259" s="387"/>
      <c r="F259" s="306"/>
      <c r="G259" s="306"/>
      <c r="H259" s="306"/>
      <c r="I259" s="306"/>
      <c r="J259" s="306"/>
      <c r="K259" s="306"/>
      <c r="L259" s="306"/>
      <c r="M259" s="306"/>
      <c r="N259" s="388"/>
      <c r="O259" s="281"/>
      <c r="P259" s="281"/>
      <c r="Q259" s="281"/>
      <c r="R259" s="281"/>
      <c r="S259" s="281"/>
      <c r="T259" s="281"/>
      <c r="U259" s="281"/>
      <c r="V259" s="281"/>
      <c r="W259" s="281"/>
      <c r="X259" s="281"/>
      <c r="Y259" s="281"/>
      <c r="Z259" s="281"/>
      <c r="AA259" s="281"/>
      <c r="AB259" s="281"/>
      <c r="AC259" s="281"/>
      <c r="AD259" s="281"/>
      <c r="AE259" s="281"/>
    </row>
    <row r="260" spans="2:31" ht="15">
      <c r="B260" s="386">
        <f t="shared" si="7"/>
        <v>215</v>
      </c>
      <c r="C260" s="394" t="str" cm="1">
        <f t="array" aca="1" ref="C260" ca="1">IF(B260&lt;=$C$9,GetGetCDSName(B260),"")</f>
        <v/>
      </c>
      <c r="D260" s="354"/>
      <c r="E260" s="387"/>
      <c r="F260" s="306"/>
      <c r="G260" s="306"/>
      <c r="H260" s="306"/>
      <c r="I260" s="306"/>
      <c r="J260" s="306"/>
      <c r="K260" s="306"/>
      <c r="L260" s="306"/>
      <c r="M260" s="306"/>
      <c r="N260" s="388"/>
      <c r="O260" s="281"/>
      <c r="P260" s="281"/>
      <c r="Q260" s="281"/>
      <c r="R260" s="281"/>
      <c r="S260" s="281"/>
      <c r="T260" s="281"/>
      <c r="U260" s="281"/>
      <c r="V260" s="281"/>
      <c r="W260" s="281"/>
      <c r="X260" s="281"/>
      <c r="Y260" s="281"/>
      <c r="Z260" s="281"/>
      <c r="AA260" s="281"/>
      <c r="AB260" s="281"/>
      <c r="AC260" s="281"/>
      <c r="AD260" s="281"/>
      <c r="AE260" s="281"/>
    </row>
    <row r="261" spans="2:31" ht="15">
      <c r="B261" s="386">
        <f t="shared" si="7"/>
        <v>216</v>
      </c>
      <c r="C261" s="394" t="str" cm="1">
        <f t="array" aca="1" ref="C261" ca="1">IF(B261&lt;=$C$9,GetGetCDSName(B261),"")</f>
        <v/>
      </c>
      <c r="D261" s="354"/>
      <c r="E261" s="387"/>
      <c r="F261" s="306"/>
      <c r="G261" s="306"/>
      <c r="H261" s="306"/>
      <c r="I261" s="306"/>
      <c r="J261" s="306"/>
      <c r="K261" s="306"/>
      <c r="L261" s="306"/>
      <c r="M261" s="306"/>
      <c r="N261" s="388"/>
      <c r="O261" s="281"/>
      <c r="P261" s="281"/>
      <c r="Q261" s="281"/>
      <c r="R261" s="281"/>
      <c r="S261" s="281"/>
      <c r="T261" s="281"/>
      <c r="U261" s="281"/>
      <c r="V261" s="281"/>
      <c r="W261" s="281"/>
      <c r="X261" s="281"/>
      <c r="Y261" s="281"/>
      <c r="Z261" s="281"/>
      <c r="AA261" s="281"/>
      <c r="AB261" s="281"/>
      <c r="AC261" s="281"/>
      <c r="AD261" s="281"/>
      <c r="AE261" s="281"/>
    </row>
    <row r="262" spans="2:31" ht="15">
      <c r="B262" s="386">
        <f t="shared" si="7"/>
        <v>217</v>
      </c>
      <c r="C262" s="394" t="str" cm="1">
        <f t="array" aca="1" ref="C262" ca="1">IF(B262&lt;=$C$9,GetGetCDSName(B262),"")</f>
        <v/>
      </c>
      <c r="D262" s="354"/>
      <c r="E262" s="387"/>
      <c r="F262" s="306"/>
      <c r="G262" s="306"/>
      <c r="H262" s="306"/>
      <c r="I262" s="306"/>
      <c r="J262" s="306"/>
      <c r="K262" s="306"/>
      <c r="L262" s="306"/>
      <c r="M262" s="306"/>
      <c r="N262" s="388"/>
      <c r="O262" s="281"/>
      <c r="P262" s="281"/>
      <c r="Q262" s="281"/>
      <c r="R262" s="281"/>
      <c r="S262" s="281"/>
      <c r="T262" s="281"/>
      <c r="U262" s="281"/>
      <c r="V262" s="281"/>
      <c r="W262" s="281"/>
      <c r="X262" s="281"/>
      <c r="Y262" s="281"/>
      <c r="Z262" s="281"/>
      <c r="AA262" s="281"/>
      <c r="AB262" s="281"/>
      <c r="AC262" s="281"/>
      <c r="AD262" s="281"/>
      <c r="AE262" s="281"/>
    </row>
    <row r="263" spans="2:31" ht="15">
      <c r="B263" s="386">
        <f t="shared" si="7"/>
        <v>218</v>
      </c>
      <c r="C263" s="394" t="str" cm="1">
        <f t="array" aca="1" ref="C263" ca="1">IF(B263&lt;=$C$9,GetGetCDSName(B263),"")</f>
        <v/>
      </c>
      <c r="D263" s="354"/>
      <c r="E263" s="387"/>
      <c r="F263" s="306"/>
      <c r="G263" s="306"/>
      <c r="H263" s="306"/>
      <c r="I263" s="306"/>
      <c r="J263" s="306"/>
      <c r="K263" s="306"/>
      <c r="L263" s="306"/>
      <c r="M263" s="306"/>
      <c r="N263" s="388"/>
      <c r="O263" s="281"/>
      <c r="P263" s="281"/>
      <c r="Q263" s="281"/>
      <c r="R263" s="281"/>
      <c r="S263" s="281"/>
      <c r="T263" s="281"/>
      <c r="U263" s="281"/>
      <c r="V263" s="281"/>
      <c r="W263" s="281"/>
      <c r="X263" s="281"/>
      <c r="Y263" s="281"/>
      <c r="Z263" s="281"/>
      <c r="AA263" s="281"/>
      <c r="AB263" s="281"/>
      <c r="AC263" s="281"/>
      <c r="AD263" s="281"/>
      <c r="AE263" s="281"/>
    </row>
    <row r="264" spans="2:31" ht="15">
      <c r="B264" s="386">
        <f t="shared" si="7"/>
        <v>219</v>
      </c>
      <c r="C264" s="394" t="str" cm="1">
        <f t="array" aca="1" ref="C264" ca="1">IF(B264&lt;=$C$9,GetGetCDSName(B264),"")</f>
        <v/>
      </c>
      <c r="D264" s="354"/>
      <c r="E264" s="387"/>
      <c r="F264" s="306"/>
      <c r="G264" s="306"/>
      <c r="H264" s="306"/>
      <c r="I264" s="306"/>
      <c r="J264" s="306"/>
      <c r="K264" s="306"/>
      <c r="L264" s="306"/>
      <c r="M264" s="306"/>
      <c r="N264" s="388"/>
      <c r="O264" s="281"/>
      <c r="P264" s="281"/>
      <c r="Q264" s="281"/>
      <c r="R264" s="281"/>
      <c r="S264" s="281"/>
      <c r="T264" s="281"/>
      <c r="U264" s="281"/>
      <c r="V264" s="281"/>
      <c r="W264" s="281"/>
      <c r="X264" s="281"/>
      <c r="Y264" s="281"/>
      <c r="Z264" s="281"/>
      <c r="AA264" s="281"/>
      <c r="AB264" s="281"/>
      <c r="AC264" s="281"/>
      <c r="AD264" s="281"/>
      <c r="AE264" s="281"/>
    </row>
    <row r="265" spans="2:31" ht="15">
      <c r="B265" s="386">
        <f t="shared" si="7"/>
        <v>220</v>
      </c>
      <c r="C265" s="394" t="str" cm="1">
        <f t="array" aca="1" ref="C265" ca="1">IF(B265&lt;=$C$9,GetGetCDSName(B265),"")</f>
        <v/>
      </c>
      <c r="D265" s="354"/>
      <c r="E265" s="387"/>
      <c r="F265" s="306"/>
      <c r="G265" s="306"/>
      <c r="H265" s="306"/>
      <c r="I265" s="306"/>
      <c r="J265" s="306"/>
      <c r="K265" s="306"/>
      <c r="L265" s="306"/>
      <c r="M265" s="306"/>
      <c r="N265" s="388"/>
      <c r="O265" s="281"/>
      <c r="P265" s="281"/>
      <c r="Q265" s="281"/>
      <c r="R265" s="281"/>
      <c r="S265" s="281"/>
      <c r="T265" s="281"/>
      <c r="U265" s="281"/>
      <c r="V265" s="281"/>
      <c r="W265" s="281"/>
      <c r="X265" s="281"/>
      <c r="Y265" s="281"/>
      <c r="Z265" s="281"/>
      <c r="AA265" s="281"/>
      <c r="AB265" s="281"/>
      <c r="AC265" s="281"/>
      <c r="AD265" s="281"/>
      <c r="AE265" s="281"/>
    </row>
    <row r="266" spans="2:31" ht="15">
      <c r="B266" s="386">
        <f t="shared" si="7"/>
        <v>221</v>
      </c>
      <c r="C266" s="394" t="str" cm="1">
        <f t="array" aca="1" ref="C266" ca="1">IF(B266&lt;=$C$9,GetGetCDSName(B266),"")</f>
        <v/>
      </c>
      <c r="D266" s="354"/>
      <c r="E266" s="387"/>
      <c r="F266" s="306"/>
      <c r="G266" s="306"/>
      <c r="H266" s="306"/>
      <c r="I266" s="306"/>
      <c r="J266" s="306"/>
      <c r="K266" s="306"/>
      <c r="L266" s="306"/>
      <c r="M266" s="306"/>
      <c r="N266" s="388"/>
      <c r="O266" s="281"/>
      <c r="P266" s="281"/>
      <c r="Q266" s="281"/>
      <c r="R266" s="281"/>
      <c r="S266" s="281"/>
      <c r="T266" s="281"/>
      <c r="U266" s="281"/>
      <c r="V266" s="281"/>
      <c r="W266" s="281"/>
      <c r="X266" s="281"/>
      <c r="Y266" s="281"/>
      <c r="Z266" s="281"/>
      <c r="AA266" s="281"/>
      <c r="AB266" s="281"/>
      <c r="AC266" s="281"/>
      <c r="AD266" s="281"/>
      <c r="AE266" s="281"/>
    </row>
    <row r="267" spans="2:31" ht="15">
      <c r="B267" s="386">
        <f t="shared" si="7"/>
        <v>222</v>
      </c>
      <c r="C267" s="394" t="str" cm="1">
        <f t="array" aca="1" ref="C267" ca="1">IF(B267&lt;=$C$9,GetGetCDSName(B267),"")</f>
        <v/>
      </c>
      <c r="D267" s="354"/>
      <c r="E267" s="387"/>
      <c r="F267" s="306"/>
      <c r="G267" s="306"/>
      <c r="H267" s="306"/>
      <c r="I267" s="306"/>
      <c r="J267" s="306"/>
      <c r="K267" s="306"/>
      <c r="L267" s="306"/>
      <c r="M267" s="306"/>
      <c r="N267" s="388"/>
      <c r="O267" s="281"/>
      <c r="P267" s="281"/>
      <c r="Q267" s="281"/>
      <c r="R267" s="281"/>
      <c r="S267" s="281"/>
      <c r="T267" s="281"/>
      <c r="U267" s="281"/>
      <c r="V267" s="281"/>
      <c r="W267" s="281"/>
      <c r="X267" s="281"/>
      <c r="Y267" s="281"/>
      <c r="Z267" s="281"/>
      <c r="AA267" s="281"/>
      <c r="AB267" s="281"/>
      <c r="AC267" s="281"/>
      <c r="AD267" s="281"/>
      <c r="AE267" s="281"/>
    </row>
    <row r="268" spans="2:31" ht="15">
      <c r="B268" s="386">
        <f t="shared" si="7"/>
        <v>223</v>
      </c>
      <c r="C268" s="394" t="str" cm="1">
        <f t="array" aca="1" ref="C268" ca="1">IF(B268&lt;=$C$9,GetGetCDSName(B268),"")</f>
        <v/>
      </c>
      <c r="D268" s="354"/>
      <c r="E268" s="387"/>
      <c r="F268" s="306"/>
      <c r="G268" s="306"/>
      <c r="H268" s="306"/>
      <c r="I268" s="306"/>
      <c r="J268" s="306"/>
      <c r="K268" s="306"/>
      <c r="L268" s="306"/>
      <c r="M268" s="306"/>
      <c r="N268" s="388"/>
      <c r="O268" s="281"/>
      <c r="P268" s="281"/>
      <c r="Q268" s="281"/>
      <c r="R268" s="281"/>
      <c r="S268" s="281"/>
      <c r="T268" s="281"/>
      <c r="U268" s="281"/>
      <c r="V268" s="281"/>
      <c r="W268" s="281"/>
      <c r="X268" s="281"/>
      <c r="Y268" s="281"/>
      <c r="Z268" s="281"/>
      <c r="AA268" s="281"/>
      <c r="AB268" s="281"/>
      <c r="AC268" s="281"/>
      <c r="AD268" s="281"/>
      <c r="AE268" s="281"/>
    </row>
    <row r="269" spans="2:31" ht="15">
      <c r="B269" s="386">
        <f t="shared" si="7"/>
        <v>224</v>
      </c>
      <c r="C269" s="394" t="str" cm="1">
        <f t="array" aca="1" ref="C269" ca="1">IF(B269&lt;=$C$9,GetGetCDSName(B269),"")</f>
        <v/>
      </c>
      <c r="D269" s="354"/>
      <c r="E269" s="387"/>
      <c r="F269" s="306"/>
      <c r="G269" s="306"/>
      <c r="H269" s="306"/>
      <c r="I269" s="306"/>
      <c r="J269" s="306"/>
      <c r="K269" s="306"/>
      <c r="L269" s="306"/>
      <c r="M269" s="306"/>
      <c r="N269" s="388"/>
      <c r="O269" s="281"/>
      <c r="P269" s="281"/>
      <c r="Q269" s="281"/>
      <c r="R269" s="281"/>
      <c r="S269" s="281"/>
      <c r="T269" s="281"/>
      <c r="U269" s="281"/>
      <c r="V269" s="281"/>
      <c r="W269" s="281"/>
      <c r="X269" s="281"/>
      <c r="Y269" s="281"/>
      <c r="Z269" s="281"/>
      <c r="AA269" s="281"/>
      <c r="AB269" s="281"/>
      <c r="AC269" s="281"/>
      <c r="AD269" s="281"/>
      <c r="AE269" s="281"/>
    </row>
    <row r="270" spans="2:31" ht="15">
      <c r="B270" s="386">
        <f t="shared" si="7"/>
        <v>225</v>
      </c>
      <c r="C270" s="394" t="str" cm="1">
        <f t="array" aca="1" ref="C270" ca="1">IF(B270&lt;=$C$9,GetGetCDSName(B270),"")</f>
        <v/>
      </c>
      <c r="D270" s="354"/>
      <c r="E270" s="387"/>
      <c r="F270" s="306"/>
      <c r="G270" s="306"/>
      <c r="H270" s="306"/>
      <c r="I270" s="306"/>
      <c r="J270" s="306"/>
      <c r="K270" s="306"/>
      <c r="L270" s="306"/>
      <c r="M270" s="306"/>
      <c r="N270" s="388"/>
      <c r="O270" s="281"/>
      <c r="P270" s="281"/>
      <c r="Q270" s="281"/>
      <c r="R270" s="281"/>
      <c r="S270" s="281"/>
      <c r="T270" s="281"/>
      <c r="U270" s="281"/>
      <c r="V270" s="281"/>
      <c r="W270" s="281"/>
      <c r="X270" s="281"/>
      <c r="Y270" s="281"/>
      <c r="Z270" s="281"/>
      <c r="AA270" s="281"/>
      <c r="AB270" s="281"/>
      <c r="AC270" s="281"/>
      <c r="AD270" s="281"/>
      <c r="AE270" s="281"/>
    </row>
    <row r="271" spans="2:31" ht="15">
      <c r="B271" s="386">
        <f t="shared" si="7"/>
        <v>226</v>
      </c>
      <c r="C271" s="394" t="str" cm="1">
        <f t="array" aca="1" ref="C271" ca="1">IF(B271&lt;=$C$9,GetGetCDSName(B271),"")</f>
        <v/>
      </c>
      <c r="D271" s="354"/>
      <c r="E271" s="387"/>
      <c r="F271" s="306"/>
      <c r="G271" s="306"/>
      <c r="H271" s="306"/>
      <c r="I271" s="306"/>
      <c r="J271" s="306"/>
      <c r="K271" s="306"/>
      <c r="L271" s="306"/>
      <c r="M271" s="306"/>
      <c r="N271" s="388"/>
      <c r="O271" s="281"/>
      <c r="P271" s="281"/>
      <c r="Q271" s="281"/>
      <c r="R271" s="281"/>
      <c r="S271" s="281"/>
      <c r="T271" s="281"/>
      <c r="U271" s="281"/>
      <c r="V271" s="281"/>
      <c r="W271" s="281"/>
      <c r="X271" s="281"/>
      <c r="Y271" s="281"/>
      <c r="Z271" s="281"/>
      <c r="AA271" s="281"/>
      <c r="AB271" s="281"/>
      <c r="AC271" s="281"/>
      <c r="AD271" s="281"/>
      <c r="AE271" s="281"/>
    </row>
    <row r="272" spans="2:31" ht="15">
      <c r="B272" s="386">
        <f t="shared" si="7"/>
        <v>227</v>
      </c>
      <c r="C272" s="394" t="str" cm="1">
        <f t="array" aca="1" ref="C272" ca="1">IF(B272&lt;=$C$9,GetGetCDSName(B272),"")</f>
        <v/>
      </c>
      <c r="D272" s="354"/>
      <c r="E272" s="387"/>
      <c r="F272" s="306"/>
      <c r="G272" s="306"/>
      <c r="H272" s="306"/>
      <c r="I272" s="306"/>
      <c r="J272" s="306"/>
      <c r="K272" s="306"/>
      <c r="L272" s="306"/>
      <c r="M272" s="306"/>
      <c r="N272" s="388"/>
      <c r="O272" s="281"/>
      <c r="P272" s="281"/>
      <c r="Q272" s="281"/>
      <c r="R272" s="281"/>
      <c r="S272" s="281"/>
      <c r="T272" s="281"/>
      <c r="U272" s="281"/>
      <c r="V272" s="281"/>
      <c r="W272" s="281"/>
      <c r="X272" s="281"/>
      <c r="Y272" s="281"/>
      <c r="Z272" s="281"/>
      <c r="AA272" s="281"/>
      <c r="AB272" s="281"/>
      <c r="AC272" s="281"/>
      <c r="AD272" s="281"/>
      <c r="AE272" s="281"/>
    </row>
    <row r="273" spans="2:31" ht="15">
      <c r="B273" s="386">
        <f t="shared" si="7"/>
        <v>228</v>
      </c>
      <c r="C273" s="394" t="str" cm="1">
        <f t="array" aca="1" ref="C273" ca="1">IF(B273&lt;=$C$9,GetGetCDSName(B273),"")</f>
        <v/>
      </c>
      <c r="D273" s="354"/>
      <c r="E273" s="387"/>
      <c r="F273" s="306"/>
      <c r="G273" s="306"/>
      <c r="H273" s="306"/>
      <c r="I273" s="306"/>
      <c r="J273" s="306"/>
      <c r="K273" s="306"/>
      <c r="L273" s="306"/>
      <c r="M273" s="306"/>
      <c r="N273" s="388"/>
      <c r="O273" s="281"/>
      <c r="P273" s="281"/>
      <c r="Q273" s="281"/>
      <c r="R273" s="281"/>
      <c r="S273" s="281"/>
      <c r="T273" s="281"/>
      <c r="U273" s="281"/>
      <c r="V273" s="281"/>
      <c r="W273" s="281"/>
      <c r="X273" s="281"/>
      <c r="Y273" s="281"/>
      <c r="Z273" s="281"/>
      <c r="AA273" s="281"/>
      <c r="AB273" s="281"/>
      <c r="AC273" s="281"/>
      <c r="AD273" s="281"/>
      <c r="AE273" s="281"/>
    </row>
    <row r="274" spans="2:31" ht="15">
      <c r="B274" s="386">
        <f t="shared" si="7"/>
        <v>229</v>
      </c>
      <c r="C274" s="394" t="str" cm="1">
        <f t="array" aca="1" ref="C274" ca="1">IF(B274&lt;=$C$9,GetGetCDSName(B274),"")</f>
        <v/>
      </c>
      <c r="D274" s="354"/>
      <c r="E274" s="387"/>
      <c r="F274" s="306"/>
      <c r="G274" s="306"/>
      <c r="H274" s="306"/>
      <c r="I274" s="306"/>
      <c r="J274" s="306"/>
      <c r="K274" s="306"/>
      <c r="L274" s="306"/>
      <c r="M274" s="306"/>
      <c r="N274" s="388"/>
      <c r="O274" s="281"/>
      <c r="P274" s="281"/>
      <c r="Q274" s="281"/>
      <c r="R274" s="281"/>
      <c r="S274" s="281"/>
      <c r="T274" s="281"/>
      <c r="U274" s="281"/>
      <c r="V274" s="281"/>
      <c r="W274" s="281"/>
      <c r="X274" s="281"/>
      <c r="Y274" s="281"/>
      <c r="Z274" s="281"/>
      <c r="AA274" s="281"/>
      <c r="AB274" s="281"/>
      <c r="AC274" s="281"/>
      <c r="AD274" s="281"/>
      <c r="AE274" s="281"/>
    </row>
    <row r="275" spans="2:31" ht="15">
      <c r="B275" s="386">
        <f t="shared" si="7"/>
        <v>230</v>
      </c>
      <c r="C275" s="394" t="str" cm="1">
        <f t="array" aca="1" ref="C275" ca="1">IF(B275&lt;=$C$9,GetGetCDSName(B275),"")</f>
        <v/>
      </c>
      <c r="D275" s="354"/>
      <c r="E275" s="387"/>
      <c r="F275" s="306"/>
      <c r="G275" s="306"/>
      <c r="H275" s="306"/>
      <c r="I275" s="306"/>
      <c r="J275" s="306"/>
      <c r="K275" s="306"/>
      <c r="L275" s="306"/>
      <c r="M275" s="306"/>
      <c r="N275" s="388"/>
      <c r="O275" s="281"/>
      <c r="P275" s="281"/>
      <c r="Q275" s="281"/>
      <c r="R275" s="281"/>
      <c r="S275" s="281"/>
      <c r="T275" s="281"/>
      <c r="U275" s="281"/>
      <c r="V275" s="281"/>
      <c r="W275" s="281"/>
      <c r="X275" s="281"/>
      <c r="Y275" s="281"/>
      <c r="Z275" s="281"/>
      <c r="AA275" s="281"/>
      <c r="AB275" s="281"/>
      <c r="AC275" s="281"/>
      <c r="AD275" s="281"/>
      <c r="AE275" s="281"/>
    </row>
    <row r="276" spans="2:31" ht="15">
      <c r="B276" s="386">
        <f t="shared" si="7"/>
        <v>231</v>
      </c>
      <c r="C276" s="394" t="str" cm="1">
        <f t="array" aca="1" ref="C276" ca="1">IF(B276&lt;=$C$9,GetGetCDSName(B276),"")</f>
        <v/>
      </c>
      <c r="D276" s="354"/>
      <c r="E276" s="387"/>
      <c r="F276" s="306"/>
      <c r="G276" s="306"/>
      <c r="H276" s="306"/>
      <c r="I276" s="306"/>
      <c r="J276" s="306"/>
      <c r="K276" s="306"/>
      <c r="L276" s="306"/>
      <c r="M276" s="306"/>
      <c r="N276" s="388"/>
      <c r="O276" s="281"/>
      <c r="P276" s="281"/>
      <c r="Q276" s="281"/>
      <c r="R276" s="281"/>
      <c r="S276" s="281"/>
      <c r="T276" s="281"/>
      <c r="U276" s="281"/>
      <c r="V276" s="281"/>
      <c r="W276" s="281"/>
      <c r="X276" s="281"/>
      <c r="Y276" s="281"/>
      <c r="Z276" s="281"/>
      <c r="AA276" s="281"/>
      <c r="AB276" s="281"/>
      <c r="AC276" s="281"/>
      <c r="AD276" s="281"/>
      <c r="AE276" s="281"/>
    </row>
    <row r="277" spans="2:31" ht="15">
      <c r="B277" s="386">
        <f t="shared" si="7"/>
        <v>232</v>
      </c>
      <c r="C277" s="394" t="str" cm="1">
        <f t="array" aca="1" ref="C277" ca="1">IF(B277&lt;=$C$9,GetGetCDSName(B277),"")</f>
        <v/>
      </c>
      <c r="D277" s="354"/>
      <c r="E277" s="387"/>
      <c r="F277" s="306"/>
      <c r="G277" s="306"/>
      <c r="H277" s="306"/>
      <c r="I277" s="306"/>
      <c r="J277" s="306"/>
      <c r="K277" s="306"/>
      <c r="L277" s="306"/>
      <c r="M277" s="306"/>
      <c r="N277" s="388"/>
      <c r="O277" s="281"/>
      <c r="P277" s="281"/>
      <c r="Q277" s="281"/>
      <c r="R277" s="281"/>
      <c r="S277" s="281"/>
      <c r="T277" s="281"/>
      <c r="U277" s="281"/>
      <c r="V277" s="281"/>
      <c r="W277" s="281"/>
      <c r="X277" s="281"/>
      <c r="Y277" s="281"/>
      <c r="Z277" s="281"/>
      <c r="AA277" s="281"/>
      <c r="AB277" s="281"/>
      <c r="AC277" s="281"/>
      <c r="AD277" s="281"/>
      <c r="AE277" s="281"/>
    </row>
    <row r="278" spans="2:31" ht="15">
      <c r="B278" s="386">
        <f t="shared" si="7"/>
        <v>233</v>
      </c>
      <c r="C278" s="394" t="str" cm="1">
        <f t="array" aca="1" ref="C278" ca="1">IF(B278&lt;=$C$9,GetGetCDSName(B278),"")</f>
        <v/>
      </c>
      <c r="D278" s="354"/>
      <c r="E278" s="387"/>
      <c r="F278" s="306"/>
      <c r="G278" s="306"/>
      <c r="H278" s="306"/>
      <c r="I278" s="306"/>
      <c r="J278" s="306"/>
      <c r="K278" s="306"/>
      <c r="L278" s="306"/>
      <c r="M278" s="306"/>
      <c r="N278" s="388"/>
      <c r="O278" s="281"/>
      <c r="P278" s="281"/>
      <c r="Q278" s="281"/>
      <c r="R278" s="281"/>
      <c r="S278" s="281"/>
      <c r="T278" s="281"/>
      <c r="U278" s="281"/>
      <c r="V278" s="281"/>
      <c r="W278" s="281"/>
      <c r="X278" s="281"/>
      <c r="Y278" s="281"/>
      <c r="Z278" s="281"/>
      <c r="AA278" s="281"/>
      <c r="AB278" s="281"/>
      <c r="AC278" s="281"/>
      <c r="AD278" s="281"/>
      <c r="AE278" s="281"/>
    </row>
    <row r="279" spans="2:31" ht="15">
      <c r="B279" s="386">
        <f t="shared" si="7"/>
        <v>234</v>
      </c>
      <c r="C279" s="394" t="str" cm="1">
        <f t="array" aca="1" ref="C279" ca="1">IF(B279&lt;=$C$9,GetGetCDSName(B279),"")</f>
        <v/>
      </c>
      <c r="D279" s="354"/>
      <c r="E279" s="387"/>
      <c r="F279" s="306"/>
      <c r="G279" s="306"/>
      <c r="H279" s="306"/>
      <c r="I279" s="306"/>
      <c r="J279" s="306"/>
      <c r="K279" s="306"/>
      <c r="L279" s="306"/>
      <c r="M279" s="306"/>
      <c r="N279" s="388"/>
      <c r="O279" s="281"/>
      <c r="P279" s="281"/>
      <c r="Q279" s="281"/>
      <c r="R279" s="281"/>
      <c r="S279" s="281"/>
      <c r="T279" s="281"/>
      <c r="U279" s="281"/>
      <c r="V279" s="281"/>
      <c r="W279" s="281"/>
      <c r="X279" s="281"/>
      <c r="Y279" s="281"/>
      <c r="Z279" s="281"/>
      <c r="AA279" s="281"/>
      <c r="AB279" s="281"/>
      <c r="AC279" s="281"/>
      <c r="AD279" s="281"/>
      <c r="AE279" s="281"/>
    </row>
    <row r="280" spans="2:31" ht="15">
      <c r="B280" s="386">
        <f t="shared" si="7"/>
        <v>235</v>
      </c>
      <c r="C280" s="394" t="str" cm="1">
        <f t="array" aca="1" ref="C280" ca="1">IF(B280&lt;=$C$9,GetGetCDSName(B280),"")</f>
        <v/>
      </c>
      <c r="D280" s="354"/>
      <c r="E280" s="387"/>
      <c r="F280" s="306"/>
      <c r="G280" s="306"/>
      <c r="H280" s="306"/>
      <c r="I280" s="306"/>
      <c r="J280" s="306"/>
      <c r="K280" s="306"/>
      <c r="L280" s="306"/>
      <c r="M280" s="306"/>
      <c r="N280" s="388"/>
      <c r="O280" s="281"/>
      <c r="P280" s="281"/>
      <c r="Q280" s="281"/>
      <c r="R280" s="281"/>
      <c r="S280" s="281"/>
      <c r="T280" s="281"/>
      <c r="U280" s="281"/>
      <c r="V280" s="281"/>
      <c r="W280" s="281"/>
      <c r="X280" s="281"/>
      <c r="Y280" s="281"/>
      <c r="Z280" s="281"/>
      <c r="AA280" s="281"/>
      <c r="AB280" s="281"/>
      <c r="AC280" s="281"/>
      <c r="AD280" s="281"/>
      <c r="AE280" s="281"/>
    </row>
    <row r="281" spans="2:31" ht="15">
      <c r="B281" s="386">
        <f t="shared" si="7"/>
        <v>236</v>
      </c>
      <c r="C281" s="394" t="str" cm="1">
        <f t="array" aca="1" ref="C281" ca="1">IF(B281&lt;=$C$9,GetGetCDSName(B281),"")</f>
        <v/>
      </c>
      <c r="D281" s="354"/>
      <c r="E281" s="387"/>
      <c r="F281" s="306"/>
      <c r="G281" s="306"/>
      <c r="H281" s="306"/>
      <c r="I281" s="306"/>
      <c r="J281" s="306"/>
      <c r="K281" s="306"/>
      <c r="L281" s="306"/>
      <c r="M281" s="306"/>
      <c r="N281" s="388"/>
      <c r="O281" s="281"/>
      <c r="P281" s="281"/>
      <c r="Q281" s="281"/>
      <c r="R281" s="281"/>
      <c r="S281" s="281"/>
      <c r="T281" s="281"/>
      <c r="U281" s="281"/>
      <c r="V281" s="281"/>
      <c r="W281" s="281"/>
      <c r="X281" s="281"/>
      <c r="Y281" s="281"/>
      <c r="Z281" s="281"/>
      <c r="AA281" s="281"/>
      <c r="AB281" s="281"/>
      <c r="AC281" s="281"/>
      <c r="AD281" s="281"/>
      <c r="AE281" s="281"/>
    </row>
    <row r="282" spans="2:31" ht="15">
      <c r="B282" s="386">
        <f t="shared" si="7"/>
        <v>237</v>
      </c>
      <c r="C282" s="394" t="str" cm="1">
        <f t="array" aca="1" ref="C282" ca="1">IF(B282&lt;=$C$9,GetGetCDSName(B282),"")</f>
        <v/>
      </c>
      <c r="D282" s="354"/>
      <c r="E282" s="387"/>
      <c r="F282" s="306"/>
      <c r="G282" s="306"/>
      <c r="H282" s="306"/>
      <c r="I282" s="306"/>
      <c r="J282" s="306"/>
      <c r="K282" s="306"/>
      <c r="L282" s="306"/>
      <c r="M282" s="306"/>
      <c r="N282" s="388"/>
      <c r="O282" s="281"/>
      <c r="P282" s="281"/>
      <c r="Q282" s="281"/>
      <c r="R282" s="281"/>
      <c r="S282" s="281"/>
      <c r="T282" s="281"/>
      <c r="U282" s="281"/>
      <c r="V282" s="281"/>
      <c r="W282" s="281"/>
      <c r="X282" s="281"/>
      <c r="Y282" s="281"/>
      <c r="Z282" s="281"/>
      <c r="AA282" s="281"/>
      <c r="AB282" s="281"/>
      <c r="AC282" s="281"/>
      <c r="AD282" s="281"/>
      <c r="AE282" s="281"/>
    </row>
    <row r="283" spans="2:31" ht="15">
      <c r="B283" s="386">
        <f t="shared" si="7"/>
        <v>238</v>
      </c>
      <c r="C283" s="394" t="str" cm="1">
        <f t="array" aca="1" ref="C283" ca="1">IF(B283&lt;=$C$9,GetGetCDSName(B283),"")</f>
        <v/>
      </c>
      <c r="D283" s="354"/>
      <c r="E283" s="387"/>
      <c r="F283" s="306"/>
      <c r="G283" s="306"/>
      <c r="H283" s="306"/>
      <c r="I283" s="306"/>
      <c r="J283" s="306"/>
      <c r="K283" s="306"/>
      <c r="L283" s="306"/>
      <c r="M283" s="306"/>
      <c r="N283" s="388"/>
      <c r="O283" s="281"/>
      <c r="P283" s="281"/>
      <c r="Q283" s="281"/>
      <c r="R283" s="281"/>
      <c r="S283" s="281"/>
      <c r="T283" s="281"/>
      <c r="U283" s="281"/>
      <c r="V283" s="281"/>
      <c r="W283" s="281"/>
      <c r="X283" s="281"/>
      <c r="Y283" s="281"/>
      <c r="Z283" s="281"/>
      <c r="AA283" s="281"/>
      <c r="AB283" s="281"/>
      <c r="AC283" s="281"/>
      <c r="AD283" s="281"/>
      <c r="AE283" s="281"/>
    </row>
    <row r="284" spans="2:31" ht="15">
      <c r="B284" s="386">
        <f t="shared" si="7"/>
        <v>239</v>
      </c>
      <c r="C284" s="394" t="str" cm="1">
        <f t="array" aca="1" ref="C284" ca="1">IF(B284&lt;=$C$9,GetGetCDSName(B284),"")</f>
        <v/>
      </c>
      <c r="D284" s="354"/>
      <c r="E284" s="387"/>
      <c r="F284" s="306"/>
      <c r="G284" s="306"/>
      <c r="H284" s="306"/>
      <c r="I284" s="306"/>
      <c r="J284" s="306"/>
      <c r="K284" s="306"/>
      <c r="L284" s="306"/>
      <c r="M284" s="306"/>
      <c r="N284" s="388"/>
      <c r="O284" s="281"/>
      <c r="P284" s="281"/>
      <c r="Q284" s="281"/>
      <c r="R284" s="281"/>
      <c r="S284" s="281"/>
      <c r="T284" s="281"/>
      <c r="U284" s="281"/>
      <c r="V284" s="281"/>
      <c r="W284" s="281"/>
      <c r="X284" s="281"/>
      <c r="Y284" s="281"/>
      <c r="Z284" s="281"/>
      <c r="AA284" s="281"/>
      <c r="AB284" s="281"/>
      <c r="AC284" s="281"/>
      <c r="AD284" s="281"/>
      <c r="AE284" s="281"/>
    </row>
    <row r="285" spans="2:31" ht="15">
      <c r="B285" s="386">
        <f t="shared" si="7"/>
        <v>240</v>
      </c>
      <c r="C285" s="394" t="str" cm="1">
        <f t="array" aca="1" ref="C285" ca="1">IF(B285&lt;=$C$9,GetGetCDSName(B285),"")</f>
        <v/>
      </c>
      <c r="D285" s="354"/>
      <c r="E285" s="387"/>
      <c r="F285" s="306"/>
      <c r="G285" s="306"/>
      <c r="H285" s="306"/>
      <c r="I285" s="306"/>
      <c r="J285" s="306"/>
      <c r="K285" s="306"/>
      <c r="L285" s="306"/>
      <c r="M285" s="306"/>
      <c r="N285" s="388"/>
      <c r="O285" s="281"/>
      <c r="P285" s="281"/>
      <c r="Q285" s="281"/>
      <c r="R285" s="281"/>
      <c r="S285" s="281"/>
      <c r="T285" s="281"/>
      <c r="U285" s="281"/>
      <c r="V285" s="281"/>
      <c r="W285" s="281"/>
      <c r="X285" s="281"/>
      <c r="Y285" s="281"/>
      <c r="Z285" s="281"/>
      <c r="AA285" s="281"/>
      <c r="AB285" s="281"/>
      <c r="AC285" s="281"/>
      <c r="AD285" s="281"/>
      <c r="AE285" s="281"/>
    </row>
    <row r="286" spans="2:31" ht="15">
      <c r="B286" s="386">
        <f t="shared" si="7"/>
        <v>241</v>
      </c>
      <c r="C286" s="394" t="str" cm="1">
        <f t="array" aca="1" ref="C286" ca="1">IF(B286&lt;=$C$9,GetGetCDSName(B286),"")</f>
        <v/>
      </c>
      <c r="D286" s="354"/>
      <c r="E286" s="387"/>
      <c r="F286" s="306"/>
      <c r="G286" s="306"/>
      <c r="H286" s="306"/>
      <c r="I286" s="306"/>
      <c r="J286" s="306"/>
      <c r="K286" s="306"/>
      <c r="L286" s="306"/>
      <c r="M286" s="306"/>
      <c r="N286" s="388"/>
      <c r="O286" s="281"/>
      <c r="P286" s="281"/>
      <c r="Q286" s="281"/>
      <c r="R286" s="281"/>
      <c r="S286" s="281"/>
      <c r="T286" s="281"/>
      <c r="U286" s="281"/>
      <c r="V286" s="281"/>
      <c r="W286" s="281"/>
      <c r="X286" s="281"/>
      <c r="Y286" s="281"/>
      <c r="Z286" s="281"/>
      <c r="AA286" s="281"/>
      <c r="AB286" s="281"/>
      <c r="AC286" s="281"/>
      <c r="AD286" s="281"/>
      <c r="AE286" s="281"/>
    </row>
    <row r="287" spans="2:31" ht="15">
      <c r="B287" s="386">
        <f t="shared" si="7"/>
        <v>242</v>
      </c>
      <c r="C287" s="394" t="str" cm="1">
        <f t="array" aca="1" ref="C287" ca="1">IF(B287&lt;=$C$9,GetGetCDSName(B287),"")</f>
        <v/>
      </c>
      <c r="D287" s="354"/>
      <c r="E287" s="387"/>
      <c r="F287" s="306"/>
      <c r="G287" s="306"/>
      <c r="H287" s="306"/>
      <c r="I287" s="306"/>
      <c r="J287" s="306"/>
      <c r="K287" s="306"/>
      <c r="L287" s="306"/>
      <c r="M287" s="306"/>
      <c r="N287" s="388"/>
      <c r="O287" s="281"/>
      <c r="P287" s="281"/>
      <c r="Q287" s="281"/>
      <c r="R287" s="281"/>
      <c r="S287" s="281"/>
      <c r="T287" s="281"/>
      <c r="U287" s="281"/>
      <c r="V287" s="281"/>
      <c r="W287" s="281"/>
      <c r="X287" s="281"/>
      <c r="Y287" s="281"/>
      <c r="Z287" s="281"/>
      <c r="AA287" s="281"/>
      <c r="AB287" s="281"/>
      <c r="AC287" s="281"/>
      <c r="AD287" s="281"/>
      <c r="AE287" s="281"/>
    </row>
    <row r="288" spans="2:31" ht="15">
      <c r="B288" s="386">
        <f t="shared" si="7"/>
        <v>243</v>
      </c>
      <c r="C288" s="394" t="str" cm="1">
        <f t="array" aca="1" ref="C288" ca="1">IF(B288&lt;=$C$9,GetGetCDSName(B288),"")</f>
        <v/>
      </c>
      <c r="D288" s="354"/>
      <c r="E288" s="387"/>
      <c r="F288" s="306"/>
      <c r="G288" s="306"/>
      <c r="H288" s="306"/>
      <c r="I288" s="306"/>
      <c r="J288" s="306"/>
      <c r="K288" s="306"/>
      <c r="L288" s="306"/>
      <c r="M288" s="306"/>
      <c r="N288" s="388"/>
      <c r="O288" s="281"/>
      <c r="P288" s="281"/>
      <c r="Q288" s="281"/>
      <c r="R288" s="281"/>
      <c r="S288" s="281"/>
      <c r="T288" s="281"/>
      <c r="U288" s="281"/>
      <c r="V288" s="281"/>
      <c r="W288" s="281"/>
      <c r="X288" s="281"/>
      <c r="Y288" s="281"/>
      <c r="Z288" s="281"/>
      <c r="AA288" s="281"/>
      <c r="AB288" s="281"/>
      <c r="AC288" s="281"/>
      <c r="AD288" s="281"/>
      <c r="AE288" s="281"/>
    </row>
    <row r="289" spans="2:31" ht="15">
      <c r="B289" s="386">
        <f t="shared" si="7"/>
        <v>244</v>
      </c>
      <c r="C289" s="394" t="str" cm="1">
        <f t="array" aca="1" ref="C289" ca="1">IF(B289&lt;=$C$9,GetGetCDSName(B289),"")</f>
        <v/>
      </c>
      <c r="D289" s="354"/>
      <c r="E289" s="387"/>
      <c r="F289" s="306"/>
      <c r="G289" s="306"/>
      <c r="H289" s="306"/>
      <c r="I289" s="306"/>
      <c r="J289" s="306"/>
      <c r="K289" s="306"/>
      <c r="L289" s="306"/>
      <c r="M289" s="306"/>
      <c r="N289" s="388"/>
      <c r="O289" s="281"/>
      <c r="P289" s="281"/>
      <c r="Q289" s="281"/>
      <c r="R289" s="281"/>
      <c r="S289" s="281"/>
      <c r="T289" s="281"/>
      <c r="U289" s="281"/>
      <c r="V289" s="281"/>
      <c r="W289" s="281"/>
      <c r="X289" s="281"/>
      <c r="Y289" s="281"/>
      <c r="Z289" s="281"/>
      <c r="AA289" s="281"/>
      <c r="AB289" s="281"/>
      <c r="AC289" s="281"/>
      <c r="AD289" s="281"/>
      <c r="AE289" s="281"/>
    </row>
    <row r="290" spans="2:31" ht="15">
      <c r="B290" s="386">
        <f t="shared" si="7"/>
        <v>245</v>
      </c>
      <c r="C290" s="394" t="str" cm="1">
        <f t="array" aca="1" ref="C290" ca="1">IF(B290&lt;=$C$9,GetGetCDSName(B290),"")</f>
        <v/>
      </c>
      <c r="D290" s="354"/>
      <c r="E290" s="387"/>
      <c r="F290" s="306"/>
      <c r="G290" s="306"/>
      <c r="H290" s="306"/>
      <c r="I290" s="306"/>
      <c r="J290" s="306"/>
      <c r="K290" s="306"/>
      <c r="L290" s="306"/>
      <c r="M290" s="306"/>
      <c r="N290" s="388"/>
      <c r="O290" s="281"/>
      <c r="P290" s="281"/>
      <c r="Q290" s="281"/>
      <c r="R290" s="281"/>
      <c r="S290" s="281"/>
      <c r="T290" s="281"/>
      <c r="U290" s="281"/>
      <c r="V290" s="281"/>
      <c r="W290" s="281"/>
      <c r="X290" s="281"/>
      <c r="Y290" s="281"/>
      <c r="Z290" s="281"/>
      <c r="AA290" s="281"/>
      <c r="AB290" s="281"/>
      <c r="AC290" s="281"/>
      <c r="AD290" s="281"/>
      <c r="AE290" s="281"/>
    </row>
    <row r="291" spans="2:31" ht="15">
      <c r="B291" s="386">
        <f t="shared" si="7"/>
        <v>246</v>
      </c>
      <c r="C291" s="394" t="str" cm="1">
        <f t="array" aca="1" ref="C291" ca="1">IF(B291&lt;=$C$9,GetGetCDSName(B291),"")</f>
        <v/>
      </c>
      <c r="D291" s="354"/>
      <c r="E291" s="387"/>
      <c r="F291" s="306"/>
      <c r="G291" s="306"/>
      <c r="H291" s="306"/>
      <c r="I291" s="306"/>
      <c r="J291" s="306"/>
      <c r="K291" s="306"/>
      <c r="L291" s="306"/>
      <c r="M291" s="306"/>
      <c r="N291" s="388"/>
      <c r="O291" s="281"/>
      <c r="P291" s="281"/>
      <c r="Q291" s="281"/>
      <c r="R291" s="281"/>
      <c r="S291" s="281"/>
      <c r="T291" s="281"/>
      <c r="U291" s="281"/>
      <c r="V291" s="281"/>
      <c r="W291" s="281"/>
      <c r="X291" s="281"/>
      <c r="Y291" s="281"/>
      <c r="Z291" s="281"/>
      <c r="AA291" s="281"/>
      <c r="AB291" s="281"/>
      <c r="AC291" s="281"/>
      <c r="AD291" s="281"/>
      <c r="AE291" s="281"/>
    </row>
    <row r="292" spans="2:31" ht="15">
      <c r="B292" s="386">
        <f t="shared" si="7"/>
        <v>247</v>
      </c>
      <c r="C292" s="394" t="str" cm="1">
        <f t="array" aca="1" ref="C292" ca="1">IF(B292&lt;=$C$9,GetGetCDSName(B292),"")</f>
        <v/>
      </c>
      <c r="D292" s="354"/>
      <c r="E292" s="387"/>
      <c r="F292" s="306"/>
      <c r="G292" s="306"/>
      <c r="H292" s="306"/>
      <c r="I292" s="306"/>
      <c r="J292" s="306"/>
      <c r="K292" s="306"/>
      <c r="L292" s="306"/>
      <c r="M292" s="306"/>
      <c r="N292" s="388"/>
      <c r="O292" s="281"/>
      <c r="P292" s="281"/>
      <c r="Q292" s="281"/>
      <c r="R292" s="281"/>
      <c r="S292" s="281"/>
      <c r="T292" s="281"/>
      <c r="U292" s="281"/>
      <c r="V292" s="281"/>
      <c r="W292" s="281"/>
      <c r="X292" s="281"/>
      <c r="Y292" s="281"/>
      <c r="Z292" s="281"/>
      <c r="AA292" s="281"/>
      <c r="AB292" s="281"/>
      <c r="AC292" s="281"/>
      <c r="AD292" s="281"/>
      <c r="AE292" s="281"/>
    </row>
    <row r="293" spans="2:31" ht="15">
      <c r="B293" s="386">
        <f t="shared" si="7"/>
        <v>248</v>
      </c>
      <c r="C293" s="394" t="str" cm="1">
        <f t="array" aca="1" ref="C293" ca="1">IF(B293&lt;=$C$9,GetGetCDSName(B293),"")</f>
        <v/>
      </c>
      <c r="D293" s="354"/>
      <c r="E293" s="387"/>
      <c r="F293" s="306"/>
      <c r="G293" s="306"/>
      <c r="H293" s="306"/>
      <c r="I293" s="306"/>
      <c r="J293" s="306"/>
      <c r="K293" s="306"/>
      <c r="L293" s="306"/>
      <c r="M293" s="306"/>
      <c r="N293" s="388"/>
      <c r="O293" s="281"/>
      <c r="P293" s="281"/>
      <c r="Q293" s="281"/>
      <c r="R293" s="281"/>
      <c r="S293" s="281"/>
      <c r="T293" s="281"/>
      <c r="U293" s="281"/>
      <c r="V293" s="281"/>
      <c r="W293" s="281"/>
      <c r="X293" s="281"/>
      <c r="Y293" s="281"/>
      <c r="Z293" s="281"/>
      <c r="AA293" s="281"/>
      <c r="AB293" s="281"/>
      <c r="AC293" s="281"/>
      <c r="AD293" s="281"/>
      <c r="AE293" s="281"/>
    </row>
    <row r="294" spans="2:31" ht="15">
      <c r="B294" s="386">
        <f t="shared" si="7"/>
        <v>249</v>
      </c>
      <c r="C294" s="394" t="str" cm="1">
        <f t="array" aca="1" ref="C294" ca="1">IF(B294&lt;=$C$9,GetGetCDSName(B294),"")</f>
        <v/>
      </c>
      <c r="D294" s="354"/>
      <c r="E294" s="387"/>
      <c r="F294" s="306"/>
      <c r="G294" s="306"/>
      <c r="H294" s="306"/>
      <c r="I294" s="306"/>
      <c r="J294" s="306"/>
      <c r="K294" s="306"/>
      <c r="L294" s="306"/>
      <c r="M294" s="306"/>
      <c r="N294" s="388"/>
      <c r="O294" s="281"/>
      <c r="P294" s="281"/>
      <c r="Q294" s="281"/>
      <c r="R294" s="281"/>
      <c r="S294" s="281"/>
      <c r="T294" s="281"/>
      <c r="U294" s="281"/>
      <c r="V294" s="281"/>
      <c r="W294" s="281"/>
      <c r="X294" s="281"/>
      <c r="Y294" s="281"/>
      <c r="Z294" s="281"/>
      <c r="AA294" s="281"/>
      <c r="AB294" s="281"/>
      <c r="AC294" s="281"/>
      <c r="AD294" s="281"/>
      <c r="AE294" s="281"/>
    </row>
    <row r="295" spans="2:31" ht="15">
      <c r="B295" s="386">
        <f t="shared" si="7"/>
        <v>250</v>
      </c>
      <c r="C295" s="394" t="str" cm="1">
        <f t="array" aca="1" ref="C295" ca="1">IF(B295&lt;=$C$9,GetGetCDSName(B295),"")</f>
        <v/>
      </c>
      <c r="D295" s="354"/>
      <c r="E295" s="387"/>
      <c r="F295" s="306"/>
      <c r="G295" s="306"/>
      <c r="H295" s="306"/>
      <c r="I295" s="306"/>
      <c r="J295" s="306"/>
      <c r="K295" s="306"/>
      <c r="L295" s="306"/>
      <c r="M295" s="306"/>
      <c r="N295" s="388"/>
      <c r="O295" s="281"/>
      <c r="P295" s="281"/>
      <c r="Q295" s="281"/>
      <c r="R295" s="281"/>
      <c r="S295" s="281"/>
      <c r="T295" s="281"/>
      <c r="U295" s="281"/>
      <c r="V295" s="281"/>
      <c r="W295" s="281"/>
      <c r="X295" s="281"/>
      <c r="Y295" s="281"/>
      <c r="Z295" s="281"/>
      <c r="AA295" s="281"/>
      <c r="AB295" s="281"/>
      <c r="AC295" s="281"/>
      <c r="AD295" s="281"/>
      <c r="AE295" s="281"/>
    </row>
    <row r="296" spans="2:31" ht="15">
      <c r="B296" s="386">
        <f t="shared" si="7"/>
        <v>251</v>
      </c>
      <c r="C296" s="394" t="str" cm="1">
        <f t="array" aca="1" ref="C296" ca="1">IF(B296&lt;=$C$9,GetGetCDSName(B296),"")</f>
        <v/>
      </c>
      <c r="D296" s="354"/>
      <c r="E296" s="387"/>
      <c r="F296" s="306"/>
      <c r="G296" s="306"/>
      <c r="H296" s="306"/>
      <c r="I296" s="306"/>
      <c r="J296" s="306"/>
      <c r="K296" s="306"/>
      <c r="L296" s="306"/>
      <c r="M296" s="306"/>
      <c r="N296" s="388"/>
      <c r="O296" s="281"/>
      <c r="P296" s="281"/>
      <c r="Q296" s="281"/>
      <c r="R296" s="281"/>
      <c r="S296" s="281"/>
      <c r="T296" s="281"/>
      <c r="U296" s="281"/>
      <c r="V296" s="281"/>
      <c r="W296" s="281"/>
      <c r="X296" s="281"/>
      <c r="Y296" s="281"/>
      <c r="Z296" s="281"/>
      <c r="AA296" s="281"/>
      <c r="AB296" s="281"/>
      <c r="AC296" s="281"/>
      <c r="AD296" s="281"/>
      <c r="AE296" s="281"/>
    </row>
    <row r="297" spans="2:31" ht="15">
      <c r="B297" s="386">
        <f t="shared" si="7"/>
        <v>252</v>
      </c>
      <c r="C297" s="394" t="str" cm="1">
        <f t="array" aca="1" ref="C297" ca="1">IF(B297&lt;=$C$9,GetGetCDSName(B297),"")</f>
        <v/>
      </c>
      <c r="D297" s="354"/>
      <c r="E297" s="387"/>
      <c r="F297" s="306"/>
      <c r="G297" s="306"/>
      <c r="H297" s="306"/>
      <c r="I297" s="306"/>
      <c r="J297" s="306"/>
      <c r="K297" s="306"/>
      <c r="L297" s="306"/>
      <c r="M297" s="306"/>
      <c r="N297" s="388"/>
      <c r="O297" s="281"/>
      <c r="P297" s="281"/>
      <c r="Q297" s="281"/>
      <c r="R297" s="281"/>
      <c r="S297" s="281"/>
      <c r="T297" s="281"/>
      <c r="U297" s="281"/>
      <c r="V297" s="281"/>
      <c r="W297" s="281"/>
      <c r="X297" s="281"/>
      <c r="Y297" s="281"/>
      <c r="Z297" s="281"/>
      <c r="AA297" s="281"/>
      <c r="AB297" s="281"/>
      <c r="AC297" s="281"/>
      <c r="AD297" s="281"/>
      <c r="AE297" s="281"/>
    </row>
    <row r="298" spans="2:31" ht="15">
      <c r="B298" s="386">
        <f t="shared" si="7"/>
        <v>253</v>
      </c>
      <c r="C298" s="394" t="str" cm="1">
        <f t="array" aca="1" ref="C298" ca="1">IF(B298&lt;=$C$9,GetGetCDSName(B298),"")</f>
        <v/>
      </c>
      <c r="D298" s="354"/>
      <c r="E298" s="387"/>
      <c r="F298" s="306"/>
      <c r="G298" s="306"/>
      <c r="H298" s="306"/>
      <c r="I298" s="306"/>
      <c r="J298" s="306"/>
      <c r="K298" s="306"/>
      <c r="L298" s="306"/>
      <c r="M298" s="306"/>
      <c r="N298" s="388"/>
      <c r="O298" s="281"/>
      <c r="P298" s="281"/>
      <c r="Q298" s="281"/>
      <c r="R298" s="281"/>
      <c r="S298" s="281"/>
      <c r="T298" s="281"/>
      <c r="U298" s="281"/>
      <c r="V298" s="281"/>
      <c r="W298" s="281"/>
      <c r="X298" s="281"/>
      <c r="Y298" s="281"/>
      <c r="Z298" s="281"/>
      <c r="AA298" s="281"/>
      <c r="AB298" s="281"/>
      <c r="AC298" s="281"/>
      <c r="AD298" s="281"/>
      <c r="AE298" s="281"/>
    </row>
    <row r="299" spans="2:31" ht="15">
      <c r="B299" s="386">
        <f t="shared" si="7"/>
        <v>254</v>
      </c>
      <c r="C299" s="394" t="str" cm="1">
        <f t="array" aca="1" ref="C299" ca="1">IF(B299&lt;=$C$9,GetGetCDSName(B299),"")</f>
        <v/>
      </c>
      <c r="D299" s="354"/>
      <c r="E299" s="387"/>
      <c r="F299" s="306"/>
      <c r="G299" s="306"/>
      <c r="H299" s="306"/>
      <c r="I299" s="306"/>
      <c r="J299" s="306"/>
      <c r="K299" s="306"/>
      <c r="L299" s="306"/>
      <c r="M299" s="306"/>
      <c r="N299" s="388"/>
      <c r="O299" s="281"/>
      <c r="P299" s="281"/>
      <c r="Q299" s="281"/>
      <c r="R299" s="281"/>
      <c r="S299" s="281"/>
      <c r="T299" s="281"/>
      <c r="U299" s="281"/>
      <c r="V299" s="281"/>
      <c r="W299" s="281"/>
      <c r="X299" s="281"/>
      <c r="Y299" s="281"/>
      <c r="Z299" s="281"/>
      <c r="AA299" s="281"/>
      <c r="AB299" s="281"/>
      <c r="AC299" s="281"/>
      <c r="AD299" s="281"/>
      <c r="AE299" s="281"/>
    </row>
    <row r="300" spans="2:31" ht="15">
      <c r="B300" s="386">
        <f t="shared" si="7"/>
        <v>255</v>
      </c>
      <c r="C300" s="394" t="str" cm="1">
        <f t="array" aca="1" ref="C300" ca="1">IF(B300&lt;=$C$9,GetGetCDSName(B300),"")</f>
        <v/>
      </c>
      <c r="D300" s="354"/>
      <c r="E300" s="387"/>
      <c r="F300" s="306"/>
      <c r="G300" s="306"/>
      <c r="H300" s="306"/>
      <c r="I300" s="306"/>
      <c r="J300" s="306"/>
      <c r="K300" s="306"/>
      <c r="L300" s="306"/>
      <c r="M300" s="306"/>
      <c r="N300" s="388"/>
      <c r="O300" s="281"/>
      <c r="P300" s="281"/>
      <c r="Q300" s="281"/>
      <c r="R300" s="281"/>
      <c r="S300" s="281"/>
      <c r="T300" s="281"/>
      <c r="U300" s="281"/>
      <c r="V300" s="281"/>
      <c r="W300" s="281"/>
      <c r="X300" s="281"/>
      <c r="Y300" s="281"/>
      <c r="Z300" s="281"/>
      <c r="AA300" s="281"/>
      <c r="AB300" s="281"/>
      <c r="AC300" s="281"/>
      <c r="AD300" s="281"/>
      <c r="AE300" s="281"/>
    </row>
    <row r="301" spans="2:31" ht="15">
      <c r="B301" s="386">
        <f t="shared" si="7"/>
        <v>256</v>
      </c>
      <c r="C301" s="394" t="str" cm="1">
        <f t="array" aca="1" ref="C301" ca="1">IF(B301&lt;=$C$9,GetGetCDSName(B301),"")</f>
        <v/>
      </c>
      <c r="D301" s="354"/>
      <c r="E301" s="387"/>
      <c r="F301" s="306"/>
      <c r="G301" s="306"/>
      <c r="H301" s="306"/>
      <c r="I301" s="306"/>
      <c r="J301" s="306"/>
      <c r="K301" s="306"/>
      <c r="L301" s="306"/>
      <c r="M301" s="306"/>
      <c r="N301" s="388"/>
      <c r="O301" s="281"/>
      <c r="P301" s="281"/>
      <c r="Q301" s="281"/>
      <c r="R301" s="281"/>
      <c r="S301" s="281"/>
      <c r="T301" s="281"/>
      <c r="U301" s="281"/>
      <c r="V301" s="281"/>
      <c r="W301" s="281"/>
      <c r="X301" s="281"/>
      <c r="Y301" s="281"/>
      <c r="Z301" s="281"/>
      <c r="AA301" s="281"/>
      <c r="AB301" s="281"/>
      <c r="AC301" s="281"/>
      <c r="AD301" s="281"/>
      <c r="AE301" s="281"/>
    </row>
    <row r="302" spans="2:31" ht="15">
      <c r="B302" s="386">
        <f t="shared" si="7"/>
        <v>257</v>
      </c>
      <c r="C302" s="394" t="str" cm="1">
        <f t="array" aca="1" ref="C302" ca="1">IF(B302&lt;=$C$9,GetGetCDSName(B302),"")</f>
        <v/>
      </c>
      <c r="D302" s="354"/>
      <c r="E302" s="387"/>
      <c r="F302" s="306"/>
      <c r="G302" s="306"/>
      <c r="H302" s="306"/>
      <c r="I302" s="306"/>
      <c r="J302" s="306"/>
      <c r="K302" s="306"/>
      <c r="L302" s="306"/>
      <c r="M302" s="306"/>
      <c r="N302" s="388"/>
      <c r="O302" s="281"/>
      <c r="P302" s="281"/>
      <c r="Q302" s="281"/>
      <c r="R302" s="281"/>
      <c r="S302" s="281"/>
      <c r="T302" s="281"/>
      <c r="U302" s="281"/>
      <c r="V302" s="281"/>
      <c r="W302" s="281"/>
      <c r="X302" s="281"/>
      <c r="Y302" s="281"/>
      <c r="Z302" s="281"/>
      <c r="AA302" s="281"/>
      <c r="AB302" s="281"/>
      <c r="AC302" s="281"/>
      <c r="AD302" s="281"/>
      <c r="AE302" s="281"/>
    </row>
    <row r="303" spans="2:31" ht="15">
      <c r="B303" s="386">
        <f t="shared" ref="B303:B345" si="8">B302+1</f>
        <v>258</v>
      </c>
      <c r="C303" s="394" t="str" cm="1">
        <f t="array" aca="1" ref="C303" ca="1">IF(B303&lt;=$C$9,GetGetCDSName(B303),"")</f>
        <v/>
      </c>
      <c r="D303" s="354"/>
      <c r="E303" s="387"/>
      <c r="F303" s="306"/>
      <c r="G303" s="306"/>
      <c r="H303" s="306"/>
      <c r="I303" s="306"/>
      <c r="J303" s="306"/>
      <c r="K303" s="306"/>
      <c r="L303" s="306"/>
      <c r="M303" s="306"/>
      <c r="N303" s="388"/>
      <c r="O303" s="281"/>
      <c r="P303" s="281"/>
      <c r="Q303" s="281"/>
      <c r="R303" s="281"/>
      <c r="S303" s="281"/>
      <c r="T303" s="281"/>
      <c r="U303" s="281"/>
      <c r="V303" s="281"/>
      <c r="W303" s="281"/>
      <c r="X303" s="281"/>
      <c r="Y303" s="281"/>
      <c r="Z303" s="281"/>
      <c r="AA303" s="281"/>
      <c r="AB303" s="281"/>
      <c r="AC303" s="281"/>
      <c r="AD303" s="281"/>
      <c r="AE303" s="281"/>
    </row>
    <row r="304" spans="2:31" ht="15">
      <c r="B304" s="386">
        <f t="shared" si="8"/>
        <v>259</v>
      </c>
      <c r="C304" s="394" t="str" cm="1">
        <f t="array" aca="1" ref="C304" ca="1">IF(B304&lt;=$C$9,GetGetCDSName(B304),"")</f>
        <v/>
      </c>
      <c r="D304" s="354"/>
      <c r="E304" s="387"/>
      <c r="F304" s="306"/>
      <c r="G304" s="306"/>
      <c r="H304" s="306"/>
      <c r="I304" s="306"/>
      <c r="J304" s="306"/>
      <c r="K304" s="306"/>
      <c r="L304" s="306"/>
      <c r="M304" s="306"/>
      <c r="N304" s="388"/>
      <c r="O304" s="281"/>
      <c r="P304" s="281"/>
      <c r="Q304" s="281"/>
      <c r="R304" s="281"/>
      <c r="S304" s="281"/>
      <c r="T304" s="281"/>
      <c r="U304" s="281"/>
      <c r="V304" s="281"/>
      <c r="W304" s="281"/>
      <c r="X304" s="281"/>
      <c r="Y304" s="281"/>
      <c r="Z304" s="281"/>
      <c r="AA304" s="281"/>
      <c r="AB304" s="281"/>
      <c r="AC304" s="281"/>
      <c r="AD304" s="281"/>
      <c r="AE304" s="281"/>
    </row>
    <row r="305" spans="2:31" ht="15">
      <c r="B305" s="386">
        <f t="shared" si="8"/>
        <v>260</v>
      </c>
      <c r="C305" s="394" t="str" cm="1">
        <f t="array" aca="1" ref="C305" ca="1">IF(B305&lt;=$C$9,GetGetCDSName(B305),"")</f>
        <v/>
      </c>
      <c r="D305" s="354"/>
      <c r="E305" s="387"/>
      <c r="F305" s="306"/>
      <c r="G305" s="306"/>
      <c r="H305" s="306"/>
      <c r="I305" s="306"/>
      <c r="J305" s="306"/>
      <c r="K305" s="306"/>
      <c r="L305" s="306"/>
      <c r="M305" s="306"/>
      <c r="N305" s="388"/>
      <c r="O305" s="281"/>
      <c r="P305" s="281"/>
      <c r="Q305" s="281"/>
      <c r="R305" s="281"/>
      <c r="S305" s="281"/>
      <c r="T305" s="281"/>
      <c r="U305" s="281"/>
      <c r="V305" s="281"/>
      <c r="W305" s="281"/>
      <c r="X305" s="281"/>
      <c r="Y305" s="281"/>
      <c r="Z305" s="281"/>
      <c r="AA305" s="281"/>
      <c r="AB305" s="281"/>
      <c r="AC305" s="281"/>
      <c r="AD305" s="281"/>
      <c r="AE305" s="281"/>
    </row>
    <row r="306" spans="2:31" ht="15">
      <c r="B306" s="386">
        <f t="shared" si="8"/>
        <v>261</v>
      </c>
      <c r="C306" s="394" t="str" cm="1">
        <f t="array" aca="1" ref="C306" ca="1">IF(B306&lt;=$C$9,GetGetCDSName(B306),"")</f>
        <v/>
      </c>
      <c r="D306" s="354"/>
      <c r="E306" s="387"/>
      <c r="F306" s="306"/>
      <c r="G306" s="306"/>
      <c r="H306" s="306"/>
      <c r="I306" s="306"/>
      <c r="J306" s="306"/>
      <c r="K306" s="306"/>
      <c r="L306" s="306"/>
      <c r="M306" s="306"/>
      <c r="N306" s="388"/>
      <c r="O306" s="281"/>
      <c r="P306" s="281"/>
      <c r="Q306" s="281"/>
      <c r="R306" s="281"/>
      <c r="S306" s="281"/>
      <c r="T306" s="281"/>
      <c r="U306" s="281"/>
      <c r="V306" s="281"/>
      <c r="W306" s="281"/>
      <c r="X306" s="281"/>
      <c r="Y306" s="281"/>
      <c r="Z306" s="281"/>
      <c r="AA306" s="281"/>
      <c r="AB306" s="281"/>
      <c r="AC306" s="281"/>
      <c r="AD306" s="281"/>
      <c r="AE306" s="281"/>
    </row>
    <row r="307" spans="2:31" ht="15">
      <c r="B307" s="386">
        <f t="shared" si="8"/>
        <v>262</v>
      </c>
      <c r="C307" s="394" t="str" cm="1">
        <f t="array" aca="1" ref="C307" ca="1">IF(B307&lt;=$C$9,GetGetCDSName(B307),"")</f>
        <v/>
      </c>
      <c r="D307" s="354"/>
      <c r="E307" s="387"/>
      <c r="F307" s="306"/>
      <c r="G307" s="306"/>
      <c r="H307" s="306"/>
      <c r="I307" s="306"/>
      <c r="J307" s="306"/>
      <c r="K307" s="306"/>
      <c r="L307" s="306"/>
      <c r="M307" s="306"/>
      <c r="N307" s="388"/>
      <c r="O307" s="281"/>
      <c r="P307" s="281"/>
      <c r="Q307" s="281"/>
      <c r="R307" s="281"/>
      <c r="S307" s="281"/>
      <c r="T307" s="281"/>
      <c r="U307" s="281"/>
      <c r="V307" s="281"/>
      <c r="W307" s="281"/>
      <c r="X307" s="281"/>
      <c r="Y307" s="281"/>
      <c r="Z307" s="281"/>
      <c r="AA307" s="281"/>
      <c r="AB307" s="281"/>
      <c r="AC307" s="281"/>
      <c r="AD307" s="281"/>
      <c r="AE307" s="281"/>
    </row>
    <row r="308" spans="2:31" ht="15">
      <c r="B308" s="386">
        <f t="shared" si="8"/>
        <v>263</v>
      </c>
      <c r="C308" s="394" t="str" cm="1">
        <f t="array" aca="1" ref="C308" ca="1">IF(B308&lt;=$C$9,GetGetCDSName(B308),"")</f>
        <v/>
      </c>
      <c r="D308" s="354"/>
      <c r="E308" s="387"/>
      <c r="F308" s="306"/>
      <c r="G308" s="306"/>
      <c r="H308" s="306"/>
      <c r="I308" s="306"/>
      <c r="J308" s="306"/>
      <c r="K308" s="306"/>
      <c r="L308" s="306"/>
      <c r="M308" s="306"/>
      <c r="N308" s="388"/>
      <c r="O308" s="281"/>
      <c r="P308" s="281"/>
      <c r="Q308" s="281"/>
      <c r="R308" s="281"/>
      <c r="S308" s="281"/>
      <c r="T308" s="281"/>
      <c r="U308" s="281"/>
      <c r="V308" s="281"/>
      <c r="W308" s="281"/>
      <c r="X308" s="281"/>
      <c r="Y308" s="281"/>
      <c r="Z308" s="281"/>
      <c r="AA308" s="281"/>
      <c r="AB308" s="281"/>
      <c r="AC308" s="281"/>
      <c r="AD308" s="281"/>
      <c r="AE308" s="281"/>
    </row>
    <row r="309" spans="2:31" ht="15">
      <c r="B309" s="386">
        <f t="shared" si="8"/>
        <v>264</v>
      </c>
      <c r="C309" s="394" t="str" cm="1">
        <f t="array" aca="1" ref="C309" ca="1">IF(B309&lt;=$C$9,GetGetCDSName(B309),"")</f>
        <v/>
      </c>
      <c r="D309" s="354"/>
      <c r="E309" s="387"/>
      <c r="F309" s="306"/>
      <c r="G309" s="306"/>
      <c r="H309" s="306"/>
      <c r="I309" s="306"/>
      <c r="J309" s="306"/>
      <c r="K309" s="306"/>
      <c r="L309" s="306"/>
      <c r="M309" s="306"/>
      <c r="N309" s="388"/>
      <c r="O309" s="281"/>
      <c r="P309" s="281"/>
      <c r="Q309" s="281"/>
      <c r="R309" s="281"/>
      <c r="S309" s="281"/>
      <c r="T309" s="281"/>
      <c r="U309" s="281"/>
      <c r="V309" s="281"/>
      <c r="W309" s="281"/>
      <c r="X309" s="281"/>
      <c r="Y309" s="281"/>
      <c r="Z309" s="281"/>
      <c r="AA309" s="281"/>
      <c r="AB309" s="281"/>
      <c r="AC309" s="281"/>
      <c r="AD309" s="281"/>
      <c r="AE309" s="281"/>
    </row>
    <row r="310" spans="2:31" ht="15">
      <c r="B310" s="386">
        <f t="shared" si="8"/>
        <v>265</v>
      </c>
      <c r="C310" s="394" t="str" cm="1">
        <f t="array" aca="1" ref="C310" ca="1">IF(B310&lt;=$C$9,GetGetCDSName(B310),"")</f>
        <v/>
      </c>
      <c r="D310" s="354"/>
      <c r="E310" s="387"/>
      <c r="F310" s="306"/>
      <c r="G310" s="306"/>
      <c r="H310" s="306"/>
      <c r="I310" s="306"/>
      <c r="J310" s="306"/>
      <c r="K310" s="306"/>
      <c r="L310" s="306"/>
      <c r="M310" s="306"/>
      <c r="N310" s="388"/>
      <c r="O310" s="281"/>
      <c r="P310" s="281"/>
      <c r="Q310" s="281"/>
      <c r="R310" s="281"/>
      <c r="S310" s="281"/>
      <c r="T310" s="281"/>
      <c r="U310" s="281"/>
      <c r="V310" s="281"/>
      <c r="W310" s="281"/>
      <c r="X310" s="281"/>
      <c r="Y310" s="281"/>
      <c r="Z310" s="281"/>
      <c r="AA310" s="281"/>
      <c r="AB310" s="281"/>
      <c r="AC310" s="281"/>
      <c r="AD310" s="281"/>
      <c r="AE310" s="281"/>
    </row>
    <row r="311" spans="2:31" ht="15">
      <c r="B311" s="386">
        <f t="shared" si="8"/>
        <v>266</v>
      </c>
      <c r="C311" s="394" t="str" cm="1">
        <f t="array" aca="1" ref="C311" ca="1">IF(B311&lt;=$C$9,GetGetCDSName(B311),"")</f>
        <v/>
      </c>
      <c r="D311" s="354"/>
      <c r="E311" s="387"/>
      <c r="F311" s="306"/>
      <c r="G311" s="306"/>
      <c r="H311" s="306"/>
      <c r="I311" s="306"/>
      <c r="J311" s="306"/>
      <c r="K311" s="306"/>
      <c r="L311" s="306"/>
      <c r="M311" s="306"/>
      <c r="N311" s="388"/>
      <c r="O311" s="281"/>
      <c r="P311" s="281"/>
      <c r="Q311" s="281"/>
      <c r="R311" s="281"/>
      <c r="S311" s="281"/>
      <c r="T311" s="281"/>
      <c r="U311" s="281"/>
      <c r="V311" s="281"/>
      <c r="W311" s="281"/>
      <c r="X311" s="281"/>
      <c r="Y311" s="281"/>
      <c r="Z311" s="281"/>
      <c r="AA311" s="281"/>
      <c r="AB311" s="281"/>
      <c r="AC311" s="281"/>
      <c r="AD311" s="281"/>
      <c r="AE311" s="281"/>
    </row>
    <row r="312" spans="2:31" ht="15">
      <c r="B312" s="386">
        <f t="shared" si="8"/>
        <v>267</v>
      </c>
      <c r="C312" s="394" t="str" cm="1">
        <f t="array" aca="1" ref="C312" ca="1">IF(B312&lt;=$C$9,GetGetCDSName(B312),"")</f>
        <v/>
      </c>
      <c r="D312" s="354"/>
      <c r="E312" s="387"/>
      <c r="F312" s="306"/>
      <c r="G312" s="306"/>
      <c r="H312" s="306"/>
      <c r="I312" s="306"/>
      <c r="J312" s="306"/>
      <c r="K312" s="306"/>
      <c r="L312" s="306"/>
      <c r="M312" s="306"/>
      <c r="N312" s="388"/>
      <c r="O312" s="281"/>
      <c r="P312" s="281"/>
      <c r="Q312" s="281"/>
      <c r="R312" s="281"/>
      <c r="S312" s="281"/>
      <c r="T312" s="281"/>
      <c r="U312" s="281"/>
      <c r="V312" s="281"/>
      <c r="W312" s="281"/>
      <c r="X312" s="281"/>
      <c r="Y312" s="281"/>
      <c r="Z312" s="281"/>
      <c r="AA312" s="281"/>
      <c r="AB312" s="281"/>
      <c r="AC312" s="281"/>
      <c r="AD312" s="281"/>
      <c r="AE312" s="281"/>
    </row>
    <row r="313" spans="2:31" ht="15">
      <c r="B313" s="386">
        <f t="shared" si="8"/>
        <v>268</v>
      </c>
      <c r="C313" s="394" t="str" cm="1">
        <f t="array" aca="1" ref="C313" ca="1">IF(B313&lt;=$C$9,GetGetCDSName(B313),"")</f>
        <v/>
      </c>
      <c r="D313" s="354"/>
      <c r="E313" s="387"/>
      <c r="F313" s="306"/>
      <c r="G313" s="306"/>
      <c r="H313" s="306"/>
      <c r="I313" s="306"/>
      <c r="J313" s="306"/>
      <c r="K313" s="306"/>
      <c r="L313" s="306"/>
      <c r="M313" s="306"/>
      <c r="N313" s="388"/>
      <c r="O313" s="281"/>
      <c r="P313" s="281"/>
      <c r="Q313" s="281"/>
      <c r="R313" s="281"/>
      <c r="S313" s="281"/>
      <c r="T313" s="281"/>
      <c r="U313" s="281"/>
      <c r="V313" s="281"/>
      <c r="W313" s="281"/>
      <c r="X313" s="281"/>
      <c r="Y313" s="281"/>
      <c r="Z313" s="281"/>
      <c r="AA313" s="281"/>
      <c r="AB313" s="281"/>
      <c r="AC313" s="281"/>
      <c r="AD313" s="281"/>
      <c r="AE313" s="281"/>
    </row>
    <row r="314" spans="2:31" ht="15">
      <c r="B314" s="386">
        <f t="shared" si="8"/>
        <v>269</v>
      </c>
      <c r="C314" s="394" t="str" cm="1">
        <f t="array" aca="1" ref="C314" ca="1">IF(B314&lt;=$C$9,GetGetCDSName(B314),"")</f>
        <v/>
      </c>
      <c r="D314" s="354"/>
      <c r="E314" s="387"/>
      <c r="F314" s="306"/>
      <c r="G314" s="306"/>
      <c r="H314" s="306"/>
      <c r="I314" s="306"/>
      <c r="J314" s="306"/>
      <c r="K314" s="306"/>
      <c r="L314" s="306"/>
      <c r="M314" s="306"/>
      <c r="N314" s="388"/>
      <c r="O314" s="281"/>
      <c r="P314" s="281"/>
      <c r="Q314" s="281"/>
      <c r="R314" s="281"/>
      <c r="S314" s="281"/>
      <c r="T314" s="281"/>
      <c r="U314" s="281"/>
      <c r="V314" s="281"/>
      <c r="W314" s="281"/>
      <c r="X314" s="281"/>
      <c r="Y314" s="281"/>
      <c r="Z314" s="281"/>
      <c r="AA314" s="281"/>
      <c r="AB314" s="281"/>
      <c r="AC314" s="281"/>
      <c r="AD314" s="281"/>
      <c r="AE314" s="281"/>
    </row>
    <row r="315" spans="2:31" ht="15">
      <c r="B315" s="386">
        <f t="shared" si="8"/>
        <v>270</v>
      </c>
      <c r="C315" s="394" t="str" cm="1">
        <f t="array" aca="1" ref="C315" ca="1">IF(B315&lt;=$C$9,GetGetCDSName(B315),"")</f>
        <v/>
      </c>
      <c r="D315" s="354"/>
      <c r="E315" s="387"/>
      <c r="F315" s="306"/>
      <c r="G315" s="306"/>
      <c r="H315" s="306"/>
      <c r="I315" s="306"/>
      <c r="J315" s="306"/>
      <c r="K315" s="306"/>
      <c r="L315" s="306"/>
      <c r="M315" s="306"/>
      <c r="N315" s="388"/>
      <c r="O315" s="281"/>
      <c r="P315" s="281"/>
      <c r="Q315" s="281"/>
      <c r="R315" s="281"/>
      <c r="S315" s="281"/>
      <c r="T315" s="281"/>
      <c r="U315" s="281"/>
      <c r="V315" s="281"/>
      <c r="W315" s="281"/>
      <c r="X315" s="281"/>
      <c r="Y315" s="281"/>
      <c r="Z315" s="281"/>
      <c r="AA315" s="281"/>
      <c r="AB315" s="281"/>
      <c r="AC315" s="281"/>
      <c r="AD315" s="281"/>
      <c r="AE315" s="281"/>
    </row>
    <row r="316" spans="2:31" ht="15">
      <c r="B316" s="386">
        <f t="shared" si="8"/>
        <v>271</v>
      </c>
      <c r="C316" s="394" t="str" cm="1">
        <f t="array" aca="1" ref="C316" ca="1">IF(B316&lt;=$C$9,GetGetCDSName(B316),"")</f>
        <v/>
      </c>
      <c r="D316" s="354"/>
      <c r="E316" s="387"/>
      <c r="F316" s="306"/>
      <c r="G316" s="306"/>
      <c r="H316" s="306"/>
      <c r="I316" s="306"/>
      <c r="J316" s="306"/>
      <c r="K316" s="306"/>
      <c r="L316" s="306"/>
      <c r="M316" s="306"/>
      <c r="N316" s="388"/>
      <c r="O316" s="281"/>
      <c r="P316" s="281"/>
      <c r="Q316" s="281"/>
      <c r="R316" s="281"/>
      <c r="S316" s="281"/>
      <c r="T316" s="281"/>
      <c r="U316" s="281"/>
      <c r="V316" s="281"/>
      <c r="W316" s="281"/>
      <c r="X316" s="281"/>
      <c r="Y316" s="281"/>
      <c r="Z316" s="281"/>
      <c r="AA316" s="281"/>
      <c r="AB316" s="281"/>
      <c r="AC316" s="281"/>
      <c r="AD316" s="281"/>
      <c r="AE316" s="281"/>
    </row>
    <row r="317" spans="2:31" ht="15">
      <c r="B317" s="386">
        <f t="shared" si="8"/>
        <v>272</v>
      </c>
      <c r="C317" s="394" t="str" cm="1">
        <f t="array" aca="1" ref="C317" ca="1">IF(B317&lt;=$C$9,GetGetCDSName(B317),"")</f>
        <v/>
      </c>
      <c r="D317" s="354"/>
      <c r="E317" s="387"/>
      <c r="F317" s="306"/>
      <c r="G317" s="306"/>
      <c r="H317" s="306"/>
      <c r="I317" s="306"/>
      <c r="J317" s="306"/>
      <c r="K317" s="306"/>
      <c r="L317" s="306"/>
      <c r="M317" s="306"/>
      <c r="N317" s="388"/>
      <c r="O317" s="281"/>
      <c r="P317" s="281"/>
      <c r="Q317" s="281"/>
      <c r="R317" s="281"/>
      <c r="S317" s="281"/>
      <c r="T317" s="281"/>
      <c r="U317" s="281"/>
      <c r="V317" s="281"/>
      <c r="W317" s="281"/>
      <c r="X317" s="281"/>
      <c r="Y317" s="281"/>
      <c r="Z317" s="281"/>
      <c r="AA317" s="281"/>
      <c r="AB317" s="281"/>
      <c r="AC317" s="281"/>
      <c r="AD317" s="281"/>
      <c r="AE317" s="281"/>
    </row>
    <row r="318" spans="2:31" ht="15">
      <c r="B318" s="386">
        <f t="shared" si="8"/>
        <v>273</v>
      </c>
      <c r="C318" s="394" t="str" cm="1">
        <f t="array" aca="1" ref="C318" ca="1">IF(B318&lt;=$C$9,GetGetCDSName(B318),"")</f>
        <v/>
      </c>
      <c r="D318" s="354"/>
      <c r="E318" s="387"/>
      <c r="F318" s="306"/>
      <c r="G318" s="306"/>
      <c r="H318" s="306"/>
      <c r="I318" s="306"/>
      <c r="J318" s="306"/>
      <c r="K318" s="306"/>
      <c r="L318" s="306"/>
      <c r="M318" s="306"/>
      <c r="N318" s="388"/>
      <c r="O318" s="281"/>
      <c r="P318" s="281"/>
      <c r="Q318" s="281"/>
      <c r="R318" s="281"/>
      <c r="S318" s="281"/>
      <c r="T318" s="281"/>
      <c r="U318" s="281"/>
      <c r="V318" s="281"/>
      <c r="W318" s="281"/>
      <c r="X318" s="281"/>
      <c r="Y318" s="281"/>
      <c r="Z318" s="281"/>
      <c r="AA318" s="281"/>
      <c r="AB318" s="281"/>
      <c r="AC318" s="281"/>
      <c r="AD318" s="281"/>
      <c r="AE318" s="281"/>
    </row>
    <row r="319" spans="2:31" ht="15">
      <c r="B319" s="386">
        <f t="shared" si="8"/>
        <v>274</v>
      </c>
      <c r="C319" s="394" t="str" cm="1">
        <f t="array" aca="1" ref="C319" ca="1">IF(B319&lt;=$C$9,GetGetCDSName(B319),"")</f>
        <v/>
      </c>
      <c r="D319" s="354"/>
      <c r="E319" s="387"/>
      <c r="F319" s="306"/>
      <c r="G319" s="306"/>
      <c r="H319" s="306"/>
      <c r="I319" s="306"/>
      <c r="J319" s="306"/>
      <c r="K319" s="306"/>
      <c r="L319" s="306"/>
      <c r="M319" s="306"/>
      <c r="N319" s="388"/>
      <c r="O319" s="281"/>
      <c r="P319" s="281"/>
      <c r="Q319" s="281"/>
      <c r="R319" s="281"/>
      <c r="S319" s="281"/>
      <c r="T319" s="281"/>
      <c r="U319" s="281"/>
      <c r="V319" s="281"/>
      <c r="W319" s="281"/>
      <c r="X319" s="281"/>
      <c r="Y319" s="281"/>
      <c r="Z319" s="281"/>
      <c r="AA319" s="281"/>
      <c r="AB319" s="281"/>
      <c r="AC319" s="281"/>
      <c r="AD319" s="281"/>
      <c r="AE319" s="281"/>
    </row>
    <row r="320" spans="2:31" ht="15">
      <c r="B320" s="386">
        <f t="shared" si="8"/>
        <v>275</v>
      </c>
      <c r="C320" s="394" t="str" cm="1">
        <f t="array" aca="1" ref="C320" ca="1">IF(B320&lt;=$C$9,GetGetCDSName(B320),"")</f>
        <v/>
      </c>
      <c r="D320" s="354"/>
      <c r="E320" s="387"/>
      <c r="F320" s="306"/>
      <c r="G320" s="306"/>
      <c r="H320" s="306"/>
      <c r="I320" s="306"/>
      <c r="J320" s="306"/>
      <c r="K320" s="306"/>
      <c r="L320" s="306"/>
      <c r="M320" s="306"/>
      <c r="N320" s="388"/>
      <c r="O320" s="281"/>
      <c r="P320" s="281"/>
      <c r="Q320" s="281"/>
      <c r="R320" s="281"/>
      <c r="S320" s="281"/>
      <c r="T320" s="281"/>
      <c r="U320" s="281"/>
      <c r="V320" s="281"/>
      <c r="W320" s="281"/>
      <c r="X320" s="281"/>
      <c r="Y320" s="281"/>
      <c r="Z320" s="281"/>
      <c r="AA320" s="281"/>
      <c r="AB320" s="281"/>
      <c r="AC320" s="281"/>
      <c r="AD320" s="281"/>
      <c r="AE320" s="281"/>
    </row>
    <row r="321" spans="2:31" ht="15">
      <c r="B321" s="386">
        <f t="shared" si="8"/>
        <v>276</v>
      </c>
      <c r="C321" s="394" t="str" cm="1">
        <f t="array" aca="1" ref="C321" ca="1">IF(B321&lt;=$C$9,GetGetCDSName(B321),"")</f>
        <v/>
      </c>
      <c r="D321" s="354"/>
      <c r="E321" s="387"/>
      <c r="F321" s="306"/>
      <c r="G321" s="306"/>
      <c r="H321" s="306"/>
      <c r="I321" s="306"/>
      <c r="J321" s="306"/>
      <c r="K321" s="306"/>
      <c r="L321" s="306"/>
      <c r="M321" s="306"/>
      <c r="N321" s="388"/>
      <c r="O321" s="281"/>
      <c r="P321" s="281"/>
      <c r="Q321" s="281"/>
      <c r="R321" s="281"/>
      <c r="S321" s="281"/>
      <c r="T321" s="281"/>
      <c r="U321" s="281"/>
      <c r="V321" s="281"/>
      <c r="W321" s="281"/>
      <c r="X321" s="281"/>
      <c r="Y321" s="281"/>
      <c r="Z321" s="281"/>
      <c r="AA321" s="281"/>
      <c r="AB321" s="281"/>
      <c r="AC321" s="281"/>
      <c r="AD321" s="281"/>
      <c r="AE321" s="281"/>
    </row>
    <row r="322" spans="2:31" ht="15">
      <c r="B322" s="386">
        <f t="shared" si="8"/>
        <v>277</v>
      </c>
      <c r="C322" s="394" t="str" cm="1">
        <f t="array" aca="1" ref="C322" ca="1">IF(B322&lt;=$C$9,GetGetCDSName(B322),"")</f>
        <v/>
      </c>
      <c r="D322" s="354"/>
      <c r="E322" s="387"/>
      <c r="F322" s="306"/>
      <c r="G322" s="306"/>
      <c r="H322" s="306"/>
      <c r="I322" s="306"/>
      <c r="J322" s="306"/>
      <c r="K322" s="306"/>
      <c r="L322" s="306"/>
      <c r="M322" s="306"/>
      <c r="N322" s="388"/>
      <c r="O322" s="281"/>
      <c r="P322" s="281"/>
      <c r="Q322" s="281"/>
      <c r="R322" s="281"/>
      <c r="S322" s="281"/>
      <c r="T322" s="281"/>
      <c r="U322" s="281"/>
      <c r="V322" s="281"/>
      <c r="W322" s="281"/>
      <c r="X322" s="281"/>
      <c r="Y322" s="281"/>
      <c r="Z322" s="281"/>
      <c r="AA322" s="281"/>
      <c r="AB322" s="281"/>
      <c r="AC322" s="281"/>
      <c r="AD322" s="281"/>
      <c r="AE322" s="281"/>
    </row>
    <row r="323" spans="2:31" ht="15">
      <c r="B323" s="386">
        <f t="shared" si="8"/>
        <v>278</v>
      </c>
      <c r="C323" s="394" t="str" cm="1">
        <f t="array" aca="1" ref="C323" ca="1">IF(B323&lt;=$C$9,GetGetCDSName(B323),"")</f>
        <v/>
      </c>
      <c r="D323" s="354"/>
      <c r="E323" s="387"/>
      <c r="F323" s="306"/>
      <c r="G323" s="306"/>
      <c r="H323" s="306"/>
      <c r="I323" s="306"/>
      <c r="J323" s="306"/>
      <c r="K323" s="306"/>
      <c r="L323" s="306"/>
      <c r="M323" s="306"/>
      <c r="N323" s="388"/>
      <c r="O323" s="281"/>
      <c r="P323" s="281"/>
      <c r="Q323" s="281"/>
      <c r="R323" s="281"/>
      <c r="S323" s="281"/>
      <c r="T323" s="281"/>
      <c r="U323" s="281"/>
      <c r="V323" s="281"/>
      <c r="W323" s="281"/>
      <c r="X323" s="281"/>
      <c r="Y323" s="281"/>
      <c r="Z323" s="281"/>
      <c r="AA323" s="281"/>
      <c r="AB323" s="281"/>
      <c r="AC323" s="281"/>
      <c r="AD323" s="281"/>
      <c r="AE323" s="281"/>
    </row>
    <row r="324" spans="2:31" ht="15">
      <c r="B324" s="386">
        <f t="shared" si="8"/>
        <v>279</v>
      </c>
      <c r="C324" s="394" t="str" cm="1">
        <f t="array" aca="1" ref="C324" ca="1">IF(B324&lt;=$C$9,GetGetCDSName(B324),"")</f>
        <v/>
      </c>
      <c r="D324" s="354"/>
      <c r="E324" s="387"/>
      <c r="F324" s="306"/>
      <c r="G324" s="306"/>
      <c r="H324" s="306"/>
      <c r="I324" s="306"/>
      <c r="J324" s="306"/>
      <c r="K324" s="306"/>
      <c r="L324" s="306"/>
      <c r="M324" s="306"/>
      <c r="N324" s="388"/>
      <c r="O324" s="281"/>
      <c r="P324" s="281"/>
      <c r="Q324" s="281"/>
      <c r="R324" s="281"/>
      <c r="S324" s="281"/>
      <c r="T324" s="281"/>
      <c r="U324" s="281"/>
      <c r="V324" s="281"/>
      <c r="W324" s="281"/>
      <c r="X324" s="281"/>
      <c r="Y324" s="281"/>
      <c r="Z324" s="281"/>
      <c r="AA324" s="281"/>
      <c r="AB324" s="281"/>
      <c r="AC324" s="281"/>
      <c r="AD324" s="281"/>
      <c r="AE324" s="281"/>
    </row>
    <row r="325" spans="2:31" ht="15">
      <c r="B325" s="386">
        <f t="shared" si="8"/>
        <v>280</v>
      </c>
      <c r="C325" s="394" t="str" cm="1">
        <f t="array" aca="1" ref="C325" ca="1">IF(B325&lt;=$C$9,GetGetCDSName(B325),"")</f>
        <v/>
      </c>
      <c r="D325" s="354"/>
      <c r="E325" s="387"/>
      <c r="F325" s="306"/>
      <c r="G325" s="306"/>
      <c r="H325" s="306"/>
      <c r="I325" s="306"/>
      <c r="J325" s="306"/>
      <c r="K325" s="306"/>
      <c r="L325" s="306"/>
      <c r="M325" s="306"/>
      <c r="N325" s="388"/>
      <c r="O325" s="281"/>
      <c r="P325" s="281"/>
      <c r="Q325" s="281"/>
      <c r="R325" s="281"/>
      <c r="S325" s="281"/>
      <c r="T325" s="281"/>
      <c r="U325" s="281"/>
      <c r="V325" s="281"/>
      <c r="W325" s="281"/>
      <c r="X325" s="281"/>
      <c r="Y325" s="281"/>
      <c r="Z325" s="281"/>
      <c r="AA325" s="281"/>
      <c r="AB325" s="281"/>
      <c r="AC325" s="281"/>
      <c r="AD325" s="281"/>
      <c r="AE325" s="281"/>
    </row>
    <row r="326" spans="2:31" ht="15">
      <c r="B326" s="386">
        <f t="shared" si="8"/>
        <v>281</v>
      </c>
      <c r="C326" s="394" t="str" cm="1">
        <f t="array" aca="1" ref="C326" ca="1">IF(B326&lt;=$C$9,GetGetCDSName(B326),"")</f>
        <v/>
      </c>
      <c r="D326" s="354"/>
      <c r="E326" s="387"/>
      <c r="F326" s="306"/>
      <c r="G326" s="306"/>
      <c r="H326" s="306"/>
      <c r="I326" s="306"/>
      <c r="J326" s="306"/>
      <c r="K326" s="306"/>
      <c r="L326" s="306"/>
      <c r="M326" s="306"/>
      <c r="N326" s="388"/>
      <c r="O326" s="281"/>
      <c r="P326" s="281"/>
      <c r="Q326" s="281"/>
      <c r="R326" s="281"/>
      <c r="S326" s="281"/>
      <c r="T326" s="281"/>
      <c r="U326" s="281"/>
      <c r="V326" s="281"/>
      <c r="W326" s="281"/>
      <c r="X326" s="281"/>
      <c r="Y326" s="281"/>
      <c r="Z326" s="281"/>
      <c r="AA326" s="281"/>
      <c r="AB326" s="281"/>
      <c r="AC326" s="281"/>
      <c r="AD326" s="281"/>
      <c r="AE326" s="281"/>
    </row>
    <row r="327" spans="2:31" ht="15">
      <c r="B327" s="386">
        <f t="shared" si="8"/>
        <v>282</v>
      </c>
      <c r="C327" s="394" t="str" cm="1">
        <f t="array" aca="1" ref="C327" ca="1">IF(B327&lt;=$C$9,GetGetCDSName(B327),"")</f>
        <v/>
      </c>
      <c r="D327" s="354"/>
      <c r="E327" s="387"/>
      <c r="F327" s="306"/>
      <c r="G327" s="306"/>
      <c r="H327" s="306"/>
      <c r="I327" s="306"/>
      <c r="J327" s="306"/>
      <c r="K327" s="306"/>
      <c r="L327" s="306"/>
      <c r="M327" s="306"/>
      <c r="N327" s="388"/>
      <c r="O327" s="281"/>
      <c r="P327" s="281"/>
      <c r="Q327" s="281"/>
      <c r="R327" s="281"/>
      <c r="S327" s="281"/>
      <c r="T327" s="281"/>
      <c r="U327" s="281"/>
      <c r="V327" s="281"/>
      <c r="W327" s="281"/>
      <c r="X327" s="281"/>
      <c r="Y327" s="281"/>
      <c r="Z327" s="281"/>
      <c r="AA327" s="281"/>
      <c r="AB327" s="281"/>
      <c r="AC327" s="281"/>
      <c r="AD327" s="281"/>
      <c r="AE327" s="281"/>
    </row>
    <row r="328" spans="2:31" ht="15">
      <c r="B328" s="386">
        <f t="shared" si="8"/>
        <v>283</v>
      </c>
      <c r="C328" s="394" t="str" cm="1">
        <f t="array" aca="1" ref="C328" ca="1">IF(B328&lt;=$C$9,GetGetCDSName(B328),"")</f>
        <v/>
      </c>
      <c r="D328" s="354"/>
      <c r="E328" s="387"/>
      <c r="F328" s="306"/>
      <c r="G328" s="306"/>
      <c r="H328" s="306"/>
      <c r="I328" s="306"/>
      <c r="J328" s="306"/>
      <c r="K328" s="306"/>
      <c r="L328" s="306"/>
      <c r="M328" s="306"/>
      <c r="N328" s="388"/>
      <c r="O328" s="281"/>
      <c r="P328" s="281"/>
      <c r="Q328" s="281"/>
      <c r="R328" s="281"/>
      <c r="S328" s="281"/>
      <c r="T328" s="281"/>
      <c r="U328" s="281"/>
      <c r="V328" s="281"/>
      <c r="W328" s="281"/>
      <c r="X328" s="281"/>
      <c r="Y328" s="281"/>
      <c r="Z328" s="281"/>
      <c r="AA328" s="281"/>
      <c r="AB328" s="281"/>
      <c r="AC328" s="281"/>
      <c r="AD328" s="281"/>
      <c r="AE328" s="281"/>
    </row>
    <row r="329" spans="2:31" ht="15">
      <c r="B329" s="386">
        <f t="shared" si="8"/>
        <v>284</v>
      </c>
      <c r="C329" s="394" t="str" cm="1">
        <f t="array" aca="1" ref="C329" ca="1">IF(B329&lt;=$C$9,GetGetCDSName(B329),"")</f>
        <v/>
      </c>
      <c r="D329" s="354"/>
      <c r="E329" s="387"/>
      <c r="F329" s="306"/>
      <c r="G329" s="306"/>
      <c r="H329" s="306"/>
      <c r="I329" s="306"/>
      <c r="J329" s="306"/>
      <c r="K329" s="306"/>
      <c r="L329" s="306"/>
      <c r="M329" s="306"/>
      <c r="N329" s="388"/>
      <c r="O329" s="281"/>
      <c r="P329" s="281"/>
      <c r="Q329" s="281"/>
      <c r="R329" s="281"/>
      <c r="S329" s="281"/>
      <c r="T329" s="281"/>
      <c r="U329" s="281"/>
      <c r="V329" s="281"/>
      <c r="W329" s="281"/>
      <c r="X329" s="281"/>
      <c r="Y329" s="281"/>
      <c r="Z329" s="281"/>
      <c r="AA329" s="281"/>
      <c r="AB329" s="281"/>
      <c r="AC329" s="281"/>
      <c r="AD329" s="281"/>
      <c r="AE329" s="281"/>
    </row>
    <row r="330" spans="2:31" ht="15">
      <c r="B330" s="386">
        <f t="shared" si="8"/>
        <v>285</v>
      </c>
      <c r="C330" s="394" t="str" cm="1">
        <f t="array" aca="1" ref="C330" ca="1">IF(B330&lt;=$C$9,GetGetCDSName(B330),"")</f>
        <v/>
      </c>
      <c r="D330" s="354"/>
      <c r="E330" s="387"/>
      <c r="F330" s="306"/>
      <c r="G330" s="306"/>
      <c r="H330" s="306"/>
      <c r="I330" s="306"/>
      <c r="J330" s="306"/>
      <c r="K330" s="306"/>
      <c r="L330" s="306"/>
      <c r="M330" s="306"/>
      <c r="N330" s="388"/>
      <c r="O330" s="281"/>
      <c r="P330" s="281"/>
      <c r="Q330" s="281"/>
      <c r="R330" s="281"/>
      <c r="S330" s="281"/>
      <c r="T330" s="281"/>
      <c r="U330" s="281"/>
      <c r="V330" s="281"/>
      <c r="W330" s="281"/>
      <c r="X330" s="281"/>
      <c r="Y330" s="281"/>
      <c r="Z330" s="281"/>
      <c r="AA330" s="281"/>
      <c r="AB330" s="281"/>
      <c r="AC330" s="281"/>
      <c r="AD330" s="281"/>
      <c r="AE330" s="281"/>
    </row>
    <row r="331" spans="2:31" ht="15">
      <c r="B331" s="386">
        <f t="shared" si="8"/>
        <v>286</v>
      </c>
      <c r="C331" s="394" t="str" cm="1">
        <f t="array" aca="1" ref="C331" ca="1">IF(B331&lt;=$C$9,GetGetCDSName(B331),"")</f>
        <v/>
      </c>
      <c r="D331" s="354"/>
      <c r="E331" s="387"/>
      <c r="F331" s="306"/>
      <c r="G331" s="306"/>
      <c r="H331" s="306"/>
      <c r="I331" s="306"/>
      <c r="J331" s="306"/>
      <c r="K331" s="306"/>
      <c r="L331" s="306"/>
      <c r="M331" s="306"/>
      <c r="N331" s="388"/>
      <c r="O331" s="281"/>
      <c r="P331" s="281"/>
      <c r="Q331" s="281"/>
      <c r="R331" s="281"/>
      <c r="S331" s="281"/>
      <c r="T331" s="281"/>
      <c r="U331" s="281"/>
      <c r="V331" s="281"/>
      <c r="W331" s="281"/>
      <c r="X331" s="281"/>
      <c r="Y331" s="281"/>
      <c r="Z331" s="281"/>
      <c r="AA331" s="281"/>
      <c r="AB331" s="281"/>
      <c r="AC331" s="281"/>
      <c r="AD331" s="281"/>
      <c r="AE331" s="281"/>
    </row>
    <row r="332" spans="2:31" ht="15">
      <c r="B332" s="386">
        <f t="shared" si="8"/>
        <v>287</v>
      </c>
      <c r="C332" s="394" t="str" cm="1">
        <f t="array" aca="1" ref="C332" ca="1">IF(B332&lt;=$C$9,GetGetCDSName(B332),"")</f>
        <v/>
      </c>
      <c r="D332" s="354"/>
      <c r="E332" s="387"/>
      <c r="F332" s="306"/>
      <c r="G332" s="306"/>
      <c r="H332" s="306"/>
      <c r="I332" s="306"/>
      <c r="J332" s="306"/>
      <c r="K332" s="306"/>
      <c r="L332" s="306"/>
      <c r="M332" s="306"/>
      <c r="N332" s="388"/>
      <c r="O332" s="281"/>
      <c r="P332" s="281"/>
      <c r="Q332" s="281"/>
      <c r="R332" s="281"/>
      <c r="S332" s="281"/>
      <c r="T332" s="281"/>
      <c r="U332" s="281"/>
      <c r="V332" s="281"/>
      <c r="W332" s="281"/>
      <c r="X332" s="281"/>
      <c r="Y332" s="281"/>
      <c r="Z332" s="281"/>
      <c r="AA332" s="281"/>
      <c r="AB332" s="281"/>
      <c r="AC332" s="281"/>
      <c r="AD332" s="281"/>
      <c r="AE332" s="281"/>
    </row>
    <row r="333" spans="2:31" ht="15">
      <c r="B333" s="386">
        <f t="shared" si="8"/>
        <v>288</v>
      </c>
      <c r="C333" s="394" t="str" cm="1">
        <f t="array" aca="1" ref="C333" ca="1">IF(B333&lt;=$C$9,GetGetCDSName(B333),"")</f>
        <v/>
      </c>
      <c r="D333" s="354"/>
      <c r="E333" s="387"/>
      <c r="F333" s="306"/>
      <c r="G333" s="306"/>
      <c r="H333" s="306"/>
      <c r="I333" s="306"/>
      <c r="J333" s="306"/>
      <c r="K333" s="306"/>
      <c r="L333" s="306"/>
      <c r="M333" s="306"/>
      <c r="N333" s="388"/>
      <c r="O333" s="281"/>
      <c r="P333" s="281"/>
      <c r="Q333" s="281"/>
      <c r="R333" s="281"/>
      <c r="S333" s="281"/>
      <c r="T333" s="281"/>
      <c r="U333" s="281"/>
      <c r="V333" s="281"/>
      <c r="W333" s="281"/>
      <c r="X333" s="281"/>
      <c r="Y333" s="281"/>
      <c r="Z333" s="281"/>
      <c r="AA333" s="281"/>
      <c r="AB333" s="281"/>
      <c r="AC333" s="281"/>
      <c r="AD333" s="281"/>
      <c r="AE333" s="281"/>
    </row>
    <row r="334" spans="2:31" ht="15">
      <c r="B334" s="386">
        <f t="shared" si="8"/>
        <v>289</v>
      </c>
      <c r="C334" s="394" t="str" cm="1">
        <f t="array" aca="1" ref="C334" ca="1">IF(B334&lt;=$C$9,GetGetCDSName(B334),"")</f>
        <v/>
      </c>
      <c r="D334" s="354"/>
      <c r="E334" s="387"/>
      <c r="F334" s="306"/>
      <c r="G334" s="306"/>
      <c r="H334" s="306"/>
      <c r="I334" s="306"/>
      <c r="J334" s="306"/>
      <c r="K334" s="306"/>
      <c r="L334" s="306"/>
      <c r="M334" s="306"/>
      <c r="N334" s="388"/>
      <c r="O334" s="281"/>
      <c r="P334" s="281"/>
      <c r="Q334" s="281"/>
      <c r="R334" s="281"/>
      <c r="S334" s="281"/>
      <c r="T334" s="281"/>
      <c r="U334" s="281"/>
      <c r="V334" s="281"/>
      <c r="W334" s="281"/>
      <c r="X334" s="281"/>
      <c r="Y334" s="281"/>
      <c r="Z334" s="281"/>
      <c r="AA334" s="281"/>
      <c r="AB334" s="281"/>
      <c r="AC334" s="281"/>
      <c r="AD334" s="281"/>
      <c r="AE334" s="281"/>
    </row>
    <row r="335" spans="2:31" ht="15">
      <c r="B335" s="386">
        <f t="shared" si="8"/>
        <v>290</v>
      </c>
      <c r="C335" s="394" t="str" cm="1">
        <f t="array" aca="1" ref="C335" ca="1">IF(B335&lt;=$C$9,GetGetCDSName(B335),"")</f>
        <v/>
      </c>
      <c r="D335" s="354"/>
      <c r="E335" s="387"/>
      <c r="F335" s="306"/>
      <c r="G335" s="306"/>
      <c r="H335" s="306"/>
      <c r="I335" s="306"/>
      <c r="J335" s="306"/>
      <c r="K335" s="306"/>
      <c r="L335" s="306"/>
      <c r="M335" s="306"/>
      <c r="N335" s="388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</row>
    <row r="336" spans="2:31" ht="15">
      <c r="B336" s="386">
        <f t="shared" si="8"/>
        <v>291</v>
      </c>
      <c r="C336" s="394" t="str" cm="1">
        <f t="array" aca="1" ref="C336" ca="1">IF(B336&lt;=$C$9,GetGetCDSName(B336),"")</f>
        <v/>
      </c>
      <c r="D336" s="354"/>
      <c r="E336" s="387"/>
      <c r="F336" s="306"/>
      <c r="G336" s="306"/>
      <c r="H336" s="306"/>
      <c r="I336" s="306"/>
      <c r="J336" s="306"/>
      <c r="K336" s="306"/>
      <c r="L336" s="306"/>
      <c r="M336" s="306"/>
      <c r="N336" s="388"/>
      <c r="O336" s="281"/>
      <c r="P336" s="281"/>
      <c r="Q336" s="281"/>
      <c r="R336" s="281"/>
      <c r="S336" s="281"/>
      <c r="T336" s="281"/>
      <c r="U336" s="281"/>
      <c r="V336" s="281"/>
      <c r="W336" s="281"/>
      <c r="X336" s="281"/>
      <c r="Y336" s="281"/>
      <c r="Z336" s="281"/>
      <c r="AA336" s="281"/>
      <c r="AB336" s="281"/>
      <c r="AC336" s="281"/>
      <c r="AD336" s="281"/>
      <c r="AE336" s="281"/>
    </row>
    <row r="337" spans="2:31" ht="15">
      <c r="B337" s="386">
        <f t="shared" si="8"/>
        <v>292</v>
      </c>
      <c r="C337" s="394" t="str" cm="1">
        <f t="array" aca="1" ref="C337" ca="1">IF(B337&lt;=$C$9,GetGetCDSName(B337),"")</f>
        <v/>
      </c>
      <c r="D337" s="354"/>
      <c r="E337" s="387"/>
      <c r="F337" s="306"/>
      <c r="G337" s="306"/>
      <c r="H337" s="306"/>
      <c r="I337" s="306"/>
      <c r="J337" s="306"/>
      <c r="K337" s="306"/>
      <c r="L337" s="306"/>
      <c r="M337" s="306"/>
      <c r="N337" s="388"/>
      <c r="O337" s="281"/>
      <c r="P337" s="281"/>
      <c r="Q337" s="281"/>
      <c r="R337" s="281"/>
      <c r="S337" s="281"/>
      <c r="T337" s="281"/>
      <c r="U337" s="281"/>
      <c r="V337" s="281"/>
      <c r="W337" s="281"/>
      <c r="X337" s="281"/>
      <c r="Y337" s="281"/>
      <c r="Z337" s="281"/>
      <c r="AA337" s="281"/>
      <c r="AB337" s="281"/>
      <c r="AC337" s="281"/>
      <c r="AD337" s="281"/>
      <c r="AE337" s="281"/>
    </row>
    <row r="338" spans="2:31" ht="15">
      <c r="B338" s="386">
        <f t="shared" si="8"/>
        <v>293</v>
      </c>
      <c r="C338" s="394" t="str" cm="1">
        <f t="array" aca="1" ref="C338" ca="1">IF(B338&lt;=$C$9,GetGetCDSName(B338),"")</f>
        <v/>
      </c>
      <c r="D338" s="354"/>
      <c r="E338" s="387"/>
      <c r="F338" s="306"/>
      <c r="G338" s="306"/>
      <c r="H338" s="306"/>
      <c r="I338" s="306"/>
      <c r="J338" s="306"/>
      <c r="K338" s="306"/>
      <c r="L338" s="306"/>
      <c r="M338" s="306"/>
      <c r="N338" s="388"/>
      <c r="O338" s="281"/>
      <c r="P338" s="281"/>
      <c r="Q338" s="281"/>
      <c r="R338" s="281"/>
      <c r="S338" s="281"/>
      <c r="T338" s="281"/>
      <c r="U338" s="281"/>
      <c r="V338" s="281"/>
      <c r="W338" s="281"/>
      <c r="X338" s="281"/>
      <c r="Y338" s="281"/>
      <c r="Z338" s="281"/>
      <c r="AA338" s="281"/>
      <c r="AB338" s="281"/>
      <c r="AC338" s="281"/>
      <c r="AD338" s="281"/>
      <c r="AE338" s="281"/>
    </row>
    <row r="339" spans="2:31" ht="15">
      <c r="B339" s="386">
        <f t="shared" si="8"/>
        <v>294</v>
      </c>
      <c r="C339" s="394" t="str" cm="1">
        <f t="array" aca="1" ref="C339" ca="1">IF(B339&lt;=$C$9,GetGetCDSName(B339),"")</f>
        <v/>
      </c>
      <c r="D339" s="354"/>
      <c r="E339" s="387"/>
      <c r="F339" s="306"/>
      <c r="G339" s="306"/>
      <c r="H339" s="306"/>
      <c r="I339" s="306"/>
      <c r="J339" s="306"/>
      <c r="K339" s="306"/>
      <c r="L339" s="306"/>
      <c r="M339" s="306"/>
      <c r="N339" s="388"/>
      <c r="O339" s="281"/>
      <c r="P339" s="281"/>
      <c r="Q339" s="281"/>
      <c r="R339" s="281"/>
      <c r="S339" s="281"/>
      <c r="T339" s="281"/>
      <c r="U339" s="281"/>
      <c r="V339" s="281"/>
      <c r="W339" s="281"/>
      <c r="X339" s="281"/>
      <c r="Y339" s="281"/>
      <c r="Z339" s="281"/>
      <c r="AA339" s="281"/>
      <c r="AB339" s="281"/>
      <c r="AC339" s="281"/>
      <c r="AD339" s="281"/>
      <c r="AE339" s="281"/>
    </row>
    <row r="340" spans="2:31" ht="15">
      <c r="B340" s="386">
        <f t="shared" si="8"/>
        <v>295</v>
      </c>
      <c r="C340" s="394" t="str" cm="1">
        <f t="array" aca="1" ref="C340" ca="1">IF(B340&lt;=$C$9,GetGetCDSName(B340),"")</f>
        <v/>
      </c>
      <c r="D340" s="354"/>
      <c r="E340" s="387"/>
      <c r="F340" s="306"/>
      <c r="G340" s="306"/>
      <c r="H340" s="306"/>
      <c r="I340" s="306"/>
      <c r="J340" s="306"/>
      <c r="K340" s="306"/>
      <c r="L340" s="306"/>
      <c r="M340" s="306"/>
      <c r="N340" s="388"/>
      <c r="O340" s="281"/>
      <c r="P340" s="281"/>
      <c r="Q340" s="281"/>
      <c r="R340" s="281"/>
      <c r="S340" s="281"/>
      <c r="T340" s="281"/>
      <c r="U340" s="281"/>
      <c r="V340" s="281"/>
      <c r="W340" s="281"/>
      <c r="X340" s="281"/>
      <c r="Y340" s="281"/>
      <c r="Z340" s="281"/>
      <c r="AA340" s="281"/>
      <c r="AB340" s="281"/>
      <c r="AC340" s="281"/>
      <c r="AD340" s="281"/>
      <c r="AE340" s="281"/>
    </row>
    <row r="341" spans="2:31" ht="15">
      <c r="B341" s="386">
        <f t="shared" si="8"/>
        <v>296</v>
      </c>
      <c r="C341" s="394" t="str" cm="1">
        <f t="array" aca="1" ref="C341" ca="1">IF(B341&lt;=$C$9,GetGetCDSName(B341),"")</f>
        <v/>
      </c>
      <c r="D341" s="354"/>
      <c r="E341" s="387"/>
      <c r="F341" s="306"/>
      <c r="G341" s="306"/>
      <c r="H341" s="306"/>
      <c r="I341" s="306"/>
      <c r="J341" s="306"/>
      <c r="K341" s="306"/>
      <c r="L341" s="306"/>
      <c r="M341" s="306"/>
      <c r="N341" s="388"/>
      <c r="O341" s="281"/>
      <c r="P341" s="281"/>
      <c r="Q341" s="281"/>
      <c r="R341" s="281"/>
      <c r="S341" s="281"/>
      <c r="T341" s="281"/>
      <c r="U341" s="281"/>
      <c r="V341" s="281"/>
      <c r="W341" s="281"/>
      <c r="X341" s="281"/>
      <c r="Y341" s="281"/>
      <c r="Z341" s="281"/>
      <c r="AA341" s="281"/>
      <c r="AB341" s="281"/>
      <c r="AC341" s="281"/>
      <c r="AD341" s="281"/>
      <c r="AE341" s="281"/>
    </row>
    <row r="342" spans="2:31" ht="15">
      <c r="B342" s="386">
        <f t="shared" si="8"/>
        <v>297</v>
      </c>
      <c r="C342" s="394" t="str" cm="1">
        <f t="array" aca="1" ref="C342" ca="1">IF(B342&lt;=$C$9,GetGetCDSName(B342),"")</f>
        <v/>
      </c>
      <c r="D342" s="354"/>
      <c r="E342" s="387"/>
      <c r="F342" s="306"/>
      <c r="G342" s="306"/>
      <c r="H342" s="306"/>
      <c r="I342" s="306"/>
      <c r="J342" s="306"/>
      <c r="K342" s="306"/>
      <c r="L342" s="306"/>
      <c r="M342" s="306"/>
      <c r="N342" s="388"/>
      <c r="O342" s="281"/>
      <c r="P342" s="281"/>
      <c r="Q342" s="281"/>
      <c r="R342" s="281"/>
      <c r="S342" s="281"/>
      <c r="T342" s="281"/>
      <c r="U342" s="281"/>
      <c r="V342" s="281"/>
      <c r="W342" s="281"/>
      <c r="X342" s="281"/>
      <c r="Y342" s="281"/>
      <c r="Z342" s="281"/>
      <c r="AA342" s="281"/>
      <c r="AB342" s="281"/>
      <c r="AC342" s="281"/>
      <c r="AD342" s="281"/>
      <c r="AE342" s="281"/>
    </row>
    <row r="343" spans="2:31" ht="15">
      <c r="B343" s="386">
        <f t="shared" si="8"/>
        <v>298</v>
      </c>
      <c r="C343" s="394" t="str" cm="1">
        <f t="array" aca="1" ref="C343" ca="1">IF(B343&lt;=$C$9,GetGetCDSName(B343),"")</f>
        <v/>
      </c>
      <c r="D343" s="354"/>
      <c r="E343" s="387"/>
      <c r="F343" s="306"/>
      <c r="G343" s="306"/>
      <c r="H343" s="306"/>
      <c r="I343" s="306"/>
      <c r="J343" s="306"/>
      <c r="K343" s="306"/>
      <c r="L343" s="306"/>
      <c r="M343" s="306"/>
      <c r="N343" s="388"/>
      <c r="O343" s="281"/>
      <c r="P343" s="281"/>
      <c r="Q343" s="281"/>
      <c r="R343" s="281"/>
      <c r="S343" s="281"/>
      <c r="T343" s="281"/>
      <c r="U343" s="281"/>
      <c r="V343" s="281"/>
      <c r="W343" s="281"/>
      <c r="X343" s="281"/>
      <c r="Y343" s="281"/>
      <c r="Z343" s="281"/>
      <c r="AA343" s="281"/>
      <c r="AB343" s="281"/>
      <c r="AC343" s="281"/>
      <c r="AD343" s="281"/>
      <c r="AE343" s="281"/>
    </row>
    <row r="344" spans="2:31" ht="15">
      <c r="B344" s="386">
        <f t="shared" si="8"/>
        <v>299</v>
      </c>
      <c r="C344" s="394" t="str" cm="1">
        <f t="array" aca="1" ref="C344" ca="1">IF(B344&lt;=$C$9,GetGetCDSName(B344),"")</f>
        <v/>
      </c>
      <c r="D344" s="354"/>
      <c r="E344" s="387"/>
      <c r="F344" s="306"/>
      <c r="G344" s="306"/>
      <c r="H344" s="306"/>
      <c r="I344" s="306"/>
      <c r="J344" s="306"/>
      <c r="K344" s="306"/>
      <c r="L344" s="306"/>
      <c r="M344" s="306"/>
      <c r="N344" s="388"/>
      <c r="O344" s="281"/>
      <c r="P344" s="281"/>
      <c r="Q344" s="281"/>
      <c r="R344" s="281"/>
      <c r="S344" s="281"/>
      <c r="T344" s="281"/>
      <c r="U344" s="281"/>
      <c r="V344" s="281"/>
      <c r="W344" s="281"/>
      <c r="X344" s="281"/>
      <c r="Y344" s="281"/>
      <c r="Z344" s="281"/>
      <c r="AA344" s="281"/>
      <c r="AB344" s="281"/>
      <c r="AC344" s="281"/>
      <c r="AD344" s="281"/>
      <c r="AE344" s="281"/>
    </row>
    <row r="345" spans="2:31" ht="15.75" thickBot="1">
      <c r="B345" s="389">
        <f t="shared" si="8"/>
        <v>300</v>
      </c>
      <c r="C345" s="394" t="str" cm="1">
        <f t="array" aca="1" ref="C345" ca="1">IF(B345&lt;=$C$9,GetGetCDSName(B345),"")</f>
        <v/>
      </c>
      <c r="D345" s="390"/>
      <c r="E345" s="391"/>
      <c r="F345" s="392"/>
      <c r="G345" s="392"/>
      <c r="H345" s="392"/>
      <c r="I345" s="392"/>
      <c r="J345" s="392"/>
      <c r="K345" s="392"/>
      <c r="L345" s="392"/>
      <c r="M345" s="392"/>
      <c r="N345" s="393"/>
      <c r="O345" s="281"/>
      <c r="P345" s="281"/>
      <c r="Q345" s="281"/>
      <c r="R345" s="281"/>
      <c r="S345" s="281"/>
      <c r="T345" s="281"/>
      <c r="U345" s="281"/>
      <c r="V345" s="281"/>
      <c r="W345" s="281"/>
      <c r="X345" s="281"/>
      <c r="Y345" s="281"/>
      <c r="Z345" s="281"/>
      <c r="AA345" s="281"/>
      <c r="AB345" s="281"/>
      <c r="AC345" s="281"/>
      <c r="AD345" s="281"/>
      <c r="AE345" s="281"/>
    </row>
    <row r="346" spans="2:31">
      <c r="O346" s="281"/>
      <c r="P346" s="281"/>
      <c r="Q346" s="281"/>
      <c r="R346" s="281"/>
      <c r="S346" s="281"/>
      <c r="T346" s="281"/>
      <c r="U346" s="281"/>
      <c r="V346" s="281"/>
      <c r="W346" s="281"/>
      <c r="X346" s="281"/>
      <c r="Y346" s="281"/>
      <c r="Z346" s="281"/>
      <c r="AA346" s="281"/>
      <c r="AB346" s="281"/>
      <c r="AC346" s="281"/>
      <c r="AD346" s="281"/>
      <c r="AE346" s="281"/>
    </row>
    <row r="347" spans="2:31">
      <c r="O347" s="281"/>
      <c r="P347" s="281"/>
      <c r="Q347" s="281"/>
      <c r="R347" s="281"/>
      <c r="S347" s="281"/>
      <c r="T347" s="281"/>
      <c r="U347" s="281"/>
      <c r="V347" s="281"/>
      <c r="W347" s="281"/>
      <c r="X347" s="281"/>
      <c r="Y347" s="281"/>
      <c r="Z347" s="281"/>
      <c r="AA347" s="281"/>
      <c r="AB347" s="281"/>
      <c r="AC347" s="281"/>
      <c r="AD347" s="281"/>
      <c r="AE347" s="281"/>
    </row>
    <row r="348" spans="2:31">
      <c r="O348" s="281"/>
      <c r="P348" s="281"/>
      <c r="Q348" s="281"/>
      <c r="R348" s="281"/>
      <c r="S348" s="281"/>
      <c r="T348" s="281"/>
      <c r="U348" s="281"/>
      <c r="V348" s="281"/>
      <c r="W348" s="281"/>
      <c r="X348" s="281"/>
      <c r="Y348" s="281"/>
      <c r="Z348" s="281"/>
      <c r="AA348" s="281"/>
      <c r="AB348" s="281"/>
      <c r="AC348" s="281"/>
      <c r="AD348" s="281"/>
      <c r="AE348" s="281"/>
    </row>
    <row r="349" spans="2:31">
      <c r="O349" s="281"/>
      <c r="P349" s="281"/>
      <c r="Q349" s="281"/>
      <c r="R349" s="281"/>
      <c r="S349" s="281"/>
      <c r="T349" s="281"/>
      <c r="U349" s="281"/>
      <c r="V349" s="281"/>
      <c r="W349" s="281"/>
      <c r="X349" s="281"/>
      <c r="Y349" s="281"/>
      <c r="Z349" s="281"/>
      <c r="AA349" s="281"/>
      <c r="AB349" s="281"/>
      <c r="AC349" s="281"/>
      <c r="AD349" s="281"/>
      <c r="AE349" s="281"/>
    </row>
    <row r="350" spans="2:31">
      <c r="O350" s="281"/>
      <c r="P350" s="281"/>
      <c r="Q350" s="281"/>
      <c r="R350" s="281"/>
      <c r="S350" s="281"/>
      <c r="T350" s="281"/>
      <c r="U350" s="281"/>
      <c r="V350" s="281"/>
      <c r="W350" s="281"/>
      <c r="X350" s="281"/>
      <c r="Y350" s="281"/>
      <c r="Z350" s="281"/>
      <c r="AA350" s="281"/>
      <c r="AB350" s="281"/>
      <c r="AC350" s="281"/>
      <c r="AD350" s="281"/>
      <c r="AE350" s="281"/>
    </row>
    <row r="351" spans="2:31">
      <c r="O351" s="281"/>
      <c r="P351" s="281"/>
      <c r="Q351" s="281"/>
      <c r="R351" s="281"/>
      <c r="S351" s="281"/>
      <c r="T351" s="281"/>
      <c r="U351" s="281"/>
      <c r="V351" s="281"/>
      <c r="W351" s="281"/>
      <c r="X351" s="281"/>
      <c r="Y351" s="281"/>
      <c r="Z351" s="281"/>
      <c r="AA351" s="281"/>
      <c r="AB351" s="281"/>
      <c r="AC351" s="281"/>
      <c r="AD351" s="281"/>
      <c r="AE351" s="281"/>
    </row>
    <row r="352" spans="2:31">
      <c r="O352" s="281"/>
      <c r="P352" s="281"/>
      <c r="Q352" s="281"/>
      <c r="R352" s="281"/>
      <c r="S352" s="281"/>
      <c r="T352" s="281"/>
      <c r="U352" s="281"/>
      <c r="V352" s="281"/>
      <c r="W352" s="281"/>
      <c r="X352" s="281"/>
      <c r="Y352" s="281"/>
      <c r="Z352" s="281"/>
      <c r="AA352" s="281"/>
      <c r="AB352" s="281"/>
      <c r="AC352" s="281"/>
      <c r="AD352" s="281"/>
      <c r="AE352" s="281"/>
    </row>
    <row r="353" spans="15:31">
      <c r="O353" s="281"/>
      <c r="P353" s="281"/>
      <c r="Q353" s="281"/>
      <c r="R353" s="281"/>
      <c r="S353" s="281"/>
      <c r="T353" s="281"/>
      <c r="U353" s="281"/>
      <c r="V353" s="281"/>
      <c r="W353" s="281"/>
      <c r="X353" s="281"/>
      <c r="Y353" s="281"/>
      <c r="Z353" s="281"/>
      <c r="AA353" s="281"/>
      <c r="AB353" s="281"/>
      <c r="AC353" s="281"/>
      <c r="AD353" s="281"/>
      <c r="AE353" s="281"/>
    </row>
    <row r="354" spans="15:31">
      <c r="O354" s="281"/>
      <c r="P354" s="281"/>
      <c r="Q354" s="281"/>
      <c r="R354" s="281"/>
      <c r="S354" s="281"/>
      <c r="T354" s="281"/>
      <c r="U354" s="281"/>
      <c r="V354" s="281"/>
      <c r="W354" s="281"/>
      <c r="X354" s="281"/>
      <c r="Y354" s="281"/>
      <c r="Z354" s="281"/>
      <c r="AA354" s="281"/>
      <c r="AB354" s="281"/>
      <c r="AC354" s="281"/>
      <c r="AD354" s="281"/>
      <c r="AE354" s="281"/>
    </row>
    <row r="355" spans="15:31">
      <c r="O355" s="281"/>
      <c r="P355" s="281"/>
      <c r="Q355" s="281"/>
      <c r="R355" s="281"/>
      <c r="S355" s="281"/>
      <c r="T355" s="281"/>
      <c r="U355" s="281"/>
      <c r="V355" s="281"/>
      <c r="W355" s="281"/>
      <c r="X355" s="281"/>
      <c r="Y355" s="281"/>
      <c r="Z355" s="281"/>
      <c r="AA355" s="281"/>
      <c r="AB355" s="281"/>
      <c r="AC355" s="281"/>
      <c r="AD355" s="281"/>
      <c r="AE355" s="281"/>
    </row>
    <row r="356" spans="15:31">
      <c r="O356" s="281"/>
      <c r="P356" s="281"/>
      <c r="Q356" s="281"/>
      <c r="R356" s="281"/>
      <c r="S356" s="281"/>
      <c r="T356" s="281"/>
      <c r="U356" s="281"/>
      <c r="V356" s="281"/>
      <c r="W356" s="281"/>
      <c r="X356" s="281"/>
      <c r="Y356" s="281"/>
      <c r="Z356" s="281"/>
      <c r="AA356" s="281"/>
      <c r="AB356" s="281"/>
      <c r="AC356" s="281"/>
      <c r="AD356" s="281"/>
      <c r="AE356" s="281"/>
    </row>
    <row r="357" spans="15:31">
      <c r="O357" s="281"/>
      <c r="P357" s="281"/>
      <c r="Q357" s="281"/>
      <c r="R357" s="281"/>
      <c r="S357" s="281"/>
      <c r="T357" s="281"/>
      <c r="U357" s="281"/>
      <c r="V357" s="281"/>
      <c r="W357" s="281"/>
      <c r="X357" s="281"/>
      <c r="Y357" s="281"/>
      <c r="Z357" s="281"/>
      <c r="AA357" s="281"/>
      <c r="AB357" s="281"/>
      <c r="AC357" s="281"/>
      <c r="AD357" s="281"/>
      <c r="AE357" s="281"/>
    </row>
    <row r="358" spans="15:31">
      <c r="O358" s="281"/>
      <c r="P358" s="281"/>
      <c r="Q358" s="281"/>
      <c r="R358" s="281"/>
      <c r="S358" s="281"/>
      <c r="T358" s="281"/>
      <c r="U358" s="281"/>
      <c r="V358" s="281"/>
      <c r="W358" s="281"/>
      <c r="X358" s="281"/>
      <c r="Y358" s="281"/>
      <c r="Z358" s="281"/>
      <c r="AA358" s="281"/>
      <c r="AB358" s="281"/>
      <c r="AC358" s="281"/>
      <c r="AD358" s="281"/>
      <c r="AE358" s="281"/>
    </row>
    <row r="359" spans="15:31">
      <c r="O359" s="281"/>
      <c r="P359" s="281"/>
      <c r="Q359" s="281"/>
      <c r="R359" s="281"/>
      <c r="S359" s="281"/>
      <c r="T359" s="281"/>
      <c r="U359" s="281"/>
      <c r="V359" s="281"/>
      <c r="W359" s="281"/>
      <c r="X359" s="281"/>
      <c r="Y359" s="281"/>
      <c r="Z359" s="281"/>
      <c r="AA359" s="281"/>
      <c r="AB359" s="281"/>
      <c r="AC359" s="281"/>
      <c r="AD359" s="281"/>
      <c r="AE359" s="281"/>
    </row>
    <row r="360" spans="15:31">
      <c r="O360" s="281"/>
      <c r="P360" s="281"/>
      <c r="Q360" s="281"/>
      <c r="R360" s="281"/>
      <c r="S360" s="281"/>
      <c r="T360" s="281"/>
      <c r="U360" s="281"/>
      <c r="V360" s="281"/>
      <c r="W360" s="281"/>
      <c r="X360" s="281"/>
      <c r="Y360" s="281"/>
      <c r="Z360" s="281"/>
      <c r="AA360" s="281"/>
      <c r="AB360" s="281"/>
      <c r="AC360" s="281"/>
      <c r="AD360" s="281"/>
      <c r="AE360" s="281"/>
    </row>
    <row r="361" spans="15:31">
      <c r="O361" s="281"/>
      <c r="P361" s="281"/>
      <c r="Q361" s="281"/>
      <c r="R361" s="281"/>
      <c r="S361" s="281"/>
      <c r="T361" s="281"/>
      <c r="U361" s="281"/>
      <c r="V361" s="281"/>
      <c r="W361" s="281"/>
      <c r="X361" s="281"/>
      <c r="Y361" s="281"/>
      <c r="Z361" s="281"/>
      <c r="AA361" s="281"/>
      <c r="AB361" s="281"/>
      <c r="AC361" s="281"/>
      <c r="AD361" s="281"/>
      <c r="AE361" s="281"/>
    </row>
    <row r="362" spans="15:31">
      <c r="O362" s="281"/>
      <c r="P362" s="281"/>
      <c r="Q362" s="281"/>
      <c r="R362" s="281"/>
      <c r="S362" s="281"/>
      <c r="T362" s="281"/>
      <c r="U362" s="281"/>
      <c r="V362" s="281"/>
      <c r="W362" s="281"/>
      <c r="X362" s="281"/>
      <c r="Y362" s="281"/>
      <c r="Z362" s="281"/>
      <c r="AA362" s="281"/>
      <c r="AB362" s="281"/>
      <c r="AC362" s="281"/>
      <c r="AD362" s="281"/>
      <c r="AE362" s="281"/>
    </row>
    <row r="363" spans="15:31">
      <c r="O363" s="281"/>
      <c r="P363" s="281"/>
      <c r="Q363" s="281"/>
      <c r="R363" s="281"/>
      <c r="S363" s="281"/>
      <c r="T363" s="281"/>
      <c r="U363" s="281"/>
      <c r="V363" s="281"/>
      <c r="W363" s="281"/>
      <c r="X363" s="281"/>
      <c r="Y363" s="281"/>
      <c r="Z363" s="281"/>
      <c r="AA363" s="281"/>
      <c r="AB363" s="281"/>
      <c r="AC363" s="281"/>
      <c r="AD363" s="281"/>
      <c r="AE363" s="281"/>
    </row>
    <row r="364" spans="15:31">
      <c r="O364" s="281"/>
      <c r="P364" s="281"/>
      <c r="Q364" s="281"/>
      <c r="R364" s="281"/>
      <c r="S364" s="281"/>
      <c r="T364" s="281"/>
      <c r="U364" s="281"/>
      <c r="V364" s="281"/>
      <c r="W364" s="281"/>
      <c r="X364" s="281"/>
      <c r="Y364" s="281"/>
      <c r="Z364" s="281"/>
      <c r="AA364" s="281"/>
      <c r="AB364" s="281"/>
      <c r="AC364" s="281"/>
      <c r="AD364" s="281"/>
      <c r="AE364" s="281"/>
    </row>
    <row r="365" spans="15:31">
      <c r="O365" s="281"/>
      <c r="P365" s="281"/>
      <c r="Q365" s="281"/>
      <c r="R365" s="281"/>
      <c r="S365" s="281"/>
      <c r="T365" s="281"/>
      <c r="U365" s="281"/>
      <c r="V365" s="281"/>
      <c r="W365" s="281"/>
      <c r="X365" s="281"/>
      <c r="Y365" s="281"/>
      <c r="Z365" s="281"/>
      <c r="AA365" s="281"/>
      <c r="AB365" s="281"/>
      <c r="AC365" s="281"/>
      <c r="AD365" s="281"/>
      <c r="AE365" s="281"/>
    </row>
    <row r="366" spans="15:31">
      <c r="O366" s="281"/>
      <c r="P366" s="281"/>
      <c r="Q366" s="281"/>
      <c r="R366" s="281"/>
      <c r="S366" s="281"/>
      <c r="T366" s="281"/>
      <c r="U366" s="281"/>
      <c r="V366" s="281"/>
      <c r="W366" s="281"/>
      <c r="X366" s="281"/>
      <c r="Y366" s="281"/>
      <c r="Z366" s="281"/>
      <c r="AA366" s="281"/>
      <c r="AB366" s="281"/>
      <c r="AC366" s="281"/>
      <c r="AD366" s="281"/>
      <c r="AE366" s="281"/>
    </row>
    <row r="367" spans="15:31">
      <c r="O367" s="281"/>
      <c r="P367" s="281"/>
      <c r="Q367" s="281"/>
      <c r="R367" s="281"/>
      <c r="S367" s="281"/>
      <c r="T367" s="281"/>
      <c r="U367" s="281"/>
      <c r="V367" s="281"/>
      <c r="W367" s="281"/>
      <c r="X367" s="281"/>
      <c r="Y367" s="281"/>
      <c r="Z367" s="281"/>
      <c r="AA367" s="281"/>
      <c r="AB367" s="281"/>
      <c r="AC367" s="281"/>
      <c r="AD367" s="281"/>
      <c r="AE367" s="281"/>
    </row>
    <row r="368" spans="15:31">
      <c r="O368" s="281"/>
      <c r="P368" s="281"/>
      <c r="Q368" s="281"/>
      <c r="R368" s="281"/>
      <c r="S368" s="281"/>
      <c r="T368" s="281"/>
      <c r="U368" s="281"/>
      <c r="V368" s="281"/>
      <c r="W368" s="281"/>
      <c r="X368" s="281"/>
      <c r="Y368" s="281"/>
      <c r="Z368" s="281"/>
      <c r="AA368" s="281"/>
      <c r="AB368" s="281"/>
      <c r="AC368" s="281"/>
      <c r="AD368" s="281"/>
      <c r="AE368" s="281"/>
    </row>
    <row r="369" spans="15:31">
      <c r="O369" s="281"/>
      <c r="P369" s="281"/>
      <c r="Q369" s="281"/>
      <c r="R369" s="281"/>
      <c r="S369" s="281"/>
      <c r="T369" s="281"/>
      <c r="U369" s="281"/>
      <c r="V369" s="281"/>
      <c r="W369" s="281"/>
      <c r="X369" s="281"/>
      <c r="Y369" s="281"/>
      <c r="Z369" s="281"/>
      <c r="AA369" s="281"/>
      <c r="AB369" s="281"/>
      <c r="AC369" s="281"/>
      <c r="AD369" s="281"/>
      <c r="AE369" s="281"/>
    </row>
    <row r="370" spans="15:31">
      <c r="O370" s="281"/>
      <c r="P370" s="281"/>
      <c r="Q370" s="281"/>
      <c r="R370" s="281"/>
      <c r="S370" s="281"/>
      <c r="T370" s="281"/>
      <c r="U370" s="281"/>
      <c r="V370" s="281"/>
      <c r="W370" s="281"/>
      <c r="X370" s="281"/>
      <c r="Y370" s="281"/>
      <c r="Z370" s="281"/>
      <c r="AA370" s="281"/>
      <c r="AB370" s="281"/>
      <c r="AC370" s="281"/>
      <c r="AD370" s="281"/>
      <c r="AE370" s="281"/>
    </row>
    <row r="371" spans="15:31">
      <c r="O371" s="281"/>
      <c r="P371" s="281"/>
      <c r="Q371" s="281"/>
      <c r="R371" s="281"/>
      <c r="S371" s="281"/>
      <c r="T371" s="281"/>
      <c r="U371" s="281"/>
      <c r="V371" s="281"/>
      <c r="W371" s="281"/>
      <c r="X371" s="281"/>
      <c r="Y371" s="281"/>
      <c r="Z371" s="281"/>
      <c r="AA371" s="281"/>
      <c r="AB371" s="281"/>
      <c r="AC371" s="281"/>
      <c r="AD371" s="281"/>
      <c r="AE371" s="281"/>
    </row>
    <row r="372" spans="15:31">
      <c r="O372" s="281"/>
      <c r="P372" s="281"/>
      <c r="Q372" s="281"/>
      <c r="R372" s="281"/>
      <c r="S372" s="281"/>
      <c r="T372" s="281"/>
      <c r="U372" s="281"/>
      <c r="V372" s="281"/>
      <c r="W372" s="281"/>
      <c r="X372" s="281"/>
      <c r="Y372" s="281"/>
      <c r="Z372" s="281"/>
      <c r="AA372" s="281"/>
      <c r="AB372" s="281"/>
      <c r="AC372" s="281"/>
      <c r="AD372" s="281"/>
      <c r="AE372" s="281"/>
    </row>
    <row r="373" spans="15:31">
      <c r="O373" s="281"/>
      <c r="P373" s="281"/>
      <c r="Q373" s="281"/>
      <c r="R373" s="281"/>
      <c r="S373" s="281"/>
      <c r="T373" s="281"/>
      <c r="U373" s="281"/>
      <c r="V373" s="281"/>
      <c r="W373" s="281"/>
      <c r="X373" s="281"/>
      <c r="Y373" s="281"/>
      <c r="Z373" s="281"/>
      <c r="AA373" s="281"/>
      <c r="AB373" s="281"/>
      <c r="AC373" s="281"/>
      <c r="AD373" s="281"/>
      <c r="AE373" s="281"/>
    </row>
    <row r="374" spans="15:31">
      <c r="O374" s="281"/>
      <c r="P374" s="281"/>
      <c r="Q374" s="281"/>
      <c r="R374" s="281"/>
      <c r="S374" s="281"/>
      <c r="T374" s="281"/>
      <c r="U374" s="281"/>
      <c r="V374" s="281"/>
      <c r="W374" s="281"/>
      <c r="X374" s="281"/>
      <c r="Y374" s="281"/>
      <c r="Z374" s="281"/>
      <c r="AA374" s="281"/>
      <c r="AB374" s="281"/>
      <c r="AC374" s="281"/>
      <c r="AD374" s="281"/>
      <c r="AE374" s="281"/>
    </row>
    <row r="375" spans="15:31">
      <c r="O375" s="281"/>
      <c r="P375" s="281"/>
      <c r="Q375" s="281"/>
      <c r="R375" s="281"/>
      <c r="S375" s="281"/>
      <c r="T375" s="281"/>
      <c r="U375" s="281"/>
      <c r="V375" s="281"/>
      <c r="W375" s="281"/>
      <c r="X375" s="281"/>
      <c r="Y375" s="281"/>
      <c r="Z375" s="281"/>
      <c r="AA375" s="281"/>
      <c r="AB375" s="281"/>
      <c r="AC375" s="281"/>
      <c r="AD375" s="281"/>
      <c r="AE375" s="281"/>
    </row>
    <row r="376" spans="15:31">
      <c r="O376" s="281"/>
      <c r="P376" s="281"/>
      <c r="Q376" s="281"/>
      <c r="R376" s="281"/>
      <c r="S376" s="281"/>
      <c r="T376" s="281"/>
      <c r="U376" s="281"/>
      <c r="V376" s="281"/>
      <c r="W376" s="281"/>
      <c r="X376" s="281"/>
      <c r="Y376" s="281"/>
      <c r="Z376" s="281"/>
      <c r="AA376" s="281"/>
      <c r="AB376" s="281"/>
      <c r="AC376" s="281"/>
      <c r="AD376" s="281"/>
      <c r="AE376" s="281"/>
    </row>
    <row r="377" spans="15:31">
      <c r="O377" s="281"/>
      <c r="P377" s="281"/>
      <c r="Q377" s="281"/>
      <c r="R377" s="281"/>
      <c r="S377" s="281"/>
      <c r="T377" s="281"/>
      <c r="U377" s="281"/>
      <c r="V377" s="281"/>
      <c r="W377" s="281"/>
      <c r="X377" s="281"/>
      <c r="Y377" s="281"/>
      <c r="Z377" s="281"/>
      <c r="AA377" s="281"/>
      <c r="AB377" s="281"/>
      <c r="AC377" s="281"/>
      <c r="AD377" s="281"/>
      <c r="AE377" s="281"/>
    </row>
    <row r="378" spans="15:31">
      <c r="O378" s="281"/>
      <c r="P378" s="281"/>
      <c r="Q378" s="281"/>
      <c r="R378" s="281"/>
      <c r="S378" s="281"/>
      <c r="T378" s="281"/>
      <c r="U378" s="281"/>
      <c r="V378" s="281"/>
      <c r="W378" s="281"/>
      <c r="X378" s="281"/>
      <c r="Y378" s="281"/>
      <c r="Z378" s="281"/>
      <c r="AA378" s="281"/>
      <c r="AB378" s="281"/>
      <c r="AC378" s="281"/>
      <c r="AD378" s="281"/>
      <c r="AE378" s="281"/>
    </row>
    <row r="379" spans="15:31">
      <c r="O379" s="281"/>
      <c r="P379" s="281"/>
      <c r="Q379" s="281"/>
      <c r="R379" s="281"/>
      <c r="S379" s="281"/>
      <c r="T379" s="281"/>
      <c r="U379" s="281"/>
      <c r="V379" s="281"/>
      <c r="W379" s="281"/>
      <c r="X379" s="281"/>
      <c r="Y379" s="281"/>
      <c r="Z379" s="281"/>
      <c r="AA379" s="281"/>
      <c r="AB379" s="281"/>
      <c r="AC379" s="281"/>
      <c r="AD379" s="281"/>
      <c r="AE379" s="281"/>
    </row>
    <row r="380" spans="15:31">
      <c r="O380" s="281"/>
      <c r="P380" s="281"/>
      <c r="Q380" s="281"/>
      <c r="R380" s="281"/>
      <c r="S380" s="281"/>
      <c r="T380" s="281"/>
      <c r="U380" s="281"/>
      <c r="V380" s="281"/>
      <c r="W380" s="281"/>
      <c r="X380" s="281"/>
      <c r="Y380" s="281"/>
      <c r="Z380" s="281"/>
      <c r="AA380" s="281"/>
      <c r="AB380" s="281"/>
      <c r="AC380" s="281"/>
      <c r="AD380" s="281"/>
      <c r="AE380" s="281"/>
    </row>
    <row r="381" spans="15:31">
      <c r="O381" s="281"/>
      <c r="P381" s="281"/>
      <c r="Q381" s="281"/>
      <c r="R381" s="281"/>
      <c r="S381" s="281"/>
      <c r="T381" s="281"/>
      <c r="U381" s="281"/>
      <c r="V381" s="281"/>
      <c r="W381" s="281"/>
      <c r="X381" s="281"/>
      <c r="Y381" s="281"/>
      <c r="Z381" s="281"/>
      <c r="AA381" s="281"/>
      <c r="AB381" s="281"/>
      <c r="AC381" s="281"/>
      <c r="AD381" s="281"/>
      <c r="AE381" s="281"/>
    </row>
    <row r="382" spans="15:31">
      <c r="O382" s="281"/>
      <c r="P382" s="281"/>
      <c r="Q382" s="281"/>
      <c r="R382" s="281"/>
      <c r="S382" s="281"/>
      <c r="T382" s="281"/>
      <c r="U382" s="281"/>
      <c r="V382" s="281"/>
      <c r="W382" s="281"/>
      <c r="X382" s="281"/>
      <c r="Y382" s="281"/>
      <c r="Z382" s="281"/>
      <c r="AA382" s="281"/>
      <c r="AB382" s="281"/>
      <c r="AC382" s="281"/>
      <c r="AD382" s="281"/>
      <c r="AE382" s="281"/>
    </row>
    <row r="383" spans="15:31">
      <c r="O383" s="281"/>
      <c r="P383" s="281"/>
      <c r="Q383" s="281"/>
      <c r="R383" s="281"/>
      <c r="S383" s="281"/>
      <c r="T383" s="281"/>
      <c r="U383" s="281"/>
      <c r="V383" s="281"/>
      <c r="W383" s="281"/>
      <c r="X383" s="281"/>
      <c r="Y383" s="281"/>
      <c r="Z383" s="281"/>
      <c r="AA383" s="281"/>
      <c r="AB383" s="281"/>
      <c r="AC383" s="281"/>
      <c r="AD383" s="281"/>
      <c r="AE383" s="281"/>
    </row>
    <row r="384" spans="15:31">
      <c r="O384" s="281"/>
      <c r="P384" s="281"/>
      <c r="Q384" s="281"/>
      <c r="R384" s="281"/>
      <c r="S384" s="281"/>
      <c r="T384" s="281"/>
      <c r="U384" s="281"/>
      <c r="V384" s="281"/>
      <c r="W384" s="281"/>
      <c r="X384" s="281"/>
      <c r="Y384" s="281"/>
      <c r="Z384" s="281"/>
      <c r="AA384" s="281"/>
      <c r="AB384" s="281"/>
      <c r="AC384" s="281"/>
      <c r="AD384" s="281"/>
      <c r="AE384" s="281"/>
    </row>
    <row r="385" spans="15:31">
      <c r="O385" s="281"/>
      <c r="P385" s="281"/>
      <c r="Q385" s="281"/>
      <c r="R385" s="281"/>
      <c r="S385" s="281"/>
      <c r="T385" s="281"/>
      <c r="U385" s="281"/>
      <c r="V385" s="281"/>
      <c r="W385" s="281"/>
      <c r="X385" s="281"/>
      <c r="Y385" s="281"/>
      <c r="Z385" s="281"/>
      <c r="AA385" s="281"/>
      <c r="AB385" s="281"/>
      <c r="AC385" s="281"/>
      <c r="AD385" s="281"/>
      <c r="AE385" s="281"/>
    </row>
    <row r="386" spans="15:31">
      <c r="O386" s="281"/>
      <c r="P386" s="281"/>
      <c r="Q386" s="281"/>
      <c r="R386" s="281"/>
      <c r="S386" s="281"/>
      <c r="T386" s="281"/>
      <c r="U386" s="281"/>
      <c r="V386" s="281"/>
      <c r="W386" s="281"/>
      <c r="X386" s="281"/>
      <c r="Y386" s="281"/>
      <c r="Z386" s="281"/>
      <c r="AA386" s="281"/>
      <c r="AB386" s="281"/>
      <c r="AC386" s="281"/>
      <c r="AD386" s="281"/>
      <c r="AE386" s="281"/>
    </row>
    <row r="387" spans="15:31">
      <c r="O387" s="281"/>
      <c r="P387" s="281"/>
      <c r="Q387" s="281"/>
      <c r="R387" s="281"/>
      <c r="S387" s="281"/>
      <c r="T387" s="281"/>
      <c r="U387" s="281"/>
      <c r="V387" s="281"/>
      <c r="W387" s="281"/>
      <c r="X387" s="281"/>
      <c r="Y387" s="281"/>
      <c r="Z387" s="281"/>
      <c r="AA387" s="281"/>
      <c r="AB387" s="281"/>
      <c r="AC387" s="281"/>
      <c r="AD387" s="281"/>
      <c r="AE387" s="281"/>
    </row>
    <row r="388" spans="15:31">
      <c r="O388" s="281"/>
      <c r="P388" s="281"/>
      <c r="Q388" s="281"/>
      <c r="R388" s="281"/>
      <c r="S388" s="281"/>
      <c r="T388" s="281"/>
      <c r="U388" s="281"/>
      <c r="V388" s="281"/>
      <c r="W388" s="281"/>
      <c r="X388" s="281"/>
      <c r="Y388" s="281"/>
      <c r="Z388" s="281"/>
      <c r="AA388" s="281"/>
      <c r="AB388" s="281"/>
      <c r="AC388" s="281"/>
      <c r="AD388" s="281"/>
      <c r="AE388" s="281"/>
    </row>
    <row r="389" spans="15:31">
      <c r="O389" s="281"/>
      <c r="P389" s="281"/>
      <c r="Q389" s="281"/>
      <c r="R389" s="281"/>
      <c r="S389" s="281"/>
      <c r="T389" s="281"/>
      <c r="U389" s="281"/>
      <c r="V389" s="281"/>
      <c r="W389" s="281"/>
      <c r="X389" s="281"/>
      <c r="Y389" s="281"/>
      <c r="Z389" s="281"/>
      <c r="AA389" s="281"/>
      <c r="AB389" s="281"/>
      <c r="AC389" s="281"/>
      <c r="AD389" s="281"/>
      <c r="AE389" s="281"/>
    </row>
    <row r="390" spans="15:31">
      <c r="O390" s="281"/>
      <c r="P390" s="281"/>
      <c r="Q390" s="281"/>
      <c r="R390" s="281"/>
      <c r="S390" s="281"/>
      <c r="T390" s="281"/>
      <c r="U390" s="281"/>
      <c r="V390" s="281"/>
      <c r="W390" s="281"/>
      <c r="X390" s="281"/>
      <c r="Y390" s="281"/>
      <c r="Z390" s="281"/>
      <c r="AA390" s="281"/>
      <c r="AB390" s="281"/>
      <c r="AC390" s="281"/>
      <c r="AD390" s="281"/>
      <c r="AE390" s="281"/>
    </row>
    <row r="391" spans="15:31">
      <c r="O391" s="281"/>
      <c r="P391" s="281"/>
      <c r="Q391" s="281"/>
      <c r="R391" s="281"/>
      <c r="S391" s="281"/>
      <c r="T391" s="281"/>
      <c r="U391" s="281"/>
      <c r="V391" s="281"/>
      <c r="W391" s="281"/>
      <c r="X391" s="281"/>
      <c r="Y391" s="281"/>
      <c r="Z391" s="281"/>
      <c r="AA391" s="281"/>
      <c r="AB391" s="281"/>
      <c r="AC391" s="281"/>
      <c r="AD391" s="281"/>
      <c r="AE391" s="281"/>
    </row>
    <row r="392" spans="15:31">
      <c r="O392" s="281"/>
      <c r="P392" s="281"/>
      <c r="Q392" s="281"/>
      <c r="R392" s="281"/>
      <c r="S392" s="281"/>
      <c r="T392" s="281"/>
      <c r="U392" s="281"/>
      <c r="V392" s="281"/>
      <c r="W392" s="281"/>
      <c r="X392" s="281"/>
      <c r="Y392" s="281"/>
      <c r="Z392" s="281"/>
      <c r="AA392" s="281"/>
      <c r="AB392" s="281"/>
      <c r="AC392" s="281"/>
      <c r="AD392" s="281"/>
      <c r="AE392" s="281"/>
    </row>
    <row r="393" spans="15:31">
      <c r="O393" s="281"/>
      <c r="P393" s="281"/>
      <c r="Q393" s="281"/>
      <c r="R393" s="281"/>
      <c r="S393" s="281"/>
      <c r="T393" s="281"/>
      <c r="U393" s="281"/>
      <c r="V393" s="281"/>
      <c r="W393" s="281"/>
      <c r="X393" s="281"/>
      <c r="Y393" s="281"/>
      <c r="Z393" s="281"/>
      <c r="AA393" s="281"/>
      <c r="AB393" s="281"/>
      <c r="AC393" s="281"/>
      <c r="AD393" s="281"/>
      <c r="AE393" s="281"/>
    </row>
    <row r="394" spans="15:31">
      <c r="O394" s="281"/>
      <c r="P394" s="281"/>
      <c r="Q394" s="281"/>
      <c r="R394" s="281"/>
      <c r="S394" s="281"/>
      <c r="T394" s="281"/>
      <c r="U394" s="281"/>
      <c r="V394" s="281"/>
      <c r="W394" s="281"/>
      <c r="X394" s="281"/>
      <c r="Y394" s="281"/>
      <c r="Z394" s="281"/>
      <c r="AA394" s="281"/>
      <c r="AB394" s="281"/>
      <c r="AC394" s="281"/>
      <c r="AD394" s="281"/>
      <c r="AE394" s="281"/>
    </row>
    <row r="395" spans="15:31">
      <c r="O395" s="281"/>
      <c r="P395" s="281"/>
      <c r="Q395" s="281"/>
      <c r="R395" s="281"/>
      <c r="S395" s="281"/>
      <c r="T395" s="281"/>
      <c r="U395" s="281"/>
      <c r="V395" s="281"/>
      <c r="W395" s="281"/>
      <c r="X395" s="281"/>
      <c r="Y395" s="281"/>
      <c r="Z395" s="281"/>
      <c r="AA395" s="281"/>
      <c r="AB395" s="281"/>
      <c r="AC395" s="281"/>
      <c r="AD395" s="281"/>
      <c r="AE395" s="281"/>
    </row>
    <row r="396" spans="15:31">
      <c r="O396" s="281"/>
      <c r="P396" s="281"/>
      <c r="Q396" s="281"/>
      <c r="R396" s="281"/>
      <c r="S396" s="281"/>
      <c r="T396" s="281"/>
      <c r="U396" s="281"/>
      <c r="V396" s="281"/>
      <c r="W396" s="281"/>
      <c r="X396" s="281"/>
      <c r="Y396" s="281"/>
      <c r="Z396" s="281"/>
      <c r="AA396" s="281"/>
      <c r="AB396" s="281"/>
      <c r="AC396" s="281"/>
      <c r="AD396" s="281"/>
      <c r="AE396" s="281"/>
    </row>
    <row r="397" spans="15:31">
      <c r="O397" s="281"/>
      <c r="P397" s="281"/>
      <c r="Q397" s="281"/>
      <c r="R397" s="281"/>
      <c r="S397" s="281"/>
      <c r="T397" s="281"/>
      <c r="U397" s="281"/>
      <c r="V397" s="281"/>
      <c r="W397" s="281"/>
      <c r="X397" s="281"/>
      <c r="Y397" s="281"/>
      <c r="Z397" s="281"/>
      <c r="AA397" s="281"/>
      <c r="AB397" s="281"/>
      <c r="AC397" s="281"/>
      <c r="AD397" s="281"/>
      <c r="AE397" s="281"/>
    </row>
    <row r="398" spans="15:31">
      <c r="O398" s="281"/>
      <c r="P398" s="281"/>
      <c r="Q398" s="281"/>
      <c r="R398" s="281"/>
      <c r="S398" s="281"/>
      <c r="T398" s="281"/>
      <c r="U398" s="281"/>
      <c r="V398" s="281"/>
      <c r="W398" s="281"/>
      <c r="X398" s="281"/>
      <c r="Y398" s="281"/>
      <c r="Z398" s="281"/>
      <c r="AA398" s="281"/>
      <c r="AB398" s="281"/>
      <c r="AC398" s="281"/>
      <c r="AD398" s="281"/>
      <c r="AE398" s="281"/>
    </row>
    <row r="399" spans="15:31">
      <c r="O399" s="281"/>
      <c r="P399" s="281"/>
      <c r="Q399" s="281"/>
      <c r="R399" s="281"/>
      <c r="S399" s="281"/>
      <c r="T399" s="281"/>
      <c r="U399" s="281"/>
      <c r="V399" s="281"/>
      <c r="W399" s="281"/>
      <c r="X399" s="281"/>
      <c r="Y399" s="281"/>
      <c r="Z399" s="281"/>
      <c r="AA399" s="281"/>
      <c r="AB399" s="281"/>
      <c r="AC399" s="281"/>
      <c r="AD399" s="281"/>
      <c r="AE399" s="281"/>
    </row>
    <row r="400" spans="15:31">
      <c r="O400" s="281"/>
      <c r="P400" s="281"/>
      <c r="Q400" s="281"/>
      <c r="R400" s="281"/>
      <c r="S400" s="281"/>
      <c r="T400" s="281"/>
      <c r="U400" s="281"/>
      <c r="V400" s="281"/>
      <c r="W400" s="281"/>
      <c r="X400" s="281"/>
      <c r="Y400" s="281"/>
      <c r="Z400" s="281"/>
      <c r="AA400" s="281"/>
      <c r="AB400" s="281"/>
      <c r="AC400" s="281"/>
      <c r="AD400" s="281"/>
      <c r="AE400" s="281"/>
    </row>
    <row r="401" spans="15:31">
      <c r="O401" s="281"/>
      <c r="P401" s="281"/>
      <c r="Q401" s="281"/>
      <c r="R401" s="281"/>
      <c r="S401" s="281"/>
      <c r="T401" s="281"/>
      <c r="U401" s="281"/>
      <c r="V401" s="281"/>
      <c r="W401" s="281"/>
      <c r="X401" s="281"/>
      <c r="Y401" s="281"/>
      <c r="Z401" s="281"/>
      <c r="AA401" s="281"/>
      <c r="AB401" s="281"/>
      <c r="AC401" s="281"/>
      <c r="AD401" s="281"/>
      <c r="AE401" s="281"/>
    </row>
    <row r="402" spans="15:31">
      <c r="O402" s="281"/>
      <c r="P402" s="281"/>
      <c r="Q402" s="281"/>
      <c r="R402" s="281"/>
      <c r="S402" s="281"/>
      <c r="T402" s="281"/>
      <c r="U402" s="281"/>
      <c r="V402" s="281"/>
      <c r="W402" s="281"/>
      <c r="X402" s="281"/>
      <c r="Y402" s="281"/>
      <c r="Z402" s="281"/>
      <c r="AA402" s="281"/>
      <c r="AB402" s="281"/>
      <c r="AC402" s="281"/>
      <c r="AD402" s="281"/>
      <c r="AE402" s="281"/>
    </row>
    <row r="403" spans="15:31">
      <c r="O403" s="281"/>
      <c r="P403" s="281"/>
      <c r="Q403" s="281"/>
      <c r="R403" s="281"/>
      <c r="S403" s="281"/>
      <c r="T403" s="281"/>
      <c r="U403" s="281"/>
      <c r="V403" s="281"/>
      <c r="W403" s="281"/>
      <c r="X403" s="281"/>
      <c r="Y403" s="281"/>
      <c r="Z403" s="281"/>
      <c r="AA403" s="281"/>
      <c r="AB403" s="281"/>
      <c r="AC403" s="281"/>
      <c r="AD403" s="281"/>
      <c r="AE403" s="281"/>
    </row>
    <row r="404" spans="15:31">
      <c r="O404" s="281"/>
      <c r="P404" s="281"/>
      <c r="Q404" s="281"/>
      <c r="R404" s="281"/>
      <c r="S404" s="281"/>
      <c r="T404" s="281"/>
      <c r="U404" s="281"/>
      <c r="V404" s="281"/>
      <c r="W404" s="281"/>
      <c r="X404" s="281"/>
      <c r="Y404" s="281"/>
      <c r="Z404" s="281"/>
      <c r="AA404" s="281"/>
      <c r="AB404" s="281"/>
      <c r="AC404" s="281"/>
      <c r="AD404" s="281"/>
      <c r="AE404" s="281"/>
    </row>
    <row r="405" spans="15:31">
      <c r="O405" s="281"/>
      <c r="P405" s="281"/>
      <c r="Q405" s="281"/>
      <c r="R405" s="281"/>
      <c r="S405" s="281"/>
      <c r="T405" s="281"/>
      <c r="U405" s="281"/>
      <c r="V405" s="281"/>
      <c r="W405" s="281"/>
      <c r="X405" s="281"/>
      <c r="Y405" s="281"/>
      <c r="Z405" s="281"/>
      <c r="AA405" s="281"/>
      <c r="AB405" s="281"/>
      <c r="AC405" s="281"/>
      <c r="AD405" s="281"/>
      <c r="AE405" s="281"/>
    </row>
    <row r="406" spans="15:31">
      <c r="O406" s="281"/>
      <c r="P406" s="281"/>
      <c r="Q406" s="281"/>
      <c r="R406" s="281"/>
      <c r="S406" s="281"/>
      <c r="T406" s="281"/>
      <c r="U406" s="281"/>
      <c r="V406" s="281"/>
      <c r="W406" s="281"/>
      <c r="X406" s="281"/>
      <c r="Y406" s="281"/>
      <c r="Z406" s="281"/>
      <c r="AA406" s="281"/>
      <c r="AB406" s="281"/>
      <c r="AC406" s="281"/>
      <c r="AD406" s="281"/>
      <c r="AE406" s="281"/>
    </row>
    <row r="407" spans="15:31">
      <c r="O407" s="281"/>
      <c r="P407" s="281"/>
      <c r="Q407" s="281"/>
      <c r="R407" s="281"/>
      <c r="S407" s="281"/>
      <c r="T407" s="281"/>
      <c r="U407" s="281"/>
      <c r="V407" s="281"/>
      <c r="W407" s="281"/>
      <c r="X407" s="281"/>
      <c r="Y407" s="281"/>
      <c r="Z407" s="281"/>
      <c r="AA407" s="281"/>
      <c r="AB407" s="281"/>
      <c r="AC407" s="281"/>
      <c r="AD407" s="281"/>
      <c r="AE407" s="281"/>
    </row>
    <row r="408" spans="15:31">
      <c r="O408" s="281"/>
      <c r="P408" s="281"/>
      <c r="Q408" s="281"/>
      <c r="R408" s="281"/>
      <c r="S408" s="281"/>
      <c r="T408" s="281"/>
      <c r="U408" s="281"/>
      <c r="V408" s="281"/>
      <c r="W408" s="281"/>
      <c r="X408" s="281"/>
      <c r="Y408" s="281"/>
      <c r="Z408" s="281"/>
      <c r="AA408" s="281"/>
      <c r="AB408" s="281"/>
      <c r="AC408" s="281"/>
      <c r="AD408" s="281"/>
      <c r="AE408" s="281"/>
    </row>
    <row r="409" spans="15:31">
      <c r="O409" s="281"/>
      <c r="P409" s="281"/>
      <c r="Q409" s="281"/>
      <c r="R409" s="281"/>
      <c r="S409" s="281"/>
      <c r="T409" s="281"/>
      <c r="U409" s="281"/>
      <c r="V409" s="281"/>
      <c r="W409" s="281"/>
      <c r="X409" s="281"/>
      <c r="Y409" s="281"/>
      <c r="Z409" s="281"/>
      <c r="AA409" s="281"/>
      <c r="AB409" s="281"/>
      <c r="AC409" s="281"/>
      <c r="AD409" s="281"/>
      <c r="AE409" s="281"/>
    </row>
    <row r="410" spans="15:31">
      <c r="O410" s="281"/>
      <c r="P410" s="281"/>
      <c r="Q410" s="281"/>
      <c r="R410" s="281"/>
      <c r="S410" s="281"/>
      <c r="T410" s="281"/>
      <c r="U410" s="281"/>
      <c r="V410" s="281"/>
      <c r="W410" s="281"/>
      <c r="X410" s="281"/>
      <c r="Y410" s="281"/>
      <c r="Z410" s="281"/>
      <c r="AA410" s="281"/>
      <c r="AB410" s="281"/>
      <c r="AC410" s="281"/>
      <c r="AD410" s="281"/>
      <c r="AE410" s="281"/>
    </row>
    <row r="411" spans="15:31">
      <c r="O411" s="281"/>
      <c r="P411" s="281"/>
      <c r="Q411" s="281"/>
      <c r="R411" s="281"/>
      <c r="S411" s="281"/>
      <c r="T411" s="281"/>
      <c r="U411" s="281"/>
      <c r="V411" s="281"/>
      <c r="W411" s="281"/>
      <c r="X411" s="281"/>
      <c r="Y411" s="281"/>
      <c r="Z411" s="281"/>
      <c r="AA411" s="281"/>
      <c r="AB411" s="281"/>
      <c r="AC411" s="281"/>
      <c r="AD411" s="281"/>
      <c r="AE411" s="281"/>
    </row>
    <row r="412" spans="15:31">
      <c r="O412" s="281"/>
      <c r="P412" s="281"/>
      <c r="Q412" s="281"/>
      <c r="R412" s="281"/>
      <c r="S412" s="281"/>
      <c r="T412" s="281"/>
      <c r="U412" s="281"/>
      <c r="V412" s="281"/>
      <c r="W412" s="281"/>
      <c r="X412" s="281"/>
      <c r="Y412" s="281"/>
      <c r="Z412" s="281"/>
      <c r="AA412" s="281"/>
      <c r="AB412" s="281"/>
      <c r="AC412" s="281"/>
      <c r="AD412" s="281"/>
      <c r="AE412" s="281"/>
    </row>
    <row r="413" spans="15:31">
      <c r="O413" s="281"/>
      <c r="P413" s="281"/>
      <c r="Q413" s="281"/>
      <c r="R413" s="281"/>
      <c r="S413" s="281"/>
      <c r="T413" s="281"/>
      <c r="U413" s="281"/>
      <c r="V413" s="281"/>
      <c r="W413" s="281"/>
      <c r="X413" s="281"/>
      <c r="Y413" s="281"/>
      <c r="Z413" s="281"/>
      <c r="AA413" s="281"/>
      <c r="AB413" s="281"/>
      <c r="AC413" s="281"/>
      <c r="AD413" s="281"/>
      <c r="AE413" s="281"/>
    </row>
    <row r="414" spans="15:31">
      <c r="O414" s="281"/>
      <c r="P414" s="281"/>
      <c r="Q414" s="281"/>
      <c r="R414" s="281"/>
      <c r="S414" s="281"/>
      <c r="T414" s="281"/>
      <c r="U414" s="281"/>
      <c r="V414" s="281"/>
      <c r="W414" s="281"/>
      <c r="X414" s="281"/>
      <c r="Y414" s="281"/>
      <c r="Z414" s="281"/>
      <c r="AA414" s="281"/>
      <c r="AB414" s="281"/>
      <c r="AC414" s="281"/>
      <c r="AD414" s="281"/>
      <c r="AE414" s="281"/>
    </row>
    <row r="415" spans="15:31">
      <c r="O415" s="281"/>
      <c r="P415" s="281"/>
      <c r="Q415" s="281"/>
      <c r="R415" s="281"/>
      <c r="S415" s="281"/>
      <c r="T415" s="281"/>
      <c r="U415" s="281"/>
      <c r="V415" s="281"/>
      <c r="W415" s="281"/>
      <c r="X415" s="281"/>
      <c r="Y415" s="281"/>
      <c r="Z415" s="281"/>
      <c r="AA415" s="281"/>
      <c r="AB415" s="281"/>
      <c r="AC415" s="281"/>
      <c r="AD415" s="281"/>
      <c r="AE415" s="281"/>
    </row>
    <row r="416" spans="15:31">
      <c r="O416" s="281"/>
      <c r="P416" s="281"/>
      <c r="Q416" s="281"/>
      <c r="R416" s="281"/>
      <c r="S416" s="281"/>
      <c r="T416" s="281"/>
      <c r="U416" s="281"/>
      <c r="V416" s="281"/>
      <c r="W416" s="281"/>
      <c r="X416" s="281"/>
      <c r="Y416" s="281"/>
      <c r="Z416" s="281"/>
      <c r="AA416" s="281"/>
      <c r="AB416" s="281"/>
      <c r="AC416" s="281"/>
      <c r="AD416" s="281"/>
      <c r="AE416" s="281"/>
    </row>
    <row r="417" spans="15:31">
      <c r="O417" s="281"/>
      <c r="P417" s="281"/>
      <c r="Q417" s="281"/>
      <c r="R417" s="281"/>
      <c r="S417" s="281"/>
      <c r="T417" s="281"/>
      <c r="U417" s="281"/>
      <c r="V417" s="281"/>
      <c r="W417" s="281"/>
      <c r="X417" s="281"/>
      <c r="Y417" s="281"/>
      <c r="Z417" s="281"/>
      <c r="AA417" s="281"/>
      <c r="AB417" s="281"/>
      <c r="AC417" s="281"/>
      <c r="AD417" s="281"/>
      <c r="AE417" s="281"/>
    </row>
    <row r="418" spans="15:31">
      <c r="O418" s="281"/>
      <c r="P418" s="281"/>
      <c r="Q418" s="281"/>
      <c r="R418" s="281"/>
      <c r="S418" s="281"/>
      <c r="T418" s="281"/>
      <c r="U418" s="281"/>
      <c r="V418" s="281"/>
      <c r="W418" s="281"/>
      <c r="X418" s="281"/>
      <c r="Y418" s="281"/>
      <c r="Z418" s="281"/>
      <c r="AA418" s="281"/>
      <c r="AB418" s="281"/>
      <c r="AC418" s="281"/>
      <c r="AD418" s="281"/>
      <c r="AE418" s="281"/>
    </row>
    <row r="419" spans="15:31">
      <c r="O419" s="281"/>
      <c r="P419" s="281"/>
      <c r="Q419" s="281"/>
      <c r="R419" s="281"/>
      <c r="S419" s="281"/>
      <c r="T419" s="281"/>
      <c r="U419" s="281"/>
      <c r="V419" s="281"/>
      <c r="W419" s="281"/>
      <c r="X419" s="281"/>
      <c r="Y419" s="281"/>
      <c r="Z419" s="281"/>
      <c r="AA419" s="281"/>
      <c r="AB419" s="281"/>
      <c r="AC419" s="281"/>
      <c r="AD419" s="281"/>
      <c r="AE419" s="281"/>
    </row>
    <row r="420" spans="15:31"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</row>
    <row r="421" spans="15:31">
      <c r="O421" s="281"/>
      <c r="P421" s="281"/>
      <c r="Q421" s="281"/>
      <c r="R421" s="281"/>
      <c r="S421" s="281"/>
      <c r="T421" s="281"/>
      <c r="U421" s="281"/>
      <c r="V421" s="281"/>
      <c r="W421" s="281"/>
      <c r="X421" s="281"/>
      <c r="Y421" s="281"/>
      <c r="Z421" s="281"/>
      <c r="AA421" s="281"/>
      <c r="AB421" s="281"/>
      <c r="AC421" s="281"/>
      <c r="AD421" s="281"/>
      <c r="AE421" s="281"/>
    </row>
    <row r="422" spans="15:31">
      <c r="O422" s="281"/>
      <c r="P422" s="281"/>
      <c r="Q422" s="281"/>
      <c r="R422" s="281"/>
      <c r="S422" s="281"/>
      <c r="T422" s="281"/>
      <c r="U422" s="281"/>
      <c r="V422" s="281"/>
      <c r="W422" s="281"/>
      <c r="X422" s="281"/>
      <c r="Y422" s="281"/>
      <c r="Z422" s="281"/>
      <c r="AA422" s="281"/>
      <c r="AB422" s="281"/>
      <c r="AC422" s="281"/>
      <c r="AD422" s="281"/>
      <c r="AE422" s="281"/>
    </row>
    <row r="423" spans="15:31">
      <c r="O423" s="281"/>
      <c r="P423" s="281"/>
      <c r="Q423" s="281"/>
      <c r="R423" s="281"/>
      <c r="S423" s="281"/>
      <c r="T423" s="281"/>
      <c r="U423" s="281"/>
      <c r="V423" s="281"/>
      <c r="W423" s="281"/>
      <c r="X423" s="281"/>
      <c r="Y423" s="281"/>
      <c r="Z423" s="281"/>
      <c r="AA423" s="281"/>
      <c r="AB423" s="281"/>
      <c r="AC423" s="281"/>
      <c r="AD423" s="281"/>
      <c r="AE423" s="281"/>
    </row>
    <row r="424" spans="15:31">
      <c r="O424" s="281"/>
      <c r="P424" s="281"/>
      <c r="Q424" s="281"/>
      <c r="R424" s="281"/>
      <c r="S424" s="281"/>
      <c r="T424" s="281"/>
      <c r="U424" s="281"/>
      <c r="V424" s="281"/>
      <c r="W424" s="281"/>
      <c r="X424" s="281"/>
      <c r="Y424" s="281"/>
      <c r="Z424" s="281"/>
      <c r="AA424" s="281"/>
      <c r="AB424" s="281"/>
      <c r="AC424" s="281"/>
      <c r="AD424" s="281"/>
      <c r="AE424" s="281"/>
    </row>
    <row r="425" spans="15:31">
      <c r="O425" s="281"/>
      <c r="P425" s="281"/>
      <c r="Q425" s="281"/>
      <c r="R425" s="281"/>
      <c r="S425" s="281"/>
      <c r="T425" s="281"/>
      <c r="U425" s="281"/>
      <c r="V425" s="281"/>
      <c r="W425" s="281"/>
      <c r="X425" s="281"/>
      <c r="Y425" s="281"/>
      <c r="Z425" s="281"/>
      <c r="AA425" s="281"/>
      <c r="AB425" s="281"/>
      <c r="AC425" s="281"/>
      <c r="AD425" s="281"/>
      <c r="AE425" s="281"/>
    </row>
    <row r="426" spans="15:31">
      <c r="O426" s="281"/>
      <c r="P426" s="281"/>
      <c r="Q426" s="281"/>
      <c r="R426" s="281"/>
      <c r="S426" s="281"/>
      <c r="T426" s="281"/>
      <c r="U426" s="281"/>
      <c r="V426" s="281"/>
      <c r="W426" s="281"/>
      <c r="X426" s="281"/>
      <c r="Y426" s="281"/>
      <c r="Z426" s="281"/>
      <c r="AA426" s="281"/>
      <c r="AB426" s="281"/>
      <c r="AC426" s="281"/>
      <c r="AD426" s="281"/>
      <c r="AE426" s="281"/>
    </row>
    <row r="427" spans="15:31">
      <c r="O427" s="281"/>
      <c r="P427" s="281"/>
      <c r="Q427" s="281"/>
      <c r="R427" s="281"/>
      <c r="S427" s="281"/>
      <c r="T427" s="281"/>
      <c r="U427" s="281"/>
      <c r="V427" s="281"/>
      <c r="W427" s="281"/>
      <c r="X427" s="281"/>
      <c r="Y427" s="281"/>
      <c r="Z427" s="281"/>
      <c r="AA427" s="281"/>
      <c r="AB427" s="281"/>
      <c r="AC427" s="281"/>
      <c r="AD427" s="281"/>
      <c r="AE427" s="281"/>
    </row>
    <row r="428" spans="15:31">
      <c r="O428" s="281"/>
      <c r="P428" s="281"/>
      <c r="Q428" s="281"/>
      <c r="R428" s="281"/>
      <c r="S428" s="281"/>
      <c r="T428" s="281"/>
      <c r="U428" s="281"/>
      <c r="V428" s="281"/>
      <c r="W428" s="281"/>
      <c r="X428" s="281"/>
      <c r="Y428" s="281"/>
      <c r="Z428" s="281"/>
      <c r="AA428" s="281"/>
      <c r="AB428" s="281"/>
      <c r="AC428" s="281"/>
      <c r="AD428" s="281"/>
      <c r="AE428" s="281"/>
    </row>
    <row r="429" spans="15:31">
      <c r="O429" s="281"/>
      <c r="P429" s="281"/>
      <c r="Q429" s="281"/>
      <c r="R429" s="281"/>
      <c r="S429" s="281"/>
      <c r="T429" s="281"/>
      <c r="U429" s="281"/>
      <c r="V429" s="281"/>
      <c r="W429" s="281"/>
      <c r="X429" s="281"/>
      <c r="Y429" s="281"/>
      <c r="Z429" s="281"/>
      <c r="AA429" s="281"/>
      <c r="AB429" s="281"/>
      <c r="AC429" s="281"/>
      <c r="AD429" s="281"/>
      <c r="AE429" s="281"/>
    </row>
    <row r="430" spans="15:31">
      <c r="O430" s="281"/>
      <c r="P430" s="281"/>
      <c r="Q430" s="281"/>
      <c r="R430" s="281"/>
      <c r="S430" s="281"/>
      <c r="T430" s="281"/>
      <c r="U430" s="281"/>
      <c r="V430" s="281"/>
      <c r="W430" s="281"/>
      <c r="X430" s="281"/>
      <c r="Y430" s="281"/>
      <c r="Z430" s="281"/>
      <c r="AA430" s="281"/>
      <c r="AB430" s="281"/>
      <c r="AC430" s="281"/>
      <c r="AD430" s="281"/>
      <c r="AE430" s="281"/>
    </row>
    <row r="431" spans="15:31">
      <c r="O431" s="281"/>
      <c r="P431" s="281"/>
      <c r="Q431" s="281"/>
      <c r="R431" s="281"/>
      <c r="S431" s="281"/>
      <c r="T431" s="281"/>
      <c r="U431" s="281"/>
      <c r="V431" s="281"/>
      <c r="W431" s="281"/>
      <c r="X431" s="281"/>
      <c r="Y431" s="281"/>
      <c r="Z431" s="281"/>
      <c r="AA431" s="281"/>
      <c r="AB431" s="281"/>
      <c r="AC431" s="281"/>
      <c r="AD431" s="281"/>
      <c r="AE431" s="281"/>
    </row>
    <row r="432" spans="15:31">
      <c r="O432" s="281"/>
      <c r="P432" s="281"/>
      <c r="Q432" s="281"/>
      <c r="R432" s="281"/>
      <c r="S432" s="281"/>
      <c r="T432" s="281"/>
      <c r="U432" s="281"/>
      <c r="V432" s="281"/>
      <c r="W432" s="281"/>
      <c r="X432" s="281"/>
      <c r="Y432" s="281"/>
      <c r="Z432" s="281"/>
      <c r="AA432" s="281"/>
      <c r="AB432" s="281"/>
      <c r="AC432" s="281"/>
      <c r="AD432" s="281"/>
      <c r="AE432" s="281"/>
    </row>
    <row r="433" spans="15:31">
      <c r="O433" s="281"/>
      <c r="P433" s="281"/>
      <c r="Q433" s="281"/>
      <c r="R433" s="281"/>
      <c r="S433" s="281"/>
      <c r="T433" s="281"/>
      <c r="U433" s="281"/>
      <c r="V433" s="281"/>
      <c r="W433" s="281"/>
      <c r="X433" s="281"/>
      <c r="Y433" s="281"/>
      <c r="Z433" s="281"/>
      <c r="AA433" s="281"/>
      <c r="AB433" s="281"/>
      <c r="AC433" s="281"/>
      <c r="AD433" s="281"/>
      <c r="AE433" s="281"/>
    </row>
    <row r="434" spans="15:31">
      <c r="O434" s="281"/>
      <c r="P434" s="281"/>
      <c r="Q434" s="281"/>
      <c r="R434" s="281"/>
      <c r="S434" s="281"/>
      <c r="T434" s="281"/>
      <c r="U434" s="281"/>
      <c r="V434" s="281"/>
      <c r="W434" s="281"/>
      <c r="X434" s="281"/>
      <c r="Y434" s="281"/>
      <c r="Z434" s="281"/>
      <c r="AA434" s="281"/>
      <c r="AB434" s="281"/>
      <c r="AC434" s="281"/>
      <c r="AD434" s="281"/>
      <c r="AE434" s="281"/>
    </row>
    <row r="435" spans="15:31">
      <c r="O435" s="281"/>
      <c r="P435" s="281"/>
      <c r="Q435" s="281"/>
      <c r="R435" s="281"/>
      <c r="S435" s="281"/>
      <c r="T435" s="281"/>
      <c r="U435" s="281"/>
      <c r="V435" s="281"/>
      <c r="W435" s="281"/>
      <c r="X435" s="281"/>
      <c r="Y435" s="281"/>
      <c r="Z435" s="281"/>
      <c r="AA435" s="281"/>
      <c r="AB435" s="281"/>
      <c r="AC435" s="281"/>
      <c r="AD435" s="281"/>
      <c r="AE435" s="281"/>
    </row>
    <row r="436" spans="15:31">
      <c r="O436" s="281"/>
      <c r="P436" s="281"/>
      <c r="Q436" s="281"/>
      <c r="R436" s="281"/>
      <c r="S436" s="281"/>
      <c r="T436" s="281"/>
      <c r="U436" s="281"/>
      <c r="V436" s="281"/>
      <c r="W436" s="281"/>
      <c r="X436" s="281"/>
      <c r="Y436" s="281"/>
      <c r="Z436" s="281"/>
      <c r="AA436" s="281"/>
      <c r="AB436" s="281"/>
      <c r="AC436" s="281"/>
      <c r="AD436" s="281"/>
      <c r="AE436" s="281"/>
    </row>
    <row r="437" spans="15:31">
      <c r="O437" s="281"/>
      <c r="P437" s="281"/>
      <c r="Q437" s="281"/>
      <c r="R437" s="281"/>
      <c r="S437" s="281"/>
      <c r="T437" s="281"/>
      <c r="U437" s="281"/>
      <c r="V437" s="281"/>
      <c r="W437" s="281"/>
      <c r="X437" s="281"/>
      <c r="Y437" s="281"/>
      <c r="Z437" s="281"/>
      <c r="AA437" s="281"/>
      <c r="AB437" s="281"/>
      <c r="AC437" s="281"/>
      <c r="AD437" s="281"/>
      <c r="AE437" s="281"/>
    </row>
    <row r="438" spans="15:31">
      <c r="O438" s="281"/>
      <c r="P438" s="281"/>
      <c r="Q438" s="281"/>
      <c r="R438" s="281"/>
      <c r="S438" s="281"/>
      <c r="T438" s="281"/>
      <c r="U438" s="281"/>
      <c r="V438" s="281"/>
      <c r="W438" s="281"/>
      <c r="X438" s="281"/>
      <c r="Y438" s="281"/>
      <c r="Z438" s="281"/>
      <c r="AA438" s="281"/>
      <c r="AB438" s="281"/>
      <c r="AC438" s="281"/>
      <c r="AD438" s="281"/>
      <c r="AE438" s="281"/>
    </row>
    <row r="439" spans="15:31">
      <c r="O439" s="281"/>
      <c r="P439" s="281"/>
      <c r="Q439" s="281"/>
      <c r="R439" s="281"/>
      <c r="S439" s="281"/>
      <c r="T439" s="281"/>
      <c r="U439" s="281"/>
      <c r="V439" s="281"/>
      <c r="W439" s="281"/>
      <c r="X439" s="281"/>
      <c r="Y439" s="281"/>
      <c r="Z439" s="281"/>
      <c r="AA439" s="281"/>
      <c r="AB439" s="281"/>
      <c r="AC439" s="281"/>
      <c r="AD439" s="281"/>
      <c r="AE439" s="281"/>
    </row>
    <row r="440" spans="15:31">
      <c r="O440" s="281"/>
      <c r="P440" s="281"/>
      <c r="Q440" s="281"/>
      <c r="R440" s="281"/>
      <c r="S440" s="281"/>
      <c r="T440" s="281"/>
      <c r="U440" s="281"/>
      <c r="V440" s="281"/>
      <c r="W440" s="281"/>
      <c r="X440" s="281"/>
      <c r="Y440" s="281"/>
      <c r="Z440" s="281"/>
      <c r="AA440" s="281"/>
      <c r="AB440" s="281"/>
      <c r="AC440" s="281"/>
      <c r="AD440" s="281"/>
      <c r="AE440" s="281"/>
    </row>
    <row r="441" spans="15:31">
      <c r="O441" s="281"/>
      <c r="P441" s="281"/>
      <c r="Q441" s="281"/>
      <c r="R441" s="281"/>
      <c r="S441" s="281"/>
      <c r="T441" s="281"/>
      <c r="U441" s="281"/>
      <c r="V441" s="281"/>
      <c r="W441" s="281"/>
      <c r="X441" s="281"/>
      <c r="Y441" s="281"/>
      <c r="Z441" s="281"/>
      <c r="AA441" s="281"/>
      <c r="AB441" s="281"/>
      <c r="AC441" s="281"/>
      <c r="AD441" s="281"/>
      <c r="AE441" s="281"/>
    </row>
    <row r="442" spans="15:31">
      <c r="O442" s="281"/>
      <c r="P442" s="281"/>
      <c r="Q442" s="281"/>
      <c r="R442" s="281"/>
      <c r="S442" s="281"/>
      <c r="T442" s="281"/>
      <c r="U442" s="281"/>
      <c r="V442" s="281"/>
      <c r="W442" s="281"/>
      <c r="X442" s="281"/>
      <c r="Y442" s="281"/>
      <c r="Z442" s="281"/>
      <c r="AA442" s="281"/>
      <c r="AB442" s="281"/>
      <c r="AC442" s="281"/>
      <c r="AD442" s="281"/>
      <c r="AE442" s="281"/>
    </row>
    <row r="443" spans="15:31">
      <c r="O443" s="281"/>
      <c r="P443" s="281"/>
      <c r="Q443" s="281"/>
      <c r="R443" s="281"/>
      <c r="S443" s="281"/>
      <c r="T443" s="281"/>
      <c r="U443" s="281"/>
      <c r="V443" s="281"/>
      <c r="W443" s="281"/>
      <c r="X443" s="281"/>
      <c r="Y443" s="281"/>
      <c r="Z443" s="281"/>
      <c r="AA443" s="281"/>
      <c r="AB443" s="281"/>
      <c r="AC443" s="281"/>
      <c r="AD443" s="281"/>
      <c r="AE443" s="281"/>
    </row>
    <row r="444" spans="15:31">
      <c r="O444" s="281"/>
      <c r="P444" s="281"/>
      <c r="Q444" s="281"/>
      <c r="R444" s="281"/>
      <c r="S444" s="281"/>
      <c r="T444" s="281"/>
      <c r="U444" s="281"/>
      <c r="V444" s="281"/>
      <c r="W444" s="281"/>
      <c r="X444" s="281"/>
      <c r="Y444" s="281"/>
      <c r="Z444" s="281"/>
      <c r="AA444" s="281"/>
      <c r="AB444" s="281"/>
      <c r="AC444" s="281"/>
      <c r="AD444" s="281"/>
      <c r="AE444" s="281"/>
    </row>
    <row r="445" spans="15:31">
      <c r="O445" s="281"/>
      <c r="P445" s="281"/>
      <c r="Q445" s="281"/>
      <c r="R445" s="281"/>
      <c r="S445" s="281"/>
      <c r="T445" s="281"/>
      <c r="U445" s="281"/>
      <c r="V445" s="281"/>
      <c r="W445" s="281"/>
      <c r="X445" s="281"/>
      <c r="Y445" s="281"/>
      <c r="Z445" s="281"/>
      <c r="AA445" s="281"/>
      <c r="AB445" s="281"/>
      <c r="AC445" s="281"/>
      <c r="AD445" s="281"/>
      <c r="AE445" s="281"/>
    </row>
    <row r="446" spans="15:31">
      <c r="O446" s="281"/>
      <c r="P446" s="281"/>
      <c r="Q446" s="281"/>
      <c r="R446" s="281"/>
      <c r="S446" s="281"/>
      <c r="T446" s="281"/>
      <c r="U446" s="281"/>
      <c r="V446" s="281"/>
      <c r="W446" s="281"/>
      <c r="X446" s="281"/>
      <c r="Y446" s="281"/>
      <c r="Z446" s="281"/>
      <c r="AA446" s="281"/>
      <c r="AB446" s="281"/>
      <c r="AC446" s="281"/>
      <c r="AD446" s="281"/>
      <c r="AE446" s="281"/>
    </row>
    <row r="447" spans="15:31">
      <c r="O447" s="281"/>
      <c r="P447" s="281"/>
      <c r="Q447" s="281"/>
      <c r="R447" s="281"/>
      <c r="S447" s="281"/>
      <c r="T447" s="281"/>
      <c r="U447" s="281"/>
      <c r="V447" s="281"/>
      <c r="W447" s="281"/>
      <c r="X447" s="281"/>
      <c r="Y447" s="281"/>
      <c r="Z447" s="281"/>
      <c r="AA447" s="281"/>
      <c r="AB447" s="281"/>
      <c r="AC447" s="281"/>
      <c r="AD447" s="281"/>
      <c r="AE447" s="281"/>
    </row>
    <row r="448" spans="15:31">
      <c r="O448" s="281"/>
      <c r="P448" s="281"/>
      <c r="Q448" s="281"/>
      <c r="R448" s="281"/>
      <c r="S448" s="281"/>
      <c r="T448" s="281"/>
      <c r="U448" s="281"/>
      <c r="V448" s="281"/>
      <c r="W448" s="281"/>
      <c r="X448" s="281"/>
      <c r="Y448" s="281"/>
      <c r="Z448" s="281"/>
      <c r="AA448" s="281"/>
      <c r="AB448" s="281"/>
      <c r="AC448" s="281"/>
      <c r="AD448" s="281"/>
      <c r="AE448" s="281"/>
    </row>
    <row r="449" spans="15:31">
      <c r="O449" s="281"/>
      <c r="P449" s="281"/>
      <c r="Q449" s="281"/>
      <c r="R449" s="281"/>
      <c r="S449" s="281"/>
      <c r="T449" s="281"/>
      <c r="U449" s="281"/>
      <c r="V449" s="281"/>
      <c r="W449" s="281"/>
      <c r="X449" s="281"/>
      <c r="Y449" s="281"/>
      <c r="Z449" s="281"/>
      <c r="AA449" s="281"/>
      <c r="AB449" s="281"/>
      <c r="AC449" s="281"/>
      <c r="AD449" s="281"/>
      <c r="AE449" s="281"/>
    </row>
    <row r="450" spans="15:31">
      <c r="O450" s="281"/>
      <c r="P450" s="281"/>
      <c r="Q450" s="281"/>
      <c r="R450" s="281"/>
      <c r="S450" s="281"/>
      <c r="T450" s="281"/>
      <c r="U450" s="281"/>
      <c r="V450" s="281"/>
      <c r="W450" s="281"/>
      <c r="X450" s="281"/>
      <c r="Y450" s="281"/>
      <c r="Z450" s="281"/>
      <c r="AA450" s="281"/>
      <c r="AB450" s="281"/>
      <c r="AC450" s="281"/>
      <c r="AD450" s="281"/>
      <c r="AE450" s="281"/>
    </row>
    <row r="451" spans="15:31">
      <c r="O451" s="281"/>
      <c r="P451" s="281"/>
      <c r="Q451" s="281"/>
      <c r="R451" s="281"/>
      <c r="S451" s="281"/>
      <c r="T451" s="281"/>
      <c r="U451" s="281"/>
      <c r="V451" s="281"/>
      <c r="W451" s="281"/>
      <c r="X451" s="281"/>
      <c r="Y451" s="281"/>
      <c r="Z451" s="281"/>
      <c r="AA451" s="281"/>
      <c r="AB451" s="281"/>
      <c r="AC451" s="281"/>
      <c r="AD451" s="281"/>
      <c r="AE451" s="281"/>
    </row>
    <row r="452" spans="15:31">
      <c r="O452" s="281"/>
      <c r="P452" s="281"/>
      <c r="Q452" s="281"/>
      <c r="R452" s="281"/>
      <c r="S452" s="281"/>
      <c r="T452" s="281"/>
      <c r="U452" s="281"/>
      <c r="V452" s="281"/>
      <c r="W452" s="281"/>
      <c r="X452" s="281"/>
      <c r="Y452" s="281"/>
      <c r="Z452" s="281"/>
      <c r="AA452" s="281"/>
      <c r="AB452" s="281"/>
      <c r="AC452" s="281"/>
      <c r="AD452" s="281"/>
      <c r="AE452" s="281"/>
    </row>
    <row r="453" spans="15:31">
      <c r="O453" s="281"/>
      <c r="P453" s="281"/>
      <c r="Q453" s="281"/>
      <c r="R453" s="281"/>
      <c r="S453" s="281"/>
      <c r="T453" s="281"/>
      <c r="U453" s="281"/>
      <c r="V453" s="281"/>
      <c r="W453" s="281"/>
      <c r="X453" s="281"/>
      <c r="Y453" s="281"/>
      <c r="Z453" s="281"/>
      <c r="AA453" s="281"/>
      <c r="AB453" s="281"/>
      <c r="AC453" s="281"/>
      <c r="AD453" s="281"/>
      <c r="AE453" s="281"/>
    </row>
    <row r="454" spans="15:31">
      <c r="O454" s="281"/>
      <c r="P454" s="281"/>
      <c r="Q454" s="281"/>
      <c r="R454" s="281"/>
      <c r="S454" s="281"/>
      <c r="T454" s="281"/>
      <c r="U454" s="281"/>
      <c r="V454" s="281"/>
      <c r="W454" s="281"/>
      <c r="X454" s="281"/>
      <c r="Y454" s="281"/>
      <c r="Z454" s="281"/>
      <c r="AA454" s="281"/>
      <c r="AB454" s="281"/>
      <c r="AC454" s="281"/>
      <c r="AD454" s="281"/>
      <c r="AE454" s="281"/>
    </row>
    <row r="455" spans="15:31">
      <c r="O455" s="281"/>
      <c r="P455" s="281"/>
      <c r="Q455" s="281"/>
      <c r="R455" s="281"/>
      <c r="S455" s="281"/>
      <c r="T455" s="281"/>
      <c r="U455" s="281"/>
      <c r="V455" s="281"/>
      <c r="W455" s="281"/>
      <c r="X455" s="281"/>
      <c r="Y455" s="281"/>
      <c r="Z455" s="281"/>
      <c r="AA455" s="281"/>
      <c r="AB455" s="281"/>
      <c r="AC455" s="281"/>
      <c r="AD455" s="281"/>
      <c r="AE455" s="281"/>
    </row>
    <row r="456" spans="15:31">
      <c r="O456" s="281"/>
      <c r="P456" s="281"/>
      <c r="Q456" s="281"/>
      <c r="R456" s="281"/>
      <c r="S456" s="281"/>
      <c r="T456" s="281"/>
      <c r="U456" s="281"/>
      <c r="V456" s="281"/>
      <c r="W456" s="281"/>
      <c r="X456" s="281"/>
      <c r="Y456" s="281"/>
      <c r="Z456" s="281"/>
      <c r="AA456" s="281"/>
      <c r="AB456" s="281"/>
      <c r="AC456" s="281"/>
      <c r="AD456" s="281"/>
      <c r="AE456" s="281"/>
    </row>
    <row r="457" spans="15:31">
      <c r="O457" s="281"/>
      <c r="P457" s="281"/>
      <c r="Q457" s="281"/>
      <c r="R457" s="281"/>
      <c r="S457" s="281"/>
      <c r="T457" s="281"/>
      <c r="U457" s="281"/>
      <c r="V457" s="281"/>
      <c r="W457" s="281"/>
      <c r="X457" s="281"/>
      <c r="Y457" s="281"/>
      <c r="Z457" s="281"/>
      <c r="AA457" s="281"/>
      <c r="AB457" s="281"/>
      <c r="AC457" s="281"/>
      <c r="AD457" s="281"/>
      <c r="AE457" s="281"/>
    </row>
    <row r="458" spans="15:31">
      <c r="O458" s="281"/>
      <c r="P458" s="281"/>
      <c r="Q458" s="281"/>
      <c r="R458" s="281"/>
      <c r="S458" s="281"/>
      <c r="T458" s="281"/>
      <c r="U458" s="281"/>
      <c r="V458" s="281"/>
      <c r="W458" s="281"/>
      <c r="X458" s="281"/>
      <c r="Y458" s="281"/>
      <c r="Z458" s="281"/>
      <c r="AA458" s="281"/>
      <c r="AB458" s="281"/>
      <c r="AC458" s="281"/>
      <c r="AD458" s="281"/>
      <c r="AE458" s="281"/>
    </row>
    <row r="459" spans="15:31">
      <c r="O459" s="281"/>
      <c r="P459" s="281"/>
      <c r="Q459" s="281"/>
      <c r="R459" s="281"/>
      <c r="S459" s="281"/>
      <c r="T459" s="281"/>
      <c r="U459" s="281"/>
      <c r="V459" s="281"/>
      <c r="W459" s="281"/>
      <c r="X459" s="281"/>
      <c r="Y459" s="281"/>
      <c r="Z459" s="281"/>
      <c r="AA459" s="281"/>
      <c r="AB459" s="281"/>
      <c r="AC459" s="281"/>
      <c r="AD459" s="281"/>
      <c r="AE459" s="281"/>
    </row>
    <row r="460" spans="15:31">
      <c r="O460" s="281"/>
      <c r="P460" s="281"/>
      <c r="Q460" s="281"/>
      <c r="R460" s="281"/>
      <c r="S460" s="281"/>
      <c r="T460" s="281"/>
      <c r="U460" s="281"/>
      <c r="V460" s="281"/>
      <c r="W460" s="281"/>
      <c r="X460" s="281"/>
      <c r="Y460" s="281"/>
      <c r="Z460" s="281"/>
      <c r="AA460" s="281"/>
      <c r="AB460" s="281"/>
      <c r="AC460" s="281"/>
      <c r="AD460" s="281"/>
      <c r="AE460" s="281"/>
    </row>
    <row r="461" spans="15:31">
      <c r="O461" s="281"/>
      <c r="P461" s="281"/>
      <c r="Q461" s="281"/>
      <c r="R461" s="281"/>
      <c r="S461" s="281"/>
      <c r="T461" s="281"/>
      <c r="U461" s="281"/>
      <c r="V461" s="281"/>
      <c r="W461" s="281"/>
      <c r="X461" s="281"/>
      <c r="Y461" s="281"/>
      <c r="Z461" s="281"/>
      <c r="AA461" s="281"/>
      <c r="AB461" s="281"/>
      <c r="AC461" s="281"/>
      <c r="AD461" s="281"/>
      <c r="AE461" s="281"/>
    </row>
    <row r="462" spans="15:31">
      <c r="O462" s="281"/>
      <c r="P462" s="281"/>
      <c r="Q462" s="281"/>
      <c r="R462" s="281"/>
      <c r="S462" s="281"/>
      <c r="T462" s="281"/>
      <c r="U462" s="281"/>
      <c r="V462" s="281"/>
      <c r="W462" s="281"/>
      <c r="X462" s="281"/>
      <c r="Y462" s="281"/>
      <c r="Z462" s="281"/>
      <c r="AA462" s="281"/>
      <c r="AB462" s="281"/>
      <c r="AC462" s="281"/>
      <c r="AD462" s="281"/>
      <c r="AE462" s="281"/>
    </row>
    <row r="463" spans="15:31">
      <c r="O463" s="281"/>
      <c r="P463" s="281"/>
      <c r="Q463" s="281"/>
      <c r="R463" s="281"/>
      <c r="S463" s="281"/>
      <c r="T463" s="281"/>
      <c r="U463" s="281"/>
      <c r="V463" s="281"/>
      <c r="W463" s="281"/>
      <c r="X463" s="281"/>
      <c r="Y463" s="281"/>
      <c r="Z463" s="281"/>
      <c r="AA463" s="281"/>
      <c r="AB463" s="281"/>
      <c r="AC463" s="281"/>
      <c r="AD463" s="281"/>
      <c r="AE463" s="281"/>
    </row>
    <row r="464" spans="15:31">
      <c r="O464" s="281"/>
      <c r="P464" s="281"/>
      <c r="Q464" s="281"/>
      <c r="R464" s="281"/>
      <c r="S464" s="281"/>
      <c r="T464" s="281"/>
      <c r="U464" s="281"/>
      <c r="V464" s="281"/>
      <c r="W464" s="281"/>
      <c r="X464" s="281"/>
      <c r="Y464" s="281"/>
      <c r="Z464" s="281"/>
      <c r="AA464" s="281"/>
      <c r="AB464" s="281"/>
      <c r="AC464" s="281"/>
      <c r="AD464" s="281"/>
      <c r="AE464" s="281"/>
    </row>
    <row r="465" spans="15:31">
      <c r="O465" s="281"/>
      <c r="P465" s="281"/>
      <c r="Q465" s="281"/>
      <c r="R465" s="281"/>
      <c r="S465" s="281"/>
      <c r="T465" s="281"/>
      <c r="U465" s="281"/>
      <c r="V465" s="281"/>
      <c r="W465" s="281"/>
      <c r="X465" s="281"/>
      <c r="Y465" s="281"/>
      <c r="Z465" s="281"/>
      <c r="AA465" s="281"/>
      <c r="AB465" s="281"/>
      <c r="AC465" s="281"/>
      <c r="AD465" s="281"/>
      <c r="AE465" s="281"/>
    </row>
    <row r="466" spans="15:31">
      <c r="O466" s="281"/>
      <c r="P466" s="281"/>
      <c r="Q466" s="281"/>
      <c r="R466" s="281"/>
      <c r="S466" s="281"/>
      <c r="T466" s="281"/>
      <c r="U466" s="281"/>
      <c r="V466" s="281"/>
      <c r="W466" s="281"/>
      <c r="X466" s="281"/>
      <c r="Y466" s="281"/>
      <c r="Z466" s="281"/>
      <c r="AA466" s="281"/>
      <c r="AB466" s="281"/>
      <c r="AC466" s="281"/>
      <c r="AD466" s="281"/>
      <c r="AE466" s="281"/>
    </row>
    <row r="467" spans="15:31">
      <c r="O467" s="281"/>
      <c r="P467" s="281"/>
      <c r="Q467" s="281"/>
      <c r="R467" s="281"/>
      <c r="S467" s="281"/>
      <c r="T467" s="281"/>
      <c r="U467" s="281"/>
      <c r="V467" s="281"/>
      <c r="W467" s="281"/>
      <c r="X467" s="281"/>
      <c r="Y467" s="281"/>
      <c r="Z467" s="281"/>
      <c r="AA467" s="281"/>
      <c r="AB467" s="281"/>
      <c r="AC467" s="281"/>
      <c r="AD467" s="281"/>
      <c r="AE467" s="281"/>
    </row>
    <row r="468" spans="15:31">
      <c r="O468" s="281"/>
      <c r="P468" s="281"/>
      <c r="Q468" s="281"/>
      <c r="R468" s="281"/>
      <c r="S468" s="281"/>
      <c r="T468" s="281"/>
      <c r="U468" s="281"/>
      <c r="V468" s="281"/>
      <c r="W468" s="281"/>
      <c r="X468" s="281"/>
      <c r="Y468" s="281"/>
      <c r="Z468" s="281"/>
      <c r="AA468" s="281"/>
      <c r="AB468" s="281"/>
      <c r="AC468" s="281"/>
      <c r="AD468" s="281"/>
      <c r="AE468" s="281"/>
    </row>
    <row r="469" spans="15:31">
      <c r="O469" s="281"/>
      <c r="P469" s="281"/>
      <c r="Q469" s="281"/>
      <c r="R469" s="281"/>
      <c r="S469" s="281"/>
      <c r="T469" s="281"/>
      <c r="U469" s="281"/>
      <c r="V469" s="281"/>
      <c r="W469" s="281"/>
      <c r="X469" s="281"/>
      <c r="Y469" s="281"/>
      <c r="Z469" s="281"/>
      <c r="AA469" s="281"/>
      <c r="AB469" s="281"/>
      <c r="AC469" s="281"/>
      <c r="AD469" s="281"/>
      <c r="AE469" s="281"/>
    </row>
    <row r="470" spans="15:31">
      <c r="O470" s="281"/>
      <c r="P470" s="281"/>
      <c r="Q470" s="281"/>
      <c r="R470" s="281"/>
      <c r="S470" s="281"/>
      <c r="T470" s="281"/>
      <c r="U470" s="281"/>
      <c r="V470" s="281"/>
      <c r="W470" s="281"/>
      <c r="X470" s="281"/>
      <c r="Y470" s="281"/>
      <c r="Z470" s="281"/>
      <c r="AA470" s="281"/>
      <c r="AB470" s="281"/>
      <c r="AC470" s="281"/>
      <c r="AD470" s="281"/>
      <c r="AE470" s="281"/>
    </row>
    <row r="471" spans="15:31">
      <c r="O471" s="281"/>
      <c r="P471" s="281"/>
      <c r="Q471" s="281"/>
      <c r="R471" s="281"/>
      <c r="S471" s="281"/>
      <c r="T471" s="281"/>
      <c r="U471" s="281"/>
      <c r="V471" s="281"/>
      <c r="W471" s="281"/>
      <c r="X471" s="281"/>
      <c r="Y471" s="281"/>
      <c r="Z471" s="281"/>
      <c r="AA471" s="281"/>
      <c r="AB471" s="281"/>
      <c r="AC471" s="281"/>
      <c r="AD471" s="281"/>
      <c r="AE471" s="281"/>
    </row>
    <row r="472" spans="15:31">
      <c r="O472" s="281"/>
      <c r="P472" s="281"/>
      <c r="Q472" s="281"/>
      <c r="R472" s="281"/>
      <c r="S472" s="281"/>
      <c r="T472" s="281"/>
      <c r="U472" s="281"/>
      <c r="V472" s="281"/>
      <c r="W472" s="281"/>
      <c r="X472" s="281"/>
      <c r="Y472" s="281"/>
      <c r="Z472" s="281"/>
      <c r="AA472" s="281"/>
      <c r="AB472" s="281"/>
      <c r="AC472" s="281"/>
      <c r="AD472" s="281"/>
      <c r="AE472" s="281"/>
    </row>
    <row r="473" spans="15:31">
      <c r="O473" s="281"/>
      <c r="P473" s="281"/>
      <c r="Q473" s="281"/>
      <c r="R473" s="281"/>
      <c r="S473" s="281"/>
      <c r="T473" s="281"/>
      <c r="U473" s="281"/>
      <c r="V473" s="281"/>
      <c r="W473" s="281"/>
      <c r="X473" s="281"/>
      <c r="Y473" s="281"/>
      <c r="Z473" s="281"/>
      <c r="AA473" s="281"/>
      <c r="AB473" s="281"/>
      <c r="AC473" s="281"/>
      <c r="AD473" s="281"/>
      <c r="AE473" s="281"/>
    </row>
    <row r="474" spans="15:31">
      <c r="O474" s="281"/>
      <c r="P474" s="281"/>
      <c r="Q474" s="281"/>
      <c r="R474" s="281"/>
      <c r="S474" s="281"/>
      <c r="T474" s="281"/>
      <c r="U474" s="281"/>
      <c r="V474" s="281"/>
      <c r="W474" s="281"/>
      <c r="X474" s="281"/>
      <c r="Y474" s="281"/>
      <c r="Z474" s="281"/>
      <c r="AA474" s="281"/>
      <c r="AB474" s="281"/>
      <c r="AC474" s="281"/>
      <c r="AD474" s="281"/>
      <c r="AE474" s="281"/>
    </row>
    <row r="475" spans="15:31">
      <c r="O475" s="281"/>
      <c r="P475" s="281"/>
      <c r="Q475" s="281"/>
      <c r="R475" s="281"/>
      <c r="S475" s="281"/>
      <c r="T475" s="281"/>
      <c r="U475" s="281"/>
      <c r="V475" s="281"/>
      <c r="W475" s="281"/>
      <c r="X475" s="281"/>
      <c r="Y475" s="281"/>
      <c r="Z475" s="281"/>
      <c r="AA475" s="281"/>
      <c r="AB475" s="281"/>
      <c r="AC475" s="281"/>
      <c r="AD475" s="281"/>
      <c r="AE475" s="281"/>
    </row>
    <row r="476" spans="15:31">
      <c r="O476" s="281"/>
      <c r="P476" s="281"/>
      <c r="Q476" s="281"/>
      <c r="R476" s="281"/>
      <c r="S476" s="281"/>
      <c r="T476" s="281"/>
      <c r="U476" s="281"/>
      <c r="V476" s="281"/>
      <c r="W476" s="281"/>
      <c r="X476" s="281"/>
      <c r="Y476" s="281"/>
      <c r="Z476" s="281"/>
      <c r="AA476" s="281"/>
      <c r="AB476" s="281"/>
      <c r="AC476" s="281"/>
      <c r="AD476" s="281"/>
      <c r="AE476" s="281"/>
    </row>
    <row r="477" spans="15:31">
      <c r="O477" s="281"/>
      <c r="P477" s="281"/>
      <c r="Q477" s="281"/>
      <c r="R477" s="281"/>
      <c r="S477" s="281"/>
      <c r="T477" s="281"/>
      <c r="U477" s="281"/>
      <c r="V477" s="281"/>
      <c r="W477" s="281"/>
      <c r="X477" s="281"/>
      <c r="Y477" s="281"/>
      <c r="Z477" s="281"/>
      <c r="AA477" s="281"/>
      <c r="AB477" s="281"/>
      <c r="AC477" s="281"/>
      <c r="AD477" s="281"/>
      <c r="AE477" s="281"/>
    </row>
    <row r="478" spans="15:31">
      <c r="O478" s="281"/>
      <c r="P478" s="281"/>
      <c r="Q478" s="281"/>
      <c r="R478" s="281"/>
      <c r="S478" s="281"/>
      <c r="T478" s="281"/>
      <c r="U478" s="281"/>
      <c r="V478" s="281"/>
      <c r="W478" s="281"/>
      <c r="X478" s="281"/>
      <c r="Y478" s="281"/>
      <c r="Z478" s="281"/>
      <c r="AA478" s="281"/>
      <c r="AB478" s="281"/>
      <c r="AC478" s="281"/>
      <c r="AD478" s="281"/>
      <c r="AE478" s="281"/>
    </row>
    <row r="479" spans="15:31">
      <c r="O479" s="281"/>
      <c r="P479" s="281"/>
      <c r="Q479" s="281"/>
      <c r="R479" s="281"/>
      <c r="S479" s="281"/>
      <c r="T479" s="281"/>
      <c r="U479" s="281"/>
      <c r="V479" s="281"/>
      <c r="W479" s="281"/>
      <c r="X479" s="281"/>
      <c r="Y479" s="281"/>
      <c r="Z479" s="281"/>
      <c r="AA479" s="281"/>
      <c r="AB479" s="281"/>
      <c r="AC479" s="281"/>
      <c r="AD479" s="281"/>
      <c r="AE479" s="281"/>
    </row>
    <row r="480" spans="15:31">
      <c r="O480" s="281"/>
      <c r="P480" s="281"/>
      <c r="Q480" s="281"/>
      <c r="R480" s="281"/>
      <c r="S480" s="281"/>
      <c r="T480" s="281"/>
      <c r="U480" s="281"/>
      <c r="V480" s="281"/>
      <c r="W480" s="281"/>
      <c r="X480" s="281"/>
      <c r="Y480" s="281"/>
      <c r="Z480" s="281"/>
      <c r="AA480" s="281"/>
      <c r="AB480" s="281"/>
      <c r="AC480" s="281"/>
      <c r="AD480" s="281"/>
      <c r="AE480" s="281"/>
    </row>
    <row r="481" spans="15:31">
      <c r="O481" s="281"/>
      <c r="P481" s="281"/>
      <c r="Q481" s="281"/>
      <c r="R481" s="281"/>
      <c r="S481" s="281"/>
      <c r="T481" s="281"/>
      <c r="U481" s="281"/>
      <c r="V481" s="281"/>
      <c r="W481" s="281"/>
      <c r="X481" s="281"/>
      <c r="Y481" s="281"/>
      <c r="Z481" s="281"/>
      <c r="AA481" s="281"/>
      <c r="AB481" s="281"/>
      <c r="AC481" s="281"/>
      <c r="AD481" s="281"/>
      <c r="AE481" s="281"/>
    </row>
    <row r="482" spans="15:31">
      <c r="O482" s="281"/>
      <c r="P482" s="281"/>
      <c r="Q482" s="281"/>
      <c r="R482" s="281"/>
      <c r="S482" s="281"/>
      <c r="T482" s="281"/>
      <c r="U482" s="281"/>
      <c r="V482" s="281"/>
      <c r="W482" s="281"/>
      <c r="X482" s="281"/>
      <c r="Y482" s="281"/>
      <c r="Z482" s="281"/>
      <c r="AA482" s="281"/>
      <c r="AB482" s="281"/>
      <c r="AC482" s="281"/>
      <c r="AD482" s="281"/>
      <c r="AE482" s="281"/>
    </row>
    <row r="483" spans="15:31">
      <c r="O483" s="281"/>
      <c r="P483" s="281"/>
      <c r="Q483" s="281"/>
      <c r="R483" s="281"/>
      <c r="S483" s="281"/>
      <c r="T483" s="281"/>
      <c r="U483" s="281"/>
      <c r="V483" s="281"/>
      <c r="W483" s="281"/>
      <c r="X483" s="281"/>
      <c r="Y483" s="281"/>
      <c r="Z483" s="281"/>
      <c r="AA483" s="281"/>
      <c r="AB483" s="281"/>
      <c r="AC483" s="281"/>
      <c r="AD483" s="281"/>
      <c r="AE483" s="281"/>
    </row>
    <row r="484" spans="15:31">
      <c r="O484" s="281"/>
      <c r="P484" s="281"/>
      <c r="Q484" s="281"/>
      <c r="R484" s="281"/>
      <c r="S484" s="281"/>
      <c r="T484" s="281"/>
      <c r="U484" s="281"/>
      <c r="V484" s="281"/>
      <c r="W484" s="281"/>
      <c r="X484" s="281"/>
      <c r="Y484" s="281"/>
      <c r="Z484" s="281"/>
      <c r="AA484" s="281"/>
      <c r="AB484" s="281"/>
      <c r="AC484" s="281"/>
      <c r="AD484" s="281"/>
      <c r="AE484" s="281"/>
    </row>
    <row r="485" spans="15:31">
      <c r="O485" s="281"/>
      <c r="P485" s="281"/>
      <c r="Q485" s="281"/>
      <c r="R485" s="281"/>
      <c r="S485" s="281"/>
      <c r="T485" s="281"/>
      <c r="U485" s="281"/>
      <c r="V485" s="281"/>
      <c r="W485" s="281"/>
      <c r="X485" s="281"/>
      <c r="Y485" s="281"/>
      <c r="Z485" s="281"/>
      <c r="AA485" s="281"/>
      <c r="AB485" s="281"/>
      <c r="AC485" s="281"/>
      <c r="AD485" s="281"/>
      <c r="AE485" s="281"/>
    </row>
    <row r="486" spans="15:31">
      <c r="O486" s="281"/>
      <c r="P486" s="281"/>
      <c r="Q486" s="281"/>
      <c r="R486" s="281"/>
      <c r="S486" s="281"/>
      <c r="T486" s="281"/>
      <c r="U486" s="281"/>
      <c r="V486" s="281"/>
      <c r="W486" s="281"/>
      <c r="X486" s="281"/>
      <c r="Y486" s="281"/>
      <c r="Z486" s="281"/>
      <c r="AA486" s="281"/>
      <c r="AB486" s="281"/>
      <c r="AC486" s="281"/>
      <c r="AD486" s="281"/>
      <c r="AE486" s="281"/>
    </row>
    <row r="487" spans="15:31">
      <c r="O487" s="281"/>
      <c r="P487" s="281"/>
      <c r="Q487" s="281"/>
      <c r="R487" s="281"/>
      <c r="S487" s="281"/>
      <c r="T487" s="281"/>
      <c r="U487" s="281"/>
      <c r="V487" s="281"/>
      <c r="W487" s="281"/>
      <c r="X487" s="281"/>
      <c r="Y487" s="281"/>
      <c r="Z487" s="281"/>
      <c r="AA487" s="281"/>
      <c r="AB487" s="281"/>
      <c r="AC487" s="281"/>
      <c r="AD487" s="281"/>
      <c r="AE487" s="281"/>
    </row>
    <row r="488" spans="15:31">
      <c r="O488" s="281"/>
      <c r="P488" s="281"/>
      <c r="Q488" s="281"/>
      <c r="R488" s="281"/>
      <c r="S488" s="281"/>
      <c r="T488" s="281"/>
      <c r="U488" s="281"/>
      <c r="V488" s="281"/>
      <c r="W488" s="281"/>
      <c r="X488" s="281"/>
      <c r="Y488" s="281"/>
      <c r="Z488" s="281"/>
      <c r="AA488" s="281"/>
      <c r="AB488" s="281"/>
      <c r="AC488" s="281"/>
      <c r="AD488" s="281"/>
      <c r="AE488" s="281"/>
    </row>
    <row r="489" spans="15:31">
      <c r="O489" s="281"/>
      <c r="P489" s="281"/>
      <c r="Q489" s="281"/>
      <c r="R489" s="281"/>
      <c r="S489" s="281"/>
      <c r="T489" s="281"/>
      <c r="U489" s="281"/>
      <c r="V489" s="281"/>
      <c r="W489" s="281"/>
      <c r="X489" s="281"/>
      <c r="Y489" s="281"/>
      <c r="Z489" s="281"/>
      <c r="AA489" s="281"/>
      <c r="AB489" s="281"/>
      <c r="AC489" s="281"/>
      <c r="AD489" s="281"/>
      <c r="AE489" s="281"/>
    </row>
    <row r="490" spans="15:31">
      <c r="O490" s="281"/>
      <c r="P490" s="281"/>
      <c r="Q490" s="281"/>
      <c r="R490" s="281"/>
      <c r="S490" s="281"/>
      <c r="T490" s="281"/>
      <c r="U490" s="281"/>
      <c r="V490" s="281"/>
      <c r="W490" s="281"/>
      <c r="X490" s="281"/>
      <c r="Y490" s="281"/>
      <c r="Z490" s="281"/>
      <c r="AA490" s="281"/>
      <c r="AB490" s="281"/>
      <c r="AC490" s="281"/>
      <c r="AD490" s="281"/>
      <c r="AE490" s="281"/>
    </row>
    <row r="491" spans="15:31">
      <c r="O491" s="281"/>
      <c r="P491" s="281"/>
      <c r="Q491" s="281"/>
      <c r="R491" s="281"/>
      <c r="S491" s="281"/>
      <c r="T491" s="281"/>
      <c r="U491" s="281"/>
      <c r="V491" s="281"/>
      <c r="W491" s="281"/>
      <c r="X491" s="281"/>
      <c r="Y491" s="281"/>
      <c r="Z491" s="281"/>
      <c r="AA491" s="281"/>
      <c r="AB491" s="281"/>
      <c r="AC491" s="281"/>
      <c r="AD491" s="281"/>
      <c r="AE491" s="281"/>
    </row>
    <row r="492" spans="15:31">
      <c r="O492" s="281"/>
      <c r="P492" s="281"/>
      <c r="Q492" s="281"/>
      <c r="R492" s="281"/>
      <c r="S492" s="281"/>
      <c r="T492" s="281"/>
      <c r="U492" s="281"/>
      <c r="V492" s="281"/>
      <c r="W492" s="281"/>
      <c r="X492" s="281"/>
      <c r="Y492" s="281"/>
      <c r="Z492" s="281"/>
      <c r="AA492" s="281"/>
      <c r="AB492" s="281"/>
      <c r="AC492" s="281"/>
      <c r="AD492" s="281"/>
      <c r="AE492" s="281"/>
    </row>
    <row r="493" spans="15:31">
      <c r="O493" s="281"/>
      <c r="P493" s="281"/>
      <c r="Q493" s="281"/>
      <c r="R493" s="281"/>
      <c r="S493" s="281"/>
      <c r="T493" s="281"/>
      <c r="U493" s="281"/>
      <c r="V493" s="281"/>
      <c r="W493" s="281"/>
      <c r="X493" s="281"/>
      <c r="Y493" s="281"/>
      <c r="Z493" s="281"/>
      <c r="AA493" s="281"/>
      <c r="AB493" s="281"/>
      <c r="AC493" s="281"/>
      <c r="AD493" s="281"/>
      <c r="AE493" s="281"/>
    </row>
    <row r="494" spans="15:31">
      <c r="O494" s="281"/>
      <c r="P494" s="281"/>
      <c r="Q494" s="281"/>
      <c r="R494" s="281"/>
      <c r="S494" s="281"/>
      <c r="T494" s="281"/>
      <c r="U494" s="281"/>
      <c r="V494" s="281"/>
      <c r="W494" s="281"/>
      <c r="X494" s="281"/>
      <c r="Y494" s="281"/>
      <c r="Z494" s="281"/>
      <c r="AA494" s="281"/>
      <c r="AB494" s="281"/>
      <c r="AC494" s="281"/>
      <c r="AD494" s="281"/>
      <c r="AE494" s="281"/>
    </row>
    <row r="495" spans="15:31">
      <c r="O495" s="281"/>
      <c r="P495" s="281"/>
      <c r="Q495" s="281"/>
      <c r="R495" s="281"/>
      <c r="S495" s="281"/>
      <c r="T495" s="281"/>
      <c r="U495" s="281"/>
      <c r="V495" s="281"/>
      <c r="W495" s="281"/>
      <c r="X495" s="281"/>
      <c r="Y495" s="281"/>
      <c r="Z495" s="281"/>
      <c r="AA495" s="281"/>
      <c r="AB495" s="281"/>
      <c r="AC495" s="281"/>
      <c r="AD495" s="281"/>
      <c r="AE495" s="281"/>
    </row>
    <row r="496" spans="15:31">
      <c r="O496" s="281"/>
      <c r="P496" s="281"/>
      <c r="Q496" s="281"/>
      <c r="R496" s="281"/>
      <c r="S496" s="281"/>
      <c r="T496" s="281"/>
      <c r="U496" s="281"/>
      <c r="V496" s="281"/>
      <c r="W496" s="281"/>
      <c r="X496" s="281"/>
      <c r="Y496" s="281"/>
      <c r="Z496" s="281"/>
      <c r="AA496" s="281"/>
      <c r="AB496" s="281"/>
      <c r="AC496" s="281"/>
      <c r="AD496" s="281"/>
      <c r="AE496" s="281"/>
    </row>
    <row r="497" spans="15:31">
      <c r="O497" s="281"/>
      <c r="P497" s="281"/>
      <c r="Q497" s="281"/>
      <c r="R497" s="281"/>
      <c r="S497" s="281"/>
      <c r="T497" s="281"/>
      <c r="U497" s="281"/>
      <c r="V497" s="281"/>
      <c r="W497" s="281"/>
      <c r="X497" s="281"/>
      <c r="Y497" s="281"/>
      <c r="Z497" s="281"/>
      <c r="AA497" s="281"/>
      <c r="AB497" s="281"/>
      <c r="AC497" s="281"/>
      <c r="AD497" s="281"/>
      <c r="AE497" s="281"/>
    </row>
    <row r="498" spans="15:31">
      <c r="O498" s="281"/>
      <c r="P498" s="281"/>
      <c r="Q498" s="281"/>
      <c r="R498" s="281"/>
      <c r="S498" s="281"/>
      <c r="T498" s="281"/>
      <c r="U498" s="281"/>
      <c r="V498" s="281"/>
      <c r="W498" s="281"/>
      <c r="X498" s="281"/>
      <c r="Y498" s="281"/>
      <c r="Z498" s="281"/>
      <c r="AA498" s="281"/>
      <c r="AB498" s="281"/>
      <c r="AC498" s="281"/>
      <c r="AD498" s="281"/>
      <c r="AE498" s="281"/>
    </row>
    <row r="499" spans="15:31">
      <c r="O499" s="281"/>
      <c r="P499" s="281"/>
      <c r="Q499" s="281"/>
      <c r="R499" s="281"/>
      <c r="S499" s="281"/>
      <c r="T499" s="281"/>
      <c r="U499" s="281"/>
      <c r="V499" s="281"/>
      <c r="W499" s="281"/>
      <c r="X499" s="281"/>
      <c r="Y499" s="281"/>
      <c r="Z499" s="281"/>
      <c r="AA499" s="281"/>
      <c r="AB499" s="281"/>
      <c r="AC499" s="281"/>
      <c r="AD499" s="281"/>
      <c r="AE499" s="281"/>
    </row>
    <row r="500" spans="15:31">
      <c r="O500" s="281"/>
      <c r="P500" s="281"/>
      <c r="Q500" s="281"/>
      <c r="R500" s="281"/>
      <c r="S500" s="281"/>
      <c r="T500" s="281"/>
      <c r="U500" s="281"/>
      <c r="V500" s="281"/>
      <c r="W500" s="281"/>
      <c r="X500" s="281"/>
      <c r="Y500" s="281"/>
      <c r="Z500" s="281"/>
      <c r="AA500" s="281"/>
      <c r="AB500" s="281"/>
      <c r="AC500" s="281"/>
      <c r="AD500" s="281"/>
      <c r="AE500" s="281"/>
    </row>
    <row r="501" spans="15:31">
      <c r="O501" s="281"/>
      <c r="P501" s="281"/>
      <c r="Q501" s="281"/>
      <c r="R501" s="281"/>
      <c r="S501" s="281"/>
      <c r="T501" s="281"/>
      <c r="U501" s="281"/>
      <c r="V501" s="281"/>
      <c r="W501" s="281"/>
      <c r="X501" s="281"/>
      <c r="Y501" s="281"/>
      <c r="Z501" s="281"/>
      <c r="AA501" s="281"/>
      <c r="AB501" s="281"/>
      <c r="AC501" s="281"/>
      <c r="AD501" s="281"/>
      <c r="AE501" s="281"/>
    </row>
    <row r="502" spans="15:31">
      <c r="O502" s="281"/>
      <c r="P502" s="281"/>
      <c r="Q502" s="281"/>
      <c r="R502" s="281"/>
      <c r="S502" s="281"/>
      <c r="T502" s="281"/>
      <c r="U502" s="281"/>
      <c r="V502" s="281"/>
      <c r="W502" s="281"/>
      <c r="X502" s="281"/>
      <c r="Y502" s="281"/>
      <c r="Z502" s="281"/>
      <c r="AA502" s="281"/>
      <c r="AB502" s="281"/>
      <c r="AC502" s="281"/>
      <c r="AD502" s="281"/>
      <c r="AE502" s="281"/>
    </row>
    <row r="503" spans="15:31"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</row>
    <row r="504" spans="15:31">
      <c r="O504" s="281"/>
      <c r="P504" s="281"/>
      <c r="Q504" s="281"/>
      <c r="R504" s="281"/>
      <c r="S504" s="281"/>
      <c r="T504" s="281"/>
      <c r="U504" s="281"/>
      <c r="V504" s="281"/>
      <c r="W504" s="281"/>
      <c r="X504" s="281"/>
      <c r="Y504" s="281"/>
      <c r="Z504" s="281"/>
      <c r="AA504" s="281"/>
      <c r="AB504" s="281"/>
      <c r="AC504" s="281"/>
      <c r="AD504" s="281"/>
      <c r="AE504" s="281"/>
    </row>
    <row r="505" spans="15:31">
      <c r="O505" s="281"/>
      <c r="P505" s="281"/>
      <c r="Q505" s="281"/>
      <c r="R505" s="281"/>
      <c r="S505" s="281"/>
      <c r="T505" s="281"/>
      <c r="U505" s="281"/>
      <c r="V505" s="281"/>
      <c r="W505" s="281"/>
      <c r="X505" s="281"/>
      <c r="Y505" s="281"/>
      <c r="Z505" s="281"/>
      <c r="AA505" s="281"/>
      <c r="AB505" s="281"/>
      <c r="AC505" s="281"/>
      <c r="AD505" s="281"/>
      <c r="AE505" s="281"/>
    </row>
    <row r="506" spans="15:31">
      <c r="O506" s="281"/>
      <c r="P506" s="281"/>
      <c r="Q506" s="281"/>
      <c r="R506" s="281"/>
      <c r="S506" s="281"/>
      <c r="T506" s="281"/>
      <c r="U506" s="281"/>
      <c r="V506" s="281"/>
      <c r="W506" s="281"/>
      <c r="X506" s="281"/>
      <c r="Y506" s="281"/>
      <c r="Z506" s="281"/>
      <c r="AA506" s="281"/>
      <c r="AB506" s="281"/>
      <c r="AC506" s="281"/>
      <c r="AD506" s="281"/>
      <c r="AE506" s="281"/>
    </row>
    <row r="507" spans="15:31">
      <c r="O507" s="281"/>
      <c r="P507" s="281"/>
      <c r="Q507" s="281"/>
      <c r="R507" s="281"/>
      <c r="S507" s="281"/>
      <c r="T507" s="281"/>
      <c r="U507" s="281"/>
      <c r="V507" s="281"/>
      <c r="W507" s="281"/>
      <c r="X507" s="281"/>
      <c r="Y507" s="281"/>
      <c r="Z507" s="281"/>
      <c r="AA507" s="281"/>
      <c r="AB507" s="281"/>
      <c r="AC507" s="281"/>
      <c r="AD507" s="281"/>
      <c r="AE507" s="281"/>
    </row>
    <row r="508" spans="15:31">
      <c r="O508" s="281"/>
      <c r="P508" s="281"/>
      <c r="Q508" s="281"/>
      <c r="R508" s="281"/>
      <c r="S508" s="281"/>
      <c r="T508" s="281"/>
      <c r="U508" s="281"/>
      <c r="V508" s="281"/>
      <c r="W508" s="281"/>
      <c r="X508" s="281"/>
      <c r="Y508" s="281"/>
      <c r="Z508" s="281"/>
      <c r="AA508" s="281"/>
      <c r="AB508" s="281"/>
      <c r="AC508" s="281"/>
      <c r="AD508" s="281"/>
      <c r="AE508" s="281"/>
    </row>
    <row r="509" spans="15:31">
      <c r="O509" s="281"/>
      <c r="P509" s="281"/>
      <c r="Q509" s="281"/>
      <c r="R509" s="281"/>
      <c r="S509" s="281"/>
      <c r="T509" s="281"/>
      <c r="U509" s="281"/>
      <c r="V509" s="281"/>
      <c r="W509" s="281"/>
      <c r="X509" s="281"/>
      <c r="Y509" s="281"/>
      <c r="Z509" s="281"/>
      <c r="AA509" s="281"/>
      <c r="AB509" s="281"/>
      <c r="AC509" s="281"/>
      <c r="AD509" s="281"/>
      <c r="AE509" s="281"/>
    </row>
    <row r="510" spans="15:31">
      <c r="O510" s="281"/>
      <c r="P510" s="281"/>
      <c r="Q510" s="281"/>
      <c r="R510" s="281"/>
      <c r="S510" s="281"/>
      <c r="T510" s="281"/>
      <c r="U510" s="281"/>
      <c r="V510" s="281"/>
      <c r="W510" s="281"/>
      <c r="X510" s="281"/>
      <c r="Y510" s="281"/>
      <c r="Z510" s="281"/>
      <c r="AA510" s="281"/>
      <c r="AB510" s="281"/>
      <c r="AC510" s="281"/>
      <c r="AD510" s="281"/>
      <c r="AE510" s="281"/>
    </row>
    <row r="511" spans="15:31">
      <c r="O511" s="281"/>
      <c r="P511" s="281"/>
      <c r="Q511" s="281"/>
      <c r="R511" s="281"/>
      <c r="S511" s="281"/>
      <c r="T511" s="281"/>
      <c r="U511" s="281"/>
      <c r="V511" s="281"/>
      <c r="W511" s="281"/>
      <c r="X511" s="281"/>
      <c r="Y511" s="281"/>
      <c r="Z511" s="281"/>
      <c r="AA511" s="281"/>
      <c r="AB511" s="281"/>
      <c r="AC511" s="281"/>
      <c r="AD511" s="281"/>
      <c r="AE511" s="281"/>
    </row>
    <row r="512" spans="15:31">
      <c r="O512" s="281"/>
      <c r="P512" s="281"/>
      <c r="Q512" s="281"/>
      <c r="R512" s="281"/>
      <c r="S512" s="281"/>
      <c r="T512" s="281"/>
      <c r="U512" s="281"/>
      <c r="V512" s="281"/>
      <c r="W512" s="281"/>
      <c r="X512" s="281"/>
      <c r="Y512" s="281"/>
      <c r="Z512" s="281"/>
      <c r="AA512" s="281"/>
      <c r="AB512" s="281"/>
      <c r="AC512" s="281"/>
      <c r="AD512" s="281"/>
      <c r="AE512" s="281"/>
    </row>
    <row r="513" spans="15:31">
      <c r="O513" s="281"/>
      <c r="P513" s="281"/>
      <c r="Q513" s="281"/>
      <c r="R513" s="281"/>
      <c r="S513" s="281"/>
      <c r="T513" s="281"/>
      <c r="U513" s="281"/>
      <c r="V513" s="281"/>
      <c r="W513" s="281"/>
      <c r="X513" s="281"/>
      <c r="Y513" s="281"/>
      <c r="Z513" s="281"/>
      <c r="AA513" s="281"/>
      <c r="AB513" s="281"/>
      <c r="AC513" s="281"/>
      <c r="AD513" s="281"/>
      <c r="AE513" s="281"/>
    </row>
    <row r="514" spans="15:31">
      <c r="O514" s="281"/>
      <c r="P514" s="281"/>
      <c r="Q514" s="281"/>
      <c r="R514" s="281"/>
      <c r="S514" s="281"/>
      <c r="T514" s="281"/>
      <c r="U514" s="281"/>
      <c r="V514" s="281"/>
      <c r="W514" s="281"/>
      <c r="X514" s="281"/>
      <c r="Y514" s="281"/>
      <c r="Z514" s="281"/>
      <c r="AA514" s="281"/>
      <c r="AB514" s="281"/>
      <c r="AC514" s="281"/>
      <c r="AD514" s="281"/>
      <c r="AE514" s="281"/>
    </row>
    <row r="515" spans="15:31">
      <c r="O515" s="281"/>
      <c r="P515" s="281"/>
      <c r="Q515" s="281"/>
      <c r="R515" s="281"/>
      <c r="S515" s="281"/>
      <c r="T515" s="281"/>
      <c r="U515" s="281"/>
      <c r="V515" s="281"/>
      <c r="W515" s="281"/>
      <c r="X515" s="281"/>
      <c r="Y515" s="281"/>
      <c r="Z515" s="281"/>
      <c r="AA515" s="281"/>
      <c r="AB515" s="281"/>
      <c r="AC515" s="281"/>
      <c r="AD515" s="281"/>
      <c r="AE515" s="281"/>
    </row>
    <row r="516" spans="15:31">
      <c r="O516" s="281"/>
      <c r="P516" s="281"/>
      <c r="Q516" s="281"/>
      <c r="R516" s="281"/>
      <c r="S516" s="281"/>
      <c r="T516" s="281"/>
      <c r="U516" s="281"/>
      <c r="V516" s="281"/>
      <c r="W516" s="281"/>
      <c r="X516" s="281"/>
      <c r="Y516" s="281"/>
      <c r="Z516" s="281"/>
      <c r="AA516" s="281"/>
      <c r="AB516" s="281"/>
      <c r="AC516" s="281"/>
      <c r="AD516" s="281"/>
      <c r="AE516" s="281"/>
    </row>
    <row r="517" spans="15:31">
      <c r="O517" s="281"/>
      <c r="P517" s="281"/>
      <c r="Q517" s="281"/>
      <c r="R517" s="281"/>
      <c r="S517" s="281"/>
      <c r="T517" s="281"/>
      <c r="U517" s="281"/>
      <c r="V517" s="281"/>
      <c r="W517" s="281"/>
      <c r="X517" s="281"/>
      <c r="Y517" s="281"/>
      <c r="Z517" s="281"/>
      <c r="AA517" s="281"/>
      <c r="AB517" s="281"/>
      <c r="AC517" s="281"/>
      <c r="AD517" s="281"/>
      <c r="AE517" s="281"/>
    </row>
    <row r="518" spans="15:31">
      <c r="O518" s="281"/>
      <c r="P518" s="281"/>
      <c r="Q518" s="281"/>
      <c r="R518" s="281"/>
      <c r="S518" s="281"/>
      <c r="T518" s="281"/>
      <c r="U518" s="281"/>
      <c r="V518" s="281"/>
      <c r="W518" s="281"/>
      <c r="X518" s="281"/>
      <c r="Y518" s="281"/>
      <c r="Z518" s="281"/>
      <c r="AA518" s="281"/>
      <c r="AB518" s="281"/>
      <c r="AC518" s="281"/>
      <c r="AD518" s="281"/>
      <c r="AE518" s="281"/>
    </row>
    <row r="519" spans="15:31">
      <c r="O519" s="281"/>
      <c r="P519" s="281"/>
      <c r="Q519" s="281"/>
      <c r="R519" s="281"/>
      <c r="S519" s="281"/>
      <c r="T519" s="281"/>
      <c r="U519" s="281"/>
      <c r="V519" s="281"/>
      <c r="W519" s="281"/>
      <c r="X519" s="281"/>
      <c r="Y519" s="281"/>
      <c r="Z519" s="281"/>
      <c r="AA519" s="281"/>
      <c r="AB519" s="281"/>
      <c r="AC519" s="281"/>
      <c r="AD519" s="281"/>
      <c r="AE519" s="281"/>
    </row>
    <row r="520" spans="15:31">
      <c r="O520" s="281"/>
      <c r="P520" s="281"/>
      <c r="Q520" s="281"/>
      <c r="R520" s="281"/>
      <c r="S520" s="281"/>
      <c r="T520" s="281"/>
      <c r="U520" s="281"/>
      <c r="V520" s="281"/>
      <c r="W520" s="281"/>
      <c r="X520" s="281"/>
      <c r="Y520" s="281"/>
      <c r="Z520" s="281"/>
      <c r="AA520" s="281"/>
      <c r="AB520" s="281"/>
      <c r="AC520" s="281"/>
      <c r="AD520" s="281"/>
      <c r="AE520" s="281"/>
    </row>
    <row r="521" spans="15:31">
      <c r="O521" s="281"/>
      <c r="P521" s="281"/>
      <c r="Q521" s="281"/>
      <c r="R521" s="281"/>
      <c r="S521" s="281"/>
      <c r="T521" s="281"/>
      <c r="U521" s="281"/>
      <c r="V521" s="281"/>
      <c r="W521" s="281"/>
      <c r="X521" s="281"/>
      <c r="Y521" s="281"/>
      <c r="Z521" s="281"/>
      <c r="AA521" s="281"/>
      <c r="AB521" s="281"/>
      <c r="AC521" s="281"/>
      <c r="AD521" s="281"/>
      <c r="AE521" s="281"/>
    </row>
    <row r="522" spans="15:31">
      <c r="O522" s="281"/>
      <c r="P522" s="281"/>
      <c r="Q522" s="281"/>
      <c r="R522" s="281"/>
      <c r="S522" s="281"/>
      <c r="T522" s="281"/>
      <c r="U522" s="281"/>
      <c r="V522" s="281"/>
      <c r="W522" s="281"/>
      <c r="X522" s="281"/>
      <c r="Y522" s="281"/>
      <c r="Z522" s="281"/>
      <c r="AA522" s="281"/>
      <c r="AB522" s="281"/>
      <c r="AC522" s="281"/>
      <c r="AD522" s="281"/>
      <c r="AE522" s="281"/>
    </row>
    <row r="523" spans="15:31">
      <c r="O523" s="281"/>
      <c r="P523" s="281"/>
      <c r="Q523" s="281"/>
      <c r="R523" s="281"/>
      <c r="S523" s="281"/>
      <c r="T523" s="281"/>
      <c r="U523" s="281"/>
      <c r="V523" s="281"/>
      <c r="W523" s="281"/>
      <c r="X523" s="281"/>
      <c r="Y523" s="281"/>
      <c r="Z523" s="281"/>
      <c r="AA523" s="281"/>
      <c r="AB523" s="281"/>
      <c r="AC523" s="281"/>
      <c r="AD523" s="281"/>
      <c r="AE523" s="281"/>
    </row>
    <row r="524" spans="15:31">
      <c r="O524" s="281"/>
      <c r="P524" s="281"/>
      <c r="Q524" s="281"/>
      <c r="R524" s="281"/>
      <c r="S524" s="281"/>
      <c r="T524" s="281"/>
      <c r="U524" s="281"/>
      <c r="V524" s="281"/>
      <c r="W524" s="281"/>
      <c r="X524" s="281"/>
      <c r="Y524" s="281"/>
      <c r="Z524" s="281"/>
      <c r="AA524" s="281"/>
      <c r="AB524" s="281"/>
      <c r="AC524" s="281"/>
      <c r="AD524" s="281"/>
      <c r="AE524" s="281"/>
    </row>
    <row r="525" spans="15:31">
      <c r="O525" s="281"/>
      <c r="P525" s="281"/>
      <c r="Q525" s="281"/>
      <c r="R525" s="281"/>
      <c r="S525" s="281"/>
      <c r="T525" s="281"/>
      <c r="U525" s="281"/>
      <c r="V525" s="281"/>
      <c r="W525" s="281"/>
      <c r="X525" s="281"/>
      <c r="Y525" s="281"/>
      <c r="Z525" s="281"/>
      <c r="AA525" s="281"/>
      <c r="AB525" s="281"/>
      <c r="AC525" s="281"/>
      <c r="AD525" s="281"/>
      <c r="AE525" s="281"/>
    </row>
    <row r="526" spans="15:31">
      <c r="O526" s="281"/>
      <c r="P526" s="281"/>
      <c r="Q526" s="281"/>
      <c r="R526" s="281"/>
      <c r="S526" s="281"/>
      <c r="T526" s="281"/>
      <c r="U526" s="281"/>
      <c r="V526" s="281"/>
      <c r="W526" s="281"/>
      <c r="X526" s="281"/>
      <c r="Y526" s="281"/>
      <c r="Z526" s="281"/>
      <c r="AA526" s="281"/>
      <c r="AB526" s="281"/>
      <c r="AC526" s="281"/>
      <c r="AD526" s="281"/>
      <c r="AE526" s="281"/>
    </row>
    <row r="527" spans="15:31">
      <c r="O527" s="281"/>
      <c r="P527" s="281"/>
      <c r="Q527" s="281"/>
      <c r="R527" s="281"/>
      <c r="S527" s="281"/>
      <c r="T527" s="281"/>
      <c r="U527" s="281"/>
      <c r="V527" s="281"/>
      <c r="W527" s="281"/>
      <c r="X527" s="281"/>
      <c r="Y527" s="281"/>
      <c r="Z527" s="281"/>
      <c r="AA527" s="281"/>
      <c r="AB527" s="281"/>
      <c r="AC527" s="281"/>
      <c r="AD527" s="281"/>
      <c r="AE527" s="281"/>
    </row>
    <row r="528" spans="15:31">
      <c r="O528" s="281"/>
      <c r="P528" s="281"/>
      <c r="Q528" s="281"/>
      <c r="R528" s="281"/>
      <c r="S528" s="281"/>
      <c r="T528" s="281"/>
      <c r="U528" s="281"/>
      <c r="V528" s="281"/>
      <c r="W528" s="281"/>
      <c r="X528" s="281"/>
      <c r="Y528" s="281"/>
      <c r="Z528" s="281"/>
      <c r="AA528" s="281"/>
      <c r="AB528" s="281"/>
      <c r="AC528" s="281"/>
      <c r="AD528" s="281"/>
      <c r="AE528" s="281"/>
    </row>
    <row r="529" spans="15:31">
      <c r="O529" s="281"/>
      <c r="P529" s="281"/>
      <c r="Q529" s="281"/>
      <c r="R529" s="281"/>
      <c r="S529" s="281"/>
      <c r="T529" s="281"/>
      <c r="U529" s="281"/>
      <c r="V529" s="281"/>
      <c r="W529" s="281"/>
      <c r="X529" s="281"/>
      <c r="Y529" s="281"/>
      <c r="Z529" s="281"/>
      <c r="AA529" s="281"/>
      <c r="AB529" s="281"/>
      <c r="AC529" s="281"/>
      <c r="AD529" s="281"/>
      <c r="AE529" s="281"/>
    </row>
    <row r="530" spans="15:31">
      <c r="O530" s="281"/>
      <c r="P530" s="281"/>
      <c r="Q530" s="281"/>
      <c r="R530" s="281"/>
      <c r="S530" s="281"/>
      <c r="T530" s="281"/>
      <c r="U530" s="281"/>
      <c r="V530" s="281"/>
      <c r="W530" s="281"/>
      <c r="X530" s="281"/>
      <c r="Y530" s="281"/>
      <c r="Z530" s="281"/>
      <c r="AA530" s="281"/>
      <c r="AB530" s="281"/>
      <c r="AC530" s="281"/>
      <c r="AD530" s="281"/>
      <c r="AE530" s="281"/>
    </row>
    <row r="531" spans="15:31">
      <c r="O531" s="281"/>
      <c r="P531" s="281"/>
      <c r="Q531" s="281"/>
      <c r="R531" s="281"/>
      <c r="S531" s="281"/>
      <c r="T531" s="281"/>
      <c r="U531" s="281"/>
      <c r="V531" s="281"/>
      <c r="W531" s="281"/>
      <c r="X531" s="281"/>
      <c r="Y531" s="281"/>
      <c r="Z531" s="281"/>
      <c r="AA531" s="281"/>
      <c r="AB531" s="281"/>
      <c r="AC531" s="281"/>
      <c r="AD531" s="281"/>
      <c r="AE531" s="281"/>
    </row>
    <row r="532" spans="15:31">
      <c r="O532" s="281"/>
      <c r="P532" s="281"/>
      <c r="Q532" s="281"/>
      <c r="R532" s="281"/>
      <c r="S532" s="281"/>
      <c r="T532" s="281"/>
      <c r="U532" s="281"/>
      <c r="V532" s="281"/>
      <c r="W532" s="281"/>
      <c r="X532" s="281"/>
      <c r="Y532" s="281"/>
      <c r="Z532" s="281"/>
      <c r="AA532" s="281"/>
      <c r="AB532" s="281"/>
      <c r="AC532" s="281"/>
      <c r="AD532" s="281"/>
      <c r="AE532" s="281"/>
    </row>
    <row r="533" spans="15:31">
      <c r="O533" s="281"/>
      <c r="P533" s="281"/>
      <c r="Q533" s="281"/>
      <c r="R533" s="281"/>
      <c r="S533" s="281"/>
      <c r="T533" s="281"/>
      <c r="U533" s="281"/>
      <c r="V533" s="281"/>
      <c r="W533" s="281"/>
      <c r="X533" s="281"/>
      <c r="Y533" s="281"/>
      <c r="Z533" s="281"/>
      <c r="AA533" s="281"/>
      <c r="AB533" s="281"/>
      <c r="AC533" s="281"/>
      <c r="AD533" s="281"/>
      <c r="AE533" s="281"/>
    </row>
    <row r="534" spans="15:31">
      <c r="O534" s="281"/>
      <c r="P534" s="281"/>
      <c r="Q534" s="281"/>
      <c r="R534" s="281"/>
      <c r="S534" s="281"/>
      <c r="T534" s="281"/>
      <c r="U534" s="281"/>
      <c r="V534" s="281"/>
      <c r="W534" s="281"/>
      <c r="X534" s="281"/>
      <c r="Y534" s="281"/>
      <c r="Z534" s="281"/>
      <c r="AA534" s="281"/>
      <c r="AB534" s="281"/>
      <c r="AC534" s="281"/>
      <c r="AD534" s="281"/>
      <c r="AE534" s="281"/>
    </row>
    <row r="535" spans="15:31">
      <c r="O535" s="281"/>
      <c r="P535" s="281"/>
      <c r="Q535" s="281"/>
      <c r="R535" s="281"/>
      <c r="S535" s="281"/>
      <c r="T535" s="281"/>
      <c r="U535" s="281"/>
      <c r="V535" s="281"/>
      <c r="W535" s="281"/>
      <c r="X535" s="281"/>
      <c r="Y535" s="281"/>
      <c r="Z535" s="281"/>
      <c r="AA535" s="281"/>
      <c r="AB535" s="281"/>
      <c r="AC535" s="281"/>
      <c r="AD535" s="281"/>
      <c r="AE535" s="281"/>
    </row>
    <row r="536" spans="15:31">
      <c r="O536" s="281"/>
      <c r="P536" s="281"/>
      <c r="Q536" s="281"/>
      <c r="R536" s="281"/>
      <c r="S536" s="281"/>
      <c r="T536" s="281"/>
      <c r="U536" s="281"/>
      <c r="V536" s="281"/>
      <c r="W536" s="281"/>
      <c r="X536" s="281"/>
      <c r="Y536" s="281"/>
      <c r="Z536" s="281"/>
      <c r="AA536" s="281"/>
      <c r="AB536" s="281"/>
      <c r="AC536" s="281"/>
      <c r="AD536" s="281"/>
      <c r="AE536" s="281"/>
    </row>
    <row r="537" spans="15:31">
      <c r="O537" s="281"/>
      <c r="P537" s="281"/>
      <c r="Q537" s="281"/>
      <c r="R537" s="281"/>
      <c r="S537" s="281"/>
      <c r="T537" s="281"/>
      <c r="U537" s="281"/>
      <c r="V537" s="281"/>
      <c r="W537" s="281"/>
      <c r="X537" s="281"/>
      <c r="Y537" s="281"/>
      <c r="Z537" s="281"/>
      <c r="AA537" s="281"/>
      <c r="AB537" s="281"/>
      <c r="AC537" s="281"/>
      <c r="AD537" s="281"/>
      <c r="AE537" s="281"/>
    </row>
    <row r="538" spans="15:31">
      <c r="O538" s="281"/>
      <c r="P538" s="281"/>
      <c r="Q538" s="281"/>
      <c r="R538" s="281"/>
      <c r="S538" s="281"/>
      <c r="T538" s="281"/>
      <c r="U538" s="281"/>
      <c r="V538" s="281"/>
      <c r="W538" s="281"/>
      <c r="X538" s="281"/>
      <c r="Y538" s="281"/>
      <c r="Z538" s="281"/>
      <c r="AA538" s="281"/>
      <c r="AB538" s="281"/>
      <c r="AC538" s="281"/>
      <c r="AD538" s="281"/>
      <c r="AE538" s="281"/>
    </row>
    <row r="539" spans="15:31">
      <c r="O539" s="281"/>
      <c r="P539" s="281"/>
      <c r="Q539" s="281"/>
      <c r="R539" s="281"/>
      <c r="S539" s="281"/>
      <c r="T539" s="281"/>
      <c r="U539" s="281"/>
      <c r="V539" s="281"/>
      <c r="W539" s="281"/>
      <c r="X539" s="281"/>
      <c r="Y539" s="281"/>
      <c r="Z539" s="281"/>
      <c r="AA539" s="281"/>
      <c r="AB539" s="281"/>
      <c r="AC539" s="281"/>
      <c r="AD539" s="281"/>
      <c r="AE539" s="281"/>
    </row>
    <row r="540" spans="15:31">
      <c r="O540" s="281"/>
      <c r="P540" s="281"/>
      <c r="Q540" s="281"/>
      <c r="R540" s="281"/>
      <c r="S540" s="281"/>
      <c r="T540" s="281"/>
      <c r="U540" s="281"/>
      <c r="V540" s="281"/>
      <c r="W540" s="281"/>
      <c r="X540" s="281"/>
      <c r="Y540" s="281"/>
      <c r="Z540" s="281"/>
      <c r="AA540" s="281"/>
      <c r="AB540" s="281"/>
      <c r="AC540" s="281"/>
      <c r="AD540" s="281"/>
      <c r="AE540" s="281"/>
    </row>
    <row r="541" spans="15:31">
      <c r="O541" s="281"/>
      <c r="P541" s="281"/>
      <c r="Q541" s="281"/>
      <c r="R541" s="281"/>
      <c r="S541" s="281"/>
      <c r="T541" s="281"/>
      <c r="U541" s="281"/>
      <c r="V541" s="281"/>
      <c r="W541" s="281"/>
      <c r="X541" s="281"/>
      <c r="Y541" s="281"/>
      <c r="Z541" s="281"/>
      <c r="AA541" s="281"/>
      <c r="AB541" s="281"/>
      <c r="AC541" s="281"/>
      <c r="AD541" s="281"/>
      <c r="AE541" s="281"/>
    </row>
    <row r="542" spans="15:31">
      <c r="O542" s="281"/>
      <c r="P542" s="281"/>
      <c r="Q542" s="281"/>
      <c r="R542" s="281"/>
      <c r="S542" s="281"/>
      <c r="T542" s="281"/>
      <c r="U542" s="281"/>
      <c r="V542" s="281"/>
      <c r="W542" s="281"/>
      <c r="X542" s="281"/>
      <c r="Y542" s="281"/>
      <c r="Z542" s="281"/>
      <c r="AA542" s="281"/>
      <c r="AB542" s="281"/>
      <c r="AC542" s="281"/>
      <c r="AD542" s="281"/>
      <c r="AE542" s="281"/>
    </row>
    <row r="543" spans="15:31">
      <c r="O543" s="281"/>
      <c r="P543" s="281"/>
      <c r="Q543" s="281"/>
      <c r="R543" s="281"/>
      <c r="S543" s="281"/>
      <c r="T543" s="281"/>
      <c r="U543" s="281"/>
      <c r="V543" s="281"/>
      <c r="W543" s="281"/>
      <c r="X543" s="281"/>
      <c r="Y543" s="281"/>
      <c r="Z543" s="281"/>
      <c r="AA543" s="281"/>
      <c r="AB543" s="281"/>
      <c r="AC543" s="281"/>
      <c r="AD543" s="281"/>
      <c r="AE543" s="281"/>
    </row>
    <row r="544" spans="15:31">
      <c r="O544" s="281"/>
      <c r="P544" s="281"/>
      <c r="Q544" s="281"/>
      <c r="R544" s="281"/>
      <c r="S544" s="281"/>
      <c r="T544" s="281"/>
      <c r="U544" s="281"/>
      <c r="V544" s="281"/>
      <c r="W544" s="281"/>
      <c r="X544" s="281"/>
      <c r="Y544" s="281"/>
      <c r="Z544" s="281"/>
      <c r="AA544" s="281"/>
      <c r="AB544" s="281"/>
      <c r="AC544" s="281"/>
      <c r="AD544" s="281"/>
      <c r="AE544" s="281"/>
    </row>
    <row r="545" spans="15:31">
      <c r="O545" s="281"/>
      <c r="P545" s="281"/>
      <c r="Q545" s="281"/>
      <c r="R545" s="281"/>
      <c r="S545" s="281"/>
      <c r="T545" s="281"/>
      <c r="U545" s="281"/>
      <c r="V545" s="281"/>
      <c r="W545" s="281"/>
      <c r="X545" s="281"/>
      <c r="Y545" s="281"/>
      <c r="Z545" s="281"/>
      <c r="AA545" s="281"/>
      <c r="AB545" s="281"/>
      <c r="AC545" s="281"/>
      <c r="AD545" s="281"/>
      <c r="AE545" s="281"/>
    </row>
    <row r="546" spans="15:31">
      <c r="O546" s="281"/>
      <c r="P546" s="281"/>
      <c r="Q546" s="281"/>
      <c r="R546" s="281"/>
      <c r="S546" s="281"/>
      <c r="T546" s="281"/>
      <c r="U546" s="281"/>
      <c r="V546" s="281"/>
      <c r="W546" s="281"/>
      <c r="X546" s="281"/>
      <c r="Y546" s="281"/>
      <c r="Z546" s="281"/>
      <c r="AA546" s="281"/>
      <c r="AB546" s="281"/>
      <c r="AC546" s="281"/>
      <c r="AD546" s="281"/>
      <c r="AE546" s="281"/>
    </row>
    <row r="547" spans="15:31">
      <c r="O547" s="281"/>
      <c r="P547" s="281"/>
      <c r="Q547" s="281"/>
      <c r="R547" s="281"/>
      <c r="S547" s="281"/>
      <c r="T547" s="281"/>
      <c r="U547" s="281"/>
      <c r="V547" s="281"/>
      <c r="W547" s="281"/>
      <c r="X547" s="281"/>
      <c r="Y547" s="281"/>
      <c r="Z547" s="281"/>
      <c r="AA547" s="281"/>
      <c r="AB547" s="281"/>
      <c r="AC547" s="281"/>
      <c r="AD547" s="281"/>
      <c r="AE547" s="281"/>
    </row>
    <row r="548" spans="15:31">
      <c r="O548" s="281"/>
      <c r="P548" s="281"/>
      <c r="Q548" s="281"/>
      <c r="R548" s="281"/>
      <c r="S548" s="281"/>
      <c r="T548" s="281"/>
      <c r="U548" s="281"/>
      <c r="V548" s="281"/>
      <c r="W548" s="281"/>
      <c r="X548" s="281"/>
      <c r="Y548" s="281"/>
      <c r="Z548" s="281"/>
      <c r="AA548" s="281"/>
      <c r="AB548" s="281"/>
      <c r="AC548" s="281"/>
      <c r="AD548" s="281"/>
      <c r="AE548" s="281"/>
    </row>
    <row r="549" spans="15:31">
      <c r="O549" s="281"/>
      <c r="P549" s="281"/>
      <c r="Q549" s="281"/>
      <c r="R549" s="281"/>
      <c r="S549" s="281"/>
      <c r="T549" s="281"/>
      <c r="U549" s="281"/>
      <c r="V549" s="281"/>
      <c r="W549" s="281"/>
      <c r="X549" s="281"/>
      <c r="Y549" s="281"/>
      <c r="Z549" s="281"/>
      <c r="AA549" s="281"/>
      <c r="AB549" s="281"/>
      <c r="AC549" s="281"/>
      <c r="AD549" s="281"/>
      <c r="AE549" s="281"/>
    </row>
    <row r="550" spans="15:31">
      <c r="O550" s="281"/>
      <c r="P550" s="281"/>
      <c r="Q550" s="281"/>
      <c r="R550" s="281"/>
      <c r="S550" s="281"/>
      <c r="T550" s="281"/>
      <c r="U550" s="281"/>
      <c r="V550" s="281"/>
      <c r="W550" s="281"/>
      <c r="X550" s="281"/>
      <c r="Y550" s="281"/>
      <c r="Z550" s="281"/>
      <c r="AA550" s="281"/>
      <c r="AB550" s="281"/>
      <c r="AC550" s="281"/>
      <c r="AD550" s="281"/>
      <c r="AE550" s="281"/>
    </row>
    <row r="551" spans="15:31">
      <c r="O551" s="281"/>
      <c r="P551" s="281"/>
      <c r="Q551" s="281"/>
      <c r="R551" s="281"/>
      <c r="S551" s="281"/>
      <c r="T551" s="281"/>
      <c r="U551" s="281"/>
      <c r="V551" s="281"/>
      <c r="W551" s="281"/>
      <c r="X551" s="281"/>
      <c r="Y551" s="281"/>
      <c r="Z551" s="281"/>
      <c r="AA551" s="281"/>
      <c r="AB551" s="281"/>
      <c r="AC551" s="281"/>
      <c r="AD551" s="281"/>
      <c r="AE551" s="281"/>
    </row>
    <row r="552" spans="15:31">
      <c r="O552" s="281"/>
      <c r="P552" s="281"/>
      <c r="Q552" s="281"/>
      <c r="R552" s="281"/>
      <c r="S552" s="281"/>
      <c r="T552" s="281"/>
      <c r="U552" s="281"/>
      <c r="V552" s="281"/>
      <c r="W552" s="281"/>
      <c r="X552" s="281"/>
      <c r="Y552" s="281"/>
      <c r="Z552" s="281"/>
      <c r="AA552" s="281"/>
      <c r="AB552" s="281"/>
      <c r="AC552" s="281"/>
      <c r="AD552" s="281"/>
      <c r="AE552" s="281"/>
    </row>
    <row r="553" spans="15:31">
      <c r="O553" s="281"/>
      <c r="P553" s="281"/>
      <c r="Q553" s="281"/>
      <c r="R553" s="281"/>
      <c r="S553" s="281"/>
      <c r="T553" s="281"/>
      <c r="U553" s="281"/>
      <c r="V553" s="281"/>
      <c r="W553" s="281"/>
      <c r="X553" s="281"/>
      <c r="Y553" s="281"/>
      <c r="Z553" s="281"/>
      <c r="AA553" s="281"/>
      <c r="AB553" s="281"/>
      <c r="AC553" s="281"/>
      <c r="AD553" s="281"/>
      <c r="AE553" s="281"/>
    </row>
    <row r="554" spans="15:31">
      <c r="O554" s="281"/>
      <c r="P554" s="281"/>
      <c r="Q554" s="281"/>
      <c r="R554" s="281"/>
      <c r="S554" s="281"/>
      <c r="T554" s="281"/>
      <c r="U554" s="281"/>
      <c r="V554" s="281"/>
      <c r="W554" s="281"/>
      <c r="X554" s="281"/>
      <c r="Y554" s="281"/>
      <c r="Z554" s="281"/>
      <c r="AA554" s="281"/>
      <c r="AB554" s="281"/>
      <c r="AC554" s="281"/>
      <c r="AD554" s="281"/>
      <c r="AE554" s="281"/>
    </row>
    <row r="555" spans="15:31">
      <c r="O555" s="281"/>
      <c r="P555" s="281"/>
      <c r="Q555" s="281"/>
      <c r="R555" s="281"/>
      <c r="S555" s="281"/>
      <c r="T555" s="281"/>
      <c r="U555" s="281"/>
      <c r="V555" s="281"/>
      <c r="W555" s="281"/>
      <c r="X555" s="281"/>
      <c r="Y555" s="281"/>
      <c r="Z555" s="281"/>
      <c r="AA555" s="281"/>
      <c r="AB555" s="281"/>
      <c r="AC555" s="281"/>
      <c r="AD555" s="281"/>
      <c r="AE555" s="281"/>
    </row>
    <row r="556" spans="15:31">
      <c r="O556" s="281"/>
      <c r="P556" s="281"/>
      <c r="Q556" s="281"/>
      <c r="R556" s="281"/>
      <c r="S556" s="281"/>
      <c r="T556" s="281"/>
      <c r="U556" s="281"/>
      <c r="V556" s="281"/>
      <c r="W556" s="281"/>
      <c r="X556" s="281"/>
      <c r="Y556" s="281"/>
      <c r="Z556" s="281"/>
      <c r="AA556" s="281"/>
      <c r="AB556" s="281"/>
      <c r="AC556" s="281"/>
      <c r="AD556" s="281"/>
      <c r="AE556" s="281"/>
    </row>
    <row r="557" spans="15:31">
      <c r="O557" s="281"/>
      <c r="P557" s="281"/>
      <c r="Q557" s="281"/>
      <c r="R557" s="281"/>
      <c r="S557" s="281"/>
      <c r="T557" s="281"/>
      <c r="U557" s="281"/>
      <c r="V557" s="281"/>
      <c r="W557" s="281"/>
      <c r="X557" s="281"/>
      <c r="Y557" s="281"/>
      <c r="Z557" s="281"/>
      <c r="AA557" s="281"/>
      <c r="AB557" s="281"/>
      <c r="AC557" s="281"/>
      <c r="AD557" s="281"/>
      <c r="AE557" s="281"/>
    </row>
    <row r="558" spans="15:31">
      <c r="O558" s="281"/>
      <c r="P558" s="281"/>
      <c r="Q558" s="281"/>
      <c r="R558" s="281"/>
      <c r="S558" s="281"/>
      <c r="T558" s="281"/>
      <c r="U558" s="281"/>
      <c r="V558" s="281"/>
      <c r="W558" s="281"/>
      <c r="X558" s="281"/>
      <c r="Y558" s="281"/>
      <c r="Z558" s="281"/>
      <c r="AA558" s="281"/>
      <c r="AB558" s="281"/>
      <c r="AC558" s="281"/>
      <c r="AD558" s="281"/>
      <c r="AE558" s="281"/>
    </row>
    <row r="559" spans="15:31">
      <c r="O559" s="281"/>
      <c r="P559" s="281"/>
      <c r="Q559" s="281"/>
      <c r="R559" s="281"/>
      <c r="S559" s="281"/>
      <c r="T559" s="281"/>
      <c r="U559" s="281"/>
      <c r="V559" s="281"/>
      <c r="W559" s="281"/>
      <c r="X559" s="281"/>
      <c r="Y559" s="281"/>
      <c r="Z559" s="281"/>
      <c r="AA559" s="281"/>
      <c r="AB559" s="281"/>
      <c r="AC559" s="281"/>
      <c r="AD559" s="281"/>
      <c r="AE559" s="281"/>
    </row>
    <row r="560" spans="15:31">
      <c r="O560" s="281"/>
      <c r="P560" s="281"/>
      <c r="Q560" s="281"/>
      <c r="R560" s="281"/>
      <c r="S560" s="281"/>
      <c r="T560" s="281"/>
      <c r="U560" s="281"/>
      <c r="V560" s="281"/>
      <c r="W560" s="281"/>
      <c r="X560" s="281"/>
      <c r="Y560" s="281"/>
      <c r="Z560" s="281"/>
      <c r="AA560" s="281"/>
      <c r="AB560" s="281"/>
      <c r="AC560" s="281"/>
      <c r="AD560" s="281"/>
      <c r="AE560" s="281"/>
    </row>
    <row r="561" spans="15:31">
      <c r="O561" s="281"/>
      <c r="P561" s="281"/>
      <c r="Q561" s="281"/>
      <c r="R561" s="281"/>
      <c r="S561" s="281"/>
      <c r="T561" s="281"/>
      <c r="U561" s="281"/>
      <c r="V561" s="281"/>
      <c r="W561" s="281"/>
      <c r="X561" s="281"/>
      <c r="Y561" s="281"/>
      <c r="Z561" s="281"/>
      <c r="AA561" s="281"/>
      <c r="AB561" s="281"/>
      <c r="AC561" s="281"/>
      <c r="AD561" s="281"/>
      <c r="AE561" s="281"/>
    </row>
    <row r="562" spans="15:31">
      <c r="O562" s="281"/>
      <c r="P562" s="281"/>
      <c r="Q562" s="281"/>
      <c r="R562" s="281"/>
      <c r="S562" s="281"/>
      <c r="T562" s="281"/>
      <c r="U562" s="281"/>
      <c r="V562" s="281"/>
      <c r="W562" s="281"/>
      <c r="X562" s="281"/>
      <c r="Y562" s="281"/>
      <c r="Z562" s="281"/>
      <c r="AA562" s="281"/>
      <c r="AB562" s="281"/>
      <c r="AC562" s="281"/>
      <c r="AD562" s="281"/>
      <c r="AE562" s="281"/>
    </row>
    <row r="563" spans="15:31">
      <c r="O563" s="281"/>
      <c r="P563" s="281"/>
      <c r="Q563" s="281"/>
      <c r="R563" s="281"/>
      <c r="S563" s="281"/>
      <c r="T563" s="281"/>
      <c r="U563" s="281"/>
      <c r="V563" s="281"/>
      <c r="W563" s="281"/>
      <c r="X563" s="281"/>
      <c r="Y563" s="281"/>
      <c r="Z563" s="281"/>
      <c r="AA563" s="281"/>
      <c r="AB563" s="281"/>
      <c r="AC563" s="281"/>
      <c r="AD563" s="281"/>
      <c r="AE563" s="281"/>
    </row>
    <row r="564" spans="15:31">
      <c r="O564" s="281"/>
      <c r="P564" s="281"/>
      <c r="Q564" s="281"/>
      <c r="R564" s="281"/>
      <c r="S564" s="281"/>
      <c r="T564" s="281"/>
      <c r="U564" s="281"/>
      <c r="V564" s="281"/>
      <c r="W564" s="281"/>
      <c r="X564" s="281"/>
      <c r="Y564" s="281"/>
      <c r="Z564" s="281"/>
      <c r="AA564" s="281"/>
      <c r="AB564" s="281"/>
      <c r="AC564" s="281"/>
      <c r="AD564" s="281"/>
      <c r="AE564" s="281"/>
    </row>
    <row r="565" spans="15:31">
      <c r="O565" s="281"/>
      <c r="P565" s="281"/>
      <c r="Q565" s="281"/>
      <c r="R565" s="281"/>
      <c r="S565" s="281"/>
      <c r="T565" s="281"/>
      <c r="U565" s="281"/>
      <c r="V565" s="281"/>
      <c r="W565" s="281"/>
      <c r="X565" s="281"/>
      <c r="Y565" s="281"/>
      <c r="Z565" s="281"/>
      <c r="AA565" s="281"/>
      <c r="AB565" s="281"/>
      <c r="AC565" s="281"/>
      <c r="AD565" s="281"/>
      <c r="AE565" s="281"/>
    </row>
    <row r="566" spans="15:31">
      <c r="O566" s="281"/>
      <c r="P566" s="281"/>
      <c r="Q566" s="281"/>
      <c r="R566" s="281"/>
      <c r="S566" s="281"/>
      <c r="T566" s="281"/>
      <c r="U566" s="281"/>
      <c r="V566" s="281"/>
      <c r="W566" s="281"/>
      <c r="X566" s="281"/>
      <c r="Y566" s="281"/>
      <c r="Z566" s="281"/>
      <c r="AA566" s="281"/>
      <c r="AB566" s="281"/>
      <c r="AC566" s="281"/>
      <c r="AD566" s="281"/>
      <c r="AE566" s="281"/>
    </row>
    <row r="567" spans="15:31">
      <c r="O567" s="281"/>
      <c r="P567" s="281"/>
      <c r="Q567" s="281"/>
      <c r="R567" s="281"/>
      <c r="S567" s="281"/>
      <c r="T567" s="281"/>
      <c r="U567" s="281"/>
      <c r="V567" s="281"/>
      <c r="W567" s="281"/>
      <c r="X567" s="281"/>
      <c r="Y567" s="281"/>
      <c r="Z567" s="281"/>
      <c r="AA567" s="281"/>
      <c r="AB567" s="281"/>
      <c r="AC567" s="281"/>
      <c r="AD567" s="281"/>
      <c r="AE567" s="281"/>
    </row>
    <row r="568" spans="15:31">
      <c r="O568" s="281"/>
      <c r="P568" s="281"/>
      <c r="Q568" s="281"/>
      <c r="R568" s="281"/>
      <c r="S568" s="281"/>
      <c r="T568" s="281"/>
      <c r="U568" s="281"/>
      <c r="V568" s="281"/>
      <c r="W568" s="281"/>
      <c r="X568" s="281"/>
      <c r="Y568" s="281"/>
      <c r="Z568" s="281"/>
      <c r="AA568" s="281"/>
      <c r="AB568" s="281"/>
      <c r="AC568" s="281"/>
      <c r="AD568" s="281"/>
      <c r="AE568" s="281"/>
    </row>
    <row r="569" spans="15:31">
      <c r="O569" s="281"/>
      <c r="P569" s="281"/>
      <c r="Q569" s="281"/>
      <c r="R569" s="281"/>
      <c r="S569" s="281"/>
      <c r="T569" s="281"/>
      <c r="U569" s="281"/>
      <c r="V569" s="281"/>
      <c r="W569" s="281"/>
      <c r="X569" s="281"/>
      <c r="Y569" s="281"/>
      <c r="Z569" s="281"/>
      <c r="AA569" s="281"/>
      <c r="AB569" s="281"/>
      <c r="AC569" s="281"/>
      <c r="AD569" s="281"/>
      <c r="AE569" s="281"/>
    </row>
    <row r="570" spans="15:31">
      <c r="O570" s="281"/>
      <c r="P570" s="281"/>
      <c r="Q570" s="281"/>
      <c r="R570" s="281"/>
      <c r="S570" s="281"/>
      <c r="T570" s="281"/>
      <c r="U570" s="281"/>
      <c r="V570" s="281"/>
      <c r="W570" s="281"/>
      <c r="X570" s="281"/>
      <c r="Y570" s="281"/>
      <c r="Z570" s="281"/>
      <c r="AA570" s="281"/>
      <c r="AB570" s="281"/>
      <c r="AC570" s="281"/>
      <c r="AD570" s="281"/>
      <c r="AE570" s="281"/>
    </row>
    <row r="571" spans="15:31">
      <c r="O571" s="281"/>
      <c r="P571" s="281"/>
      <c r="Q571" s="281"/>
      <c r="R571" s="281"/>
      <c r="S571" s="281"/>
      <c r="T571" s="281"/>
      <c r="U571" s="281"/>
      <c r="V571" s="281"/>
      <c r="W571" s="281"/>
      <c r="X571" s="281"/>
      <c r="Y571" s="281"/>
      <c r="Z571" s="281"/>
      <c r="AA571" s="281"/>
      <c r="AB571" s="281"/>
      <c r="AC571" s="281"/>
      <c r="AD571" s="281"/>
      <c r="AE571" s="281"/>
    </row>
    <row r="572" spans="15:31">
      <c r="O572" s="281"/>
      <c r="P572" s="281"/>
      <c r="Q572" s="281"/>
      <c r="R572" s="281"/>
      <c r="S572" s="281"/>
      <c r="T572" s="281"/>
      <c r="U572" s="281"/>
      <c r="V572" s="281"/>
      <c r="W572" s="281"/>
      <c r="X572" s="281"/>
      <c r="Y572" s="281"/>
      <c r="Z572" s="281"/>
      <c r="AA572" s="281"/>
      <c r="AB572" s="281"/>
      <c r="AC572" s="281"/>
      <c r="AD572" s="281"/>
      <c r="AE572" s="281"/>
    </row>
    <row r="573" spans="15:31">
      <c r="O573" s="281"/>
      <c r="P573" s="281"/>
      <c r="Q573" s="281"/>
      <c r="R573" s="281"/>
      <c r="S573" s="281"/>
      <c r="T573" s="281"/>
      <c r="U573" s="281"/>
      <c r="V573" s="281"/>
      <c r="W573" s="281"/>
      <c r="X573" s="281"/>
      <c r="Y573" s="281"/>
      <c r="Z573" s="281"/>
      <c r="AA573" s="281"/>
      <c r="AB573" s="281"/>
      <c r="AC573" s="281"/>
      <c r="AD573" s="281"/>
      <c r="AE573" s="281"/>
    </row>
    <row r="574" spans="15:31">
      <c r="O574" s="281"/>
      <c r="P574" s="281"/>
      <c r="Q574" s="281"/>
      <c r="R574" s="281"/>
      <c r="S574" s="281"/>
      <c r="T574" s="281"/>
      <c r="U574" s="281"/>
      <c r="V574" s="281"/>
      <c r="W574" s="281"/>
      <c r="X574" s="281"/>
      <c r="Y574" s="281"/>
      <c r="Z574" s="281"/>
      <c r="AA574" s="281"/>
      <c r="AB574" s="281"/>
      <c r="AC574" s="281"/>
      <c r="AD574" s="281"/>
      <c r="AE574" s="281"/>
    </row>
    <row r="575" spans="15:31">
      <c r="O575" s="281"/>
      <c r="P575" s="281"/>
      <c r="Q575" s="281"/>
      <c r="R575" s="281"/>
      <c r="S575" s="281"/>
      <c r="T575" s="281"/>
      <c r="U575" s="281"/>
      <c r="V575" s="281"/>
      <c r="W575" s="281"/>
      <c r="X575" s="281"/>
      <c r="Y575" s="281"/>
      <c r="Z575" s="281"/>
      <c r="AA575" s="281"/>
      <c r="AB575" s="281"/>
      <c r="AC575" s="281"/>
      <c r="AD575" s="281"/>
      <c r="AE575" s="281"/>
    </row>
    <row r="576" spans="15:31">
      <c r="O576" s="281"/>
      <c r="P576" s="281"/>
      <c r="Q576" s="281"/>
      <c r="R576" s="281"/>
      <c r="S576" s="281"/>
      <c r="T576" s="281"/>
      <c r="U576" s="281"/>
      <c r="V576" s="281"/>
      <c r="W576" s="281"/>
      <c r="X576" s="281"/>
      <c r="Y576" s="281"/>
      <c r="Z576" s="281"/>
      <c r="AA576" s="281"/>
      <c r="AB576" s="281"/>
      <c r="AC576" s="281"/>
      <c r="AD576" s="281"/>
      <c r="AE576" s="281"/>
    </row>
    <row r="577" spans="15:31">
      <c r="O577" s="281"/>
      <c r="P577" s="281"/>
      <c r="Q577" s="281"/>
      <c r="R577" s="281"/>
      <c r="S577" s="281"/>
      <c r="T577" s="281"/>
      <c r="U577" s="281"/>
      <c r="V577" s="281"/>
      <c r="W577" s="281"/>
      <c r="X577" s="281"/>
      <c r="Y577" s="281"/>
      <c r="Z577" s="281"/>
      <c r="AA577" s="281"/>
      <c r="AB577" s="281"/>
      <c r="AC577" s="281"/>
      <c r="AD577" s="281"/>
      <c r="AE577" s="281"/>
    </row>
    <row r="578" spans="15:31">
      <c r="O578" s="281"/>
      <c r="P578" s="281"/>
      <c r="Q578" s="281"/>
      <c r="R578" s="281"/>
      <c r="S578" s="281"/>
      <c r="T578" s="281"/>
      <c r="U578" s="281"/>
      <c r="V578" s="281"/>
      <c r="W578" s="281"/>
      <c r="X578" s="281"/>
      <c r="Y578" s="281"/>
      <c r="Z578" s="281"/>
      <c r="AA578" s="281"/>
      <c r="AB578" s="281"/>
      <c r="AC578" s="281"/>
      <c r="AD578" s="281"/>
      <c r="AE578" s="281"/>
    </row>
    <row r="579" spans="15:31">
      <c r="O579" s="281"/>
      <c r="P579" s="281"/>
      <c r="Q579" s="281"/>
      <c r="R579" s="281"/>
      <c r="S579" s="281"/>
      <c r="T579" s="281"/>
      <c r="U579" s="281"/>
      <c r="V579" s="281"/>
      <c r="W579" s="281"/>
      <c r="X579" s="281"/>
      <c r="Y579" s="281"/>
      <c r="Z579" s="281"/>
      <c r="AA579" s="281"/>
      <c r="AB579" s="281"/>
      <c r="AC579" s="281"/>
      <c r="AD579" s="281"/>
      <c r="AE579" s="281"/>
    </row>
    <row r="580" spans="15:31">
      <c r="O580" s="281"/>
      <c r="P580" s="281"/>
      <c r="Q580" s="281"/>
      <c r="R580" s="281"/>
      <c r="S580" s="281"/>
      <c r="T580" s="281"/>
      <c r="U580" s="281"/>
      <c r="V580" s="281"/>
      <c r="W580" s="281"/>
      <c r="X580" s="281"/>
      <c r="Y580" s="281"/>
      <c r="Z580" s="281"/>
      <c r="AA580" s="281"/>
      <c r="AB580" s="281"/>
      <c r="AC580" s="281"/>
      <c r="AD580" s="281"/>
      <c r="AE580" s="281"/>
    </row>
    <row r="581" spans="15:31">
      <c r="O581" s="281"/>
      <c r="P581" s="281"/>
      <c r="Q581" s="281"/>
      <c r="R581" s="281"/>
      <c r="S581" s="281"/>
      <c r="T581" s="281"/>
      <c r="U581" s="281"/>
      <c r="V581" s="281"/>
      <c r="W581" s="281"/>
      <c r="X581" s="281"/>
      <c r="Y581" s="281"/>
      <c r="Z581" s="281"/>
      <c r="AA581" s="281"/>
      <c r="AB581" s="281"/>
      <c r="AC581" s="281"/>
      <c r="AD581" s="281"/>
      <c r="AE581" s="281"/>
    </row>
    <row r="582" spans="15:31">
      <c r="O582" s="281"/>
      <c r="P582" s="281"/>
      <c r="Q582" s="281"/>
      <c r="R582" s="281"/>
      <c r="S582" s="281"/>
      <c r="T582" s="281"/>
      <c r="U582" s="281"/>
      <c r="V582" s="281"/>
      <c r="W582" s="281"/>
      <c r="X582" s="281"/>
      <c r="Y582" s="281"/>
      <c r="Z582" s="281"/>
      <c r="AA582" s="281"/>
      <c r="AB582" s="281"/>
      <c r="AC582" s="281"/>
      <c r="AD582" s="281"/>
      <c r="AE582" s="281"/>
    </row>
    <row r="583" spans="15:31">
      <c r="O583" s="281"/>
      <c r="P583" s="281"/>
      <c r="Q583" s="281"/>
      <c r="R583" s="281"/>
      <c r="S583" s="281"/>
      <c r="T583" s="281"/>
      <c r="U583" s="281"/>
      <c r="V583" s="281"/>
      <c r="W583" s="281"/>
      <c r="X583" s="281"/>
      <c r="Y583" s="281"/>
      <c r="Z583" s="281"/>
      <c r="AA583" s="281"/>
      <c r="AB583" s="281"/>
      <c r="AC583" s="281"/>
      <c r="AD583" s="281"/>
      <c r="AE583" s="281"/>
    </row>
    <row r="584" spans="15:31">
      <c r="O584" s="281"/>
      <c r="P584" s="281"/>
      <c r="Q584" s="281"/>
      <c r="R584" s="281"/>
      <c r="S584" s="281"/>
      <c r="T584" s="281"/>
      <c r="U584" s="281"/>
      <c r="V584" s="281"/>
      <c r="W584" s="281"/>
      <c r="X584" s="281"/>
      <c r="Y584" s="281"/>
      <c r="Z584" s="281"/>
      <c r="AA584" s="281"/>
      <c r="AB584" s="281"/>
      <c r="AC584" s="281"/>
      <c r="AD584" s="281"/>
      <c r="AE584" s="281"/>
    </row>
    <row r="585" spans="15:31">
      <c r="O585" s="281"/>
      <c r="P585" s="281"/>
      <c r="Q585" s="281"/>
      <c r="R585" s="281"/>
      <c r="S585" s="281"/>
      <c r="T585" s="281"/>
      <c r="U585" s="281"/>
      <c r="V585" s="281"/>
      <c r="W585" s="281"/>
      <c r="X585" s="281"/>
      <c r="Y585" s="281"/>
      <c r="Z585" s="281"/>
      <c r="AA585" s="281"/>
      <c r="AB585" s="281"/>
      <c r="AC585" s="281"/>
      <c r="AD585" s="281"/>
      <c r="AE585" s="281"/>
    </row>
    <row r="586" spans="15:31">
      <c r="O586" s="281"/>
      <c r="P586" s="281"/>
      <c r="Q586" s="281"/>
      <c r="R586" s="281"/>
      <c r="S586" s="281"/>
      <c r="T586" s="281"/>
      <c r="U586" s="281"/>
      <c r="V586" s="281"/>
      <c r="W586" s="281"/>
      <c r="X586" s="281"/>
      <c r="Y586" s="281"/>
      <c r="Z586" s="281"/>
      <c r="AA586" s="281"/>
      <c r="AB586" s="281"/>
      <c r="AC586" s="281"/>
      <c r="AD586" s="281"/>
      <c r="AE586" s="281"/>
    </row>
    <row r="587" spans="15:31">
      <c r="O587" s="281"/>
      <c r="P587" s="281"/>
      <c r="Q587" s="281"/>
      <c r="R587" s="281"/>
      <c r="S587" s="281"/>
      <c r="T587" s="281"/>
      <c r="U587" s="281"/>
      <c r="V587" s="281"/>
      <c r="W587" s="281"/>
      <c r="X587" s="281"/>
      <c r="Y587" s="281"/>
      <c r="Z587" s="281"/>
      <c r="AA587" s="281"/>
      <c r="AB587" s="281"/>
      <c r="AC587" s="281"/>
      <c r="AD587" s="281"/>
      <c r="AE587" s="281"/>
    </row>
    <row r="588" spans="15:31">
      <c r="O588" s="281"/>
      <c r="P588" s="281"/>
      <c r="Q588" s="281"/>
      <c r="R588" s="281"/>
      <c r="S588" s="281"/>
      <c r="T588" s="281"/>
      <c r="U588" s="281"/>
      <c r="V588" s="281"/>
      <c r="W588" s="281"/>
      <c r="X588" s="281"/>
      <c r="Y588" s="281"/>
      <c r="Z588" s="281"/>
      <c r="AA588" s="281"/>
      <c r="AB588" s="281"/>
      <c r="AC588" s="281"/>
      <c r="AD588" s="281"/>
      <c r="AE588" s="281"/>
    </row>
    <row r="589" spans="15:31">
      <c r="O589" s="281"/>
      <c r="P589" s="281"/>
      <c r="Q589" s="281"/>
      <c r="R589" s="281"/>
      <c r="S589" s="281"/>
      <c r="T589" s="281"/>
      <c r="U589" s="281"/>
      <c r="V589" s="281"/>
      <c r="W589" s="281"/>
      <c r="X589" s="281"/>
      <c r="Y589" s="281"/>
      <c r="Z589" s="281"/>
      <c r="AA589" s="281"/>
      <c r="AB589" s="281"/>
      <c r="AC589" s="281"/>
      <c r="AD589" s="281"/>
      <c r="AE589" s="281"/>
    </row>
    <row r="590" spans="15:31">
      <c r="O590" s="281"/>
      <c r="P590" s="281"/>
      <c r="Q590" s="281"/>
      <c r="R590" s="281"/>
      <c r="S590" s="281"/>
      <c r="T590" s="281"/>
      <c r="U590" s="281"/>
      <c r="V590" s="281"/>
      <c r="W590" s="281"/>
      <c r="X590" s="281"/>
      <c r="Y590" s="281"/>
      <c r="Z590" s="281"/>
      <c r="AA590" s="281"/>
      <c r="AB590" s="281"/>
      <c r="AC590" s="281"/>
      <c r="AD590" s="281"/>
      <c r="AE590" s="281"/>
    </row>
    <row r="591" spans="15:31">
      <c r="O591" s="281"/>
      <c r="P591" s="281"/>
      <c r="Q591" s="281"/>
      <c r="R591" s="281"/>
      <c r="S591" s="281"/>
      <c r="T591" s="281"/>
      <c r="U591" s="281"/>
      <c r="V591" s="281"/>
      <c r="W591" s="281"/>
      <c r="X591" s="281"/>
      <c r="Y591" s="281"/>
      <c r="Z591" s="281"/>
      <c r="AA591" s="281"/>
      <c r="AB591" s="281"/>
      <c r="AC591" s="281"/>
      <c r="AD591" s="281"/>
      <c r="AE591" s="281"/>
    </row>
    <row r="592" spans="15:31"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</row>
    <row r="593" spans="15:31">
      <c r="O593" s="281"/>
      <c r="P593" s="281"/>
      <c r="Q593" s="281"/>
      <c r="R593" s="281"/>
      <c r="S593" s="281"/>
      <c r="T593" s="281"/>
      <c r="U593" s="281"/>
      <c r="V593" s="281"/>
      <c r="W593" s="281"/>
      <c r="X593" s="281"/>
      <c r="Y593" s="281"/>
      <c r="Z593" s="281"/>
      <c r="AA593" s="281"/>
      <c r="AB593" s="281"/>
      <c r="AC593" s="281"/>
      <c r="AD593" s="281"/>
      <c r="AE593" s="281"/>
    </row>
    <row r="594" spans="15:31">
      <c r="O594" s="281"/>
      <c r="P594" s="281"/>
      <c r="Q594" s="281"/>
      <c r="R594" s="281"/>
      <c r="S594" s="281"/>
      <c r="T594" s="281"/>
      <c r="U594" s="281"/>
      <c r="V594" s="281"/>
      <c r="W594" s="281"/>
      <c r="X594" s="281"/>
      <c r="Y594" s="281"/>
      <c r="Z594" s="281"/>
      <c r="AA594" s="281"/>
      <c r="AB594" s="281"/>
      <c r="AC594" s="281"/>
      <c r="AD594" s="281"/>
      <c r="AE594" s="281"/>
    </row>
    <row r="595" spans="15:31"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</row>
    <row r="596" spans="15:31">
      <c r="O596" s="281"/>
      <c r="P596" s="281"/>
      <c r="Q596" s="281"/>
      <c r="R596" s="281"/>
      <c r="S596" s="281"/>
      <c r="T596" s="281"/>
      <c r="U596" s="281"/>
      <c r="V596" s="281"/>
      <c r="W596" s="281"/>
      <c r="X596" s="281"/>
      <c r="Y596" s="281"/>
      <c r="Z596" s="281"/>
      <c r="AA596" s="281"/>
      <c r="AB596" s="281"/>
      <c r="AC596" s="281"/>
      <c r="AD596" s="281"/>
      <c r="AE596" s="281"/>
    </row>
    <row r="597" spans="15:31">
      <c r="O597" s="281"/>
      <c r="P597" s="281"/>
      <c r="Q597" s="281"/>
      <c r="R597" s="281"/>
      <c r="S597" s="281"/>
      <c r="T597" s="281"/>
      <c r="U597" s="281"/>
      <c r="V597" s="281"/>
      <c r="W597" s="281"/>
      <c r="X597" s="281"/>
      <c r="Y597" s="281"/>
      <c r="Z597" s="281"/>
      <c r="AA597" s="281"/>
      <c r="AB597" s="281"/>
      <c r="AC597" s="281"/>
      <c r="AD597" s="281"/>
      <c r="AE597" s="281"/>
    </row>
    <row r="598" spans="15:31">
      <c r="O598" s="281"/>
      <c r="P598" s="281"/>
      <c r="Q598" s="281"/>
      <c r="R598" s="281"/>
      <c r="S598" s="281"/>
      <c r="T598" s="281"/>
      <c r="U598" s="281"/>
      <c r="V598" s="281"/>
      <c r="W598" s="281"/>
      <c r="X598" s="281"/>
      <c r="Y598" s="281"/>
      <c r="Z598" s="281"/>
      <c r="AA598" s="281"/>
      <c r="AB598" s="281"/>
      <c r="AC598" s="281"/>
      <c r="AD598" s="281"/>
      <c r="AE598" s="281"/>
    </row>
    <row r="599" spans="15:31">
      <c r="O599" s="281"/>
      <c r="P599" s="281"/>
      <c r="Q599" s="281"/>
      <c r="R599" s="281"/>
      <c r="S599" s="281"/>
      <c r="T599" s="281"/>
      <c r="U599" s="281"/>
      <c r="V599" s="281"/>
      <c r="W599" s="281"/>
      <c r="X599" s="281"/>
      <c r="Y599" s="281"/>
      <c r="Z599" s="281"/>
      <c r="AA599" s="281"/>
      <c r="AB599" s="281"/>
      <c r="AC599" s="281"/>
      <c r="AD599" s="281"/>
      <c r="AE599" s="281"/>
    </row>
    <row r="600" spans="15:31">
      <c r="O600" s="281"/>
      <c r="P600" s="281"/>
      <c r="Q600" s="281"/>
      <c r="R600" s="281"/>
      <c r="S600" s="281"/>
      <c r="T600" s="281"/>
      <c r="U600" s="281"/>
      <c r="V600" s="281"/>
      <c r="W600" s="281"/>
      <c r="X600" s="281"/>
      <c r="Y600" s="281"/>
      <c r="Z600" s="281"/>
      <c r="AA600" s="281"/>
      <c r="AB600" s="281"/>
      <c r="AC600" s="281"/>
      <c r="AD600" s="281"/>
      <c r="AE600" s="281"/>
    </row>
    <row r="601" spans="15:31">
      <c r="O601" s="281"/>
      <c r="P601" s="281"/>
      <c r="Q601" s="281"/>
      <c r="R601" s="281"/>
      <c r="S601" s="281"/>
      <c r="T601" s="281"/>
      <c r="U601" s="281"/>
      <c r="V601" s="281"/>
      <c r="W601" s="281"/>
      <c r="X601" s="281"/>
      <c r="Y601" s="281"/>
      <c r="Z601" s="281"/>
      <c r="AA601" s="281"/>
      <c r="AB601" s="281"/>
      <c r="AC601" s="281"/>
      <c r="AD601" s="281"/>
      <c r="AE601" s="281"/>
    </row>
    <row r="602" spans="15:31">
      <c r="O602" s="281"/>
      <c r="P602" s="281"/>
      <c r="Q602" s="281"/>
      <c r="R602" s="281"/>
      <c r="S602" s="281"/>
      <c r="T602" s="281"/>
      <c r="U602" s="281"/>
      <c r="V602" s="281"/>
      <c r="W602" s="281"/>
      <c r="X602" s="281"/>
      <c r="Y602" s="281"/>
      <c r="Z602" s="281"/>
      <c r="AA602" s="281"/>
      <c r="AB602" s="281"/>
      <c r="AC602" s="281"/>
      <c r="AD602" s="281"/>
      <c r="AE602" s="281"/>
    </row>
    <row r="603" spans="15:31">
      <c r="O603" s="281"/>
      <c r="P603" s="281"/>
      <c r="Q603" s="281"/>
      <c r="R603" s="281"/>
      <c r="S603" s="281"/>
      <c r="T603" s="281"/>
      <c r="U603" s="281"/>
      <c r="V603" s="281"/>
      <c r="W603" s="281"/>
      <c r="X603" s="281"/>
      <c r="Y603" s="281"/>
      <c r="Z603" s="281"/>
      <c r="AA603" s="281"/>
      <c r="AB603" s="281"/>
      <c r="AC603" s="281"/>
      <c r="AD603" s="281"/>
      <c r="AE603" s="281"/>
    </row>
    <row r="604" spans="15:31">
      <c r="O604" s="281"/>
      <c r="P604" s="281"/>
      <c r="Q604" s="281"/>
      <c r="R604" s="281"/>
      <c r="S604" s="281"/>
      <c r="T604" s="281"/>
      <c r="U604" s="281"/>
      <c r="V604" s="281"/>
      <c r="W604" s="281"/>
      <c r="X604" s="281"/>
      <c r="Y604" s="281"/>
      <c r="Z604" s="281"/>
      <c r="AA604" s="281"/>
      <c r="AB604" s="281"/>
      <c r="AC604" s="281"/>
      <c r="AD604" s="281"/>
      <c r="AE604" s="281"/>
    </row>
    <row r="605" spans="15:31">
      <c r="O605" s="281"/>
      <c r="P605" s="281"/>
      <c r="Q605" s="281"/>
      <c r="R605" s="281"/>
      <c r="S605" s="281"/>
      <c r="T605" s="281"/>
      <c r="U605" s="281"/>
      <c r="V605" s="281"/>
      <c r="W605" s="281"/>
      <c r="X605" s="281"/>
      <c r="Y605" s="281"/>
      <c r="Z605" s="281"/>
      <c r="AA605" s="281"/>
      <c r="AB605" s="281"/>
      <c r="AC605" s="281"/>
      <c r="AD605" s="281"/>
      <c r="AE605" s="281"/>
    </row>
    <row r="606" spans="15:31">
      <c r="O606" s="281"/>
      <c r="P606" s="281"/>
      <c r="Q606" s="281"/>
      <c r="R606" s="281"/>
      <c r="S606" s="281"/>
      <c r="T606" s="281"/>
      <c r="U606" s="281"/>
      <c r="V606" s="281"/>
      <c r="W606" s="281"/>
      <c r="X606" s="281"/>
      <c r="Y606" s="281"/>
      <c r="Z606" s="281"/>
      <c r="AA606" s="281"/>
      <c r="AB606" s="281"/>
      <c r="AC606" s="281"/>
      <c r="AD606" s="281"/>
      <c r="AE606" s="281"/>
    </row>
    <row r="607" spans="15:31">
      <c r="O607" s="281"/>
      <c r="P607" s="281"/>
      <c r="Q607" s="281"/>
      <c r="R607" s="281"/>
      <c r="S607" s="281"/>
      <c r="T607" s="281"/>
      <c r="U607" s="281"/>
      <c r="V607" s="281"/>
      <c r="W607" s="281"/>
      <c r="X607" s="281"/>
      <c r="Y607" s="281"/>
      <c r="Z607" s="281"/>
      <c r="AA607" s="281"/>
      <c r="AB607" s="281"/>
      <c r="AC607" s="281"/>
      <c r="AD607" s="281"/>
      <c r="AE607" s="281"/>
    </row>
    <row r="608" spans="15:31"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</row>
    <row r="609" spans="15:31">
      <c r="O609" s="281"/>
      <c r="P609" s="281"/>
      <c r="Q609" s="281"/>
      <c r="R609" s="281"/>
      <c r="S609" s="281"/>
      <c r="T609" s="281"/>
      <c r="U609" s="281"/>
      <c r="V609" s="281"/>
      <c r="W609" s="281"/>
      <c r="X609" s="281"/>
      <c r="Y609" s="281"/>
      <c r="Z609" s="281"/>
      <c r="AA609" s="281"/>
      <c r="AB609" s="281"/>
      <c r="AC609" s="281"/>
      <c r="AD609" s="281"/>
      <c r="AE609" s="281"/>
    </row>
    <row r="610" spans="15:31">
      <c r="O610" s="281"/>
      <c r="P610" s="281"/>
      <c r="Q610" s="281"/>
      <c r="R610" s="281"/>
      <c r="S610" s="281"/>
      <c r="T610" s="281"/>
      <c r="U610" s="281"/>
      <c r="V610" s="281"/>
      <c r="W610" s="281"/>
      <c r="X610" s="281"/>
      <c r="Y610" s="281"/>
      <c r="Z610" s="281"/>
      <c r="AA610" s="281"/>
      <c r="AB610" s="281"/>
      <c r="AC610" s="281"/>
      <c r="AD610" s="281"/>
      <c r="AE610" s="281"/>
    </row>
    <row r="611" spans="15:31">
      <c r="O611" s="281"/>
      <c r="P611" s="281"/>
      <c r="Q611" s="281"/>
      <c r="R611" s="281"/>
      <c r="S611" s="281"/>
      <c r="T611" s="281"/>
      <c r="U611" s="281"/>
      <c r="V611" s="281"/>
      <c r="W611" s="281"/>
      <c r="X611" s="281"/>
      <c r="Y611" s="281"/>
      <c r="Z611" s="281"/>
      <c r="AA611" s="281"/>
      <c r="AB611" s="281"/>
      <c r="AC611" s="281"/>
      <c r="AD611" s="281"/>
      <c r="AE611" s="281"/>
    </row>
    <row r="612" spans="15:31">
      <c r="O612" s="281"/>
      <c r="P612" s="281"/>
      <c r="Q612" s="281"/>
      <c r="R612" s="281"/>
      <c r="S612" s="281"/>
      <c r="T612" s="281"/>
      <c r="U612" s="281"/>
      <c r="V612" s="281"/>
      <c r="W612" s="281"/>
      <c r="X612" s="281"/>
      <c r="Y612" s="281"/>
      <c r="Z612" s="281"/>
      <c r="AA612" s="281"/>
      <c r="AB612" s="281"/>
      <c r="AC612" s="281"/>
      <c r="AD612" s="281"/>
      <c r="AE612" s="281"/>
    </row>
    <row r="613" spans="15:31">
      <c r="O613" s="281"/>
      <c r="P613" s="281"/>
      <c r="Q613" s="281"/>
      <c r="R613" s="281"/>
      <c r="S613" s="281"/>
      <c r="T613" s="281"/>
      <c r="U613" s="281"/>
      <c r="V613" s="281"/>
      <c r="W613" s="281"/>
      <c r="X613" s="281"/>
      <c r="Y613" s="281"/>
      <c r="Z613" s="281"/>
      <c r="AA613" s="281"/>
      <c r="AB613" s="281"/>
      <c r="AC613" s="281"/>
      <c r="AD613" s="281"/>
      <c r="AE613" s="281"/>
    </row>
    <row r="614" spans="15:31">
      <c r="O614" s="281"/>
      <c r="P614" s="281"/>
      <c r="Q614" s="281"/>
      <c r="R614" s="281"/>
      <c r="S614" s="281"/>
      <c r="T614" s="281"/>
      <c r="U614" s="281"/>
      <c r="V614" s="281"/>
      <c r="W614" s="281"/>
      <c r="X614" s="281"/>
      <c r="Y614" s="281"/>
      <c r="Z614" s="281"/>
      <c r="AA614" s="281"/>
      <c r="AB614" s="281"/>
      <c r="AC614" s="281"/>
      <c r="AD614" s="281"/>
      <c r="AE614" s="281"/>
    </row>
    <row r="615" spans="15:31">
      <c r="O615" s="281"/>
      <c r="P615" s="281"/>
      <c r="Q615" s="281"/>
      <c r="R615" s="281"/>
      <c r="S615" s="281"/>
      <c r="T615" s="281"/>
      <c r="U615" s="281"/>
      <c r="V615" s="281"/>
      <c r="W615" s="281"/>
      <c r="X615" s="281"/>
      <c r="Y615" s="281"/>
      <c r="Z615" s="281"/>
      <c r="AA615" s="281"/>
      <c r="AB615" s="281"/>
      <c r="AC615" s="281"/>
      <c r="AD615" s="281"/>
      <c r="AE615" s="281"/>
    </row>
    <row r="616" spans="15:31">
      <c r="O616" s="281"/>
      <c r="P616" s="281"/>
      <c r="Q616" s="281"/>
      <c r="R616" s="281"/>
      <c r="S616" s="281"/>
      <c r="T616" s="281"/>
      <c r="U616" s="281"/>
      <c r="V616" s="281"/>
      <c r="W616" s="281"/>
      <c r="X616" s="281"/>
      <c r="Y616" s="281"/>
      <c r="Z616" s="281"/>
      <c r="AA616" s="281"/>
      <c r="AB616" s="281"/>
      <c r="AC616" s="281"/>
      <c r="AD616" s="281"/>
      <c r="AE616" s="281"/>
    </row>
    <row r="617" spans="15:31">
      <c r="O617" s="281"/>
      <c r="P617" s="281"/>
      <c r="Q617" s="281"/>
      <c r="R617" s="281"/>
      <c r="S617" s="281"/>
      <c r="T617" s="281"/>
      <c r="U617" s="281"/>
      <c r="V617" s="281"/>
      <c r="W617" s="281"/>
      <c r="X617" s="281"/>
      <c r="Y617" s="281"/>
      <c r="Z617" s="281"/>
      <c r="AA617" s="281"/>
      <c r="AB617" s="281"/>
      <c r="AC617" s="281"/>
      <c r="AD617" s="281"/>
      <c r="AE617" s="281"/>
    </row>
    <row r="618" spans="15:31">
      <c r="O618" s="281"/>
      <c r="P618" s="281"/>
      <c r="Q618" s="281"/>
      <c r="R618" s="281"/>
      <c r="S618" s="281"/>
      <c r="T618" s="281"/>
      <c r="U618" s="281"/>
      <c r="V618" s="281"/>
      <c r="W618" s="281"/>
      <c r="X618" s="281"/>
      <c r="Y618" s="281"/>
      <c r="Z618" s="281"/>
      <c r="AA618" s="281"/>
      <c r="AB618" s="281"/>
      <c r="AC618" s="281"/>
      <c r="AD618" s="281"/>
      <c r="AE618" s="281"/>
    </row>
    <row r="619" spans="15:31">
      <c r="O619" s="281"/>
      <c r="P619" s="281"/>
      <c r="Q619" s="281"/>
      <c r="R619" s="281"/>
      <c r="S619" s="281"/>
      <c r="T619" s="281"/>
      <c r="U619" s="281"/>
      <c r="V619" s="281"/>
      <c r="W619" s="281"/>
      <c r="X619" s="281"/>
      <c r="Y619" s="281"/>
      <c r="Z619" s="281"/>
      <c r="AA619" s="281"/>
      <c r="AB619" s="281"/>
      <c r="AC619" s="281"/>
      <c r="AD619" s="281"/>
      <c r="AE619" s="281"/>
    </row>
    <row r="620" spans="15:31">
      <c r="O620" s="281"/>
      <c r="P620" s="281"/>
      <c r="Q620" s="281"/>
      <c r="R620" s="281"/>
      <c r="S620" s="281"/>
      <c r="T620" s="281"/>
      <c r="U620" s="281"/>
      <c r="V620" s="281"/>
      <c r="W620" s="281"/>
      <c r="X620" s="281"/>
      <c r="Y620" s="281"/>
      <c r="Z620" s="281"/>
      <c r="AA620" s="281"/>
      <c r="AB620" s="281"/>
      <c r="AC620" s="281"/>
      <c r="AD620" s="281"/>
      <c r="AE620" s="281"/>
    </row>
    <row r="621" spans="15:31">
      <c r="O621" s="281"/>
      <c r="P621" s="281"/>
      <c r="Q621" s="281"/>
      <c r="R621" s="281"/>
      <c r="S621" s="281"/>
      <c r="T621" s="281"/>
      <c r="U621" s="281"/>
      <c r="V621" s="281"/>
      <c r="W621" s="281"/>
      <c r="X621" s="281"/>
      <c r="Y621" s="281"/>
      <c r="Z621" s="281"/>
      <c r="AA621" s="281"/>
      <c r="AB621" s="281"/>
      <c r="AC621" s="281"/>
      <c r="AD621" s="281"/>
      <c r="AE621" s="281"/>
    </row>
    <row r="622" spans="15:31">
      <c r="O622" s="281"/>
      <c r="P622" s="281"/>
      <c r="Q622" s="281"/>
      <c r="R622" s="281"/>
      <c r="S622" s="281"/>
      <c r="T622" s="281"/>
      <c r="U622" s="281"/>
      <c r="V622" s="281"/>
      <c r="W622" s="281"/>
      <c r="X622" s="281"/>
      <c r="Y622" s="281"/>
      <c r="Z622" s="281"/>
      <c r="AA622" s="281"/>
      <c r="AB622" s="281"/>
      <c r="AC622" s="281"/>
      <c r="AD622" s="281"/>
      <c r="AE622" s="281"/>
    </row>
    <row r="623" spans="15:31">
      <c r="O623" s="281"/>
      <c r="P623" s="281"/>
      <c r="Q623" s="281"/>
      <c r="R623" s="281"/>
      <c r="S623" s="281"/>
      <c r="T623" s="281"/>
      <c r="U623" s="281"/>
      <c r="V623" s="281"/>
      <c r="W623" s="281"/>
      <c r="X623" s="281"/>
      <c r="Y623" s="281"/>
      <c r="Z623" s="281"/>
      <c r="AA623" s="281"/>
      <c r="AB623" s="281"/>
      <c r="AC623" s="281"/>
      <c r="AD623" s="281"/>
      <c r="AE623" s="281"/>
    </row>
    <row r="624" spans="15:31"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</row>
    <row r="625" spans="15:31">
      <c r="O625" s="281"/>
      <c r="P625" s="281"/>
      <c r="Q625" s="281"/>
      <c r="R625" s="281"/>
      <c r="S625" s="281"/>
      <c r="T625" s="281"/>
      <c r="U625" s="281"/>
      <c r="V625" s="281"/>
      <c r="W625" s="281"/>
      <c r="X625" s="281"/>
      <c r="Y625" s="281"/>
      <c r="Z625" s="281"/>
      <c r="AA625" s="281"/>
      <c r="AB625" s="281"/>
      <c r="AC625" s="281"/>
      <c r="AD625" s="281"/>
      <c r="AE625" s="281"/>
    </row>
    <row r="626" spans="15:31">
      <c r="O626" s="281"/>
      <c r="P626" s="281"/>
      <c r="Q626" s="281"/>
      <c r="R626" s="281"/>
      <c r="S626" s="281"/>
      <c r="T626" s="281"/>
      <c r="U626" s="281"/>
      <c r="V626" s="281"/>
      <c r="W626" s="281"/>
      <c r="X626" s="281"/>
      <c r="Y626" s="281"/>
      <c r="Z626" s="281"/>
      <c r="AA626" s="281"/>
      <c r="AB626" s="281"/>
      <c r="AC626" s="281"/>
      <c r="AD626" s="281"/>
      <c r="AE626" s="281"/>
    </row>
    <row r="627" spans="15:31">
      <c r="O627" s="281"/>
      <c r="P627" s="281"/>
      <c r="Q627" s="281"/>
      <c r="R627" s="281"/>
      <c r="S627" s="281"/>
      <c r="T627" s="281"/>
      <c r="U627" s="281"/>
      <c r="V627" s="281"/>
      <c r="W627" s="281"/>
      <c r="X627" s="281"/>
      <c r="Y627" s="281"/>
      <c r="Z627" s="281"/>
      <c r="AA627" s="281"/>
      <c r="AB627" s="281"/>
      <c r="AC627" s="281"/>
      <c r="AD627" s="281"/>
      <c r="AE627" s="281"/>
    </row>
    <row r="628" spans="15:31">
      <c r="O628" s="281"/>
      <c r="P628" s="281"/>
      <c r="Q628" s="281"/>
      <c r="R628" s="281"/>
      <c r="S628" s="281"/>
      <c r="T628" s="281"/>
      <c r="U628" s="281"/>
      <c r="V628" s="281"/>
      <c r="W628" s="281"/>
      <c r="X628" s="281"/>
      <c r="Y628" s="281"/>
      <c r="Z628" s="281"/>
      <c r="AA628" s="281"/>
      <c r="AB628" s="281"/>
      <c r="AC628" s="281"/>
      <c r="AD628" s="281"/>
      <c r="AE628" s="281"/>
    </row>
    <row r="629" spans="15:31">
      <c r="O629" s="281"/>
      <c r="P629" s="281"/>
      <c r="Q629" s="281"/>
      <c r="R629" s="281"/>
      <c r="S629" s="281"/>
      <c r="T629" s="281"/>
      <c r="U629" s="281"/>
      <c r="V629" s="281"/>
      <c r="W629" s="281"/>
      <c r="X629" s="281"/>
      <c r="Y629" s="281"/>
      <c r="Z629" s="281"/>
      <c r="AA629" s="281"/>
      <c r="AB629" s="281"/>
      <c r="AC629" s="281"/>
      <c r="AD629" s="281"/>
      <c r="AE629" s="281"/>
    </row>
    <row r="630" spans="15:31">
      <c r="O630" s="281"/>
      <c r="P630" s="281"/>
      <c r="Q630" s="281"/>
      <c r="R630" s="281"/>
      <c r="S630" s="281"/>
      <c r="T630" s="281"/>
      <c r="U630" s="281"/>
      <c r="V630" s="281"/>
      <c r="W630" s="281"/>
      <c r="X630" s="281"/>
      <c r="Y630" s="281"/>
      <c r="Z630" s="281"/>
      <c r="AA630" s="281"/>
      <c r="AB630" s="281"/>
      <c r="AC630" s="281"/>
      <c r="AD630" s="281"/>
      <c r="AE630" s="281"/>
    </row>
    <row r="631" spans="15:31">
      <c r="O631" s="281"/>
      <c r="P631" s="281"/>
      <c r="Q631" s="281"/>
      <c r="R631" s="281"/>
      <c r="S631" s="281"/>
      <c r="T631" s="281"/>
      <c r="U631" s="281"/>
      <c r="V631" s="281"/>
      <c r="W631" s="281"/>
      <c r="X631" s="281"/>
      <c r="Y631" s="281"/>
      <c r="Z631" s="281"/>
      <c r="AA631" s="281"/>
      <c r="AB631" s="281"/>
      <c r="AC631" s="281"/>
      <c r="AD631" s="281"/>
      <c r="AE631" s="281"/>
    </row>
    <row r="632" spans="15:31">
      <c r="O632" s="281"/>
      <c r="P632" s="281"/>
      <c r="Q632" s="281"/>
      <c r="R632" s="281"/>
      <c r="S632" s="281"/>
      <c r="T632" s="281"/>
      <c r="U632" s="281"/>
      <c r="V632" s="281"/>
      <c r="W632" s="281"/>
      <c r="X632" s="281"/>
      <c r="Y632" s="281"/>
      <c r="Z632" s="281"/>
      <c r="AA632" s="281"/>
      <c r="AB632" s="281"/>
      <c r="AC632" s="281"/>
      <c r="AD632" s="281"/>
      <c r="AE632" s="281"/>
    </row>
    <row r="633" spans="15:31">
      <c r="O633" s="281"/>
      <c r="P633" s="281"/>
      <c r="Q633" s="281"/>
      <c r="R633" s="281"/>
      <c r="S633" s="281"/>
      <c r="T633" s="281"/>
      <c r="U633" s="281"/>
      <c r="V633" s="281"/>
      <c r="W633" s="281"/>
      <c r="X633" s="281"/>
      <c r="Y633" s="281"/>
      <c r="Z633" s="281"/>
      <c r="AA633" s="281"/>
      <c r="AB633" s="281"/>
      <c r="AC633" s="281"/>
      <c r="AD633" s="281"/>
      <c r="AE633" s="281"/>
    </row>
    <row r="634" spans="15:31">
      <c r="O634" s="281"/>
      <c r="P634" s="281"/>
      <c r="Q634" s="281"/>
      <c r="R634" s="281"/>
      <c r="S634" s="281"/>
      <c r="T634" s="281"/>
      <c r="U634" s="281"/>
      <c r="V634" s="281"/>
      <c r="W634" s="281"/>
      <c r="X634" s="281"/>
      <c r="Y634" s="281"/>
      <c r="Z634" s="281"/>
      <c r="AA634" s="281"/>
      <c r="AB634" s="281"/>
      <c r="AC634" s="281"/>
      <c r="AD634" s="281"/>
      <c r="AE634" s="281"/>
    </row>
    <row r="635" spans="15:31">
      <c r="O635" s="281"/>
      <c r="P635" s="281"/>
      <c r="Q635" s="281"/>
      <c r="R635" s="281"/>
      <c r="S635" s="281"/>
      <c r="T635" s="281"/>
      <c r="U635" s="281"/>
      <c r="V635" s="281"/>
      <c r="W635" s="281"/>
      <c r="X635" s="281"/>
      <c r="Y635" s="281"/>
      <c r="Z635" s="281"/>
      <c r="AA635" s="281"/>
      <c r="AB635" s="281"/>
      <c r="AC635" s="281"/>
      <c r="AD635" s="281"/>
      <c r="AE635" s="281"/>
    </row>
    <row r="636" spans="15:31">
      <c r="O636" s="281"/>
      <c r="P636" s="281"/>
      <c r="Q636" s="281"/>
      <c r="R636" s="281"/>
      <c r="S636" s="281"/>
      <c r="T636" s="281"/>
      <c r="U636" s="281"/>
      <c r="V636" s="281"/>
      <c r="W636" s="281"/>
      <c r="X636" s="281"/>
      <c r="Y636" s="281"/>
      <c r="Z636" s="281"/>
      <c r="AA636" s="281"/>
      <c r="AB636" s="281"/>
      <c r="AC636" s="281"/>
      <c r="AD636" s="281"/>
      <c r="AE636" s="281"/>
    </row>
    <row r="637" spans="15:31">
      <c r="O637" s="281"/>
      <c r="P637" s="281"/>
      <c r="Q637" s="281"/>
      <c r="R637" s="281"/>
      <c r="S637" s="281"/>
      <c r="T637" s="281"/>
      <c r="U637" s="281"/>
      <c r="V637" s="281"/>
      <c r="W637" s="281"/>
      <c r="X637" s="281"/>
      <c r="Y637" s="281"/>
      <c r="Z637" s="281"/>
      <c r="AA637" s="281"/>
      <c r="AB637" s="281"/>
      <c r="AC637" s="281"/>
      <c r="AD637" s="281"/>
      <c r="AE637" s="281"/>
    </row>
    <row r="638" spans="15:31">
      <c r="O638" s="281"/>
      <c r="P638" s="281"/>
      <c r="Q638" s="281"/>
      <c r="R638" s="281"/>
      <c r="S638" s="281"/>
      <c r="T638" s="281"/>
      <c r="U638" s="281"/>
      <c r="V638" s="281"/>
      <c r="W638" s="281"/>
      <c r="X638" s="281"/>
      <c r="Y638" s="281"/>
      <c r="Z638" s="281"/>
      <c r="AA638" s="281"/>
      <c r="AB638" s="281"/>
      <c r="AC638" s="281"/>
      <c r="AD638" s="281"/>
      <c r="AE638" s="281"/>
    </row>
    <row r="639" spans="15:31">
      <c r="O639" s="281"/>
      <c r="P639" s="281"/>
      <c r="Q639" s="281"/>
      <c r="R639" s="281"/>
      <c r="S639" s="281"/>
      <c r="T639" s="281"/>
      <c r="U639" s="281"/>
      <c r="V639" s="281"/>
      <c r="W639" s="281"/>
      <c r="X639" s="281"/>
      <c r="Y639" s="281"/>
      <c r="Z639" s="281"/>
      <c r="AA639" s="281"/>
      <c r="AB639" s="281"/>
      <c r="AC639" s="281"/>
      <c r="AD639" s="281"/>
      <c r="AE639" s="281"/>
    </row>
    <row r="640" spans="15:31">
      <c r="O640" s="281"/>
      <c r="P640" s="281"/>
      <c r="Q640" s="281"/>
      <c r="R640" s="281"/>
      <c r="S640" s="281"/>
      <c r="T640" s="281"/>
      <c r="U640" s="281"/>
      <c r="V640" s="281"/>
      <c r="W640" s="281"/>
      <c r="X640" s="281"/>
      <c r="Y640" s="281"/>
      <c r="Z640" s="281"/>
      <c r="AA640" s="281"/>
      <c r="AB640" s="281"/>
      <c r="AC640" s="281"/>
      <c r="AD640" s="281"/>
      <c r="AE640" s="281"/>
    </row>
    <row r="641" spans="15:31">
      <c r="O641" s="281"/>
      <c r="P641" s="281"/>
      <c r="Q641" s="281"/>
      <c r="R641" s="281"/>
      <c r="S641" s="281"/>
      <c r="T641" s="281"/>
      <c r="U641" s="281"/>
      <c r="V641" s="281"/>
      <c r="W641" s="281"/>
      <c r="X641" s="281"/>
      <c r="Y641" s="281"/>
      <c r="Z641" s="281"/>
      <c r="AA641" s="281"/>
      <c r="AB641" s="281"/>
      <c r="AC641" s="281"/>
      <c r="AD641" s="281"/>
      <c r="AE641" s="281"/>
    </row>
    <row r="642" spans="15:31">
      <c r="O642" s="281"/>
      <c r="P642" s="281"/>
      <c r="Q642" s="281"/>
      <c r="R642" s="281"/>
      <c r="S642" s="281"/>
      <c r="T642" s="281"/>
      <c r="U642" s="281"/>
      <c r="V642" s="281"/>
      <c r="W642" s="281"/>
      <c r="X642" s="281"/>
      <c r="Y642" s="281"/>
      <c r="Z642" s="281"/>
      <c r="AA642" s="281"/>
      <c r="AB642" s="281"/>
      <c r="AC642" s="281"/>
      <c r="AD642" s="281"/>
      <c r="AE642" s="281"/>
    </row>
    <row r="643" spans="15:31">
      <c r="O643" s="281"/>
      <c r="P643" s="281"/>
      <c r="Q643" s="281"/>
      <c r="R643" s="281"/>
      <c r="S643" s="281"/>
      <c r="T643" s="281"/>
      <c r="U643" s="281"/>
      <c r="V643" s="281"/>
      <c r="W643" s="281"/>
      <c r="X643" s="281"/>
      <c r="Y643" s="281"/>
      <c r="Z643" s="281"/>
      <c r="AA643" s="281"/>
      <c r="AB643" s="281"/>
      <c r="AC643" s="281"/>
      <c r="AD643" s="281"/>
      <c r="AE643" s="281"/>
    </row>
    <row r="644" spans="15:31">
      <c r="O644" s="281"/>
      <c r="P644" s="281"/>
      <c r="Q644" s="281"/>
      <c r="R644" s="281"/>
      <c r="S644" s="281"/>
      <c r="T644" s="281"/>
      <c r="U644" s="281"/>
      <c r="V644" s="281"/>
      <c r="W644" s="281"/>
      <c r="X644" s="281"/>
      <c r="Y644" s="281"/>
      <c r="Z644" s="281"/>
      <c r="AA644" s="281"/>
      <c r="AB644" s="281"/>
      <c r="AC644" s="281"/>
      <c r="AD644" s="281"/>
      <c r="AE644" s="281"/>
    </row>
    <row r="645" spans="15:31">
      <c r="O645" s="281"/>
      <c r="P645" s="281"/>
      <c r="Q645" s="281"/>
      <c r="R645" s="281"/>
      <c r="S645" s="281"/>
      <c r="T645" s="281"/>
      <c r="U645" s="281"/>
      <c r="V645" s="281"/>
      <c r="W645" s="281"/>
      <c r="X645" s="281"/>
      <c r="Y645" s="281"/>
      <c r="Z645" s="281"/>
      <c r="AA645" s="281"/>
      <c r="AB645" s="281"/>
      <c r="AC645" s="281"/>
      <c r="AD645" s="281"/>
      <c r="AE645" s="281"/>
    </row>
    <row r="646" spans="15:31">
      <c r="O646" s="281"/>
      <c r="P646" s="281"/>
      <c r="Q646" s="281"/>
      <c r="R646" s="281"/>
      <c r="S646" s="281"/>
      <c r="T646" s="281"/>
      <c r="U646" s="281"/>
      <c r="V646" s="281"/>
      <c r="W646" s="281"/>
      <c r="X646" s="281"/>
      <c r="Y646" s="281"/>
      <c r="Z646" s="281"/>
      <c r="AA646" s="281"/>
      <c r="AB646" s="281"/>
      <c r="AC646" s="281"/>
      <c r="AD646" s="281"/>
      <c r="AE646" s="281"/>
    </row>
    <row r="647" spans="15:31">
      <c r="O647" s="281"/>
      <c r="P647" s="281"/>
      <c r="Q647" s="281"/>
      <c r="R647" s="281"/>
      <c r="S647" s="281"/>
      <c r="T647" s="281"/>
      <c r="U647" s="281"/>
      <c r="V647" s="281"/>
      <c r="W647" s="281"/>
      <c r="X647" s="281"/>
      <c r="Y647" s="281"/>
      <c r="Z647" s="281"/>
      <c r="AA647" s="281"/>
      <c r="AB647" s="281"/>
      <c r="AC647" s="281"/>
      <c r="AD647" s="281"/>
      <c r="AE647" s="281"/>
    </row>
    <row r="648" spans="15:31">
      <c r="O648" s="281"/>
      <c r="P648" s="281"/>
      <c r="Q648" s="281"/>
      <c r="R648" s="281"/>
      <c r="S648" s="281"/>
      <c r="T648" s="281"/>
      <c r="U648" s="281"/>
      <c r="V648" s="281"/>
      <c r="W648" s="281"/>
      <c r="X648" s="281"/>
      <c r="Y648" s="281"/>
      <c r="Z648" s="281"/>
      <c r="AA648" s="281"/>
      <c r="AB648" s="281"/>
      <c r="AC648" s="281"/>
      <c r="AD648" s="281"/>
      <c r="AE648" s="281"/>
    </row>
    <row r="649" spans="15:31">
      <c r="O649" s="281"/>
      <c r="P649" s="281"/>
      <c r="Q649" s="281"/>
      <c r="R649" s="281"/>
      <c r="S649" s="281"/>
      <c r="T649" s="281"/>
      <c r="U649" s="281"/>
      <c r="V649" s="281"/>
      <c r="W649" s="281"/>
      <c r="X649" s="281"/>
      <c r="Y649" s="281"/>
      <c r="Z649" s="281"/>
      <c r="AA649" s="281"/>
      <c r="AB649" s="281"/>
      <c r="AC649" s="281"/>
      <c r="AD649" s="281"/>
      <c r="AE649" s="281"/>
    </row>
    <row r="650" spans="15:31">
      <c r="O650" s="281"/>
      <c r="P650" s="281"/>
      <c r="Q650" s="281"/>
      <c r="R650" s="281"/>
      <c r="S650" s="281"/>
      <c r="T650" s="281"/>
      <c r="U650" s="281"/>
      <c r="V650" s="281"/>
      <c r="W650" s="281"/>
      <c r="X650" s="281"/>
      <c r="Y650" s="281"/>
      <c r="Z650" s="281"/>
      <c r="AA650" s="281"/>
      <c r="AB650" s="281"/>
      <c r="AC650" s="281"/>
      <c r="AD650" s="281"/>
      <c r="AE650" s="281"/>
    </row>
    <row r="651" spans="15:31">
      <c r="O651" s="281"/>
      <c r="P651" s="281"/>
      <c r="Q651" s="281"/>
      <c r="R651" s="281"/>
      <c r="S651" s="281"/>
      <c r="T651" s="281"/>
      <c r="U651" s="281"/>
      <c r="V651" s="281"/>
      <c r="W651" s="281"/>
      <c r="X651" s="281"/>
      <c r="Y651" s="281"/>
      <c r="Z651" s="281"/>
      <c r="AA651" s="281"/>
      <c r="AB651" s="281"/>
      <c r="AC651" s="281"/>
      <c r="AD651" s="281"/>
      <c r="AE651" s="281"/>
    </row>
    <row r="652" spans="15:31">
      <c r="O652" s="281"/>
      <c r="P652" s="281"/>
      <c r="Q652" s="281"/>
      <c r="R652" s="281"/>
      <c r="S652" s="281"/>
      <c r="T652" s="281"/>
      <c r="U652" s="281"/>
      <c r="V652" s="281"/>
      <c r="W652" s="281"/>
      <c r="X652" s="281"/>
      <c r="Y652" s="281"/>
      <c r="Z652" s="281"/>
      <c r="AA652" s="281"/>
      <c r="AB652" s="281"/>
      <c r="AC652" s="281"/>
      <c r="AD652" s="281"/>
      <c r="AE652" s="281"/>
    </row>
    <row r="653" spans="15:31">
      <c r="O653" s="281"/>
      <c r="P653" s="281"/>
      <c r="Q653" s="281"/>
      <c r="R653" s="281"/>
      <c r="S653" s="281"/>
      <c r="T653" s="281"/>
      <c r="U653" s="281"/>
      <c r="V653" s="281"/>
      <c r="W653" s="281"/>
      <c r="X653" s="281"/>
      <c r="Y653" s="281"/>
      <c r="Z653" s="281"/>
      <c r="AA653" s="281"/>
      <c r="AB653" s="281"/>
      <c r="AC653" s="281"/>
      <c r="AD653" s="281"/>
      <c r="AE653" s="281"/>
    </row>
    <row r="654" spans="15:31">
      <c r="O654" s="281"/>
      <c r="P654" s="281"/>
      <c r="Q654" s="281"/>
      <c r="R654" s="281"/>
      <c r="S654" s="281"/>
      <c r="T654" s="281"/>
      <c r="U654" s="281"/>
      <c r="V654" s="281"/>
      <c r="W654" s="281"/>
      <c r="X654" s="281"/>
      <c r="Y654" s="281"/>
      <c r="Z654" s="281"/>
      <c r="AA654" s="281"/>
      <c r="AB654" s="281"/>
      <c r="AC654" s="281"/>
      <c r="AD654" s="281"/>
      <c r="AE654" s="281"/>
    </row>
    <row r="655" spans="15:31">
      <c r="O655" s="281"/>
      <c r="P655" s="281"/>
      <c r="Q655" s="281"/>
      <c r="R655" s="281"/>
      <c r="S655" s="281"/>
      <c r="T655" s="281"/>
      <c r="U655" s="281"/>
      <c r="V655" s="281"/>
      <c r="W655" s="281"/>
      <c r="X655" s="281"/>
      <c r="Y655" s="281"/>
      <c r="Z655" s="281"/>
      <c r="AA655" s="281"/>
      <c r="AB655" s="281"/>
      <c r="AC655" s="281"/>
      <c r="AD655" s="281"/>
      <c r="AE655" s="281"/>
    </row>
    <row r="656" spans="15:31">
      <c r="O656" s="281"/>
      <c r="P656" s="281"/>
      <c r="Q656" s="281"/>
      <c r="R656" s="281"/>
      <c r="S656" s="281"/>
      <c r="T656" s="281"/>
      <c r="U656" s="281"/>
      <c r="V656" s="281"/>
      <c r="W656" s="281"/>
      <c r="X656" s="281"/>
      <c r="Y656" s="281"/>
      <c r="Z656" s="281"/>
      <c r="AA656" s="281"/>
      <c r="AB656" s="281"/>
      <c r="AC656" s="281"/>
      <c r="AD656" s="281"/>
      <c r="AE656" s="281"/>
    </row>
    <row r="657" spans="15:31">
      <c r="O657" s="281"/>
      <c r="P657" s="281"/>
      <c r="Q657" s="281"/>
      <c r="R657" s="281"/>
      <c r="S657" s="281"/>
      <c r="T657" s="281"/>
      <c r="U657" s="281"/>
      <c r="V657" s="281"/>
      <c r="W657" s="281"/>
      <c r="X657" s="281"/>
      <c r="Y657" s="281"/>
      <c r="Z657" s="281"/>
      <c r="AA657" s="281"/>
      <c r="AB657" s="281"/>
      <c r="AC657" s="281"/>
      <c r="AD657" s="281"/>
      <c r="AE657" s="281"/>
    </row>
    <row r="658" spans="15:31">
      <c r="O658" s="281"/>
      <c r="P658" s="281"/>
      <c r="Q658" s="281"/>
      <c r="R658" s="281"/>
      <c r="S658" s="281"/>
      <c r="T658" s="281"/>
      <c r="U658" s="281"/>
      <c r="V658" s="281"/>
      <c r="W658" s="281"/>
      <c r="X658" s="281"/>
      <c r="Y658" s="281"/>
      <c r="Z658" s="281"/>
      <c r="AA658" s="281"/>
      <c r="AB658" s="281"/>
      <c r="AC658" s="281"/>
      <c r="AD658" s="281"/>
      <c r="AE658" s="281"/>
    </row>
    <row r="659" spans="15:31">
      <c r="O659" s="281"/>
      <c r="P659" s="281"/>
      <c r="Q659" s="281"/>
      <c r="R659" s="281"/>
      <c r="S659" s="281"/>
      <c r="T659" s="281"/>
      <c r="U659" s="281"/>
      <c r="V659" s="281"/>
      <c r="W659" s="281"/>
      <c r="X659" s="281"/>
      <c r="Y659" s="281"/>
      <c r="Z659" s="281"/>
      <c r="AA659" s="281"/>
      <c r="AB659" s="281"/>
      <c r="AC659" s="281"/>
      <c r="AD659" s="281"/>
      <c r="AE659" s="281"/>
    </row>
    <row r="660" spans="15:31">
      <c r="O660" s="281"/>
      <c r="P660" s="281"/>
      <c r="Q660" s="281"/>
      <c r="R660" s="281"/>
      <c r="S660" s="281"/>
      <c r="T660" s="281"/>
      <c r="U660" s="281"/>
      <c r="V660" s="281"/>
      <c r="W660" s="281"/>
      <c r="X660" s="281"/>
      <c r="Y660" s="281"/>
      <c r="Z660" s="281"/>
      <c r="AA660" s="281"/>
      <c r="AB660" s="281"/>
      <c r="AC660" s="281"/>
      <c r="AD660" s="281"/>
      <c r="AE660" s="281"/>
    </row>
    <row r="661" spans="15:31">
      <c r="O661" s="281"/>
      <c r="P661" s="281"/>
      <c r="Q661" s="281"/>
      <c r="R661" s="281"/>
      <c r="S661" s="281"/>
      <c r="T661" s="281"/>
      <c r="U661" s="281"/>
      <c r="V661" s="281"/>
      <c r="W661" s="281"/>
      <c r="X661" s="281"/>
      <c r="Y661" s="281"/>
      <c r="Z661" s="281"/>
      <c r="AA661" s="281"/>
      <c r="AB661" s="281"/>
      <c r="AC661" s="281"/>
      <c r="AD661" s="281"/>
      <c r="AE661" s="281"/>
    </row>
    <row r="662" spans="15:31">
      <c r="O662" s="281"/>
      <c r="P662" s="281"/>
      <c r="Q662" s="281"/>
      <c r="R662" s="281"/>
      <c r="S662" s="281"/>
      <c r="T662" s="281"/>
      <c r="U662" s="281"/>
      <c r="V662" s="281"/>
      <c r="W662" s="281"/>
      <c r="X662" s="281"/>
      <c r="Y662" s="281"/>
      <c r="Z662" s="281"/>
      <c r="AA662" s="281"/>
      <c r="AB662" s="281"/>
      <c r="AC662" s="281"/>
      <c r="AD662" s="281"/>
      <c r="AE662" s="281"/>
    </row>
    <row r="663" spans="15:31">
      <c r="O663" s="281"/>
      <c r="P663" s="281"/>
      <c r="Q663" s="281"/>
      <c r="R663" s="281"/>
      <c r="S663" s="281"/>
      <c r="T663" s="281"/>
      <c r="U663" s="281"/>
      <c r="V663" s="281"/>
      <c r="W663" s="281"/>
      <c r="X663" s="281"/>
      <c r="Y663" s="281"/>
      <c r="Z663" s="281"/>
      <c r="AA663" s="281"/>
      <c r="AB663" s="281"/>
      <c r="AC663" s="281"/>
      <c r="AD663" s="281"/>
      <c r="AE663" s="281"/>
    </row>
    <row r="664" spans="15:31">
      <c r="O664" s="281"/>
      <c r="P664" s="281"/>
      <c r="Q664" s="281"/>
      <c r="R664" s="281"/>
      <c r="S664" s="281"/>
      <c r="T664" s="281"/>
      <c r="U664" s="281"/>
      <c r="V664" s="281"/>
      <c r="W664" s="281"/>
      <c r="X664" s="281"/>
      <c r="Y664" s="281"/>
      <c r="Z664" s="281"/>
      <c r="AA664" s="281"/>
      <c r="AB664" s="281"/>
      <c r="AC664" s="281"/>
      <c r="AD664" s="281"/>
      <c r="AE664" s="281"/>
    </row>
    <row r="665" spans="15:31">
      <c r="O665" s="281"/>
      <c r="P665" s="281"/>
      <c r="Q665" s="281"/>
      <c r="R665" s="281"/>
      <c r="S665" s="281"/>
      <c r="T665" s="281"/>
      <c r="U665" s="281"/>
      <c r="V665" s="281"/>
      <c r="W665" s="281"/>
      <c r="X665" s="281"/>
      <c r="Y665" s="281"/>
      <c r="Z665" s="281"/>
      <c r="AA665" s="281"/>
      <c r="AB665" s="281"/>
      <c r="AC665" s="281"/>
      <c r="AD665" s="281"/>
      <c r="AE665" s="281"/>
    </row>
    <row r="666" spans="15:31">
      <c r="O666" s="281"/>
      <c r="P666" s="281"/>
      <c r="Q666" s="281"/>
      <c r="R666" s="281"/>
      <c r="S666" s="281"/>
      <c r="T666" s="281"/>
      <c r="U666" s="281"/>
      <c r="V666" s="281"/>
      <c r="W666" s="281"/>
      <c r="X666" s="281"/>
      <c r="Y666" s="281"/>
      <c r="Z666" s="281"/>
      <c r="AA666" s="281"/>
      <c r="AB666" s="281"/>
      <c r="AC666" s="281"/>
      <c r="AD666" s="281"/>
      <c r="AE666" s="281"/>
    </row>
    <row r="667" spans="15:31">
      <c r="O667" s="281"/>
      <c r="P667" s="281"/>
      <c r="Q667" s="281"/>
      <c r="R667" s="281"/>
      <c r="S667" s="281"/>
      <c r="T667" s="281"/>
      <c r="U667" s="281"/>
      <c r="V667" s="281"/>
      <c r="W667" s="281"/>
      <c r="X667" s="281"/>
      <c r="Y667" s="281"/>
      <c r="Z667" s="281"/>
      <c r="AA667" s="281"/>
      <c r="AB667" s="281"/>
      <c r="AC667" s="281"/>
      <c r="AD667" s="281"/>
      <c r="AE667" s="281"/>
    </row>
    <row r="668" spans="15:31">
      <c r="O668" s="281"/>
      <c r="P668" s="281"/>
      <c r="Q668" s="281"/>
      <c r="R668" s="281"/>
      <c r="S668" s="281"/>
      <c r="T668" s="281"/>
      <c r="U668" s="281"/>
      <c r="V668" s="281"/>
      <c r="W668" s="281"/>
      <c r="X668" s="281"/>
      <c r="Y668" s="281"/>
      <c r="Z668" s="281"/>
      <c r="AA668" s="281"/>
      <c r="AB668" s="281"/>
      <c r="AC668" s="281"/>
      <c r="AD668" s="281"/>
      <c r="AE668" s="281"/>
    </row>
    <row r="669" spans="15:31">
      <c r="O669" s="281"/>
      <c r="P669" s="281"/>
      <c r="Q669" s="281"/>
      <c r="R669" s="281"/>
      <c r="S669" s="281"/>
      <c r="T669" s="281"/>
      <c r="U669" s="281"/>
      <c r="V669" s="281"/>
      <c r="W669" s="281"/>
      <c r="X669" s="281"/>
      <c r="Y669" s="281"/>
      <c r="Z669" s="281"/>
      <c r="AA669" s="281"/>
      <c r="AB669" s="281"/>
      <c r="AC669" s="281"/>
      <c r="AD669" s="281"/>
      <c r="AE669" s="281"/>
    </row>
    <row r="670" spans="15:31">
      <c r="O670" s="281"/>
      <c r="P670" s="281"/>
      <c r="Q670" s="281"/>
      <c r="R670" s="281"/>
      <c r="S670" s="281"/>
      <c r="T670" s="281"/>
      <c r="U670" s="281"/>
      <c r="V670" s="281"/>
      <c r="W670" s="281"/>
      <c r="X670" s="281"/>
      <c r="Y670" s="281"/>
      <c r="Z670" s="281"/>
      <c r="AA670" s="281"/>
      <c r="AB670" s="281"/>
      <c r="AC670" s="281"/>
      <c r="AD670" s="281"/>
      <c r="AE670" s="281"/>
    </row>
    <row r="671" spans="15:31">
      <c r="O671" s="281"/>
      <c r="P671" s="281"/>
      <c r="Q671" s="281"/>
      <c r="R671" s="281"/>
      <c r="S671" s="281"/>
      <c r="T671" s="281"/>
      <c r="U671" s="281"/>
      <c r="V671" s="281"/>
      <c r="W671" s="281"/>
      <c r="X671" s="281"/>
      <c r="Y671" s="281"/>
      <c r="Z671" s="281"/>
      <c r="AA671" s="281"/>
      <c r="AB671" s="281"/>
      <c r="AC671" s="281"/>
      <c r="AD671" s="281"/>
      <c r="AE671" s="281"/>
    </row>
    <row r="672" spans="15:31">
      <c r="O672" s="281"/>
      <c r="P672" s="281"/>
      <c r="Q672" s="281"/>
      <c r="R672" s="281"/>
      <c r="S672" s="281"/>
      <c r="T672" s="281"/>
      <c r="U672" s="281"/>
      <c r="V672" s="281"/>
      <c r="W672" s="281"/>
      <c r="X672" s="281"/>
      <c r="Y672" s="281"/>
      <c r="Z672" s="281"/>
      <c r="AA672" s="281"/>
      <c r="AB672" s="281"/>
      <c r="AC672" s="281"/>
      <c r="AD672" s="281"/>
      <c r="AE672" s="281"/>
    </row>
    <row r="673" spans="15:31">
      <c r="O673" s="281"/>
      <c r="P673" s="281"/>
      <c r="Q673" s="281"/>
      <c r="R673" s="281"/>
      <c r="S673" s="281"/>
      <c r="T673" s="281"/>
      <c r="U673" s="281"/>
      <c r="V673" s="281"/>
      <c r="W673" s="281"/>
      <c r="X673" s="281"/>
      <c r="Y673" s="281"/>
      <c r="Z673" s="281"/>
      <c r="AA673" s="281"/>
      <c r="AB673" s="281"/>
      <c r="AC673" s="281"/>
      <c r="AD673" s="281"/>
      <c r="AE673" s="281"/>
    </row>
    <row r="674" spans="15:31"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</row>
    <row r="675" spans="15:31">
      <c r="O675" s="281"/>
      <c r="P675" s="281"/>
      <c r="Q675" s="281"/>
      <c r="R675" s="281"/>
      <c r="S675" s="281"/>
      <c r="T675" s="281"/>
      <c r="U675" s="281"/>
      <c r="V675" s="281"/>
      <c r="W675" s="281"/>
      <c r="X675" s="281"/>
      <c r="Y675" s="281"/>
      <c r="Z675" s="281"/>
      <c r="AA675" s="281"/>
      <c r="AB675" s="281"/>
      <c r="AC675" s="281"/>
      <c r="AD675" s="281"/>
      <c r="AE675" s="281"/>
    </row>
    <row r="676" spans="15:31">
      <c r="O676" s="281"/>
      <c r="P676" s="281"/>
      <c r="Q676" s="281"/>
      <c r="R676" s="281"/>
      <c r="S676" s="281"/>
      <c r="T676" s="281"/>
      <c r="U676" s="281"/>
      <c r="V676" s="281"/>
      <c r="W676" s="281"/>
      <c r="X676" s="281"/>
      <c r="Y676" s="281"/>
      <c r="Z676" s="281"/>
      <c r="AA676" s="281"/>
      <c r="AB676" s="281"/>
      <c r="AC676" s="281"/>
      <c r="AD676" s="281"/>
      <c r="AE676" s="281"/>
    </row>
    <row r="677" spans="15:31">
      <c r="O677" s="281"/>
      <c r="P677" s="281"/>
      <c r="Q677" s="281"/>
      <c r="R677" s="281"/>
      <c r="S677" s="281"/>
      <c r="T677" s="281"/>
      <c r="U677" s="281"/>
      <c r="V677" s="281"/>
      <c r="W677" s="281"/>
      <c r="X677" s="281"/>
      <c r="Y677" s="281"/>
      <c r="Z677" s="281"/>
      <c r="AA677" s="281"/>
      <c r="AB677" s="281"/>
      <c r="AC677" s="281"/>
      <c r="AD677" s="281"/>
      <c r="AE677" s="281"/>
    </row>
    <row r="678" spans="15:31">
      <c r="O678" s="281"/>
      <c r="P678" s="281"/>
      <c r="Q678" s="281"/>
      <c r="R678" s="281"/>
      <c r="S678" s="281"/>
      <c r="T678" s="281"/>
      <c r="U678" s="281"/>
      <c r="V678" s="281"/>
      <c r="W678" s="281"/>
      <c r="X678" s="281"/>
      <c r="Y678" s="281"/>
      <c r="Z678" s="281"/>
      <c r="AA678" s="281"/>
      <c r="AB678" s="281"/>
      <c r="AC678" s="281"/>
      <c r="AD678" s="281"/>
      <c r="AE678" s="281"/>
    </row>
    <row r="679" spans="15:31">
      <c r="O679" s="281"/>
      <c r="P679" s="281"/>
      <c r="Q679" s="281"/>
      <c r="R679" s="281"/>
      <c r="S679" s="281"/>
      <c r="T679" s="281"/>
      <c r="U679" s="281"/>
      <c r="V679" s="281"/>
      <c r="W679" s="281"/>
      <c r="X679" s="281"/>
      <c r="Y679" s="281"/>
      <c r="Z679" s="281"/>
      <c r="AA679" s="281"/>
      <c r="AB679" s="281"/>
      <c r="AC679" s="281"/>
      <c r="AD679" s="281"/>
      <c r="AE679" s="281"/>
    </row>
    <row r="680" spans="15:31">
      <c r="O680" s="281"/>
      <c r="P680" s="281"/>
      <c r="Q680" s="281"/>
      <c r="R680" s="281"/>
      <c r="S680" s="281"/>
      <c r="T680" s="281"/>
      <c r="U680" s="281"/>
      <c r="V680" s="281"/>
      <c r="W680" s="281"/>
      <c r="X680" s="281"/>
      <c r="Y680" s="281"/>
      <c r="Z680" s="281"/>
      <c r="AA680" s="281"/>
      <c r="AB680" s="281"/>
      <c r="AC680" s="281"/>
      <c r="AD680" s="281"/>
      <c r="AE680" s="281"/>
    </row>
    <row r="681" spans="15:31">
      <c r="O681" s="281"/>
      <c r="P681" s="281"/>
      <c r="Q681" s="281"/>
      <c r="R681" s="281"/>
      <c r="S681" s="281"/>
      <c r="T681" s="281"/>
      <c r="U681" s="281"/>
      <c r="V681" s="281"/>
      <c r="W681" s="281"/>
      <c r="X681" s="281"/>
      <c r="Y681" s="281"/>
      <c r="Z681" s="281"/>
      <c r="AA681" s="281"/>
      <c r="AB681" s="281"/>
      <c r="AC681" s="281"/>
      <c r="AD681" s="281"/>
      <c r="AE681" s="281"/>
    </row>
    <row r="682" spans="15:31">
      <c r="O682" s="281"/>
      <c r="P682" s="281"/>
      <c r="Q682" s="281"/>
      <c r="R682" s="281"/>
      <c r="S682" s="281"/>
      <c r="T682" s="281"/>
      <c r="U682" s="281"/>
      <c r="V682" s="281"/>
      <c r="W682" s="281"/>
      <c r="X682" s="281"/>
      <c r="Y682" s="281"/>
      <c r="Z682" s="281"/>
      <c r="AA682" s="281"/>
      <c r="AB682" s="281"/>
      <c r="AC682" s="281"/>
      <c r="AD682" s="281"/>
      <c r="AE682" s="281"/>
    </row>
    <row r="683" spans="15:31">
      <c r="O683" s="281"/>
      <c r="P683" s="281"/>
      <c r="Q683" s="281"/>
      <c r="R683" s="281"/>
      <c r="S683" s="281"/>
      <c r="T683" s="281"/>
      <c r="U683" s="281"/>
      <c r="V683" s="281"/>
      <c r="W683" s="281"/>
      <c r="X683" s="281"/>
      <c r="Y683" s="281"/>
      <c r="Z683" s="281"/>
      <c r="AA683" s="281"/>
      <c r="AB683" s="281"/>
      <c r="AC683" s="281"/>
      <c r="AD683" s="281"/>
      <c r="AE683" s="281"/>
    </row>
    <row r="684" spans="15:31">
      <c r="O684" s="281"/>
      <c r="P684" s="281"/>
      <c r="Q684" s="281"/>
      <c r="R684" s="281"/>
      <c r="S684" s="281"/>
      <c r="T684" s="281"/>
      <c r="U684" s="281"/>
      <c r="V684" s="281"/>
      <c r="W684" s="281"/>
      <c r="X684" s="281"/>
      <c r="Y684" s="281"/>
      <c r="Z684" s="281"/>
      <c r="AA684" s="281"/>
      <c r="AB684" s="281"/>
      <c r="AC684" s="281"/>
      <c r="AD684" s="281"/>
      <c r="AE684" s="281"/>
    </row>
    <row r="685" spans="15:31">
      <c r="O685" s="281"/>
      <c r="P685" s="281"/>
      <c r="Q685" s="281"/>
      <c r="R685" s="281"/>
      <c r="S685" s="281"/>
      <c r="T685" s="281"/>
      <c r="U685" s="281"/>
      <c r="V685" s="281"/>
      <c r="W685" s="281"/>
      <c r="X685" s="281"/>
      <c r="Y685" s="281"/>
      <c r="Z685" s="281"/>
      <c r="AA685" s="281"/>
      <c r="AB685" s="281"/>
      <c r="AC685" s="281"/>
      <c r="AD685" s="281"/>
      <c r="AE685" s="281"/>
    </row>
    <row r="686" spans="15:31">
      <c r="O686" s="281"/>
      <c r="P686" s="281"/>
      <c r="Q686" s="281"/>
      <c r="R686" s="281"/>
      <c r="S686" s="281"/>
      <c r="T686" s="281"/>
      <c r="U686" s="281"/>
      <c r="V686" s="281"/>
      <c r="W686" s="281"/>
      <c r="X686" s="281"/>
      <c r="Y686" s="281"/>
      <c r="Z686" s="281"/>
      <c r="AA686" s="281"/>
      <c r="AB686" s="281"/>
      <c r="AC686" s="281"/>
      <c r="AD686" s="281"/>
      <c r="AE686" s="281"/>
    </row>
    <row r="687" spans="15:31">
      <c r="O687" s="281"/>
      <c r="P687" s="281"/>
      <c r="Q687" s="281"/>
      <c r="R687" s="281"/>
      <c r="S687" s="281"/>
      <c r="T687" s="281"/>
      <c r="U687" s="281"/>
      <c r="V687" s="281"/>
      <c r="W687" s="281"/>
      <c r="X687" s="281"/>
      <c r="Y687" s="281"/>
      <c r="Z687" s="281"/>
      <c r="AA687" s="281"/>
      <c r="AB687" s="281"/>
      <c r="AC687" s="281"/>
      <c r="AD687" s="281"/>
      <c r="AE687" s="281"/>
    </row>
    <row r="688" spans="15:31"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</row>
    <row r="689" spans="15:31"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</row>
    <row r="690" spans="15:31">
      <c r="O690" s="281"/>
      <c r="P690" s="281"/>
      <c r="Q690" s="281"/>
      <c r="R690" s="281"/>
      <c r="S690" s="281"/>
      <c r="T690" s="281"/>
      <c r="U690" s="281"/>
      <c r="V690" s="281"/>
      <c r="W690" s="281"/>
      <c r="X690" s="281"/>
      <c r="Y690" s="281"/>
      <c r="Z690" s="281"/>
      <c r="AA690" s="281"/>
      <c r="AB690" s="281"/>
      <c r="AC690" s="281"/>
      <c r="AD690" s="281"/>
      <c r="AE690" s="281"/>
    </row>
    <row r="691" spans="15:31">
      <c r="O691" s="281"/>
      <c r="P691" s="281"/>
      <c r="Q691" s="281"/>
      <c r="R691" s="281"/>
      <c r="S691" s="281"/>
      <c r="T691" s="281"/>
      <c r="U691" s="281"/>
      <c r="V691" s="281"/>
      <c r="W691" s="281"/>
      <c r="X691" s="281"/>
      <c r="Y691" s="281"/>
      <c r="Z691" s="281"/>
      <c r="AA691" s="281"/>
      <c r="AB691" s="281"/>
      <c r="AC691" s="281"/>
      <c r="AD691" s="281"/>
      <c r="AE691" s="281"/>
    </row>
    <row r="692" spans="15:31">
      <c r="O692" s="281"/>
      <c r="P692" s="281"/>
      <c r="Q692" s="281"/>
      <c r="R692" s="281"/>
      <c r="S692" s="281"/>
      <c r="T692" s="281"/>
      <c r="U692" s="281"/>
      <c r="V692" s="281"/>
      <c r="W692" s="281"/>
      <c r="X692" s="281"/>
      <c r="Y692" s="281"/>
      <c r="Z692" s="281"/>
      <c r="AA692" s="281"/>
      <c r="AB692" s="281"/>
      <c r="AC692" s="281"/>
      <c r="AD692" s="281"/>
      <c r="AE692" s="281"/>
    </row>
    <row r="693" spans="15:31">
      <c r="O693" s="281"/>
      <c r="P693" s="281"/>
      <c r="Q693" s="281"/>
      <c r="R693" s="281"/>
      <c r="S693" s="281"/>
      <c r="T693" s="281"/>
      <c r="U693" s="281"/>
      <c r="V693" s="281"/>
      <c r="W693" s="281"/>
      <c r="X693" s="281"/>
      <c r="Y693" s="281"/>
      <c r="Z693" s="281"/>
      <c r="AA693" s="281"/>
      <c r="AB693" s="281"/>
      <c r="AC693" s="281"/>
      <c r="AD693" s="281"/>
      <c r="AE693" s="281"/>
    </row>
    <row r="694" spans="15:31">
      <c r="O694" s="281"/>
      <c r="P694" s="281"/>
      <c r="Q694" s="281"/>
      <c r="R694" s="281"/>
      <c r="S694" s="281"/>
      <c r="T694" s="281"/>
      <c r="U694" s="281"/>
      <c r="V694" s="281"/>
      <c r="W694" s="281"/>
      <c r="X694" s="281"/>
      <c r="Y694" s="281"/>
      <c r="Z694" s="281"/>
      <c r="AA694" s="281"/>
      <c r="AB694" s="281"/>
      <c r="AC694" s="281"/>
      <c r="AD694" s="281"/>
      <c r="AE694" s="281"/>
    </row>
    <row r="695" spans="15:31">
      <c r="O695" s="281"/>
      <c r="P695" s="281"/>
      <c r="Q695" s="281"/>
      <c r="R695" s="281"/>
      <c r="S695" s="281"/>
      <c r="T695" s="281"/>
      <c r="U695" s="281"/>
      <c r="V695" s="281"/>
      <c r="W695" s="281"/>
      <c r="X695" s="281"/>
      <c r="Y695" s="281"/>
      <c r="Z695" s="281"/>
      <c r="AA695" s="281"/>
      <c r="AB695" s="281"/>
      <c r="AC695" s="281"/>
      <c r="AD695" s="281"/>
      <c r="AE695" s="281"/>
    </row>
    <row r="696" spans="15:31">
      <c r="O696" s="281"/>
      <c r="P696" s="281"/>
      <c r="Q696" s="281"/>
      <c r="R696" s="281"/>
      <c r="S696" s="281"/>
      <c r="T696" s="281"/>
      <c r="U696" s="281"/>
      <c r="V696" s="281"/>
      <c r="W696" s="281"/>
      <c r="X696" s="281"/>
      <c r="Y696" s="281"/>
      <c r="Z696" s="281"/>
      <c r="AA696" s="281"/>
      <c r="AB696" s="281"/>
      <c r="AC696" s="281"/>
      <c r="AD696" s="281"/>
      <c r="AE696" s="281"/>
    </row>
    <row r="697" spans="15:31">
      <c r="O697" s="281"/>
      <c r="P697" s="281"/>
      <c r="Q697" s="281"/>
      <c r="R697" s="281"/>
      <c r="S697" s="281"/>
      <c r="T697" s="281"/>
      <c r="U697" s="281"/>
      <c r="V697" s="281"/>
      <c r="W697" s="281"/>
      <c r="X697" s="281"/>
      <c r="Y697" s="281"/>
      <c r="Z697" s="281"/>
      <c r="AA697" s="281"/>
      <c r="AB697" s="281"/>
      <c r="AC697" s="281"/>
      <c r="AD697" s="281"/>
      <c r="AE697" s="281"/>
    </row>
    <row r="698" spans="15:31">
      <c r="O698" s="281"/>
      <c r="P698" s="281"/>
      <c r="Q698" s="281"/>
      <c r="R698" s="281"/>
      <c r="S698" s="281"/>
      <c r="T698" s="281"/>
      <c r="U698" s="281"/>
      <c r="V698" s="281"/>
      <c r="W698" s="281"/>
      <c r="X698" s="281"/>
      <c r="Y698" s="281"/>
      <c r="Z698" s="281"/>
      <c r="AA698" s="281"/>
      <c r="AB698" s="281"/>
      <c r="AC698" s="281"/>
      <c r="AD698" s="281"/>
      <c r="AE698" s="281"/>
    </row>
    <row r="699" spans="15:31">
      <c r="O699" s="281"/>
      <c r="P699" s="281"/>
      <c r="Q699" s="281"/>
      <c r="R699" s="281"/>
      <c r="S699" s="281"/>
      <c r="T699" s="281"/>
      <c r="U699" s="281"/>
      <c r="V699" s="281"/>
      <c r="W699" s="281"/>
      <c r="X699" s="281"/>
      <c r="Y699" s="281"/>
      <c r="Z699" s="281"/>
      <c r="AA699" s="281"/>
      <c r="AB699" s="281"/>
      <c r="AC699" s="281"/>
      <c r="AD699" s="281"/>
      <c r="AE699" s="281"/>
    </row>
    <row r="700" spans="15:31">
      <c r="O700" s="281"/>
      <c r="P700" s="281"/>
      <c r="Q700" s="281"/>
      <c r="R700" s="281"/>
      <c r="S700" s="281"/>
      <c r="T700" s="281"/>
      <c r="U700" s="281"/>
      <c r="V700" s="281"/>
      <c r="W700" s="281"/>
      <c r="X700" s="281"/>
      <c r="Y700" s="281"/>
      <c r="Z700" s="281"/>
      <c r="AA700" s="281"/>
      <c r="AB700" s="281"/>
      <c r="AC700" s="281"/>
      <c r="AD700" s="281"/>
      <c r="AE700" s="281"/>
    </row>
    <row r="701" spans="15:31">
      <c r="O701" s="281"/>
      <c r="P701" s="281"/>
      <c r="Q701" s="281"/>
      <c r="R701" s="281"/>
      <c r="S701" s="281"/>
      <c r="T701" s="281"/>
      <c r="U701" s="281"/>
      <c r="V701" s="281"/>
      <c r="W701" s="281"/>
      <c r="X701" s="281"/>
      <c r="Y701" s="281"/>
      <c r="Z701" s="281"/>
      <c r="AA701" s="281"/>
      <c r="AB701" s="281"/>
      <c r="AC701" s="281"/>
      <c r="AD701" s="281"/>
      <c r="AE701" s="281"/>
    </row>
    <row r="702" spans="15:31">
      <c r="O702" s="281"/>
      <c r="P702" s="281"/>
      <c r="Q702" s="281"/>
      <c r="R702" s="281"/>
      <c r="S702" s="281"/>
      <c r="T702" s="281"/>
      <c r="U702" s="281"/>
      <c r="V702" s="281"/>
      <c r="W702" s="281"/>
      <c r="X702" s="281"/>
      <c r="Y702" s="281"/>
      <c r="Z702" s="281"/>
      <c r="AA702" s="281"/>
      <c r="AB702" s="281"/>
      <c r="AC702" s="281"/>
      <c r="AD702" s="281"/>
      <c r="AE702" s="281"/>
    </row>
    <row r="703" spans="15:31">
      <c r="O703" s="281"/>
      <c r="P703" s="281"/>
      <c r="Q703" s="281"/>
      <c r="R703" s="281"/>
      <c r="S703" s="281"/>
      <c r="T703" s="281"/>
      <c r="U703" s="281"/>
      <c r="V703" s="281"/>
      <c r="W703" s="281"/>
      <c r="X703" s="281"/>
      <c r="Y703" s="281"/>
      <c r="Z703" s="281"/>
      <c r="AA703" s="281"/>
      <c r="AB703" s="281"/>
      <c r="AC703" s="281"/>
      <c r="AD703" s="281"/>
      <c r="AE703" s="281"/>
    </row>
    <row r="704" spans="15:31"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</row>
    <row r="705" spans="15:31">
      <c r="O705" s="281"/>
      <c r="P705" s="281"/>
      <c r="Q705" s="281"/>
      <c r="R705" s="281"/>
      <c r="S705" s="281"/>
      <c r="T705" s="281"/>
      <c r="U705" s="281"/>
      <c r="V705" s="281"/>
      <c r="W705" s="281"/>
      <c r="X705" s="281"/>
      <c r="Y705" s="281"/>
      <c r="Z705" s="281"/>
      <c r="AA705" s="281"/>
      <c r="AB705" s="281"/>
      <c r="AC705" s="281"/>
      <c r="AD705" s="281"/>
      <c r="AE705" s="281"/>
    </row>
    <row r="706" spans="15:31"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</row>
    <row r="707" spans="15:31">
      <c r="O707" s="281"/>
      <c r="P707" s="281"/>
      <c r="Q707" s="281"/>
      <c r="R707" s="281"/>
      <c r="S707" s="281"/>
      <c r="T707" s="281"/>
      <c r="U707" s="281"/>
      <c r="V707" s="281"/>
      <c r="W707" s="281"/>
      <c r="X707" s="281"/>
      <c r="Y707" s="281"/>
      <c r="Z707" s="281"/>
      <c r="AA707" s="281"/>
      <c r="AB707" s="281"/>
      <c r="AC707" s="281"/>
      <c r="AD707" s="281"/>
      <c r="AE707" s="281"/>
    </row>
    <row r="708" spans="15:31">
      <c r="O708" s="281"/>
      <c r="P708" s="281"/>
      <c r="Q708" s="281"/>
      <c r="R708" s="281"/>
      <c r="S708" s="281"/>
      <c r="T708" s="281"/>
      <c r="U708" s="281"/>
      <c r="V708" s="281"/>
      <c r="W708" s="281"/>
      <c r="X708" s="281"/>
      <c r="Y708" s="281"/>
      <c r="Z708" s="281"/>
      <c r="AA708" s="281"/>
      <c r="AB708" s="281"/>
      <c r="AC708" s="281"/>
      <c r="AD708" s="281"/>
      <c r="AE708" s="281"/>
    </row>
    <row r="709" spans="15:31">
      <c r="O709" s="281"/>
      <c r="P709" s="281"/>
      <c r="Q709" s="281"/>
      <c r="R709" s="281"/>
      <c r="S709" s="281"/>
      <c r="T709" s="281"/>
      <c r="U709" s="281"/>
      <c r="V709" s="281"/>
      <c r="W709" s="281"/>
      <c r="X709" s="281"/>
      <c r="Y709" s="281"/>
      <c r="Z709" s="281"/>
      <c r="AA709" s="281"/>
      <c r="AB709" s="281"/>
      <c r="AC709" s="281"/>
      <c r="AD709" s="281"/>
      <c r="AE709" s="281"/>
    </row>
    <row r="710" spans="15:31">
      <c r="O710" s="281"/>
      <c r="P710" s="281"/>
      <c r="Q710" s="281"/>
      <c r="R710" s="281"/>
      <c r="S710" s="281"/>
      <c r="T710" s="281"/>
      <c r="U710" s="281"/>
      <c r="V710" s="281"/>
      <c r="W710" s="281"/>
      <c r="X710" s="281"/>
      <c r="Y710" s="281"/>
      <c r="Z710" s="281"/>
      <c r="AA710" s="281"/>
      <c r="AB710" s="281"/>
      <c r="AC710" s="281"/>
      <c r="AD710" s="281"/>
      <c r="AE710" s="281"/>
    </row>
    <row r="711" spans="15:31">
      <c r="O711" s="281"/>
      <c r="P711" s="281"/>
      <c r="Q711" s="281"/>
      <c r="R711" s="281"/>
      <c r="S711" s="281"/>
      <c r="T711" s="281"/>
      <c r="U711" s="281"/>
      <c r="V711" s="281"/>
      <c r="W711" s="281"/>
      <c r="X711" s="281"/>
      <c r="Y711" s="281"/>
      <c r="Z711" s="281"/>
      <c r="AA711" s="281"/>
      <c r="AB711" s="281"/>
      <c r="AC711" s="281"/>
      <c r="AD711" s="281"/>
      <c r="AE711" s="281"/>
    </row>
    <row r="712" spans="15:31">
      <c r="O712" s="281"/>
      <c r="P712" s="281"/>
      <c r="Q712" s="281"/>
      <c r="R712" s="281"/>
      <c r="S712" s="281"/>
      <c r="T712" s="281"/>
      <c r="U712" s="281"/>
      <c r="V712" s="281"/>
      <c r="W712" s="281"/>
      <c r="X712" s="281"/>
      <c r="Y712" s="281"/>
      <c r="Z712" s="281"/>
      <c r="AA712" s="281"/>
      <c r="AB712" s="281"/>
      <c r="AC712" s="281"/>
      <c r="AD712" s="281"/>
      <c r="AE712" s="281"/>
    </row>
    <row r="713" spans="15:31">
      <c r="O713" s="281"/>
      <c r="P713" s="281"/>
      <c r="Q713" s="281"/>
      <c r="R713" s="281"/>
      <c r="S713" s="281"/>
      <c r="T713" s="281"/>
      <c r="U713" s="281"/>
      <c r="V713" s="281"/>
      <c r="W713" s="281"/>
      <c r="X713" s="281"/>
      <c r="Y713" s="281"/>
      <c r="Z713" s="281"/>
      <c r="AA713" s="281"/>
      <c r="AB713" s="281"/>
      <c r="AC713" s="281"/>
      <c r="AD713" s="281"/>
      <c r="AE713" s="281"/>
    </row>
    <row r="714" spans="15:31">
      <c r="O714" s="281"/>
      <c r="P714" s="281"/>
      <c r="Q714" s="281"/>
      <c r="R714" s="281"/>
      <c r="S714" s="281"/>
      <c r="T714" s="281"/>
      <c r="U714" s="281"/>
      <c r="V714" s="281"/>
      <c r="W714" s="281"/>
      <c r="X714" s="281"/>
      <c r="Y714" s="281"/>
      <c r="Z714" s="281"/>
      <c r="AA714" s="281"/>
      <c r="AB714" s="281"/>
      <c r="AC714" s="281"/>
      <c r="AD714" s="281"/>
      <c r="AE714" s="281"/>
    </row>
    <row r="715" spans="15:31">
      <c r="O715" s="281"/>
      <c r="P715" s="281"/>
      <c r="Q715" s="281"/>
      <c r="R715" s="281"/>
      <c r="S715" s="281"/>
      <c r="T715" s="281"/>
      <c r="U715" s="281"/>
      <c r="V715" s="281"/>
      <c r="W715" s="281"/>
      <c r="X715" s="281"/>
      <c r="Y715" s="281"/>
      <c r="Z715" s="281"/>
      <c r="AA715" s="281"/>
      <c r="AB715" s="281"/>
      <c r="AC715" s="281"/>
      <c r="AD715" s="281"/>
      <c r="AE715" s="281"/>
    </row>
    <row r="716" spans="15:31">
      <c r="O716" s="281"/>
      <c r="P716" s="281"/>
      <c r="Q716" s="281"/>
      <c r="R716" s="281"/>
      <c r="S716" s="281"/>
      <c r="T716" s="281"/>
      <c r="U716" s="281"/>
      <c r="V716" s="281"/>
      <c r="W716" s="281"/>
      <c r="X716" s="281"/>
      <c r="Y716" s="281"/>
      <c r="Z716" s="281"/>
      <c r="AA716" s="281"/>
      <c r="AB716" s="281"/>
      <c r="AC716" s="281"/>
      <c r="AD716" s="281"/>
      <c r="AE716" s="281"/>
    </row>
    <row r="717" spans="15:31">
      <c r="O717" s="281"/>
      <c r="P717" s="281"/>
      <c r="Q717" s="281"/>
      <c r="R717" s="281"/>
      <c r="S717" s="281"/>
      <c r="T717" s="281"/>
      <c r="U717" s="281"/>
      <c r="V717" s="281"/>
      <c r="W717" s="281"/>
      <c r="X717" s="281"/>
      <c r="Y717" s="281"/>
      <c r="Z717" s="281"/>
      <c r="AA717" s="281"/>
      <c r="AB717" s="281"/>
      <c r="AC717" s="281"/>
      <c r="AD717" s="281"/>
      <c r="AE717" s="281"/>
    </row>
    <row r="718" spans="15:31">
      <c r="O718" s="281"/>
      <c r="P718" s="281"/>
      <c r="Q718" s="281"/>
      <c r="R718" s="281"/>
      <c r="S718" s="281"/>
      <c r="T718" s="281"/>
      <c r="U718" s="281"/>
      <c r="V718" s="281"/>
      <c r="W718" s="281"/>
      <c r="X718" s="281"/>
      <c r="Y718" s="281"/>
      <c r="Z718" s="281"/>
      <c r="AA718" s="281"/>
      <c r="AB718" s="281"/>
      <c r="AC718" s="281"/>
      <c r="AD718" s="281"/>
      <c r="AE718" s="281"/>
    </row>
    <row r="719" spans="15:31"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</row>
    <row r="720" spans="15:31">
      <c r="O720" s="281"/>
      <c r="P720" s="281"/>
      <c r="Q720" s="281"/>
      <c r="R720" s="281"/>
      <c r="S720" s="281"/>
      <c r="T720" s="281"/>
      <c r="U720" s="281"/>
      <c r="V720" s="281"/>
      <c r="W720" s="281"/>
      <c r="X720" s="281"/>
      <c r="Y720" s="281"/>
      <c r="Z720" s="281"/>
      <c r="AA720" s="281"/>
      <c r="AB720" s="281"/>
      <c r="AC720" s="281"/>
      <c r="AD720" s="281"/>
      <c r="AE720" s="281"/>
    </row>
    <row r="721" spans="15:31">
      <c r="O721" s="281"/>
      <c r="P721" s="281"/>
      <c r="Q721" s="281"/>
      <c r="R721" s="281"/>
      <c r="S721" s="281"/>
      <c r="T721" s="281"/>
      <c r="U721" s="281"/>
      <c r="V721" s="281"/>
      <c r="W721" s="281"/>
      <c r="X721" s="281"/>
      <c r="Y721" s="281"/>
      <c r="Z721" s="281"/>
      <c r="AA721" s="281"/>
      <c r="AB721" s="281"/>
      <c r="AC721" s="281"/>
      <c r="AD721" s="281"/>
      <c r="AE721" s="281"/>
    </row>
    <row r="722" spans="15:31"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</row>
    <row r="723" spans="15:31">
      <c r="O723" s="281"/>
      <c r="P723" s="281"/>
      <c r="Q723" s="281"/>
      <c r="R723" s="281"/>
      <c r="S723" s="281"/>
      <c r="T723" s="281"/>
      <c r="U723" s="281"/>
      <c r="V723" s="281"/>
      <c r="W723" s="281"/>
      <c r="X723" s="281"/>
      <c r="Y723" s="281"/>
      <c r="Z723" s="281"/>
      <c r="AA723" s="281"/>
      <c r="AB723" s="281"/>
      <c r="AC723" s="281"/>
      <c r="AD723" s="281"/>
      <c r="AE723" s="281"/>
    </row>
    <row r="724" spans="15:31">
      <c r="O724" s="281"/>
      <c r="P724" s="281"/>
      <c r="Q724" s="281"/>
      <c r="R724" s="281"/>
      <c r="S724" s="281"/>
      <c r="T724" s="281"/>
      <c r="U724" s="281"/>
      <c r="V724" s="281"/>
      <c r="W724" s="281"/>
      <c r="X724" s="281"/>
      <c r="Y724" s="281"/>
      <c r="Z724" s="281"/>
      <c r="AA724" s="281"/>
      <c r="AB724" s="281"/>
      <c r="AC724" s="281"/>
      <c r="AD724" s="281"/>
      <c r="AE724" s="281"/>
    </row>
    <row r="725" spans="15:31">
      <c r="O725" s="281"/>
      <c r="P725" s="281"/>
      <c r="Q725" s="281"/>
      <c r="R725" s="281"/>
      <c r="S725" s="281"/>
      <c r="T725" s="281"/>
      <c r="U725" s="281"/>
      <c r="V725" s="281"/>
      <c r="W725" s="281"/>
      <c r="X725" s="281"/>
      <c r="Y725" s="281"/>
      <c r="Z725" s="281"/>
      <c r="AA725" s="281"/>
      <c r="AB725" s="281"/>
      <c r="AC725" s="281"/>
      <c r="AD725" s="281"/>
      <c r="AE725" s="281"/>
    </row>
    <row r="726" spans="15:31">
      <c r="O726" s="281"/>
      <c r="P726" s="281"/>
      <c r="Q726" s="281"/>
      <c r="R726" s="281"/>
      <c r="S726" s="281"/>
      <c r="T726" s="281"/>
      <c r="U726" s="281"/>
      <c r="V726" s="281"/>
      <c r="W726" s="281"/>
      <c r="X726" s="281"/>
      <c r="Y726" s="281"/>
      <c r="Z726" s="281"/>
      <c r="AA726" s="281"/>
      <c r="AB726" s="281"/>
      <c r="AC726" s="281"/>
      <c r="AD726" s="281"/>
      <c r="AE726" s="281"/>
    </row>
    <row r="727" spans="15:31">
      <c r="O727" s="281"/>
      <c r="P727" s="281"/>
      <c r="Q727" s="281"/>
      <c r="R727" s="281"/>
      <c r="S727" s="281"/>
      <c r="T727" s="281"/>
      <c r="U727" s="281"/>
      <c r="V727" s="281"/>
      <c r="W727" s="281"/>
      <c r="X727" s="281"/>
      <c r="Y727" s="281"/>
      <c r="Z727" s="281"/>
      <c r="AA727" s="281"/>
      <c r="AB727" s="281"/>
      <c r="AC727" s="281"/>
      <c r="AD727" s="281"/>
      <c r="AE727" s="281"/>
    </row>
    <row r="728" spans="15:31">
      <c r="O728" s="281"/>
      <c r="P728" s="281"/>
      <c r="Q728" s="281"/>
      <c r="R728" s="281"/>
      <c r="S728" s="281"/>
      <c r="T728" s="281"/>
      <c r="U728" s="281"/>
      <c r="V728" s="281"/>
      <c r="W728" s="281"/>
      <c r="X728" s="281"/>
      <c r="Y728" s="281"/>
      <c r="Z728" s="281"/>
      <c r="AA728" s="281"/>
      <c r="AB728" s="281"/>
      <c r="AC728" s="281"/>
      <c r="AD728" s="281"/>
      <c r="AE728" s="281"/>
    </row>
    <row r="729" spans="15:31">
      <c r="O729" s="281"/>
      <c r="P729" s="281"/>
      <c r="Q729" s="281"/>
      <c r="R729" s="281"/>
      <c r="S729" s="281"/>
      <c r="T729" s="281"/>
      <c r="U729" s="281"/>
      <c r="V729" s="281"/>
      <c r="W729" s="281"/>
      <c r="X729" s="281"/>
      <c r="Y729" s="281"/>
      <c r="Z729" s="281"/>
      <c r="AA729" s="281"/>
      <c r="AB729" s="281"/>
      <c r="AC729" s="281"/>
      <c r="AD729" s="281"/>
      <c r="AE729" s="281"/>
    </row>
    <row r="730" spans="15:31">
      <c r="O730" s="281"/>
      <c r="P730" s="281"/>
      <c r="Q730" s="281"/>
      <c r="R730" s="281"/>
      <c r="S730" s="281"/>
      <c r="T730" s="281"/>
      <c r="U730" s="281"/>
      <c r="V730" s="281"/>
      <c r="W730" s="281"/>
      <c r="X730" s="281"/>
      <c r="Y730" s="281"/>
      <c r="Z730" s="281"/>
      <c r="AA730" s="281"/>
      <c r="AB730" s="281"/>
      <c r="AC730" s="281"/>
      <c r="AD730" s="281"/>
      <c r="AE730" s="281"/>
    </row>
    <row r="731" spans="15:31">
      <c r="O731" s="281"/>
      <c r="P731" s="281"/>
      <c r="Q731" s="281"/>
      <c r="R731" s="281"/>
      <c r="S731" s="281"/>
      <c r="T731" s="281"/>
      <c r="U731" s="281"/>
      <c r="V731" s="281"/>
      <c r="W731" s="281"/>
      <c r="X731" s="281"/>
      <c r="Y731" s="281"/>
      <c r="Z731" s="281"/>
      <c r="AA731" s="281"/>
      <c r="AB731" s="281"/>
      <c r="AC731" s="281"/>
      <c r="AD731" s="281"/>
      <c r="AE731" s="281"/>
    </row>
    <row r="732" spans="15:31">
      <c r="O732" s="281"/>
      <c r="P732" s="281"/>
      <c r="Q732" s="281"/>
      <c r="R732" s="281"/>
      <c r="S732" s="281"/>
      <c r="T732" s="281"/>
      <c r="U732" s="281"/>
      <c r="V732" s="281"/>
      <c r="W732" s="281"/>
      <c r="X732" s="281"/>
      <c r="Y732" s="281"/>
      <c r="Z732" s="281"/>
      <c r="AA732" s="281"/>
      <c r="AB732" s="281"/>
      <c r="AC732" s="281"/>
      <c r="AD732" s="281"/>
      <c r="AE732" s="281"/>
    </row>
    <row r="733" spans="15:31">
      <c r="O733" s="281"/>
      <c r="P733" s="281"/>
      <c r="Q733" s="281"/>
      <c r="R733" s="281"/>
      <c r="S733" s="281"/>
      <c r="T733" s="281"/>
      <c r="U733" s="281"/>
      <c r="V733" s="281"/>
      <c r="W733" s="281"/>
      <c r="X733" s="281"/>
      <c r="Y733" s="281"/>
      <c r="Z733" s="281"/>
      <c r="AA733" s="281"/>
      <c r="AB733" s="281"/>
      <c r="AC733" s="281"/>
      <c r="AD733" s="281"/>
      <c r="AE733" s="281"/>
    </row>
    <row r="734" spans="15:31"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</row>
    <row r="735" spans="15:31">
      <c r="O735" s="281"/>
      <c r="P735" s="281"/>
      <c r="Q735" s="281"/>
      <c r="R735" s="281"/>
      <c r="S735" s="281"/>
      <c r="T735" s="281"/>
      <c r="U735" s="281"/>
      <c r="V735" s="281"/>
      <c r="W735" s="281"/>
      <c r="X735" s="281"/>
      <c r="Y735" s="281"/>
      <c r="Z735" s="281"/>
      <c r="AA735" s="281"/>
      <c r="AB735" s="281"/>
      <c r="AC735" s="281"/>
      <c r="AD735" s="281"/>
      <c r="AE735" s="281"/>
    </row>
    <row r="736" spans="15:31">
      <c r="O736" s="281"/>
      <c r="P736" s="281"/>
      <c r="Q736" s="281"/>
      <c r="R736" s="281"/>
      <c r="S736" s="281"/>
      <c r="T736" s="281"/>
      <c r="U736" s="281"/>
      <c r="V736" s="281"/>
      <c r="W736" s="281"/>
      <c r="X736" s="281"/>
      <c r="Y736" s="281"/>
      <c r="Z736" s="281"/>
      <c r="AA736" s="281"/>
      <c r="AB736" s="281"/>
      <c r="AC736" s="281"/>
      <c r="AD736" s="281"/>
      <c r="AE736" s="281"/>
    </row>
    <row r="737" spans="15:31">
      <c r="O737" s="281"/>
      <c r="P737" s="281"/>
      <c r="Q737" s="281"/>
      <c r="R737" s="281"/>
      <c r="S737" s="281"/>
      <c r="T737" s="281"/>
      <c r="U737" s="281"/>
      <c r="V737" s="281"/>
      <c r="W737" s="281"/>
      <c r="X737" s="281"/>
      <c r="Y737" s="281"/>
      <c r="Z737" s="281"/>
      <c r="AA737" s="281"/>
      <c r="AB737" s="281"/>
      <c r="AC737" s="281"/>
      <c r="AD737" s="281"/>
      <c r="AE737" s="281"/>
    </row>
    <row r="738" spans="15:31">
      <c r="O738" s="281"/>
      <c r="P738" s="281"/>
      <c r="Q738" s="281"/>
      <c r="R738" s="281"/>
      <c r="S738" s="281"/>
      <c r="T738" s="281"/>
      <c r="U738" s="281"/>
      <c r="V738" s="281"/>
      <c r="W738" s="281"/>
      <c r="X738" s="281"/>
      <c r="Y738" s="281"/>
      <c r="Z738" s="281"/>
      <c r="AA738" s="281"/>
      <c r="AB738" s="281"/>
      <c r="AC738" s="281"/>
      <c r="AD738" s="281"/>
      <c r="AE738" s="281"/>
    </row>
    <row r="739" spans="15:31">
      <c r="O739" s="281"/>
      <c r="P739" s="281"/>
      <c r="Q739" s="281"/>
      <c r="R739" s="281"/>
      <c r="S739" s="281"/>
      <c r="T739" s="281"/>
      <c r="U739" s="281"/>
      <c r="V739" s="281"/>
      <c r="W739" s="281"/>
      <c r="X739" s="281"/>
      <c r="Y739" s="281"/>
      <c r="Z739" s="281"/>
      <c r="AA739" s="281"/>
      <c r="AB739" s="281"/>
      <c r="AC739" s="281"/>
      <c r="AD739" s="281"/>
      <c r="AE739" s="281"/>
    </row>
    <row r="740" spans="15:31">
      <c r="O740" s="281"/>
      <c r="P740" s="281"/>
      <c r="Q740" s="281"/>
      <c r="R740" s="281"/>
      <c r="S740" s="281"/>
      <c r="T740" s="281"/>
      <c r="U740" s="281"/>
      <c r="V740" s="281"/>
      <c r="W740" s="281"/>
      <c r="X740" s="281"/>
      <c r="Y740" s="281"/>
      <c r="Z740" s="281"/>
      <c r="AA740" s="281"/>
      <c r="AB740" s="281"/>
      <c r="AC740" s="281"/>
      <c r="AD740" s="281"/>
      <c r="AE740" s="281"/>
    </row>
    <row r="741" spans="15:31">
      <c r="O741" s="281"/>
      <c r="P741" s="281"/>
      <c r="Q741" s="281"/>
      <c r="R741" s="281"/>
      <c r="S741" s="281"/>
      <c r="T741" s="281"/>
      <c r="U741" s="281"/>
      <c r="V741" s="281"/>
      <c r="W741" s="281"/>
      <c r="X741" s="281"/>
      <c r="Y741" s="281"/>
      <c r="Z741" s="281"/>
      <c r="AA741" s="281"/>
      <c r="AB741" s="281"/>
      <c r="AC741" s="281"/>
      <c r="AD741" s="281"/>
      <c r="AE741" s="281"/>
    </row>
    <row r="742" spans="15:31">
      <c r="O742" s="281"/>
      <c r="P742" s="281"/>
      <c r="Q742" s="281"/>
      <c r="R742" s="281"/>
      <c r="S742" s="281"/>
      <c r="T742" s="281"/>
      <c r="U742" s="281"/>
      <c r="V742" s="281"/>
      <c r="W742" s="281"/>
      <c r="X742" s="281"/>
      <c r="Y742" s="281"/>
      <c r="Z742" s="281"/>
      <c r="AA742" s="281"/>
      <c r="AB742" s="281"/>
      <c r="AC742" s="281"/>
      <c r="AD742" s="281"/>
      <c r="AE742" s="281"/>
    </row>
    <row r="743" spans="15:31">
      <c r="O743" s="281"/>
      <c r="P743" s="281"/>
      <c r="Q743" s="281"/>
      <c r="R743" s="281"/>
      <c r="S743" s="281"/>
      <c r="T743" s="281"/>
      <c r="U743" s="281"/>
      <c r="V743" s="281"/>
      <c r="W743" s="281"/>
      <c r="X743" s="281"/>
      <c r="Y743" s="281"/>
      <c r="Z743" s="281"/>
      <c r="AA743" s="281"/>
      <c r="AB743" s="281"/>
      <c r="AC743" s="281"/>
      <c r="AD743" s="281"/>
      <c r="AE743" s="281"/>
    </row>
    <row r="744" spans="15:31">
      <c r="O744" s="281"/>
      <c r="P744" s="281"/>
      <c r="Q744" s="281"/>
      <c r="R744" s="281"/>
      <c r="S744" s="281"/>
      <c r="T744" s="281"/>
      <c r="U744" s="281"/>
      <c r="V744" s="281"/>
      <c r="W744" s="281"/>
      <c r="X744" s="281"/>
      <c r="Y744" s="281"/>
      <c r="Z744" s="281"/>
      <c r="AA744" s="281"/>
      <c r="AB744" s="281"/>
      <c r="AC744" s="281"/>
      <c r="AD744" s="281"/>
      <c r="AE744" s="281"/>
    </row>
    <row r="745" spans="15:31">
      <c r="O745" s="281"/>
      <c r="P745" s="281"/>
      <c r="Q745" s="281"/>
      <c r="R745" s="281"/>
      <c r="S745" s="281"/>
      <c r="T745" s="281"/>
      <c r="U745" s="281"/>
      <c r="V745" s="281"/>
      <c r="W745" s="281"/>
      <c r="X745" s="281"/>
      <c r="Y745" s="281"/>
      <c r="Z745" s="281"/>
      <c r="AA745" s="281"/>
      <c r="AB745" s="281"/>
      <c r="AC745" s="281"/>
      <c r="AD745" s="281"/>
      <c r="AE745" s="281"/>
    </row>
    <row r="746" spans="15:31">
      <c r="O746" s="281"/>
      <c r="P746" s="281"/>
      <c r="Q746" s="281"/>
      <c r="R746" s="281"/>
      <c r="S746" s="281"/>
      <c r="T746" s="281"/>
      <c r="U746" s="281"/>
      <c r="V746" s="281"/>
      <c r="W746" s="281"/>
      <c r="X746" s="281"/>
      <c r="Y746" s="281"/>
      <c r="Z746" s="281"/>
      <c r="AA746" s="281"/>
      <c r="AB746" s="281"/>
      <c r="AC746" s="281"/>
      <c r="AD746" s="281"/>
      <c r="AE746" s="281"/>
    </row>
    <row r="747" spans="15:31">
      <c r="O747" s="281"/>
      <c r="P747" s="281"/>
      <c r="Q747" s="281"/>
      <c r="R747" s="281"/>
      <c r="S747" s="281"/>
      <c r="T747" s="281"/>
      <c r="U747" s="281"/>
      <c r="V747" s="281"/>
      <c r="W747" s="281"/>
      <c r="X747" s="281"/>
      <c r="Y747" s="281"/>
      <c r="Z747" s="281"/>
      <c r="AA747" s="281"/>
      <c r="AB747" s="281"/>
      <c r="AC747" s="281"/>
      <c r="AD747" s="281"/>
      <c r="AE747" s="281"/>
    </row>
    <row r="748" spans="15:31">
      <c r="O748" s="281"/>
      <c r="P748" s="281"/>
      <c r="Q748" s="281"/>
      <c r="R748" s="281"/>
      <c r="S748" s="281"/>
      <c r="T748" s="281"/>
      <c r="U748" s="281"/>
      <c r="V748" s="281"/>
      <c r="W748" s="281"/>
      <c r="X748" s="281"/>
      <c r="Y748" s="281"/>
      <c r="Z748" s="281"/>
      <c r="AA748" s="281"/>
      <c r="AB748" s="281"/>
      <c r="AC748" s="281"/>
      <c r="AD748" s="281"/>
      <c r="AE748" s="281"/>
    </row>
    <row r="749" spans="15:31"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</row>
    <row r="750" spans="15:31">
      <c r="O750" s="281"/>
      <c r="P750" s="281"/>
      <c r="Q750" s="281"/>
      <c r="R750" s="281"/>
      <c r="S750" s="281"/>
      <c r="T750" s="281"/>
      <c r="U750" s="281"/>
      <c r="V750" s="281"/>
      <c r="W750" s="281"/>
      <c r="X750" s="281"/>
      <c r="Y750" s="281"/>
      <c r="Z750" s="281"/>
      <c r="AA750" s="281"/>
      <c r="AB750" s="281"/>
      <c r="AC750" s="281"/>
      <c r="AD750" s="281"/>
      <c r="AE750" s="281"/>
    </row>
    <row r="751" spans="15:31">
      <c r="O751" s="281"/>
      <c r="P751" s="281"/>
      <c r="Q751" s="281"/>
      <c r="R751" s="281"/>
      <c r="S751" s="281"/>
      <c r="T751" s="281"/>
      <c r="U751" s="281"/>
      <c r="V751" s="281"/>
      <c r="W751" s="281"/>
      <c r="X751" s="281"/>
      <c r="Y751" s="281"/>
      <c r="Z751" s="281"/>
      <c r="AA751" s="281"/>
      <c r="AB751" s="281"/>
      <c r="AC751" s="281"/>
      <c r="AD751" s="281"/>
      <c r="AE751" s="281"/>
    </row>
    <row r="752" spans="15:31">
      <c r="O752" s="281"/>
      <c r="P752" s="281"/>
      <c r="Q752" s="281"/>
      <c r="R752" s="281"/>
      <c r="S752" s="281"/>
      <c r="T752" s="281"/>
      <c r="U752" s="281"/>
      <c r="V752" s="281"/>
      <c r="W752" s="281"/>
      <c r="X752" s="281"/>
      <c r="Y752" s="281"/>
      <c r="Z752" s="281"/>
      <c r="AA752" s="281"/>
      <c r="AB752" s="281"/>
      <c r="AC752" s="281"/>
      <c r="AD752" s="281"/>
      <c r="AE752" s="281"/>
    </row>
    <row r="753" spans="15:31"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</row>
    <row r="754" spans="15:31"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</row>
    <row r="755" spans="15:31"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</row>
    <row r="756" spans="15:31"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</row>
    <row r="757" spans="15:31"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</row>
    <row r="758" spans="15:31"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</row>
    <row r="759" spans="15:31"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</row>
    <row r="760" spans="15:31"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</row>
    <row r="761" spans="15:31"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</row>
    <row r="762" spans="15:31"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</row>
    <row r="763" spans="15:31"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</row>
    <row r="764" spans="15:31"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</row>
    <row r="765" spans="15:31"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</row>
    <row r="766" spans="15:31"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</row>
    <row r="767" spans="15:31"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</row>
    <row r="768" spans="15:31"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</row>
    <row r="769" spans="15:31"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</row>
    <row r="770" spans="15:31"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</row>
    <row r="771" spans="15:31"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</row>
    <row r="772" spans="15:31"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</row>
    <row r="773" spans="15:31"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</row>
    <row r="774" spans="15:31"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</row>
    <row r="775" spans="15:31"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</row>
    <row r="776" spans="15:31"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</row>
    <row r="777" spans="15:31"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</row>
    <row r="778" spans="15:31"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</row>
    <row r="779" spans="15:31"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</row>
    <row r="780" spans="15:31"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</row>
    <row r="781" spans="15:31"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</row>
    <row r="782" spans="15:31"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</row>
    <row r="783" spans="15:31"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</row>
    <row r="784" spans="15:31"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</row>
    <row r="785" spans="15:31"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</row>
    <row r="786" spans="15:31"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</row>
    <row r="787" spans="15:31"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</row>
    <row r="788" spans="15:31"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</row>
    <row r="789" spans="15:31"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</row>
    <row r="790" spans="15:31"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</row>
    <row r="791" spans="15:31"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</row>
    <row r="792" spans="15:31"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</row>
    <row r="793" spans="15:31"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</row>
    <row r="794" spans="15:31"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</row>
    <row r="795" spans="15:31"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</row>
    <row r="796" spans="15:31"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</row>
    <row r="797" spans="15:31"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</row>
    <row r="798" spans="15:31"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</row>
    <row r="799" spans="15:31"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</row>
    <row r="800" spans="15:31"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</row>
    <row r="801" spans="15:31"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</row>
    <row r="802" spans="15:31"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</row>
    <row r="803" spans="15:31"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</row>
    <row r="804" spans="15:31"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</row>
    <row r="805" spans="15:31"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</row>
    <row r="806" spans="15:31"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</row>
    <row r="807" spans="15:31"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</row>
    <row r="808" spans="15:31"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2024-07-04T14:27:21Z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