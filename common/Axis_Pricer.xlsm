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994" documentId="13_ncr:1_{A745491F-4342-4B80-82D8-705DA5817603}" xr6:coauthVersionLast="47" xr6:coauthVersionMax="47" xr10:uidLastSave="{60FD7103-AD86-45AF-AD77-26E6254CA670}"/>
  <bookViews>
    <workbookView minimized="1" xWindow="0" yWindow="1485" windowWidth="14250" windowHeight="8685" activeTab="5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CDO Bespoke" sheetId="11" r:id="rId6"/>
    <sheet name="Fwd Intensity" sheetId="7" r:id="rId7"/>
    <sheet name="CDS" sheetId="8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5">#REF!</definedName>
    <definedName name="BeSpokeStrike">#REF!</definedName>
    <definedName name="CDSRollDate" localSheetId="5">'[1]CDS Strip'!$C$6</definedName>
    <definedName name="CDSRollDate">'CDS Strip'!$C$7</definedName>
    <definedName name="CDXStrike" localSheetId="5">#REF!</definedName>
    <definedName name="CDXStrike">#REF!</definedName>
    <definedName name="CorrelResult" localSheetId="5">#REF!</definedName>
    <definedName name="CorrelResult">#REF!</definedName>
    <definedName name="CorrelStart" localSheetId="5">#REF!</definedName>
    <definedName name="CorrelStart">#REF!</definedName>
    <definedName name="Currency" localSheetId="5">'[1]CDS Strip'!$D$11:$D$310</definedName>
    <definedName name="Currency">'[2]CDS Strip'!$D$11:$D$310</definedName>
    <definedName name="Currency2" localSheetId="5">'CDO Bespoke'!$B$8</definedName>
    <definedName name="Currency2">#REF!</definedName>
    <definedName name="CurrencyName">#REF!</definedName>
    <definedName name="CurvePointsList">Parametres!$D$15:$D$16</definedName>
    <definedName name="Expected_Recovery" localSheetId="5">[1]CDO2!$C$8</definedName>
    <definedName name="Expected_Recovery">#REF!</definedName>
    <definedName name="ExpLossResult" localSheetId="5">#REF!</definedName>
    <definedName name="ExpLossResult">#REF!</definedName>
    <definedName name="ExpLossStart" localSheetId="5">#REF!</definedName>
    <definedName name="ExpLossStart">#REF!</definedName>
    <definedName name="FXSpot">#REF!</definedName>
    <definedName name="iTraxxStrike" localSheetId="5">#REF!</definedName>
    <definedName name="iTraxxStrike">#REF!</definedName>
    <definedName name="kCDXStart" localSheetId="5">#REF!</definedName>
    <definedName name="kCDXStart">#REF!</definedName>
    <definedName name="kiTraxxStart" localSheetId="5">#REF!</definedName>
    <definedName name="kiTraxxStart">#REF!</definedName>
    <definedName name="MappingMethodo" localSheetId="5">#REF!</definedName>
    <definedName name="MappingMethodo">#REF!</definedName>
    <definedName name="NextCDXStrike" localSheetId="5">#REF!</definedName>
    <definedName name="NextCDXStrike">#REF!</definedName>
    <definedName name="optionFlag">Parametres!$B$3:$B$4</definedName>
    <definedName name="optionPosition">Parametres!$D$3:$D$4</definedName>
    <definedName name="Parameter_Date" localSheetId="5">'[1]IRS Strip'!$C$11</definedName>
    <definedName name="Parameter_Date">Parametres!$E$7</definedName>
    <definedName name="PM_Correl" localSheetId="5">#REF!</definedName>
    <definedName name="PM_Correl">#REF!</definedName>
    <definedName name="PM_Current" localSheetId="5">#REF!</definedName>
    <definedName name="PM_Current">#REF!</definedName>
    <definedName name="PM_Error" localSheetId="5">#REF!</definedName>
    <definedName name="PM_Error">#REF!</definedName>
    <definedName name="PM_kCDX" localSheetId="5">#REF!</definedName>
    <definedName name="PM_kCDX">#REF!</definedName>
    <definedName name="PM_kiTraxx" localSheetId="5">#REF!</definedName>
    <definedName name="PM_kiTraxx">#REF!</definedName>
    <definedName name="PM_Next" localSheetId="5">#REF!</definedName>
    <definedName name="PM_Next">#REF!</definedName>
    <definedName name="poids" localSheetId="5">'CDO Bespoke'!$M$17</definedName>
    <definedName name="poids">#REF!</definedName>
    <definedName name="_xlnm.Print_Area" localSheetId="5">'CDO Bespoke'!$A$4:$S$37</definedName>
    <definedName name="ProbaMatchBespokeStrike" localSheetId="5">#REF!</definedName>
    <definedName name="ProbaMatchBespokeStrike">#REF!</definedName>
    <definedName name="ProjectionCalculation" localSheetId="5">#REF!</definedName>
    <definedName name="ProjectionCalculation">#REF!</definedName>
    <definedName name="RatioDifference" localSheetId="5">#REF!</definedName>
    <definedName name="RatioDifference">#REF!</definedName>
    <definedName name="SpreadCurveMaturities" localSheetId="5">'[1]CDS Strip'!$E$9:$M$9</definedName>
    <definedName name="SpreadCurveMaturities">'CDS Strip'!$E$10:$M$10</definedName>
    <definedName name="StrikeStart" localSheetId="5">#REF!</definedName>
    <definedName name="StrikeStart">#REF!</definedName>
    <definedName name="StrippedDefaultProb" localSheetId="5">'[1]CDS Strip'!$N$11:$AE$310</definedName>
    <definedName name="StrippedDefaultProb">'[2]CDS Strip'!$N$11:$AE$310</definedName>
    <definedName name="sumpoi" localSheetId="5">'CDO Bespoke'!$M$17</definedName>
    <definedName name="sumpoi">#REF!</definedName>
    <definedName name="sumpoids" localSheetId="5">'CDO Bespoke'!$N$15</definedName>
    <definedName name="sumpoids">#REF!</definedName>
    <definedName name="SumWeights" localSheetId="5">'CDO Bespoke'!$B$18</definedName>
    <definedName name="SumWeights">#REF!</definedName>
    <definedName name="Swap_Convention">Parametres!$B$7:$B$11</definedName>
    <definedName name="SwapConventions" localSheetId="5">[1]Conventions!$H$16:$H$20</definedName>
    <definedName name="SwapConventions">#REF!</definedName>
    <definedName name="test" localSheetId="5">'CDO Bespoke'!#REF!</definedName>
    <definedName name="test">#REF!</definedName>
    <definedName name="TrueFalse">Parametres!$B$15:$B$16</definedName>
    <definedName name="TrueFalseList" localSheetId="5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X139" i="16"/>
  <c r="Z139" i="16"/>
  <c r="X140" i="16"/>
  <c r="Z140" i="16"/>
  <c r="X141" i="16"/>
  <c r="Z141" i="16"/>
  <c r="X142" i="16"/>
  <c r="Z142" i="16"/>
  <c r="X143" i="16"/>
  <c r="Z143" i="16"/>
  <c r="X144" i="16"/>
  <c r="Z144" i="16"/>
  <c r="X145" i="16"/>
  <c r="Z145" i="16"/>
  <c r="X146" i="16"/>
  <c r="Z146" i="16"/>
  <c r="X147" i="16"/>
  <c r="Z147" i="16"/>
  <c r="X148" i="16"/>
  <c r="Z148" i="16"/>
  <c r="X149" i="16"/>
  <c r="Z149" i="16"/>
  <c r="X150" i="16"/>
  <c r="Z150" i="16"/>
  <c r="X151" i="16"/>
  <c r="Z151" i="16"/>
  <c r="X152" i="16"/>
  <c r="Z152" i="16"/>
  <c r="X153" i="16"/>
  <c r="Z153" i="16"/>
  <c r="X154" i="16"/>
  <c r="Z154" i="16"/>
  <c r="X155" i="16"/>
  <c r="Z155" i="16"/>
  <c r="X156" i="16"/>
  <c r="Z156" i="16"/>
  <c r="X157" i="16"/>
  <c r="Z157" i="16"/>
  <c r="X158" i="16"/>
  <c r="Z158" i="16"/>
  <c r="X159" i="16"/>
  <c r="Z159" i="16"/>
  <c r="X160" i="16"/>
  <c r="Z160" i="16"/>
  <c r="X161" i="16"/>
  <c r="Z161" i="16"/>
  <c r="X162" i="16"/>
  <c r="Z162" i="16"/>
  <c r="X163" i="16"/>
  <c r="Z163" i="16"/>
  <c r="X164" i="16"/>
  <c r="Z164" i="16"/>
  <c r="X165" i="16"/>
  <c r="Z165" i="16"/>
  <c r="X166" i="16"/>
  <c r="Z166" i="16"/>
  <c r="X167" i="16"/>
  <c r="Z167" i="16"/>
  <c r="X168" i="16"/>
  <c r="Z168" i="16"/>
  <c r="X169" i="16"/>
  <c r="Z169" i="16"/>
  <c r="X170" i="16"/>
  <c r="Z170" i="16"/>
  <c r="X171" i="16"/>
  <c r="Z171" i="16"/>
  <c r="X172" i="16"/>
  <c r="Z172" i="16"/>
  <c r="X173" i="16"/>
  <c r="Z173" i="16"/>
  <c r="X174" i="16"/>
  <c r="Z174" i="16"/>
  <c r="X175" i="16"/>
  <c r="Z175" i="16"/>
  <c r="X176" i="16"/>
  <c r="Z176" i="16"/>
  <c r="X177" i="16"/>
  <c r="Z177" i="16"/>
  <c r="X178" i="16"/>
  <c r="Z178" i="16"/>
  <c r="X179" i="16"/>
  <c r="Z179" i="16"/>
  <c r="X180" i="16"/>
  <c r="Z180" i="16"/>
  <c r="X181" i="16"/>
  <c r="Z181" i="16"/>
  <c r="X182" i="16"/>
  <c r="Z182" i="16"/>
  <c r="X183" i="16"/>
  <c r="Z183" i="16"/>
  <c r="X184" i="16"/>
  <c r="Z184" i="16"/>
  <c r="X185" i="16"/>
  <c r="Z185" i="16"/>
  <c r="X186" i="16"/>
  <c r="Z186" i="16"/>
  <c r="X187" i="16"/>
  <c r="Z187" i="16"/>
  <c r="X188" i="16"/>
  <c r="Z188" i="16"/>
  <c r="X189" i="16"/>
  <c r="Z189" i="16"/>
  <c r="X190" i="16"/>
  <c r="Z190" i="16"/>
  <c r="X191" i="16"/>
  <c r="Z191" i="16"/>
  <c r="X192" i="16"/>
  <c r="Z192" i="16"/>
  <c r="X193" i="16"/>
  <c r="Z193" i="16"/>
  <c r="X194" i="16"/>
  <c r="Z194" i="16"/>
  <c r="X195" i="16"/>
  <c r="Z195" i="16"/>
  <c r="X196" i="16"/>
  <c r="Z196" i="16"/>
  <c r="X197" i="16"/>
  <c r="Z197" i="16"/>
  <c r="X198" i="16"/>
  <c r="Z198" i="16"/>
  <c r="X199" i="16"/>
  <c r="Z199" i="16"/>
  <c r="X200" i="16"/>
  <c r="Z200" i="16"/>
  <c r="X201" i="16"/>
  <c r="Z201" i="16"/>
  <c r="X202" i="16"/>
  <c r="Z202" i="16"/>
  <c r="X203" i="16"/>
  <c r="Z203" i="16"/>
  <c r="X204" i="16"/>
  <c r="Z204" i="16"/>
  <c r="X205" i="16"/>
  <c r="Z205" i="16"/>
  <c r="X206" i="16"/>
  <c r="Z206" i="16"/>
  <c r="X207" i="16"/>
  <c r="Z207" i="16"/>
  <c r="X208" i="16"/>
  <c r="Z208" i="16"/>
  <c r="X209" i="16"/>
  <c r="Z209" i="16"/>
  <c r="X210" i="16"/>
  <c r="Z210" i="16"/>
  <c r="X211" i="16"/>
  <c r="Z211" i="16"/>
  <c r="X212" i="16"/>
  <c r="Z212" i="16"/>
  <c r="X213" i="16"/>
  <c r="Z213" i="16"/>
  <c r="X214" i="16"/>
  <c r="Z214" i="16"/>
  <c r="X215" i="16"/>
  <c r="Z215" i="16"/>
  <c r="X216" i="16"/>
  <c r="Z216" i="16"/>
  <c r="X217" i="16"/>
  <c r="Z217" i="16"/>
  <c r="X218" i="16"/>
  <c r="Z218" i="16"/>
  <c r="X219" i="16"/>
  <c r="Z219" i="16"/>
  <c r="X220" i="16"/>
  <c r="Z220" i="16"/>
  <c r="X221" i="16"/>
  <c r="Z221" i="16"/>
  <c r="X222" i="16"/>
  <c r="Z222" i="16"/>
  <c r="X223" i="16"/>
  <c r="Z223" i="16"/>
  <c r="X224" i="16"/>
  <c r="Z224" i="16"/>
  <c r="X225" i="16"/>
  <c r="Z225" i="16"/>
  <c r="X226" i="16"/>
  <c r="Z226" i="16"/>
  <c r="X227" i="16"/>
  <c r="Z227" i="16"/>
  <c r="X228" i="16"/>
  <c r="Z228" i="16"/>
  <c r="X229" i="16"/>
  <c r="Z229" i="16"/>
  <c r="X230" i="16"/>
  <c r="Z230" i="16"/>
  <c r="X231" i="16"/>
  <c r="Z231" i="16"/>
  <c r="X232" i="16"/>
  <c r="Z232" i="16"/>
  <c r="X233" i="16"/>
  <c r="Z233" i="16"/>
  <c r="X234" i="16"/>
  <c r="Z234" i="16"/>
  <c r="X235" i="16"/>
  <c r="Z235" i="16"/>
  <c r="X236" i="16"/>
  <c r="Z236" i="16"/>
  <c r="X237" i="16"/>
  <c r="Z237" i="16"/>
  <c r="X238" i="16"/>
  <c r="Z238" i="16"/>
  <c r="X239" i="16"/>
  <c r="Z239" i="16"/>
  <c r="X240" i="16"/>
  <c r="Z240" i="16"/>
  <c r="X241" i="16"/>
  <c r="Z241" i="16"/>
  <c r="X242" i="16"/>
  <c r="Z242" i="16"/>
  <c r="X243" i="16"/>
  <c r="Z243" i="16"/>
  <c r="X244" i="16"/>
  <c r="Z244" i="16"/>
  <c r="X245" i="16"/>
  <c r="Z245" i="16"/>
  <c r="X246" i="16"/>
  <c r="Z246" i="16"/>
  <c r="X247" i="16"/>
  <c r="Z247" i="16"/>
  <c r="X248" i="16"/>
  <c r="Z248" i="16"/>
  <c r="X249" i="16"/>
  <c r="Z249" i="16"/>
  <c r="X250" i="16"/>
  <c r="Z250" i="16"/>
  <c r="X251" i="16"/>
  <c r="Z251" i="16"/>
  <c r="X252" i="16"/>
  <c r="Z252" i="16"/>
  <c r="X253" i="16"/>
  <c r="Z253" i="16"/>
  <c r="X254" i="16"/>
  <c r="Z254" i="16"/>
  <c r="X255" i="16"/>
  <c r="Z255" i="16"/>
  <c r="X256" i="16"/>
  <c r="Z256" i="16"/>
  <c r="X257" i="16"/>
  <c r="Z257" i="16"/>
  <c r="X258" i="16"/>
  <c r="Z258" i="16"/>
  <c r="X259" i="16"/>
  <c r="Z259" i="16"/>
  <c r="X260" i="16"/>
  <c r="Z260" i="16"/>
  <c r="X261" i="16"/>
  <c r="Z261" i="16"/>
  <c r="X262" i="16"/>
  <c r="Z262" i="16"/>
  <c r="X263" i="16"/>
  <c r="Z263" i="16"/>
  <c r="X264" i="16"/>
  <c r="Z264" i="16"/>
  <c r="X265" i="16"/>
  <c r="Z265" i="16"/>
  <c r="X266" i="16"/>
  <c r="Z266" i="16"/>
  <c r="X267" i="16"/>
  <c r="Z267" i="16"/>
  <c r="X268" i="16"/>
  <c r="Z268" i="16"/>
  <c r="X269" i="16"/>
  <c r="Z269" i="16"/>
  <c r="X270" i="16"/>
  <c r="Z270" i="16"/>
  <c r="X271" i="16"/>
  <c r="Z271" i="16"/>
  <c r="X272" i="16"/>
  <c r="Z272" i="16"/>
  <c r="X273" i="16"/>
  <c r="Z273" i="16"/>
  <c r="X274" i="16"/>
  <c r="Z274" i="16"/>
  <c r="X275" i="16"/>
  <c r="Z275" i="16"/>
  <c r="X276" i="16"/>
  <c r="Z276" i="16"/>
  <c r="X277" i="16"/>
  <c r="Z277" i="16"/>
  <c r="X278" i="16"/>
  <c r="Z278" i="16"/>
  <c r="X279" i="16"/>
  <c r="Z279" i="16"/>
  <c r="X280" i="16"/>
  <c r="Z280" i="16"/>
  <c r="X281" i="16"/>
  <c r="Z281" i="16"/>
  <c r="X282" i="16"/>
  <c r="Z282" i="16"/>
  <c r="X283" i="16"/>
  <c r="Z283" i="16"/>
  <c r="X284" i="16"/>
  <c r="Z284" i="16"/>
  <c r="X285" i="16"/>
  <c r="Z285" i="16"/>
  <c r="X286" i="16"/>
  <c r="Z286" i="16"/>
  <c r="X287" i="16"/>
  <c r="Z287" i="16"/>
  <c r="X288" i="16"/>
  <c r="Z288" i="16"/>
  <c r="X289" i="16"/>
  <c r="Z289" i="16"/>
  <c r="X290" i="16"/>
  <c r="Z290" i="16"/>
  <c r="X291" i="16"/>
  <c r="Z291" i="16"/>
  <c r="X292" i="16"/>
  <c r="Z292" i="16"/>
  <c r="X293" i="16"/>
  <c r="Z293" i="16"/>
  <c r="X294" i="16"/>
  <c r="Z294" i="16"/>
  <c r="X295" i="16"/>
  <c r="Z295" i="16"/>
  <c r="X296" i="16"/>
  <c r="Z296" i="16"/>
  <c r="X297" i="16"/>
  <c r="Z297" i="16"/>
  <c r="X298" i="16"/>
  <c r="Z298" i="16"/>
  <c r="X299" i="16"/>
  <c r="Z299" i="16"/>
  <c r="X300" i="16"/>
  <c r="Z300" i="16"/>
  <c r="X301" i="16"/>
  <c r="Z301" i="16"/>
  <c r="X302" i="16"/>
  <c r="Z302" i="16"/>
  <c r="X303" i="16"/>
  <c r="Z303" i="16"/>
  <c r="X304" i="16"/>
  <c r="Z304" i="16"/>
  <c r="X305" i="16"/>
  <c r="Z305" i="16"/>
  <c r="X306" i="16"/>
  <c r="Z306" i="16"/>
  <c r="X307" i="16"/>
  <c r="Z307" i="16"/>
  <c r="X308" i="16"/>
  <c r="Z308" i="16"/>
  <c r="X309" i="16"/>
  <c r="Z309" i="16"/>
  <c r="X310" i="16"/>
  <c r="Z310" i="16"/>
  <c r="X311" i="16"/>
  <c r="Z311" i="16"/>
  <c r="X312" i="16"/>
  <c r="Z312" i="16"/>
  <c r="X313" i="16"/>
  <c r="Z313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B139" i="16"/>
  <c r="AD139" i="16"/>
  <c r="AB140" i="16"/>
  <c r="AD140" i="16"/>
  <c r="AB141" i="16"/>
  <c r="AD141" i="16"/>
  <c r="AB142" i="16"/>
  <c r="AD142" i="16"/>
  <c r="AB143" i="16"/>
  <c r="AD143" i="16"/>
  <c r="AB144" i="16"/>
  <c r="AD144" i="16"/>
  <c r="AB145" i="16"/>
  <c r="AD145" i="16"/>
  <c r="AB146" i="16"/>
  <c r="AD146" i="16"/>
  <c r="AB147" i="16"/>
  <c r="AD147" i="16"/>
  <c r="AB148" i="16"/>
  <c r="AD148" i="16"/>
  <c r="AB149" i="16"/>
  <c r="AD149" i="16"/>
  <c r="AB150" i="16"/>
  <c r="AD150" i="16"/>
  <c r="AB151" i="16"/>
  <c r="AD151" i="16"/>
  <c r="AB152" i="16"/>
  <c r="AD152" i="16"/>
  <c r="AB153" i="16"/>
  <c r="AD153" i="16"/>
  <c r="AB154" i="16"/>
  <c r="AD154" i="16"/>
  <c r="AB155" i="16"/>
  <c r="AD155" i="16"/>
  <c r="AB156" i="16"/>
  <c r="AD156" i="16"/>
  <c r="AB157" i="16"/>
  <c r="AD157" i="16"/>
  <c r="AB158" i="16"/>
  <c r="AD158" i="16"/>
  <c r="AB159" i="16"/>
  <c r="AD159" i="16"/>
  <c r="AB160" i="16"/>
  <c r="AD160" i="16"/>
  <c r="AB161" i="16"/>
  <c r="AD161" i="16"/>
  <c r="AB162" i="16"/>
  <c r="AD162" i="16"/>
  <c r="AB163" i="16"/>
  <c r="AD163" i="16"/>
  <c r="AB164" i="16"/>
  <c r="AD164" i="16"/>
  <c r="AB165" i="16"/>
  <c r="AD165" i="16"/>
  <c r="AB166" i="16"/>
  <c r="AD166" i="16"/>
  <c r="AB167" i="16"/>
  <c r="AD167" i="16"/>
  <c r="AB168" i="16"/>
  <c r="AD168" i="16"/>
  <c r="AB169" i="16"/>
  <c r="AD169" i="16"/>
  <c r="AB170" i="16"/>
  <c r="AD170" i="16"/>
  <c r="AB171" i="16"/>
  <c r="AD171" i="16"/>
  <c r="AB172" i="16"/>
  <c r="AD172" i="16"/>
  <c r="AB173" i="16"/>
  <c r="AD173" i="16"/>
  <c r="AB174" i="16"/>
  <c r="AD174" i="16"/>
  <c r="AB175" i="16"/>
  <c r="AD175" i="16"/>
  <c r="AB176" i="16"/>
  <c r="AD176" i="16"/>
  <c r="AB177" i="16"/>
  <c r="AD177" i="16"/>
  <c r="AB178" i="16"/>
  <c r="AD178" i="16"/>
  <c r="AB179" i="16"/>
  <c r="AD179" i="16"/>
  <c r="AB180" i="16"/>
  <c r="AD180" i="16"/>
  <c r="AB181" i="16"/>
  <c r="AD181" i="16"/>
  <c r="AB182" i="16"/>
  <c r="AD182" i="16"/>
  <c r="AB183" i="16"/>
  <c r="AD183" i="16"/>
  <c r="AB184" i="16"/>
  <c r="AD184" i="16"/>
  <c r="AB185" i="16"/>
  <c r="AD185" i="16"/>
  <c r="AB186" i="16"/>
  <c r="AD186" i="16"/>
  <c r="AB187" i="16"/>
  <c r="AD187" i="16"/>
  <c r="AB188" i="16"/>
  <c r="AD188" i="16"/>
  <c r="AB189" i="16"/>
  <c r="AD189" i="16"/>
  <c r="AB190" i="16"/>
  <c r="AD190" i="16"/>
  <c r="AB191" i="16"/>
  <c r="AD191" i="16"/>
  <c r="AB192" i="16"/>
  <c r="AD192" i="16"/>
  <c r="AB193" i="16"/>
  <c r="AD193" i="16"/>
  <c r="AB194" i="16"/>
  <c r="AD194" i="16"/>
  <c r="AB195" i="16"/>
  <c r="AD195" i="16"/>
  <c r="AB196" i="16"/>
  <c r="AD196" i="16"/>
  <c r="AB197" i="16"/>
  <c r="AD197" i="16"/>
  <c r="AB198" i="16"/>
  <c r="AD198" i="16"/>
  <c r="AB199" i="16"/>
  <c r="AD199" i="16"/>
  <c r="AB200" i="16"/>
  <c r="AD200" i="16"/>
  <c r="AB201" i="16"/>
  <c r="AD201" i="16"/>
  <c r="AB202" i="16"/>
  <c r="AD202" i="16"/>
  <c r="AB203" i="16"/>
  <c r="AD203" i="16"/>
  <c r="AB204" i="16"/>
  <c r="AD204" i="16"/>
  <c r="AB205" i="16"/>
  <c r="AD205" i="16"/>
  <c r="AB206" i="16"/>
  <c r="AD206" i="16"/>
  <c r="AB207" i="16"/>
  <c r="AD207" i="16"/>
  <c r="AB208" i="16"/>
  <c r="AD208" i="16"/>
  <c r="AB209" i="16"/>
  <c r="AD209" i="16"/>
  <c r="AB210" i="16"/>
  <c r="AD210" i="16"/>
  <c r="AB211" i="16"/>
  <c r="AD211" i="16"/>
  <c r="AB212" i="16"/>
  <c r="AD212" i="16"/>
  <c r="AB213" i="16"/>
  <c r="AD213" i="16"/>
  <c r="AB214" i="16"/>
  <c r="AD214" i="16"/>
  <c r="AB215" i="16"/>
  <c r="AD215" i="16"/>
  <c r="AB216" i="16"/>
  <c r="AD216" i="16"/>
  <c r="AB217" i="16"/>
  <c r="AD217" i="16"/>
  <c r="AB218" i="16"/>
  <c r="AD218" i="16"/>
  <c r="AB219" i="16"/>
  <c r="AD219" i="16"/>
  <c r="AB220" i="16"/>
  <c r="AD220" i="16"/>
  <c r="AB221" i="16"/>
  <c r="AD221" i="16"/>
  <c r="AB222" i="16"/>
  <c r="AD222" i="16"/>
  <c r="AB223" i="16"/>
  <c r="AD223" i="16"/>
  <c r="AB224" i="16"/>
  <c r="AD224" i="16"/>
  <c r="AB225" i="16"/>
  <c r="AD225" i="16"/>
  <c r="AB226" i="16"/>
  <c r="AD226" i="16"/>
  <c r="AB227" i="16"/>
  <c r="AD227" i="16"/>
  <c r="AB228" i="16"/>
  <c r="AD228" i="16"/>
  <c r="AB229" i="16"/>
  <c r="AD229" i="16"/>
  <c r="AB230" i="16"/>
  <c r="AD230" i="16"/>
  <c r="AB231" i="16"/>
  <c r="AD231" i="16"/>
  <c r="AB232" i="16"/>
  <c r="AD232" i="16"/>
  <c r="AB233" i="16"/>
  <c r="AD233" i="16"/>
  <c r="AB234" i="16"/>
  <c r="AD234" i="16"/>
  <c r="AB235" i="16"/>
  <c r="AD235" i="16"/>
  <c r="AB236" i="16"/>
  <c r="AD236" i="16"/>
  <c r="AB237" i="16"/>
  <c r="AD237" i="16"/>
  <c r="AB238" i="16"/>
  <c r="AD238" i="16"/>
  <c r="AB239" i="16"/>
  <c r="AD239" i="16"/>
  <c r="AB240" i="16"/>
  <c r="AD240" i="16"/>
  <c r="AB241" i="16"/>
  <c r="AD241" i="16"/>
  <c r="AB242" i="16"/>
  <c r="AD242" i="16"/>
  <c r="AB243" i="16"/>
  <c r="AD243" i="16"/>
  <c r="AB244" i="16"/>
  <c r="AD244" i="16"/>
  <c r="AB245" i="16"/>
  <c r="AD245" i="16"/>
  <c r="AB246" i="16"/>
  <c r="AD246" i="16"/>
  <c r="AB247" i="16"/>
  <c r="AD247" i="16"/>
  <c r="AB248" i="16"/>
  <c r="AD248" i="16"/>
  <c r="AB249" i="16"/>
  <c r="AD249" i="16"/>
  <c r="AB250" i="16"/>
  <c r="AD250" i="16"/>
  <c r="AB251" i="16"/>
  <c r="AD251" i="16"/>
  <c r="AB252" i="16"/>
  <c r="AD252" i="16"/>
  <c r="AB253" i="16"/>
  <c r="AD253" i="16"/>
  <c r="AB254" i="16"/>
  <c r="AD254" i="16"/>
  <c r="AB255" i="16"/>
  <c r="AD255" i="16"/>
  <c r="AB256" i="16"/>
  <c r="AD256" i="16"/>
  <c r="AB257" i="16"/>
  <c r="AD257" i="16"/>
  <c r="AB258" i="16"/>
  <c r="AD258" i="16"/>
  <c r="AB259" i="16"/>
  <c r="AD259" i="16"/>
  <c r="AB260" i="16"/>
  <c r="AD260" i="16"/>
  <c r="AB261" i="16"/>
  <c r="AD261" i="16"/>
  <c r="AB262" i="16"/>
  <c r="AD262" i="16"/>
  <c r="AB263" i="16"/>
  <c r="AD263" i="16"/>
  <c r="AB264" i="16"/>
  <c r="AD264" i="16"/>
  <c r="AB265" i="16"/>
  <c r="AD265" i="16"/>
  <c r="AB266" i="16"/>
  <c r="AD266" i="16"/>
  <c r="AB267" i="16"/>
  <c r="AD267" i="16"/>
  <c r="AB268" i="16"/>
  <c r="AD268" i="16"/>
  <c r="AB269" i="16"/>
  <c r="AD269" i="16"/>
  <c r="AB270" i="16"/>
  <c r="AD270" i="16"/>
  <c r="AB271" i="16"/>
  <c r="AD271" i="16"/>
  <c r="AB272" i="16"/>
  <c r="AD272" i="16"/>
  <c r="AB273" i="16"/>
  <c r="AD273" i="16"/>
  <c r="AB274" i="16"/>
  <c r="AD274" i="16"/>
  <c r="AB275" i="16"/>
  <c r="AD275" i="16"/>
  <c r="AB276" i="16"/>
  <c r="AD276" i="16"/>
  <c r="AB277" i="16"/>
  <c r="AD277" i="16"/>
  <c r="AB278" i="16"/>
  <c r="AD278" i="16"/>
  <c r="AB279" i="16"/>
  <c r="AD279" i="16"/>
  <c r="AB280" i="16"/>
  <c r="AD280" i="16"/>
  <c r="AB281" i="16"/>
  <c r="AD281" i="16"/>
  <c r="AB282" i="16"/>
  <c r="AD282" i="16"/>
  <c r="AB283" i="16"/>
  <c r="AD283" i="16"/>
  <c r="AB284" i="16"/>
  <c r="AD284" i="16"/>
  <c r="AB285" i="16"/>
  <c r="AD285" i="16"/>
  <c r="AB286" i="16"/>
  <c r="AD286" i="16"/>
  <c r="AB287" i="16"/>
  <c r="AD287" i="16"/>
  <c r="AB288" i="16"/>
  <c r="AD288" i="16"/>
  <c r="AB289" i="16"/>
  <c r="AD289" i="16"/>
  <c r="AB290" i="16"/>
  <c r="AD290" i="16"/>
  <c r="AB291" i="16"/>
  <c r="AD291" i="16"/>
  <c r="AB292" i="16"/>
  <c r="AD292" i="16"/>
  <c r="AB293" i="16"/>
  <c r="AD293" i="16"/>
  <c r="AB294" i="16"/>
  <c r="AD294" i="16"/>
  <c r="AB295" i="16"/>
  <c r="AD295" i="16"/>
  <c r="AB296" i="16"/>
  <c r="AD296" i="16"/>
  <c r="AB297" i="16"/>
  <c r="AD297" i="16"/>
  <c r="AB298" i="16"/>
  <c r="AD298" i="16"/>
  <c r="AB299" i="16"/>
  <c r="AD299" i="16"/>
  <c r="AB300" i="16"/>
  <c r="AD300" i="16"/>
  <c r="AB301" i="16"/>
  <c r="AD301" i="16"/>
  <c r="AB302" i="16"/>
  <c r="AD302" i="16"/>
  <c r="AB303" i="16"/>
  <c r="AD303" i="16"/>
  <c r="AB304" i="16"/>
  <c r="AD304" i="16"/>
  <c r="AB305" i="16"/>
  <c r="AD305" i="16"/>
  <c r="AB306" i="16"/>
  <c r="AD306" i="16"/>
  <c r="AB307" i="16"/>
  <c r="AD307" i="16"/>
  <c r="AB308" i="16"/>
  <c r="AD308" i="16"/>
  <c r="AB309" i="16"/>
  <c r="AD309" i="16"/>
  <c r="AB310" i="16"/>
  <c r="AD310" i="16"/>
  <c r="AB311" i="16"/>
  <c r="AD311" i="16"/>
  <c r="AB312" i="16"/>
  <c r="AD312" i="16"/>
  <c r="AB313" i="16"/>
  <c r="AD313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E139" i="16"/>
  <c r="AE140" i="16"/>
  <c r="AE141" i="16"/>
  <c r="AE142" i="16"/>
  <c r="AE143" i="16"/>
  <c r="AE144" i="16"/>
  <c r="AE145" i="16"/>
  <c r="AE146" i="16"/>
  <c r="AE147" i="16"/>
  <c r="AE148" i="16"/>
  <c r="AE149" i="16"/>
  <c r="AE150" i="16"/>
  <c r="AE151" i="16"/>
  <c r="AE152" i="16"/>
  <c r="AE153" i="16"/>
  <c r="AE154" i="16"/>
  <c r="AE155" i="16"/>
  <c r="AE156" i="16"/>
  <c r="AE157" i="16"/>
  <c r="AE158" i="16"/>
  <c r="AE159" i="16"/>
  <c r="AE160" i="16"/>
  <c r="AE161" i="16"/>
  <c r="AE162" i="16"/>
  <c r="AE163" i="16"/>
  <c r="AE164" i="16"/>
  <c r="AE165" i="16"/>
  <c r="AE166" i="16"/>
  <c r="AE167" i="16"/>
  <c r="AE168" i="16"/>
  <c r="AE169" i="16"/>
  <c r="AE170" i="16"/>
  <c r="AE171" i="16"/>
  <c r="AE172" i="16"/>
  <c r="AE173" i="16"/>
  <c r="AE174" i="16"/>
  <c r="AE175" i="16"/>
  <c r="AE176" i="16"/>
  <c r="AE177" i="16"/>
  <c r="AE178" i="16"/>
  <c r="AE179" i="16"/>
  <c r="AE180" i="16"/>
  <c r="AE181" i="16"/>
  <c r="AE182" i="16"/>
  <c r="AE183" i="16"/>
  <c r="AE184" i="16"/>
  <c r="AE185" i="16"/>
  <c r="AE186" i="16"/>
  <c r="AE187" i="16"/>
  <c r="AE188" i="16"/>
  <c r="AE189" i="16"/>
  <c r="AE190" i="16"/>
  <c r="AE191" i="16"/>
  <c r="AE192" i="16"/>
  <c r="AE193" i="16"/>
  <c r="AE194" i="16"/>
  <c r="AE195" i="16"/>
  <c r="AE196" i="16"/>
  <c r="AE197" i="16"/>
  <c r="AE198" i="16"/>
  <c r="AE199" i="16"/>
  <c r="AE200" i="16"/>
  <c r="AE201" i="16"/>
  <c r="AE202" i="16"/>
  <c r="AE203" i="16"/>
  <c r="AE204" i="16"/>
  <c r="AE205" i="16"/>
  <c r="AE206" i="16"/>
  <c r="AE207" i="16"/>
  <c r="AE208" i="16"/>
  <c r="AE209" i="16"/>
  <c r="AE210" i="16"/>
  <c r="AE211" i="16"/>
  <c r="AE212" i="16"/>
  <c r="AE213" i="16"/>
  <c r="AE214" i="16"/>
  <c r="AE215" i="16"/>
  <c r="AE216" i="16"/>
  <c r="AE217" i="16"/>
  <c r="AE218" i="16"/>
  <c r="AE219" i="16"/>
  <c r="AE220" i="16"/>
  <c r="AE221" i="16"/>
  <c r="AE222" i="16"/>
  <c r="AE223" i="16"/>
  <c r="AE224" i="16"/>
  <c r="AE225" i="16"/>
  <c r="AE226" i="16"/>
  <c r="AE227" i="16"/>
  <c r="AE228" i="16"/>
  <c r="AE229" i="16"/>
  <c r="AE230" i="16"/>
  <c r="AE231" i="16"/>
  <c r="AE232" i="16"/>
  <c r="AE233" i="16"/>
  <c r="AE234" i="16"/>
  <c r="AE235" i="16"/>
  <c r="AE236" i="16"/>
  <c r="AE237" i="16"/>
  <c r="AE238" i="16"/>
  <c r="AE239" i="16"/>
  <c r="AE240" i="16"/>
  <c r="AE241" i="16"/>
  <c r="AE242" i="16"/>
  <c r="AE243" i="16"/>
  <c r="AE244" i="16"/>
  <c r="AE245" i="16"/>
  <c r="AE246" i="16"/>
  <c r="AE247" i="16"/>
  <c r="AE248" i="16"/>
  <c r="AE249" i="16"/>
  <c r="AE250" i="16"/>
  <c r="AE251" i="16"/>
  <c r="AE252" i="16"/>
  <c r="AE253" i="16"/>
  <c r="AE254" i="16"/>
  <c r="AE255" i="16"/>
  <c r="AE256" i="16"/>
  <c r="AE257" i="16"/>
  <c r="AE258" i="16"/>
  <c r="AE259" i="16"/>
  <c r="AE260" i="16"/>
  <c r="AE261" i="16"/>
  <c r="AE262" i="16"/>
  <c r="AE263" i="16"/>
  <c r="AE264" i="16"/>
  <c r="AE265" i="16"/>
  <c r="AE266" i="16"/>
  <c r="AE267" i="16"/>
  <c r="AE268" i="16"/>
  <c r="AE269" i="16"/>
  <c r="AE270" i="16"/>
  <c r="AE271" i="16"/>
  <c r="AE272" i="16"/>
  <c r="AE273" i="16"/>
  <c r="AE274" i="16"/>
  <c r="AE275" i="16"/>
  <c r="AE276" i="16"/>
  <c r="AE277" i="16"/>
  <c r="AE278" i="16"/>
  <c r="AE279" i="16"/>
  <c r="AE280" i="16"/>
  <c r="AE281" i="16"/>
  <c r="AE282" i="16"/>
  <c r="AE283" i="16"/>
  <c r="AE284" i="16"/>
  <c r="AE285" i="16"/>
  <c r="AE286" i="16"/>
  <c r="AE287" i="16"/>
  <c r="AE288" i="16"/>
  <c r="AE289" i="16"/>
  <c r="AE290" i="16"/>
  <c r="AE291" i="16"/>
  <c r="AE292" i="16"/>
  <c r="AE293" i="16"/>
  <c r="AE294" i="16"/>
  <c r="AE295" i="16"/>
  <c r="AE296" i="16"/>
  <c r="AE297" i="16"/>
  <c r="AE298" i="16"/>
  <c r="AE299" i="16"/>
  <c r="AE300" i="16"/>
  <c r="AE301" i="16"/>
  <c r="AE302" i="16"/>
  <c r="AE303" i="16"/>
  <c r="AE304" i="16"/>
  <c r="AE305" i="16"/>
  <c r="AE306" i="16"/>
  <c r="AE307" i="16"/>
  <c r="AE308" i="16"/>
  <c r="AE309" i="16"/>
  <c r="AE310" i="16"/>
  <c r="AE311" i="16"/>
  <c r="AE312" i="16"/>
  <c r="AE313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Y139" i="16"/>
  <c r="AC139" i="16"/>
  <c r="Y140" i="16"/>
  <c r="AC140" i="16"/>
  <c r="Y141" i="16"/>
  <c r="AC141" i="16"/>
  <c r="Y142" i="16"/>
  <c r="AC142" i="16"/>
  <c r="Y143" i="16"/>
  <c r="AC143" i="16"/>
  <c r="Y144" i="16"/>
  <c r="AC144" i="16"/>
  <c r="Y145" i="16"/>
  <c r="AC145" i="16"/>
  <c r="Y146" i="16"/>
  <c r="AC146" i="16"/>
  <c r="Y147" i="16"/>
  <c r="AC147" i="16"/>
  <c r="Y148" i="16"/>
  <c r="AC148" i="16"/>
  <c r="Y149" i="16"/>
  <c r="AC149" i="16"/>
  <c r="Y150" i="16"/>
  <c r="AC150" i="16"/>
  <c r="Y151" i="16"/>
  <c r="AC151" i="16"/>
  <c r="Y152" i="16"/>
  <c r="AC152" i="16"/>
  <c r="Y153" i="16"/>
  <c r="AC153" i="16"/>
  <c r="Y154" i="16"/>
  <c r="AC154" i="16"/>
  <c r="Y155" i="16"/>
  <c r="AC155" i="16"/>
  <c r="Y156" i="16"/>
  <c r="AC156" i="16"/>
  <c r="Y157" i="16"/>
  <c r="AC157" i="16"/>
  <c r="Y158" i="16"/>
  <c r="AC158" i="16"/>
  <c r="Y159" i="16"/>
  <c r="AC159" i="16"/>
  <c r="Y160" i="16"/>
  <c r="AC160" i="16"/>
  <c r="Y161" i="16"/>
  <c r="AC161" i="16"/>
  <c r="Y162" i="16"/>
  <c r="AC162" i="16"/>
  <c r="Y163" i="16"/>
  <c r="AC163" i="16"/>
  <c r="Y164" i="16"/>
  <c r="AC164" i="16"/>
  <c r="Y165" i="16"/>
  <c r="AC165" i="16"/>
  <c r="Y166" i="16"/>
  <c r="AC166" i="16"/>
  <c r="Y167" i="16"/>
  <c r="AC167" i="16"/>
  <c r="Y168" i="16"/>
  <c r="AC168" i="16"/>
  <c r="Y169" i="16"/>
  <c r="AC169" i="16"/>
  <c r="Y170" i="16"/>
  <c r="AC170" i="16"/>
  <c r="Y171" i="16"/>
  <c r="AC171" i="16"/>
  <c r="Y172" i="16"/>
  <c r="AC172" i="16"/>
  <c r="Y173" i="16"/>
  <c r="AC173" i="16"/>
  <c r="Y174" i="16"/>
  <c r="AC174" i="16"/>
  <c r="Y175" i="16"/>
  <c r="AC175" i="16"/>
  <c r="Y176" i="16"/>
  <c r="AC176" i="16"/>
  <c r="Y177" i="16"/>
  <c r="AC177" i="16"/>
  <c r="Y178" i="16"/>
  <c r="AC178" i="16"/>
  <c r="Y179" i="16"/>
  <c r="AC179" i="16"/>
  <c r="Y180" i="16"/>
  <c r="AC180" i="16"/>
  <c r="Y181" i="16"/>
  <c r="AC181" i="16"/>
  <c r="Y182" i="16"/>
  <c r="AC182" i="16"/>
  <c r="Y183" i="16"/>
  <c r="AC183" i="16"/>
  <c r="Y184" i="16"/>
  <c r="AC184" i="16"/>
  <c r="Y185" i="16"/>
  <c r="AC185" i="16"/>
  <c r="Y186" i="16"/>
  <c r="AC186" i="16"/>
  <c r="Y187" i="16"/>
  <c r="AC187" i="16"/>
  <c r="Y188" i="16"/>
  <c r="AC188" i="16"/>
  <c r="Y189" i="16"/>
  <c r="AC189" i="16"/>
  <c r="Y190" i="16"/>
  <c r="AC190" i="16"/>
  <c r="Y191" i="16"/>
  <c r="AC191" i="16"/>
  <c r="Y192" i="16"/>
  <c r="AC192" i="16"/>
  <c r="Y193" i="16"/>
  <c r="AC193" i="16"/>
  <c r="Y194" i="16"/>
  <c r="AC194" i="16"/>
  <c r="Y195" i="16"/>
  <c r="AC195" i="16"/>
  <c r="Y196" i="16"/>
  <c r="AC196" i="16"/>
  <c r="Y197" i="16"/>
  <c r="AC197" i="16"/>
  <c r="Y198" i="16"/>
  <c r="AC198" i="16"/>
  <c r="Y199" i="16"/>
  <c r="AC199" i="16"/>
  <c r="Y200" i="16"/>
  <c r="AC200" i="16"/>
  <c r="Y201" i="16"/>
  <c r="AC201" i="16"/>
  <c r="Y202" i="16"/>
  <c r="AC202" i="16"/>
  <c r="Y203" i="16"/>
  <c r="AC203" i="16"/>
  <c r="Y204" i="16"/>
  <c r="AC204" i="16"/>
  <c r="Y205" i="16"/>
  <c r="AC205" i="16"/>
  <c r="Y206" i="16"/>
  <c r="AC206" i="16"/>
  <c r="Y207" i="16"/>
  <c r="AC207" i="16"/>
  <c r="Y208" i="16"/>
  <c r="AC208" i="16"/>
  <c r="Y209" i="16"/>
  <c r="AC209" i="16"/>
  <c r="Y210" i="16"/>
  <c r="AC210" i="16"/>
  <c r="Y211" i="16"/>
  <c r="AC211" i="16"/>
  <c r="Y212" i="16"/>
  <c r="AC212" i="16"/>
  <c r="Y213" i="16"/>
  <c r="AC213" i="16"/>
  <c r="Y214" i="16"/>
  <c r="AC214" i="16"/>
  <c r="Y215" i="16"/>
  <c r="AC215" i="16"/>
  <c r="Y216" i="16"/>
  <c r="AC216" i="16"/>
  <c r="Y217" i="16"/>
  <c r="AC217" i="16"/>
  <c r="Y218" i="16"/>
  <c r="AC218" i="16"/>
  <c r="Y219" i="16"/>
  <c r="AC219" i="16"/>
  <c r="Y220" i="16"/>
  <c r="AC220" i="16"/>
  <c r="Y221" i="16"/>
  <c r="AC221" i="16"/>
  <c r="Y222" i="16"/>
  <c r="AC222" i="16"/>
  <c r="Y223" i="16"/>
  <c r="AC223" i="16"/>
  <c r="Y224" i="16"/>
  <c r="AC224" i="16"/>
  <c r="Y225" i="16"/>
  <c r="AC225" i="16"/>
  <c r="Y226" i="16"/>
  <c r="AC226" i="16"/>
  <c r="Y227" i="16"/>
  <c r="AC227" i="16"/>
  <c r="Y228" i="16"/>
  <c r="AC228" i="16"/>
  <c r="Y229" i="16"/>
  <c r="AC229" i="16"/>
  <c r="Y230" i="16"/>
  <c r="AC230" i="16"/>
  <c r="Y231" i="16"/>
  <c r="AC231" i="16"/>
  <c r="Y232" i="16"/>
  <c r="AC232" i="16"/>
  <c r="Y233" i="16"/>
  <c r="AC233" i="16"/>
  <c r="Y234" i="16"/>
  <c r="AC234" i="16"/>
  <c r="Y235" i="16"/>
  <c r="AC235" i="16"/>
  <c r="Y236" i="16"/>
  <c r="AC236" i="16"/>
  <c r="Y237" i="16"/>
  <c r="AC237" i="16"/>
  <c r="Y238" i="16"/>
  <c r="AC238" i="16"/>
  <c r="Y239" i="16"/>
  <c r="AC239" i="16"/>
  <c r="Y240" i="16"/>
  <c r="AC240" i="16"/>
  <c r="Y241" i="16"/>
  <c r="AC241" i="16"/>
  <c r="Y242" i="16"/>
  <c r="AC242" i="16"/>
  <c r="Y243" i="16"/>
  <c r="AC243" i="16"/>
  <c r="Y244" i="16"/>
  <c r="AC244" i="16"/>
  <c r="Y245" i="16"/>
  <c r="AC245" i="16"/>
  <c r="Y246" i="16"/>
  <c r="AC246" i="16"/>
  <c r="Y247" i="16"/>
  <c r="AC247" i="16"/>
  <c r="Y248" i="16"/>
  <c r="AC248" i="16"/>
  <c r="Y249" i="16"/>
  <c r="AC249" i="16"/>
  <c r="Y250" i="16"/>
  <c r="AC250" i="16"/>
  <c r="Y251" i="16"/>
  <c r="AC251" i="16"/>
  <c r="Y252" i="16"/>
  <c r="AC252" i="16"/>
  <c r="Y253" i="16"/>
  <c r="AC253" i="16"/>
  <c r="Y254" i="16"/>
  <c r="AC254" i="16"/>
  <c r="Y255" i="16"/>
  <c r="AC255" i="16"/>
  <c r="Y256" i="16"/>
  <c r="AC256" i="16"/>
  <c r="Y257" i="16"/>
  <c r="AC257" i="16"/>
  <c r="Y258" i="16"/>
  <c r="AC258" i="16"/>
  <c r="Y259" i="16"/>
  <c r="AC259" i="16"/>
  <c r="Y260" i="16"/>
  <c r="AC260" i="16"/>
  <c r="Y261" i="16"/>
  <c r="AC261" i="16"/>
  <c r="Y262" i="16"/>
  <c r="AC262" i="16"/>
  <c r="Y263" i="16"/>
  <c r="AC263" i="16"/>
  <c r="Y264" i="16"/>
  <c r="AC264" i="16"/>
  <c r="Y265" i="16"/>
  <c r="AC265" i="16"/>
  <c r="Y266" i="16"/>
  <c r="AC266" i="16"/>
  <c r="Y267" i="16"/>
  <c r="AC267" i="16"/>
  <c r="Y268" i="16"/>
  <c r="AC268" i="16"/>
  <c r="Y269" i="16"/>
  <c r="AC269" i="16"/>
  <c r="Y270" i="16"/>
  <c r="AC270" i="16"/>
  <c r="Y271" i="16"/>
  <c r="AC271" i="16"/>
  <c r="Y272" i="16"/>
  <c r="AC272" i="16"/>
  <c r="Y273" i="16"/>
  <c r="AC273" i="16"/>
  <c r="Y274" i="16"/>
  <c r="AC274" i="16"/>
  <c r="Y275" i="16"/>
  <c r="AC275" i="16"/>
  <c r="Y276" i="16"/>
  <c r="AC276" i="16"/>
  <c r="Y277" i="16"/>
  <c r="AC277" i="16"/>
  <c r="Y278" i="16"/>
  <c r="AC278" i="16"/>
  <c r="Y279" i="16"/>
  <c r="AC279" i="16"/>
  <c r="Y280" i="16"/>
  <c r="AC280" i="16"/>
  <c r="Y281" i="16"/>
  <c r="AC281" i="16"/>
  <c r="Y282" i="16"/>
  <c r="AC282" i="16"/>
  <c r="Y283" i="16"/>
  <c r="AC283" i="16"/>
  <c r="Y284" i="16"/>
  <c r="AC284" i="16"/>
  <c r="Y285" i="16"/>
  <c r="AC285" i="16"/>
  <c r="Y286" i="16"/>
  <c r="AC286" i="16"/>
  <c r="Y287" i="16"/>
  <c r="AC287" i="16"/>
  <c r="Y288" i="16"/>
  <c r="AC288" i="16"/>
  <c r="Y289" i="16"/>
  <c r="AC289" i="16"/>
  <c r="Y290" i="16"/>
  <c r="AC290" i="16"/>
  <c r="Y291" i="16"/>
  <c r="AC291" i="16"/>
  <c r="Y292" i="16"/>
  <c r="AC292" i="16"/>
  <c r="Y293" i="16"/>
  <c r="AC293" i="16"/>
  <c r="Y294" i="16"/>
  <c r="AC294" i="16"/>
  <c r="Y295" i="16"/>
  <c r="AC295" i="16"/>
  <c r="Y296" i="16"/>
  <c r="AC296" i="16"/>
  <c r="Y297" i="16"/>
  <c r="AC297" i="16"/>
  <c r="Y298" i="16"/>
  <c r="AC298" i="16"/>
  <c r="Y299" i="16"/>
  <c r="AC299" i="16"/>
  <c r="Y300" i="16"/>
  <c r="AC300" i="16"/>
  <c r="Y301" i="16"/>
  <c r="AC301" i="16"/>
  <c r="Y302" i="16"/>
  <c r="AC302" i="16"/>
  <c r="Y303" i="16"/>
  <c r="AC303" i="16"/>
  <c r="Y304" i="16"/>
  <c r="AC304" i="16"/>
  <c r="Y305" i="16"/>
  <c r="AC305" i="16"/>
  <c r="Y306" i="16"/>
  <c r="AC306" i="16"/>
  <c r="Y307" i="16"/>
  <c r="AC307" i="16"/>
  <c r="Y308" i="16"/>
  <c r="AC308" i="16"/>
  <c r="Y309" i="16"/>
  <c r="AC309" i="16"/>
  <c r="Y310" i="16"/>
  <c r="AC310" i="16"/>
  <c r="Y311" i="16"/>
  <c r="AC311" i="16"/>
  <c r="Y312" i="16"/>
  <c r="AC312" i="16"/>
  <c r="Y313" i="16"/>
  <c r="AC313" i="16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AR14" i="16" a="1"/>
  <c r="AR14" i="16"/>
  <c r="C18" i="4" a="1"/>
  <c r="C18" i="4"/>
  <c r="AH14" i="16" a="1"/>
  <c r="AH14" i="16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9" i="8"/>
  <c r="BD18" i="16"/>
  <c r="AG14" i="16"/>
  <c r="BC14" i="16"/>
  <c r="BD14" i="16"/>
  <c r="AG15" i="16"/>
  <c r="BC15" i="16"/>
  <c r="BD15" i="16"/>
  <c r="AG16" i="16"/>
  <c r="BC16" i="16"/>
  <c r="BD16" i="16"/>
  <c r="AG17" i="16"/>
  <c r="BC17" i="16"/>
  <c r="BD17" i="16"/>
  <c r="AG18" i="16"/>
  <c r="BC18" i="16"/>
  <c r="AG19" i="16"/>
  <c r="BC19" i="16"/>
  <c r="BD19" i="16"/>
  <c r="AG20" i="16"/>
  <c r="BC20" i="16"/>
  <c r="BD20" i="16"/>
  <c r="AG21" i="16"/>
  <c r="BC21" i="16"/>
  <c r="BD21" i="16"/>
  <c r="AG22" i="16"/>
  <c r="BC22" i="16"/>
  <c r="BD22" i="16"/>
  <c r="AG23" i="16"/>
  <c r="BC23" i="16"/>
  <c r="BD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F10" i="8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B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<sst xmlns="http://schemas.openxmlformats.org/spreadsheetml/2006/main" count="4146" uniqueCount="696">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</sst>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5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174" fontId="0" fillId="0" borderId="0" xfId="0" applyNumberFormat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10" fontId="21" fillId="0" borderId="0" xfId="0" applyNumberFormat="1" applyFont="1" applyAlignment="1">
      <alignment horizontal="right"/>
    </xf>
    <xf numFmtId="0" fontId="34" fillId="4" borderId="1" xfId="0" applyFont="1" applyFill="1" applyBorder="1"/>
    <xf numFmtId="0" fontId="34" fillId="4" borderId="0" xfId="0" applyFont="1" applyFill="1"/>
    <xf numFmtId="0" fontId="34" fillId="4" borderId="2" xfId="0" applyFont="1" applyFill="1" applyBorder="1"/>
    <xf numFmtId="0" fontId="34" fillId="4" borderId="3" xfId="0" applyFont="1" applyFill="1" applyBorder="1"/>
    <xf numFmtId="0" fontId="34" fillId="4" borderId="28" xfId="0" applyFont="1" applyFill="1" applyBorder="1"/>
    <xf numFmtId="0" fontId="34" fillId="4" borderId="4" xfId="0" applyFont="1" applyFill="1" applyBorder="1"/>
    <xf numFmtId="14" fontId="34" fillId="4" borderId="2" xfId="0" applyNumberFormat="1" applyFont="1" applyFill="1" applyBorder="1"/>
    <xf numFmtId="14" fontId="34" fillId="4" borderId="4" xfId="0" applyNumberFormat="1" applyFont="1" applyFill="1" applyBorder="1"/>
    <xf numFmtId="10" fontId="34" fillId="4" borderId="0" xfId="0" applyNumberFormat="1" applyFont="1" applyFill="1"/>
    <xf numFmtId="10" fontId="34" fillId="4" borderId="28" xfId="0" applyNumberFormat="1" applyFont="1" applyFill="1" applyBorder="1"/>
    <xf numFmtId="9" fontId="34" fillId="4" borderId="0" xfId="0" applyNumberFormat="1" applyFont="1" applyFill="1"/>
    <xf numFmtId="9" fontId="34" fillId="4" borderId="28" xfId="0" applyNumberFormat="1" applyFont="1" applyFill="1" applyBorder="1"/>
    <xf numFmtId="0" fontId="34" fillId="4" borderId="7" xfId="0" applyFont="1" applyFill="1" applyBorder="1"/>
    <xf numFmtId="0" fontId="34" fillId="4" borderId="23" xfId="0" applyFont="1" applyFill="1" applyBorder="1"/>
    <xf numFmtId="10" fontId="34" fillId="4" borderId="23" xfId="0" applyNumberFormat="1" applyFont="1" applyFill="1" applyBorder="1"/>
    <xf numFmtId="9" fontId="34" fillId="4" borderId="23" xfId="0" applyNumberFormat="1" applyFont="1" applyFill="1" applyBorder="1"/>
    <xf numFmtId="0" fontId="34" fillId="4" borderId="8" xfId="0" applyFont="1" applyFill="1" applyBorder="1"/>
    <xf numFmtId="0" fontId="34" fillId="4" borderId="47" xfId="0" applyFont="1" applyFill="1" applyBorder="1"/>
    <xf numFmtId="0" fontId="34" fillId="4" borderId="13" xfId="0" applyFont="1" applyFill="1" applyBorder="1"/>
    <xf numFmtId="10" fontId="34" fillId="4" borderId="13" xfId="0" applyNumberFormat="1" applyFont="1" applyFill="1" applyBorder="1"/>
    <xf numFmtId="9" fontId="34" fillId="4" borderId="13" xfId="0" applyNumberFormat="1" applyFont="1" applyFill="1" applyBorder="1"/>
    <xf numFmtId="0" fontId="34" fillId="4" borderId="48" xfId="0" applyFont="1" applyFill="1" applyBorder="1"/>
    <xf numFmtId="0" fontId="34" fillId="4" borderId="49" xfId="0" applyFont="1" applyFill="1" applyBorder="1"/>
    <xf numFmtId="0" fontId="34" fillId="4" borderId="50" xfId="0" applyFont="1" applyFill="1" applyBorder="1"/>
    <xf numFmtId="10" fontId="34" fillId="4" borderId="50" xfId="0" applyNumberFormat="1" applyFont="1" applyFill="1" applyBorder="1"/>
    <xf numFmtId="9" fontId="34" fillId="4" borderId="50" xfId="0" applyNumberFormat="1" applyFont="1" applyFill="1" applyBorder="1"/>
    <xf numFmtId="0" fontId="34" fillId="4" borderId="51" xfId="0" applyFont="1" applyFill="1" applyBorder="1"/>
    <xf numFmtId="14" fontId="34" fillId="4" borderId="8" xfId="0" applyNumberFormat="1" applyFont="1" applyFill="1" applyBorder="1"/>
    <xf numFmtId="14" fontId="34" fillId="4" borderId="48" xfId="0" applyNumberFormat="1" applyFont="1" applyFill="1" applyBorder="1"/>
    <xf numFmtId="14" fontId="34" fillId="4" borderId="51" xfId="0" applyNumberFormat="1" applyFont="1" applyFill="1" applyBorder="1"/>
    <xf numFmtId="167" fontId="21" fillId="4" borderId="0" xfId="0" applyNumberFormat="1" applyFont="1" applyFill="1"/>
    <xf numFmtId="10" fontId="0" fillId="0" borderId="0" xfId="0" applyNumberFormat="1"/>
    <xf numFmtId="0" fontId="23" fillId="0" borderId="23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1" fillId="0" borderId="5" xfId="0" applyFont="1" applyBorder="1"/>
    <xf numFmtId="0" fontId="27" fillId="3" borderId="11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3" fillId="0" borderId="28" xfId="0" applyFont="1" applyBorder="1" applyAlignment="1">
      <alignment horizontal="center"/>
    </xf>
    <xf numFmtId="165" fontId="25" fillId="0" borderId="24" xfId="3" applyNumberFormat="1" applyFont="1" applyBorder="1" applyAlignment="1">
      <alignment horizontal="center"/>
    </xf>
    <xf numFmtId="165" fontId="25" fillId="0" borderId="31" xfId="3" applyNumberFormat="1" applyFont="1" applyBorder="1" applyAlignment="1">
      <alignment horizontal="center"/>
    </xf>
    <xf numFmtId="165" fontId="25" fillId="0" borderId="29" xfId="3" applyNumberFormat="1" applyFont="1" applyBorder="1" applyAlignment="1">
      <alignment horizontal="center"/>
    </xf>
    <xf numFmtId="165" fontId="25" fillId="0" borderId="26" xfId="3" applyNumberFormat="1" applyFont="1" applyBorder="1" applyAlignment="1">
      <alignment horizontal="center"/>
    </xf>
    <xf numFmtId="165" fontId="25" fillId="0" borderId="32" xfId="3" applyNumberFormat="1" applyFont="1" applyBorder="1" applyAlignment="1">
      <alignment horizontal="center"/>
    </xf>
    <xf numFmtId="165" fontId="25" fillId="0" borderId="30" xfId="3" applyNumberFormat="1" applyFont="1" applyBorder="1" applyAlignment="1">
      <alignment horizontal="center"/>
    </xf>
    <xf numFmtId="165" fontId="25" fillId="0" borderId="18" xfId="3" applyNumberFormat="1" applyFont="1" applyBorder="1" applyAlignment="1">
      <alignment horizontal="center"/>
    </xf>
    <xf numFmtId="165" fontId="25" fillId="0" borderId="33" xfId="3" applyNumberFormat="1" applyFont="1" applyBorder="1" applyAlignment="1">
      <alignment horizontal="center"/>
    </xf>
    <xf numFmtId="165" fontId="25" fillId="0" borderId="20" xfId="3" applyNumberFormat="1" applyFont="1" applyBorder="1" applyAlignment="1">
      <alignment horizontal="center"/>
    </xf>
    <xf numFmtId="14" fontId="23" fillId="4" borderId="4" xfId="2" applyNumberFormat="1" applyFont="1" applyFill="1" applyBorder="1" applyAlignment="1">
      <alignment horizontal="center"/>
    </xf>
    <xf numFmtId="177" fontId="21" fillId="4" borderId="0" xfId="0" applyNumberFormat="1" applyFont="1" applyFill="1"/>
    <xf numFmtId="9" fontId="21" fillId="4" borderId="0" xfId="1" applyFont="1" applyFill="1"/>
    <xf numFmtId="183" fontId="0" fillId="0" borderId="0" xfId="7" applyNumberFormat="1" applyFont="1"/>
    <xf numFmtId="164" fontId="21" fillId="0" borderId="0" xfId="2" applyNumberFormat="1" applyFont="1" applyAlignment="1">
      <alignment horizontal="center"/>
    </xf>
    <xf numFmtId="183" fontId="21" fillId="0" borderId="0" xfId="2" applyNumberFormat="1" applyFont="1" applyAlignment="1">
      <alignment horizontal="center"/>
    </xf>
    <xf numFmtId="167" fontId="21" fillId="0" borderId="0" xfId="2" applyNumberFormat="1" applyFont="1" applyAlignment="1">
      <alignment horizontal="center"/>
    </xf>
    <xf numFmtId="167" fontId="21" fillId="0" borderId="0" xfId="1" applyNumberFormat="1" applyFont="1" applyAlignment="1">
      <alignment horizontal="center"/>
    </xf>
    <xf numFmtId="2" fontId="34" fillId="4" borderId="8" xfId="0" applyNumberFormat="1" applyFont="1" applyFill="1" applyBorder="1"/>
    <xf numFmtId="2" fontId="34" fillId="4" borderId="2" xfId="0" applyNumberFormat="1" applyFont="1" applyFill="1" applyBorder="1"/>
    <xf numFmtId="2" fontId="34" fillId="4" borderId="4" xfId="0" applyNumberFormat="1" applyFont="1" applyFill="1" applyBorder="1"/>
    <xf numFmtId="10" fontId="34" fillId="4" borderId="9" xfId="0" applyNumberFormat="1" applyFont="1" applyFill="1" applyBorder="1"/>
    <xf numFmtId="10" fontId="34" fillId="4" borderId="10" xfId="0" applyNumberFormat="1" applyFont="1" applyFill="1" applyBorder="1"/>
    <xf numFmtId="10" fontId="34" fillId="4" borderId="11" xfId="0" applyNumberFormat="1" applyFont="1" applyFill="1" applyBorder="1"/>
    <xf numFmtId="2" fontId="21" fillId="4" borderId="0" xfId="0" applyNumberFormat="1" applyFont="1" applyFill="1"/>
    <xf numFmtId="167" fontId="45" fillId="4" borderId="0" xfId="0" applyNumberFormat="1" applyFont="1" applyFill="1"/>
    <xf numFmtId="167" fontId="48" fillId="4" borderId="0" xfId="0" applyNumberFormat="1" applyFont="1" applyFill="1"/>
    <xf numFmtId="0" fontId="26" fillId="2" borderId="6" xfId="0" applyFont="1" applyFill="1" applyBorder="1"/>
    <xf numFmtId="167" fontId="45" fillId="4" borderId="2" xfId="0" applyNumberFormat="1" applyFont="1" applyFill="1" applyBorder="1"/>
    <xf numFmtId="2" fontId="48" fillId="4" borderId="2" xfId="0" applyNumberFormat="1" applyFont="1" applyFill="1" applyBorder="1"/>
    <xf numFmtId="167" fontId="45" fillId="4" borderId="28" xfId="0" applyNumberFormat="1" applyFont="1" applyFill="1" applyBorder="1"/>
    <xf numFmtId="177" fontId="48" fillId="4" borderId="0" xfId="0" applyNumberFormat="1" applyFont="1" applyFill="1"/>
    <xf numFmtId="167" fontId="21" fillId="4" borderId="28" xfId="0" applyNumberFormat="1" applyFont="1" applyFill="1" applyBorder="1"/>
    <xf numFmtId="10" fontId="47" fillId="4" borderId="10" xfId="0" applyNumberFormat="1" applyFont="1" applyFill="1" applyBorder="1"/>
    <xf numFmtId="10" fontId="47" fillId="4" borderId="9" xfId="0" applyNumberFormat="1" applyFont="1" applyFill="1" applyBorder="1"/>
    <xf numFmtId="10" fontId="47" fillId="4" borderId="11" xfId="0" applyNumberFormat="1" applyFont="1" applyFill="1" applyBorder="1"/>
    <xf numFmtId="1" fontId="47" fillId="4" borderId="9" xfId="0" applyNumberFormat="1" applyFont="1" applyFill="1" applyBorder="1"/>
    <xf numFmtId="1" fontId="47" fillId="4" borderId="10" xfId="0" applyNumberFormat="1" applyFont="1" applyFill="1" applyBorder="1"/>
    <xf numFmtId="1" fontId="47" fillId="4" borderId="11" xfId="0" applyNumberFormat="1" applyFont="1" applyFill="1" applyBorder="1"/>
    <xf numFmtId="1" fontId="34" fillId="4" borderId="23" xfId="0" applyNumberFormat="1" applyFont="1" applyFill="1" applyBorder="1"/>
    <xf numFmtId="1" fontId="34" fillId="4" borderId="0" xfId="0" applyNumberFormat="1" applyFont="1" applyFill="1"/>
    <xf numFmtId="1" fontId="34" fillId="4" borderId="13" xfId="0" applyNumberFormat="1" applyFont="1" applyFill="1" applyBorder="1"/>
    <xf numFmtId="10" fontId="47" fillId="4" borderId="53" xfId="0" applyNumberFormat="1" applyFont="1" applyFill="1" applyBorder="1"/>
    <xf numFmtId="1" fontId="47" fillId="4" borderId="53" xfId="0" applyNumberFormat="1" applyFont="1" applyFill="1" applyBorder="1"/>
    <xf numFmtId="10" fontId="47" fillId="4" borderId="54" xfId="0" applyNumberFormat="1" applyFont="1" applyFill="1" applyBorder="1"/>
    <xf numFmtId="1" fontId="47" fillId="4" borderId="54" xfId="0" applyNumberFormat="1" applyFont="1" applyFill="1" applyBorder="1"/>
    <xf numFmtId="10" fontId="47" fillId="4" borderId="52" xfId="0" applyNumberFormat="1" applyFont="1" applyFill="1" applyBorder="1"/>
    <xf numFmtId="1" fontId="47" fillId="4" borderId="52" xfId="0" applyNumberFormat="1" applyFont="1" applyFill="1" applyBorder="1"/>
    <xf numFmtId="1" fontId="34" fillId="4" borderId="50" xfId="0" applyNumberFormat="1" applyFont="1" applyFill="1" applyBorder="1"/>
    <xf numFmtId="1" fontId="34" fillId="4" borderId="28" xfId="0" applyNumberFormat="1" applyFont="1" applyFill="1" applyBorder="1"/>
    <xf numFmtId="180" fontId="48" fillId="4" borderId="0" xfId="0" applyNumberFormat="1" applyFont="1" applyFill="1"/>
    <xf numFmtId="10" fontId="34" fillId="4" borderId="0" xfId="1" applyNumberFormat="1" applyFont="1" applyFill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14" fontId="32" fillId="0" borderId="12" xfId="0" applyNumberFormat="1" applyFont="1" applyBorder="1"/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2.2317897620828526E-3</c:v>
                </c:pt>
                <c:pt idx="1">
                  <c:v>2.2317897620836372E-3</c:v>
                </c:pt>
                <c:pt idx="2">
                  <c:v>2.2317897620821071E-3</c:v>
                </c:pt>
                <c:pt idx="3">
                  <c:v>2.2317897620836367E-3</c:v>
                </c:pt>
                <c:pt idx="4">
                  <c:v>2.2317897620818448E-3</c:v>
                </c:pt>
                <c:pt idx="5">
                  <c:v>2.2317897620823318E-3</c:v>
                </c:pt>
                <c:pt idx="6">
                  <c:v>4.6278516355851094E-3</c:v>
                </c:pt>
                <c:pt idx="7">
                  <c:v>4.6278516355857157E-3</c:v>
                </c:pt>
                <c:pt idx="8">
                  <c:v>4.6278516355857157E-3</c:v>
                </c:pt>
                <c:pt idx="9">
                  <c:v>4.6278516355837641E-3</c:v>
                </c:pt>
                <c:pt idx="10">
                  <c:v>4.6278516355857157E-3</c:v>
                </c:pt>
                <c:pt idx="11">
                  <c:v>4.6278516355851155E-3</c:v>
                </c:pt>
                <c:pt idx="12">
                  <c:v>5.4794484254279017E-3</c:v>
                </c:pt>
                <c:pt idx="13">
                  <c:v>5.4794484254265937E-3</c:v>
                </c:pt>
                <c:pt idx="14">
                  <c:v>5.4794484254293745E-3</c:v>
                </c:pt>
                <c:pt idx="15">
                  <c:v>5.4794484254279017E-3</c:v>
                </c:pt>
                <c:pt idx="16">
                  <c:v>5.479448425428495E-3</c:v>
                </c:pt>
                <c:pt idx="17">
                  <c:v>5.4794484254279017E-3</c:v>
                </c:pt>
                <c:pt idx="18">
                  <c:v>5.4794484254284802E-3</c:v>
                </c:pt>
                <c:pt idx="19">
                  <c:v>5.4794484254279017E-3</c:v>
                </c:pt>
                <c:pt idx="20">
                  <c:v>5.4794484254292097E-3</c:v>
                </c:pt>
                <c:pt idx="21">
                  <c:v>5.4794484254257923E-3</c:v>
                </c:pt>
                <c:pt idx="22">
                  <c:v>5.4794484254292097E-3</c:v>
                </c:pt>
                <c:pt idx="23">
                  <c:v>5.4794484254271142E-3</c:v>
                </c:pt>
                <c:pt idx="24">
                  <c:v>7.9256316334030165E-3</c:v>
                </c:pt>
                <c:pt idx="25">
                  <c:v>7.9256316334030165E-3</c:v>
                </c:pt>
                <c:pt idx="26">
                  <c:v>7.9256316334033339E-3</c:v>
                </c:pt>
                <c:pt idx="27">
                  <c:v>7.9256316334030165E-3</c:v>
                </c:pt>
                <c:pt idx="28">
                  <c:v>7.9256316334045864E-3</c:v>
                </c:pt>
                <c:pt idx="29">
                  <c:v>7.9256316334017102E-3</c:v>
                </c:pt>
                <c:pt idx="30">
                  <c:v>7.9256316334032784E-3</c:v>
                </c:pt>
                <c:pt idx="31">
                  <c:v>7.9256316334043262E-3</c:v>
                </c:pt>
                <c:pt idx="32">
                  <c:v>7.9256316334017102E-3</c:v>
                </c:pt>
                <c:pt idx="33">
                  <c:v>7.9256316334046298E-3</c:v>
                </c:pt>
                <c:pt idx="34">
                  <c:v>7.9256316334017102E-3</c:v>
                </c:pt>
                <c:pt idx="35">
                  <c:v>7.9256316334032351E-3</c:v>
                </c:pt>
                <c:pt idx="36">
                  <c:v>8.8698077983905051E-3</c:v>
                </c:pt>
                <c:pt idx="37">
                  <c:v>8.8698077983905051E-3</c:v>
                </c:pt>
                <c:pt idx="38">
                  <c:v>8.8698077983906769E-3</c:v>
                </c:pt>
                <c:pt idx="39">
                  <c:v>8.8698077983918131E-3</c:v>
                </c:pt>
                <c:pt idx="40">
                  <c:v>8.8698077983896065E-3</c:v>
                </c:pt>
                <c:pt idx="41">
                  <c:v>8.8698077983905051E-3</c:v>
                </c:pt>
                <c:pt idx="42">
                  <c:v>8.8698077983910065E-3</c:v>
                </c:pt>
                <c:pt idx="43">
                  <c:v>8.8698077983905051E-3</c:v>
                </c:pt>
                <c:pt idx="44">
                  <c:v>8.8698077983918131E-3</c:v>
                </c:pt>
                <c:pt idx="45">
                  <c:v>8.8698077983910065E-3</c:v>
                </c:pt>
                <c:pt idx="46">
                  <c:v>8.8698077983905051E-3</c:v>
                </c:pt>
                <c:pt idx="47">
                  <c:v>8.8698077983896065E-3</c:v>
                </c:pt>
                <c:pt idx="48">
                  <c:v>8.8698077983918582E-3</c:v>
                </c:pt>
                <c:pt idx="49">
                  <c:v>8.8698077983904583E-3</c:v>
                </c:pt>
                <c:pt idx="50">
                  <c:v>8.8698077983900211E-3</c:v>
                </c:pt>
                <c:pt idx="51">
                  <c:v>8.8698077983918582E-3</c:v>
                </c:pt>
                <c:pt idx="52">
                  <c:v>8.8698077983896065E-3</c:v>
                </c:pt>
                <c:pt idx="53">
                  <c:v>8.869807798390552E-3</c:v>
                </c:pt>
                <c:pt idx="54">
                  <c:v>8.8698077983909579E-3</c:v>
                </c:pt>
                <c:pt idx="55">
                  <c:v>8.869807798389244E-3</c:v>
                </c:pt>
                <c:pt idx="56">
                  <c:v>8.8698077983917663E-3</c:v>
                </c:pt>
                <c:pt idx="57">
                  <c:v>8.869807798389702E-3</c:v>
                </c:pt>
                <c:pt idx="58">
                  <c:v>8.8698077983904583E-3</c:v>
                </c:pt>
                <c:pt idx="59">
                  <c:v>8.8698077983923092E-3</c:v>
                </c:pt>
                <c:pt idx="60">
                  <c:v>9.4323754306655499E-3</c:v>
                </c:pt>
                <c:pt idx="61">
                  <c:v>9.4323754306628333E-3</c:v>
                </c:pt>
                <c:pt idx="62">
                  <c:v>9.4323754306659419E-3</c:v>
                </c:pt>
                <c:pt idx="63">
                  <c:v>9.4323754306655499E-3</c:v>
                </c:pt>
                <c:pt idx="64">
                  <c:v>9.4323754306629842E-3</c:v>
                </c:pt>
                <c:pt idx="65">
                  <c:v>9.4323754306655499E-3</c:v>
                </c:pt>
                <c:pt idx="66">
                  <c:v>9.4323754306643356E-3</c:v>
                </c:pt>
                <c:pt idx="67">
                  <c:v>9.4323754306642402E-3</c:v>
                </c:pt>
                <c:pt idx="68">
                  <c:v>9.4323754306641413E-3</c:v>
                </c:pt>
                <c:pt idx="69">
                  <c:v>9.4323754306657893E-3</c:v>
                </c:pt>
                <c:pt idx="70">
                  <c:v>9.4323754306641413E-3</c:v>
                </c:pt>
                <c:pt idx="71">
                  <c:v>9.4323754306643356E-3</c:v>
                </c:pt>
                <c:pt idx="72">
                  <c:v>9.4323754306655499E-3</c:v>
                </c:pt>
                <c:pt idx="73">
                  <c:v>9.432375430665451E-3</c:v>
                </c:pt>
                <c:pt idx="74">
                  <c:v>9.4323754306644934E-3</c:v>
                </c:pt>
                <c:pt idx="75">
                  <c:v>9.4323754306655499E-3</c:v>
                </c:pt>
                <c:pt idx="76">
                  <c:v>9.4323754306643356E-3</c:v>
                </c:pt>
                <c:pt idx="77">
                  <c:v>9.4323754306642402E-3</c:v>
                </c:pt>
                <c:pt idx="78">
                  <c:v>9.4323754306643356E-3</c:v>
                </c:pt>
                <c:pt idx="79">
                  <c:v>9.4323754306655499E-3</c:v>
                </c:pt>
                <c:pt idx="80">
                  <c:v>9.432375430665451E-3</c:v>
                </c:pt>
                <c:pt idx="81">
                  <c:v>9.4323754306644379E-3</c:v>
                </c:pt>
                <c:pt idx="82">
                  <c:v>9.4323754306641413E-3</c:v>
                </c:pt>
                <c:pt idx="83">
                  <c:v>9.4323754306656887E-3</c:v>
                </c:pt>
                <c:pt idx="84">
                  <c:v>1.014399374438388E-2</c:v>
                </c:pt>
                <c:pt idx="85">
                  <c:v>1.0143993744383774E-2</c:v>
                </c:pt>
                <c:pt idx="86">
                  <c:v>1.014399374438329E-2</c:v>
                </c:pt>
                <c:pt idx="87">
                  <c:v>1.0143993744382573E-2</c:v>
                </c:pt>
                <c:pt idx="88">
                  <c:v>1.01439937443839E-2</c:v>
                </c:pt>
                <c:pt idx="89">
                  <c:v>1.014399374438388E-2</c:v>
                </c:pt>
                <c:pt idx="90">
                  <c:v>1.0143993744382549E-2</c:v>
                </c:pt>
                <c:pt idx="91">
                  <c:v>1.014399374438388E-2</c:v>
                </c:pt>
                <c:pt idx="92">
                  <c:v>1.0143993744383774E-2</c:v>
                </c:pt>
                <c:pt idx="93">
                  <c:v>1.014399374438401E-2</c:v>
                </c:pt>
                <c:pt idx="94">
                  <c:v>1.0143993744382468E-2</c:v>
                </c:pt>
                <c:pt idx="95">
                  <c:v>1.014399374438401E-2</c:v>
                </c:pt>
                <c:pt idx="96">
                  <c:v>1.0143993744385084E-2</c:v>
                </c:pt>
                <c:pt idx="97">
                  <c:v>1.0143993744382468E-2</c:v>
                </c:pt>
                <c:pt idx="98">
                  <c:v>1.0143993744383661E-2</c:v>
                </c:pt>
                <c:pt idx="99">
                  <c:v>1.0143993744382679E-2</c:v>
                </c:pt>
                <c:pt idx="100">
                  <c:v>1.0143993744385143E-2</c:v>
                </c:pt>
                <c:pt idx="101">
                  <c:v>1.0143993744383774E-2</c:v>
                </c:pt>
                <c:pt idx="102">
                  <c:v>1.0143993744382658E-2</c:v>
                </c:pt>
                <c:pt idx="103">
                  <c:v>1.0143993744383774E-2</c:v>
                </c:pt>
                <c:pt idx="104">
                  <c:v>1.0143993744383987E-2</c:v>
                </c:pt>
                <c:pt idx="105">
                  <c:v>1.0143993744383791E-2</c:v>
                </c:pt>
                <c:pt idx="106">
                  <c:v>1.0143993744383987E-2</c:v>
                </c:pt>
                <c:pt idx="107">
                  <c:v>1.014399374438244E-2</c:v>
                </c:pt>
                <c:pt idx="108">
                  <c:v>1.0143993744383774E-2</c:v>
                </c:pt>
                <c:pt idx="109">
                  <c:v>1.0143993744383987E-2</c:v>
                </c:pt>
                <c:pt idx="110">
                  <c:v>1.0143993744381723E-2</c:v>
                </c:pt>
                <c:pt idx="111">
                  <c:v>1.0143993744383987E-2</c:v>
                </c:pt>
                <c:pt idx="112">
                  <c:v>1.0143993744383791E-2</c:v>
                </c:pt>
                <c:pt idx="113">
                  <c:v>1.0143993744383774E-2</c:v>
                </c:pt>
                <c:pt idx="114">
                  <c:v>1.0143993744382658E-2</c:v>
                </c:pt>
                <c:pt idx="115">
                  <c:v>1.0143993744385084E-2</c:v>
                </c:pt>
                <c:pt idx="116">
                  <c:v>1.0143993744383987E-2</c:v>
                </c:pt>
                <c:pt idx="117">
                  <c:v>1.0143993744383791E-2</c:v>
                </c:pt>
                <c:pt idx="118">
                  <c:v>1.0143993744383987E-2</c:v>
                </c:pt>
                <c:pt idx="119">
                  <c:v>1.0143993744383791E-2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3.0567789593183292E-4</c:v>
                </c:pt>
                <c:pt idx="1">
                  <c:v>4.9515126453880676E-4</c:v>
                </c:pt>
                <c:pt idx="2">
                  <c:v>6.7236803411530044E-4</c:v>
                </c:pt>
                <c:pt idx="3">
                  <c:v>8.617719034621496E-4</c:v>
                </c:pt>
                <c:pt idx="4">
                  <c:v>1.0450317908606843E-3</c:v>
                </c:pt>
                <c:pt idx="5">
                  <c:v>1.2343650287596208E-3</c:v>
                </c:pt>
                <c:pt idx="6">
                  <c:v>1.6141946362211446E-3</c:v>
                </c:pt>
                <c:pt idx="7">
                  <c:v>2.0065334797150225E-3</c:v>
                </c:pt>
                <c:pt idx="8">
                  <c:v>2.3987181445664918E-3</c:v>
                </c:pt>
                <c:pt idx="9">
                  <c:v>2.778104949661242E-3</c:v>
                </c:pt>
                <c:pt idx="10">
                  <c:v>3.1699864076195627E-3</c:v>
                </c:pt>
                <c:pt idx="11">
                  <c:v>3.5490799001379747E-3</c:v>
                </c:pt>
                <c:pt idx="12">
                  <c:v>4.0126981613827217E-3</c:v>
                </c:pt>
                <c:pt idx="13">
                  <c:v>4.4761007151722376E-3</c:v>
                </c:pt>
                <c:pt idx="14">
                  <c:v>4.8944725388531118E-3</c:v>
                </c:pt>
                <c:pt idx="15">
                  <c:v>5.3574648298836403E-3</c:v>
                </c:pt>
                <c:pt idx="16">
                  <c:v>5.8053167797690319E-3</c:v>
                </c:pt>
                <c:pt idx="17">
                  <c:v>6.2678852827185993E-3</c:v>
                </c:pt>
                <c:pt idx="18">
                  <c:v>6.7153273028447424E-3</c:v>
                </c:pt>
                <c:pt idx="19">
                  <c:v>7.177472405616836E-3</c:v>
                </c:pt>
                <c:pt idx="20">
                  <c:v>7.6394024863496446E-3</c:v>
                </c:pt>
                <c:pt idx="21">
                  <c:v>8.0862269613453108E-3</c:v>
                </c:pt>
                <c:pt idx="22">
                  <c:v>8.547734226263981E-3</c:v>
                </c:pt>
                <c:pt idx="23">
                  <c:v>8.9941497119730984E-3</c:v>
                </c:pt>
                <c:pt idx="24">
                  <c:v>9.6610067969516988E-3</c:v>
                </c:pt>
                <c:pt idx="25">
                  <c:v>1.0327415147574515E-2</c:v>
                </c:pt>
                <c:pt idx="26">
                  <c:v>1.0928946921911598E-2</c:v>
                </c:pt>
                <c:pt idx="27">
                  <c:v>1.1594502063791645E-2</c:v>
                </c:pt>
                <c:pt idx="28">
                  <c:v>1.2238161261158398E-2</c:v>
                </c:pt>
                <c:pt idx="29">
                  <c:v>1.2902835420491532E-2</c:v>
                </c:pt>
                <c:pt idx="30">
                  <c:v>1.3545642618552178E-2</c:v>
                </c:pt>
                <c:pt idx="31">
                  <c:v>1.4209436961478361E-2</c:v>
                </c:pt>
                <c:pt idx="32">
                  <c:v>1.4872784630996283E-2</c:v>
                </c:pt>
                <c:pt idx="33">
                  <c:v>1.5514308979123204E-2</c:v>
                </c:pt>
                <c:pt idx="34">
                  <c:v>1.6176778588083085E-2</c:v>
                </c:pt>
                <c:pt idx="35">
                  <c:v>1.681745376276278E-2</c:v>
                </c:pt>
                <c:pt idx="36">
                  <c:v>1.7557831968843751E-2</c:v>
                </c:pt>
                <c:pt idx="37">
                  <c:v>1.8297652638696982E-2</c:v>
                </c:pt>
                <c:pt idx="38">
                  <c:v>1.896539889480775E-2</c:v>
                </c:pt>
                <c:pt idx="39">
                  <c:v>1.9704159606996452E-2</c:v>
                </c:pt>
                <c:pt idx="40">
                  <c:v>2.0418559635167588E-2</c:v>
                </c:pt>
                <c:pt idx="41">
                  <c:v>2.1156226055613292E-2</c:v>
                </c:pt>
                <c:pt idx="42">
                  <c:v>2.1869567876385165E-2</c:v>
                </c:pt>
                <c:pt idx="43">
                  <c:v>2.2606141626011267E-2</c:v>
                </c:pt>
                <c:pt idx="44">
                  <c:v>2.3342160704326931E-2</c:v>
                </c:pt>
                <c:pt idx="45">
                  <c:v>2.4053909504185844E-2</c:v>
                </c:pt>
                <c:pt idx="46">
                  <c:v>2.4788838351812781E-2</c:v>
                </c:pt>
                <c:pt idx="47">
                  <c:v>2.5499532871413044E-2</c:v>
                </c:pt>
                <c:pt idx="48">
                  <c:v>2.6233373103259239E-2</c:v>
                </c:pt>
                <c:pt idx="49">
                  <c:v>2.6966660722249736E-2</c:v>
                </c:pt>
                <c:pt idx="50">
                  <c:v>2.7652139546962662E-2</c:v>
                </c:pt>
                <c:pt idx="51">
                  <c:v>2.8384358774576235E-2</c:v>
                </c:pt>
                <c:pt idx="52">
                  <c:v>2.9092433024064723E-2</c:v>
                </c:pt>
                <c:pt idx="53">
                  <c:v>2.982356764953098E-2</c:v>
                </c:pt>
                <c:pt idx="54">
                  <c:v>3.0530593061700806E-2</c:v>
                </c:pt>
                <c:pt idx="55">
                  <c:v>3.1260644691590178E-2</c:v>
                </c:pt>
                <c:pt idx="56">
                  <c:v>3.1990146561602373E-2</c:v>
                </c:pt>
                <c:pt idx="57">
                  <c:v>3.269559305853853E-2</c:v>
                </c:pt>
                <c:pt idx="58">
                  <c:v>3.3424014351498221E-2</c:v>
                </c:pt>
                <c:pt idx="59">
                  <c:v>3.4128415903482923E-2</c:v>
                </c:pt>
                <c:pt idx="60">
                  <c:v>3.4901871436811782E-2</c:v>
                </c:pt>
                <c:pt idx="61">
                  <c:v>3.5674707598505662E-2</c:v>
                </c:pt>
                <c:pt idx="62">
                  <c:v>3.6372221213338829E-2</c:v>
                </c:pt>
                <c:pt idx="63">
                  <c:v>3.7143879940900515E-2</c:v>
                </c:pt>
                <c:pt idx="64">
                  <c:v>3.789005809206536E-2</c:v>
                </c:pt>
                <c:pt idx="65">
                  <c:v>3.8660501358532828E-2</c:v>
                </c:pt>
                <c:pt idx="66">
                  <c:v>3.9405504183767093E-2</c:v>
                </c:pt>
                <c:pt idx="67">
                  <c:v>4.0174733903646676E-2</c:v>
                </c:pt>
                <c:pt idx="68">
                  <c:v>4.0943347635859717E-2</c:v>
                </c:pt>
                <c:pt idx="69">
                  <c:v>4.1686581339021589E-2</c:v>
                </c:pt>
                <c:pt idx="70">
                  <c:v>4.2453984406397138E-2</c:v>
                </c:pt>
                <c:pt idx="71">
                  <c:v>4.3196047421510064E-2</c:v>
                </c:pt>
                <c:pt idx="72">
                  <c:v>4.396224173099994E-2</c:v>
                </c:pt>
                <c:pt idx="73">
                  <c:v>4.4727822483534574E-2</c:v>
                </c:pt>
                <c:pt idx="74">
                  <c:v>4.5418787819546447E-2</c:v>
                </c:pt>
                <c:pt idx="75">
                  <c:v>4.6183202191735884E-2</c:v>
                </c:pt>
                <c:pt idx="76">
                  <c:v>4.692237519994702E-2</c:v>
                </c:pt>
                <c:pt idx="77">
                  <c:v>4.7685585521827445E-2</c:v>
                </c:pt>
                <c:pt idx="78">
                  <c:v>4.8423594238103163E-2</c:v>
                </c:pt>
                <c:pt idx="79">
                  <c:v>4.918560240620784E-2</c:v>
                </c:pt>
                <c:pt idx="80">
                  <c:v>4.9947000369556682E-2</c:v>
                </c:pt>
                <c:pt idx="81">
                  <c:v>5.0683256572331192E-2</c:v>
                </c:pt>
                <c:pt idx="82">
                  <c:v>5.1443455236600433E-2</c:v>
                </c:pt>
                <c:pt idx="83">
                  <c:v>5.2178551741780876E-2</c:v>
                </c:pt>
                <c:pt idx="84">
                  <c:v>5.2994790598993258E-2</c:v>
                </c:pt>
                <c:pt idx="85">
                  <c:v>5.3810326532808817E-2</c:v>
                </c:pt>
                <c:pt idx="86">
                  <c:v>5.4546335960193759E-2</c:v>
                </c:pt>
                <c:pt idx="87">
                  <c:v>5.5360535744025663E-2</c:v>
                </c:pt>
                <c:pt idx="88">
                  <c:v>5.6147803407761376E-2</c:v>
                </c:pt>
                <c:pt idx="89">
                  <c:v>5.6960624050024333E-2</c:v>
                </c:pt>
                <c:pt idx="90">
                  <c:v>5.7746558191469011E-2</c:v>
                </c:pt>
                <c:pt idx="91">
                  <c:v>5.8558002028237688E-2</c:v>
                </c:pt>
                <c:pt idx="92">
                  <c:v>5.9368747070954742E-2</c:v>
                </c:pt>
                <c:pt idx="93">
                  <c:v>6.0152674269585482E-2</c:v>
                </c:pt>
                <c:pt idx="94">
                  <c:v>6.0962046022586036E-2</c:v>
                </c:pt>
                <c:pt idx="95">
                  <c:v>6.1744645357210692E-2</c:v>
                </c:pt>
                <c:pt idx="96">
                  <c:v>6.2552646146657342E-2</c:v>
                </c:pt>
                <c:pt idx="97">
                  <c:v>6.3359951107113899E-2</c:v>
                </c:pt>
                <c:pt idx="98">
                  <c:v>6.4114542468565183E-2</c:v>
                </c:pt>
                <c:pt idx="99">
                  <c:v>6.4920502365063526E-2</c:v>
                </c:pt>
                <c:pt idx="100">
                  <c:v>6.5699802700657783E-2</c:v>
                </c:pt>
                <c:pt idx="101">
                  <c:v>6.6504397412814109E-2</c:v>
                </c:pt>
                <c:pt idx="102">
                  <c:v>6.7282377721666786E-2</c:v>
                </c:pt>
                <c:pt idx="103">
                  <c:v>6.8085609561914118E-2</c:v>
                </c:pt>
                <c:pt idx="104">
                  <c:v>6.8888149680064847E-2</c:v>
                </c:pt>
                <c:pt idx="105">
                  <c:v>6.9664143356822139E-2</c:v>
                </c:pt>
                <c:pt idx="106">
                  <c:v>7.0465324083261338E-2</c:v>
                </c:pt>
                <c:pt idx="107">
                  <c:v>7.1240003334298696E-2</c:v>
                </c:pt>
                <c:pt idx="108">
                  <c:v>7.2039826971647458E-2</c:v>
                </c:pt>
                <c:pt idx="109">
                  <c:v>7.2838961821954151E-2</c:v>
                </c:pt>
                <c:pt idx="110">
                  <c:v>7.3560169507832174E-2</c:v>
                </c:pt>
                <c:pt idx="111">
                  <c:v>7.4357995079206041E-2</c:v>
                </c:pt>
                <c:pt idx="112">
                  <c:v>7.5129430157078403E-2</c:v>
                </c:pt>
                <c:pt idx="113">
                  <c:v>7.5925904322529325E-2</c:v>
                </c:pt>
                <c:pt idx="114">
                  <c:v>7.6696032696316419E-2</c:v>
                </c:pt>
                <c:pt idx="115">
                  <c:v>7.7491157744938866E-2</c:v>
                </c:pt>
                <c:pt idx="116">
                  <c:v>7.8285598052819982E-2</c:v>
                </c:pt>
                <c:pt idx="117">
                  <c:v>7.9053759845027161E-2</c:v>
                </c:pt>
                <c:pt idx="118">
                  <c:v>7.9846854481152474E-2</c:v>
                </c:pt>
                <c:pt idx="119">
                  <c:v>8.0613715113766693E-2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4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4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4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7875" y="38653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4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4</xdr:row>
          <xdr:rowOff>66675</xdr:rowOff>
        </xdr:from>
        <xdr:to>
          <xdr:col>21</xdr:col>
          <xdr:colOff>247650</xdr:colOff>
          <xdr:row>6</xdr:row>
          <xdr:rowOff>9525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52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10" t="s">
        <v>21</v>
      </c>
      <c r="D5" s="611"/>
      <c r="F5" s="608" t="s">
        <v>23</v>
      </c>
      <c r="G5" s="609"/>
      <c r="I5" s="608" t="s">
        <v>22</v>
      </c>
      <c r="J5" s="609"/>
      <c r="R5" s="610" t="s">
        <v>39</v>
      </c>
      <c r="S5" s="611"/>
      <c r="U5" s="608" t="s">
        <v>40</v>
      </c>
      <c r="V5" s="609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10" t="s">
        <v>21</v>
      </c>
      <c r="C20" s="612"/>
      <c r="D20" s="612"/>
      <c r="E20" s="612"/>
      <c r="F20" s="612"/>
      <c r="G20" s="612"/>
      <c r="H20" s="612"/>
      <c r="I20" s="612"/>
      <c r="J20" s="611"/>
      <c r="L20" s="610" t="s">
        <v>23</v>
      </c>
      <c r="M20" s="611"/>
      <c r="O20" s="610" t="s">
        <v>22</v>
      </c>
      <c r="P20" s="611"/>
      <c r="R20" s="613" t="s">
        <v>39</v>
      </c>
      <c r="S20" s="614"/>
      <c r="T20" s="614"/>
      <c r="U20" s="614"/>
      <c r="V20" s="614"/>
      <c r="W20" s="614"/>
      <c r="X20" s="615"/>
      <c r="Z20" s="608" t="s">
        <v>40</v>
      </c>
      <c r="AA20" s="609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16" t="s">
        <v>48</v>
      </c>
      <c r="G7" s="617"/>
      <c r="H7" s="617"/>
      <c r="I7" s="617"/>
      <c r="J7" s="617"/>
      <c r="K7" s="617"/>
      <c r="L7" s="617"/>
      <c r="M7" s="617"/>
      <c r="N7" s="617"/>
      <c r="O7" s="617"/>
      <c r="P7" s="617"/>
      <c r="Q7" s="618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19" t="s">
        <v>68</v>
      </c>
      <c r="G13" s="620"/>
      <c r="H13" s="620"/>
      <c r="I13" s="620"/>
      <c r="J13" s="620"/>
      <c r="K13" s="620"/>
      <c r="L13" s="620"/>
      <c r="M13" s="620"/>
      <c r="N13" s="620"/>
      <c r="O13" s="620"/>
      <c r="P13" s="620"/>
      <c r="Q13" s="621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0.9155825796416085</v>
      </c>
      <c r="H15" s="86">
        <f ca="1"/>
        <v>0.87708899030862186</v>
      </c>
      <c r="I15" s="86">
        <f ca="1"/>
        <v>0.83997393552608068</v>
      </c>
      <c r="J15" s="86">
        <f ca="1"/>
        <v>0.80393405662915285</v>
      </c>
      <c r="K15" s="86">
        <f ca="1"/>
        <v>0.76883008012981868</v>
      </c>
      <c r="L15" s="86">
        <f ca="1"/>
        <v>0.73448792798184603</v>
      </c>
      <c r="M15" s="86">
        <f ca="1"/>
        <v>0.70122600828286485</v>
      </c>
      <c r="N15" s="86">
        <f ca="1"/>
        <v>0.66875755868880871</v>
      </c>
      <c r="O15" s="86">
        <f ca="1"/>
        <v>0.63736470028390679</v>
      </c>
      <c r="P15" s="86">
        <f ca="1"/>
        <v>0.49787574247884325</v>
      </c>
      <c r="Q15" s="87">
        <f ca="1"/>
        <v>0.3903164110506826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3"/>
      <c r="D19" s="101"/>
      <c r="E19" s="101"/>
      <c r="F19" s="101"/>
      <c r="G19" s="102"/>
      <c r="H19" s="616" t="s">
        <v>48</v>
      </c>
      <c r="I19" s="617"/>
      <c r="J19" s="617"/>
      <c r="K19" s="617"/>
      <c r="L19" s="617"/>
      <c r="M19" s="617"/>
      <c r="N19" s="617"/>
      <c r="O19" s="618"/>
    </row>
    <row r="20" spans="2:17" ht="23.25" thickBot="1">
      <c r="B20" s="128" t="s">
        <v>49</v>
      </c>
      <c r="C20" s="554" t="s">
        <v>50</v>
      </c>
      <c r="D20" s="554" t="s">
        <v>51</v>
      </c>
      <c r="E20" s="554" t="s">
        <v>52</v>
      </c>
      <c r="F20" s="128" t="s">
        <v>657</v>
      </c>
      <c r="G20" s="555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6" t="s">
        <v>608</v>
      </c>
    </row>
    <row r="21" spans="2:17">
      <c r="B21" s="61" t="s">
        <v>66</v>
      </c>
      <c r="C21" s="551" t="s">
        <v>42</v>
      </c>
      <c r="D21" s="551">
        <v>1</v>
      </c>
      <c r="E21" s="551">
        <v>6</v>
      </c>
      <c r="F21" s="551" t="s">
        <v>662</v>
      </c>
      <c r="G21" s="63" t="s">
        <v>659</v>
      </c>
      <c r="H21" s="557">
        <v>3.4180000000000002E-2</v>
      </c>
      <c r="I21" s="558">
        <v>3.039E-2</v>
      </c>
      <c r="J21" s="558">
        <v>2.8570000000000002E-2</v>
      </c>
      <c r="K21" s="558">
        <v>2.708E-2</v>
      </c>
      <c r="L21" s="558">
        <v>2.665E-2</v>
      </c>
      <c r="M21" s="558">
        <v>2.6720000000000001E-2</v>
      </c>
      <c r="N21" s="558">
        <v>2.7040000000000002E-2</v>
      </c>
      <c r="O21" s="559">
        <v>2.436E-2</v>
      </c>
      <c r="P21" s="550"/>
      <c r="Q21" s="550"/>
    </row>
    <row r="22" spans="2:17">
      <c r="B22" s="67" t="s">
        <v>66</v>
      </c>
      <c r="C22" s="552" t="s">
        <v>42</v>
      </c>
      <c r="D22" s="552">
        <v>1</v>
      </c>
      <c r="E22" s="552">
        <v>3</v>
      </c>
      <c r="F22" s="552" t="s">
        <v>663</v>
      </c>
      <c r="G22" s="69" t="s">
        <v>659</v>
      </c>
      <c r="H22" s="560">
        <v>3.3070000000000002E-2</v>
      </c>
      <c r="I22" s="561">
        <v>2.955E-2</v>
      </c>
      <c r="J22" s="561">
        <v>2.784E-2</v>
      </c>
      <c r="K22" s="561">
        <v>2.6499999999999999E-2</v>
      </c>
      <c r="L22" s="561">
        <v>2.6169999999999999E-2</v>
      </c>
      <c r="M22" s="561">
        <v>2.6409999999999999E-2</v>
      </c>
      <c r="N22" s="561">
        <v>2.6950000000000002E-2</v>
      </c>
      <c r="O22" s="562">
        <v>2.4729999999999999E-2</v>
      </c>
      <c r="P22" s="550"/>
      <c r="Q22" s="550"/>
    </row>
    <row r="23" spans="2:17" ht="15.75" thickBot="1">
      <c r="B23" s="73" t="s">
        <v>67</v>
      </c>
      <c r="C23" s="556" t="s">
        <v>43</v>
      </c>
      <c r="D23" s="556">
        <v>1.0865</v>
      </c>
      <c r="E23" s="556">
        <v>1</v>
      </c>
      <c r="F23" s="556" t="s">
        <v>661</v>
      </c>
      <c r="G23" s="75" t="s">
        <v>660</v>
      </c>
      <c r="H23" s="563">
        <v>4.7559999999999998E-2</v>
      </c>
      <c r="I23" s="564">
        <v>4.2529999999999998E-2</v>
      </c>
      <c r="J23" s="564">
        <v>3.9980000000000002E-2</v>
      </c>
      <c r="K23" s="564">
        <v>3.7789999999999997E-2</v>
      </c>
      <c r="L23" s="564">
        <v>3.7139999999999999E-2</v>
      </c>
      <c r="M23" s="564">
        <v>3.6999999999999998E-2</v>
      </c>
      <c r="N23" s="564">
        <v>3.7330000000000002E-2</v>
      </c>
      <c r="O23" s="565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16" t="s">
        <v>72</v>
      </c>
      <c r="H2" s="617"/>
      <c r="I2" s="617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16" t="s">
        <v>73</v>
      </c>
      <c r="H4" s="617"/>
      <c r="I4" s="618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25" t="b">
        <v>1</v>
      </c>
      <c r="D6" s="626"/>
      <c r="E6" s="85"/>
      <c r="F6" s="85"/>
      <c r="G6" s="616" t="s">
        <v>74</v>
      </c>
      <c r="H6" s="617"/>
      <c r="I6" s="618"/>
      <c r="J6" s="140" t="s">
        <v>422</v>
      </c>
      <c r="K6" s="85"/>
      <c r="L6" s="93"/>
      <c r="M6" s="43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</row>
    <row r="7" spans="1:50" s="79" customFormat="1" ht="13.5" customHeight="1" thickBot="1">
      <c r="B7" s="146" t="s">
        <v>71</v>
      </c>
      <c r="C7" s="627">
        <f ca="1">GetCDSRefDate(Parameter_Date,C6)</f>
        <v>45280</v>
      </c>
      <c r="D7" s="628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16" t="s">
        <v>76</v>
      </c>
      <c r="F9" s="617"/>
      <c r="G9" s="617"/>
      <c r="H9" s="617"/>
      <c r="I9" s="617"/>
      <c r="J9" s="617"/>
      <c r="K9" s="617"/>
      <c r="L9" s="617"/>
      <c r="M9" s="618"/>
      <c r="N9" s="622" t="s">
        <v>77</v>
      </c>
      <c r="O9" s="623"/>
      <c r="P9" s="623"/>
      <c r="Q9" s="623"/>
      <c r="R9" s="623"/>
      <c r="S9" s="623"/>
      <c r="T9" s="623"/>
      <c r="U9" s="623"/>
      <c r="V9" s="624"/>
      <c r="W9" s="622" t="s">
        <v>78</v>
      </c>
      <c r="X9" s="623"/>
      <c r="Y9" s="623"/>
      <c r="Z9" s="623"/>
      <c r="AA9" s="623"/>
      <c r="AB9" s="623"/>
      <c r="AC9" s="623"/>
      <c r="AD9" s="623"/>
      <c r="AE9" s="624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61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1.2343650287596208E-3</v>
      </c>
      <c r="P12" s="133">
        <f ca="1"/>
        <v>3.5490799001379747E-3</v>
      </c>
      <c r="Q12" s="133">
        <f ca="1"/>
        <v>8.9941497119730984E-3</v>
      </c>
      <c r="R12" s="133">
        <f ca="1"/>
        <v>1.681745376276278E-2</v>
      </c>
      <c r="S12" s="133">
        <f ca="1"/>
        <v>0</v>
      </c>
      <c r="T12" s="133">
        <f ca="1"/>
        <v>3.4128415903482923E-2</v>
      </c>
      <c r="U12" s="133">
        <f ca="1"/>
        <v>5.2178551741780876E-2</v>
      </c>
      <c r="V12" s="134">
        <f ca="1"/>
        <v>8.0613715113766693E-2</v>
      </c>
      <c r="W12" s="132">
        <f ca="1"/>
        <v>0</v>
      </c>
      <c r="X12" s="133">
        <f ca="1"/>
        <v>1.3271094915096038E-3</v>
      </c>
      <c r="Y12" s="133">
        <f ca="1"/>
        <v>3.7151412146604335E-3</v>
      </c>
      <c r="Z12" s="133">
        <f ca="1"/>
        <v>9.3244299456296531E-3</v>
      </c>
      <c r="AA12" s="133">
        <f ca="1"/>
        <v>1.7308922158544071E-2</v>
      </c>
      <c r="AB12" s="133">
        <f ca="1"/>
        <v>0</v>
      </c>
      <c r="AC12" s="133">
        <f ca="1"/>
        <v>3.4932973611267681E-2</v>
      </c>
      <c r="AD12" s="133">
        <f ca="1"/>
        <v>5.3306896695600403E-2</v>
      </c>
      <c r="AE12" s="134">
        <f ca="1"/>
        <v>8.214474937228744E-2</v>
      </c>
      <c r="AG12" s="454"/>
      <c r="AH12" s="458"/>
      <c r="AI12" s="457"/>
      <c r="AJ12" s="459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7.4265764477476903E-4</v>
      </c>
      <c r="P13" s="155">
        <f ca="1"/>
        <v>1.9516918622675128E-3</v>
      </c>
      <c r="Q13" s="155">
        <f ca="1"/>
        <v>5.5515727667541093E-3</v>
      </c>
      <c r="R13" s="155">
        <f ca="1"/>
        <v>1.1951165198420322E-2</v>
      </c>
      <c r="S13" s="155">
        <f ca="1"/>
        <v>0</v>
      </c>
      <c r="T13" s="155">
        <f ca="1"/>
        <v>3.1197973873840601E-2</v>
      </c>
      <c r="U13" s="155">
        <f ca="1"/>
        <v>5.1905537921349443E-2</v>
      </c>
      <c r="V13" s="138">
        <f ca="1"/>
        <v>9.1346444154210116E-2</v>
      </c>
      <c r="W13" s="137">
        <f ca="1"/>
        <v>0</v>
      </c>
      <c r="X13" s="155">
        <f ca="1"/>
        <v>8.354498500481311E-4</v>
      </c>
      <c r="Y13" s="155">
        <f ca="1"/>
        <v>2.1180193859522412E-3</v>
      </c>
      <c r="Z13" s="155">
        <f ca="1"/>
        <v>5.8830003348254722E-3</v>
      </c>
      <c r="AA13" s="155">
        <f ca="1"/>
        <v>1.2445066130281845E-2</v>
      </c>
      <c r="AB13" s="155">
        <f ca="1"/>
        <v>0</v>
      </c>
      <c r="AC13" s="155">
        <f ca="1"/>
        <v>3.2004972599458226E-2</v>
      </c>
      <c r="AD13" s="155">
        <f ca="1"/>
        <v>5.3036524350605574E-2</v>
      </c>
      <c r="AE13" s="138">
        <f ca="1"/>
        <v>9.2859605429312597E-2</v>
      </c>
      <c r="AG13" s="455"/>
      <c r="AH13" s="458"/>
      <c r="AI13" s="457"/>
      <c r="AJ13" s="459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5.5704488486529868E-4</v>
      </c>
      <c r="P14" s="155">
        <f ca="1"/>
        <v>1.7773298177193864E-3</v>
      </c>
      <c r="Q14" s="155">
        <f ca="1"/>
        <v>6.2659034530365698E-3</v>
      </c>
      <c r="R14" s="155">
        <f ca="1"/>
        <v>1.4059549896124901E-2</v>
      </c>
      <c r="S14" s="155">
        <f ca="1"/>
        <v>0</v>
      </c>
      <c r="T14" s="155">
        <f ca="1"/>
        <v>3.4581871070142101E-2</v>
      </c>
      <c r="U14" s="155">
        <f ca="1"/>
        <v>6.1663572665231925E-2</v>
      </c>
      <c r="V14" s="138">
        <f ca="1"/>
        <v>0.10632017826391815</v>
      </c>
      <c r="W14" s="137">
        <f ca="1"/>
        <v>0</v>
      </c>
      <c r="X14" s="155">
        <f ca="1"/>
        <v>6.4985483622026496E-4</v>
      </c>
      <c r="Y14" s="155">
        <f ca="1"/>
        <v>1.9436863993174125E-3</v>
      </c>
      <c r="Z14" s="155">
        <f ca="1"/>
        <v>6.5970929505672071E-3</v>
      </c>
      <c r="AA14" s="155">
        <f ca="1"/>
        <v>1.4552396899161435E-2</v>
      </c>
      <c r="AB14" s="155">
        <f ca="1"/>
        <v>0</v>
      </c>
      <c r="AC14" s="155">
        <f ca="1"/>
        <v>3.5386051056086387E-2</v>
      </c>
      <c r="AD14" s="155">
        <f ca="1"/>
        <v>6.2782841644723031E-2</v>
      </c>
      <c r="AE14" s="138">
        <f ca="1"/>
        <v>0.10785777735704383</v>
      </c>
      <c r="AG14" s="456"/>
      <c r="AH14" s="458"/>
      <c r="AI14" s="457"/>
      <c r="AJ14" s="459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1.1694363910798034E-3</v>
      </c>
      <c r="P15" s="155">
        <f ca="1"/>
        <v>3.1395007513983497E-3</v>
      </c>
      <c r="Q15" s="155">
        <f ca="1"/>
        <v>8.3088503115924528E-3</v>
      </c>
      <c r="R15" s="155">
        <f ca="1"/>
        <v>1.500846311464954E-2</v>
      </c>
      <c r="S15" s="155">
        <f ca="1"/>
        <v>0</v>
      </c>
      <c r="T15" s="155">
        <f ca="1"/>
        <v>3.254121362683815E-2</v>
      </c>
      <c r="U15" s="155">
        <f ca="1"/>
        <v>5.0754741970578388E-2</v>
      </c>
      <c r="V15" s="138">
        <f ca="1"/>
        <v>7.7431828915441869E-2</v>
      </c>
      <c r="W15" s="137">
        <f ca="1"/>
        <v>0</v>
      </c>
      <c r="X15" s="155">
        <f ca="1"/>
        <v>1.2621872203275597E-3</v>
      </c>
      <c r="Y15" s="155">
        <f ca="1"/>
        <v>3.3056303234197948E-3</v>
      </c>
      <c r="Z15" s="155">
        <f ca="1"/>
        <v>8.6393589403216398E-3</v>
      </c>
      <c r="AA15" s="155">
        <f ca="1"/>
        <v>1.5500835779679978E-2</v>
      </c>
      <c r="AB15" s="155">
        <f ca="1"/>
        <v>0</v>
      </c>
      <c r="AC15" s="155">
        <f ca="1"/>
        <v>3.3347093452235521E-2</v>
      </c>
      <c r="AD15" s="155">
        <f ca="1"/>
        <v>5.1885308145563025E-2</v>
      </c>
      <c r="AE15" s="138">
        <f ca="1"/>
        <v>7.8992625438806585E-2</v>
      </c>
      <c r="AG15" s="456"/>
      <c r="AH15" s="458"/>
      <c r="AI15" s="457"/>
      <c r="AJ15" s="459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4.6422559508285666E-4</v>
      </c>
      <c r="P16" s="155">
        <f ca="1"/>
        <v>1.0635183000881065E-3</v>
      </c>
      <c r="Q16" s="155">
        <f ca="1"/>
        <v>3.8301864132997965E-3</v>
      </c>
      <c r="R16" s="155">
        <f ca="1"/>
        <v>7.8046302314337401E-3</v>
      </c>
      <c r="S16" s="155">
        <f ca="1"/>
        <v>0</v>
      </c>
      <c r="T16" s="155">
        <f ca="1"/>
        <v>2.178922418248519E-2</v>
      </c>
      <c r="U16" s="155">
        <f ca="1"/>
        <v>3.9100510054008164E-2</v>
      </c>
      <c r="V16" s="138">
        <f ca="1"/>
        <v>6.8007942294936896E-2</v>
      </c>
      <c r="W16" s="137">
        <f ca="1"/>
        <v>0</v>
      </c>
      <c r="X16" s="155">
        <f ca="1"/>
        <v>5.5704436557602044E-4</v>
      </c>
      <c r="Y16" s="155">
        <f ca="1"/>
        <v>1.2299938403631527E-3</v>
      </c>
      <c r="Z16" s="155">
        <f ca="1"/>
        <v>4.1621876811988034E-3</v>
      </c>
      <c r="AA16" s="155">
        <f ca="1"/>
        <v>8.3006039125734787E-3</v>
      </c>
      <c r="AB16" s="155">
        <f ca="1"/>
        <v>0</v>
      </c>
      <c r="AC16" s="155">
        <f ca="1"/>
        <v>2.2604060266803949E-2</v>
      </c>
      <c r="AD16" s="155">
        <f ca="1"/>
        <v>4.0246705207518163E-2</v>
      </c>
      <c r="AE16" s="138">
        <f ca="1"/>
        <v>6.9589221235019427E-2</v>
      </c>
      <c r="AG16" s="456"/>
      <c r="AH16" s="458"/>
      <c r="AI16" s="457"/>
      <c r="AJ16" s="459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1.1416085422316646E-3</v>
      </c>
      <c r="P17" s="155">
        <f ca="1"/>
        <v>2.8183045265971485E-3</v>
      </c>
      <c r="Q17" s="155">
        <f ca="1"/>
        <v>7.6540459588838594E-3</v>
      </c>
      <c r="R17" s="155">
        <f ca="1"/>
        <v>1.2978425451725895E-2</v>
      </c>
      <c r="S17" s="155">
        <f ca="1"/>
        <v>0</v>
      </c>
      <c r="T17" s="155">
        <f ca="1"/>
        <v>2.73886801150518E-2</v>
      </c>
      <c r="U17" s="155">
        <f ca="1"/>
        <v>4.3365153874983631E-2</v>
      </c>
      <c r="V17" s="138">
        <f ca="1"/>
        <v>6.9755922522450997E-2</v>
      </c>
      <c r="W17" s="137">
        <f ca="1"/>
        <v>0</v>
      </c>
      <c r="X17" s="155">
        <f ca="1"/>
        <v>1.234362094227115E-3</v>
      </c>
      <c r="Y17" s="155">
        <f ca="1"/>
        <v>2.9844876268602105E-3</v>
      </c>
      <c r="Z17" s="155">
        <f ca="1"/>
        <v>7.9847728193690459E-3</v>
      </c>
      <c r="AA17" s="155">
        <f ca="1"/>
        <v>1.3471812881873491E-2</v>
      </c>
      <c r="AB17" s="155">
        <f ca="1"/>
        <v>0</v>
      </c>
      <c r="AC17" s="155">
        <f ca="1"/>
        <v>2.8198851929847168E-2</v>
      </c>
      <c r="AD17" s="155">
        <f ca="1"/>
        <v>4.4504185474859015E-2</v>
      </c>
      <c r="AE17" s="138">
        <f ca="1"/>
        <v>7.1330686803198096E-2</v>
      </c>
      <c r="AG17" s="456"/>
      <c r="AH17" s="458"/>
      <c r="AI17" s="457"/>
      <c r="AJ17" s="459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4.6422559508285666E-4</v>
      </c>
      <c r="P18" s="155">
        <f ca="1"/>
        <v>2.4955058195195168E-3</v>
      </c>
      <c r="Q18" s="155">
        <f ca="1"/>
        <v>8.351080731789029E-3</v>
      </c>
      <c r="R18" s="155">
        <f ca="1"/>
        <v>1.8187725422203149E-2</v>
      </c>
      <c r="S18" s="155">
        <f ca="1"/>
        <v>0</v>
      </c>
      <c r="T18" s="155">
        <f ca="1"/>
        <v>4.9213214208704059E-2</v>
      </c>
      <c r="U18" s="155">
        <f ca="1"/>
        <v>8.3836218014380237E-2</v>
      </c>
      <c r="V18" s="138">
        <f ca="1"/>
        <v>0.14347976601504675</v>
      </c>
      <c r="W18" s="137">
        <f ca="1"/>
        <v>0</v>
      </c>
      <c r="X18" s="155">
        <f ca="1"/>
        <v>5.5704436557602044E-4</v>
      </c>
      <c r="Y18" s="155">
        <f ca="1"/>
        <v>2.6617427150859019E-3</v>
      </c>
      <c r="Z18" s="155">
        <f ca="1"/>
        <v>8.6815752860525119E-3</v>
      </c>
      <c r="AA18" s="155">
        <f ca="1"/>
        <v>1.8678508853393505E-2</v>
      </c>
      <c r="AB18" s="155">
        <f ca="1"/>
        <v>0</v>
      </c>
      <c r="AC18" s="155">
        <f ca="1"/>
        <v>5.0005206487602538E-2</v>
      </c>
      <c r="AD18" s="155">
        <f ca="1"/>
        <v>8.4928089307036325E-2</v>
      </c>
      <c r="AE18" s="138">
        <f ca="1"/>
        <v>0.14496401433098749</v>
      </c>
      <c r="AG18" s="456"/>
      <c r="AH18" s="458"/>
      <c r="AI18" s="457"/>
      <c r="AJ18" s="459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1.2065389856753539E-3</v>
      </c>
      <c r="P19" s="155">
        <f ca="1"/>
        <v>2.4768288397061244E-3</v>
      </c>
      <c r="Q19" s="155">
        <f ca="1"/>
        <v>9.0339231916326534E-3</v>
      </c>
      <c r="R19" s="155">
        <f ca="1"/>
        <v>1.7070442211493231E-2</v>
      </c>
      <c r="S19" s="155">
        <f ca="1"/>
        <v>0</v>
      </c>
      <c r="T19" s="155">
        <f ca="1"/>
        <v>4.4812146079400206E-2</v>
      </c>
      <c r="U19" s="155">
        <f ca="1"/>
        <v>7.9270637592748883E-2</v>
      </c>
      <c r="V19" s="138">
        <f ca="1"/>
        <v>0.13366826818371469</v>
      </c>
      <c r="W19" s="137">
        <f ca="1"/>
        <v>0</v>
      </c>
      <c r="X19" s="155">
        <f ca="1"/>
        <v>1.2992861792292532E-3</v>
      </c>
      <c r="Y19" s="155">
        <f ca="1"/>
        <v>2.6430688478564779E-3</v>
      </c>
      <c r="Z19" s="155">
        <f ca="1"/>
        <v>9.3641901696750462E-3</v>
      </c>
      <c r="AA19" s="155">
        <f ca="1"/>
        <v>1.7561784144653148E-2</v>
      </c>
      <c r="AB19" s="155">
        <f ca="1"/>
        <v>0</v>
      </c>
      <c r="AC19" s="155">
        <f ca="1"/>
        <v>4.5607804387352235E-2</v>
      </c>
      <c r="AD19" s="155">
        <f ca="1"/>
        <v>8.0367542973359019E-2</v>
      </c>
      <c r="AE19" s="138">
        <f ca="1"/>
        <v>0.13516596463663155</v>
      </c>
      <c r="AG19" s="456"/>
      <c r="AH19" s="458"/>
      <c r="AI19" s="457"/>
      <c r="AJ19" s="459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2.7856118988234257E-4</v>
      </c>
      <c r="P20" s="155">
        <f ca="1"/>
        <v>1.068057816943524E-3</v>
      </c>
      <c r="Q20" s="155">
        <f ca="1"/>
        <v>3.834802686009442E-3</v>
      </c>
      <c r="R20" s="155">
        <f ca="1"/>
        <v>8.3433389245168854E-3</v>
      </c>
      <c r="S20" s="155">
        <f ca="1"/>
        <v>0</v>
      </c>
      <c r="T20" s="155">
        <f ca="1"/>
        <v>1.995906782617185E-2</v>
      </c>
      <c r="U20" s="155">
        <f ca="1"/>
        <v>3.4032021102117227E-2</v>
      </c>
      <c r="V20" s="138">
        <f ca="1"/>
        <v>6.5014697438426694E-2</v>
      </c>
      <c r="W20" s="137">
        <f ca="1"/>
        <v>0</v>
      </c>
      <c r="X20" s="155">
        <f ca="1"/>
        <v>3.7139749276848821E-4</v>
      </c>
      <c r="Y20" s="155">
        <f ca="1"/>
        <v>1.2345326006799606E-3</v>
      </c>
      <c r="Z20" s="155">
        <f ca="1"/>
        <v>4.1668024154327687E-3</v>
      </c>
      <c r="AA20" s="155">
        <f ca="1"/>
        <v>8.8390433186377182E-3</v>
      </c>
      <c r="AB20" s="155">
        <f ca="1"/>
        <v>0</v>
      </c>
      <c r="AC20" s="155">
        <f ca="1"/>
        <v>2.0775428405532814E-2</v>
      </c>
      <c r="AD20" s="155">
        <f ca="1"/>
        <v>3.5183222195563246E-2</v>
      </c>
      <c r="AE20" s="138">
        <f ca="1"/>
        <v>6.6600025425432752E-2</v>
      </c>
      <c r="AG20" s="456"/>
      <c r="AH20" s="458"/>
      <c r="AI20" s="457"/>
      <c r="AJ20" s="459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1.1045035398281611E-3</v>
      </c>
      <c r="P21" s="155">
        <f ca="1"/>
        <v>2.5330600788711077E-3</v>
      </c>
      <c r="Q21" s="155">
        <f ca="1"/>
        <v>6.6113198627973935E-3</v>
      </c>
      <c r="R21" s="155">
        <f ca="1"/>
        <v>1.1975257829312191E-2</v>
      </c>
      <c r="S21" s="155">
        <f ca="1"/>
        <v>0</v>
      </c>
      <c r="T21" s="155">
        <f ca="1"/>
        <v>2.663662308405168E-2</v>
      </c>
      <c r="U21" s="155">
        <f ca="1"/>
        <v>4.2043040934403919E-2</v>
      </c>
      <c r="V21" s="138">
        <f ca="1"/>
        <v>6.6361284367140949E-2</v>
      </c>
      <c r="W21" s="137">
        <f ca="1"/>
        <v>0</v>
      </c>
      <c r="X21" s="155">
        <f ca="1"/>
        <v>1.1972607168343474E-3</v>
      </c>
      <c r="Y21" s="155">
        <f ca="1"/>
        <v>2.6992907159224533E-3</v>
      </c>
      <c r="Z21" s="155">
        <f ca="1"/>
        <v>6.9423942407298433E-3</v>
      </c>
      <c r="AA21" s="155">
        <f ca="1"/>
        <v>1.2469146717874136E-2</v>
      </c>
      <c r="AB21" s="155">
        <f ca="1"/>
        <v>0</v>
      </c>
      <c r="AC21" s="155">
        <f ca="1"/>
        <v>2.7447421351942669E-2</v>
      </c>
      <c r="AD21" s="155">
        <f ca="1"/>
        <v>4.3183984697328315E-2</v>
      </c>
      <c r="AE21" s="138">
        <f ca="1"/>
        <v>6.7942470509798514E-2</v>
      </c>
      <c r="AG21" s="456"/>
      <c r="AH21" s="458"/>
      <c r="AI21" s="457"/>
      <c r="AJ21" s="459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1.1601605274561555E-3</v>
      </c>
      <c r="P22" s="155">
        <f ca="1"/>
        <v>2.8893727111671819E-3</v>
      </c>
      <c r="Q22" s="155">
        <f ca="1"/>
        <v>7.8265826514296588E-3</v>
      </c>
      <c r="R22" s="155">
        <f ca="1"/>
        <v>1.3605491261480585E-2</v>
      </c>
      <c r="S22" s="155">
        <f ca="1"/>
        <v>0</v>
      </c>
      <c r="T22" s="155">
        <f ca="1"/>
        <v>2.9115580122326401E-2</v>
      </c>
      <c r="U22" s="155">
        <f ca="1"/>
        <v>4.597034174994985E-2</v>
      </c>
      <c r="V22" s="138">
        <f ca="1"/>
        <v>7.2950729304184114E-2</v>
      </c>
      <c r="W22" s="137">
        <f ca="1"/>
        <v>0</v>
      </c>
      <c r="X22" s="155">
        <f ca="1"/>
        <v>1.2529122646809387E-3</v>
      </c>
      <c r="Y22" s="155">
        <f ca="1"/>
        <v>3.0555439677231178E-3</v>
      </c>
      <c r="Z22" s="155">
        <f ca="1"/>
        <v>8.1572520092404455E-3</v>
      </c>
      <c r="AA22" s="155">
        <f ca="1"/>
        <v>1.4098565237091187E-2</v>
      </c>
      <c r="AB22" s="155">
        <f ca="1"/>
        <v>0</v>
      </c>
      <c r="AC22" s="155">
        <f ca="1"/>
        <v>2.9924313453240425E-2</v>
      </c>
      <c r="AD22" s="155">
        <f ca="1"/>
        <v>4.7106447383978844E-2</v>
      </c>
      <c r="AE22" s="138">
        <f ca="1"/>
        <v>7.4519763712928677E-2</v>
      </c>
      <c r="AG22" s="456"/>
      <c r="AH22" s="458"/>
      <c r="AI22" s="457"/>
      <c r="AJ22" s="459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9.7462519511426482E-4</v>
      </c>
      <c r="P23" s="155">
        <f ca="1"/>
        <v>3.6451530452490388E-3</v>
      </c>
      <c r="Q23" s="155">
        <f ca="1"/>
        <v>1.0786395719527331E-2</v>
      </c>
      <c r="R23" s="155">
        <f ca="1"/>
        <v>1.90152499726155E-2</v>
      </c>
      <c r="S23" s="155">
        <f ca="1"/>
        <v>0</v>
      </c>
      <c r="T23" s="155">
        <f ca="1"/>
        <v>3.8310080395819845E-2</v>
      </c>
      <c r="U23" s="155">
        <f ca="1"/>
        <v>5.9806789798852567E-2</v>
      </c>
      <c r="V23" s="138">
        <f ca="1"/>
        <v>9.2932725579393582E-2</v>
      </c>
      <c r="W23" s="137">
        <f ca="1"/>
        <v>0</v>
      </c>
      <c r="X23" s="155">
        <f ca="1"/>
        <v>1.0673950117857656E-3</v>
      </c>
      <c r="Y23" s="155">
        <f ca="1"/>
        <v>3.8111983489123036E-3</v>
      </c>
      <c r="Z23" s="155">
        <f ca="1"/>
        <v>1.1116078637412596E-2</v>
      </c>
      <c r="AA23" s="155">
        <f ca="1"/>
        <v>1.950561974496734E-2</v>
      </c>
      <c r="AB23" s="155">
        <f ca="1"/>
        <v>0</v>
      </c>
      <c r="AC23" s="155">
        <f ca="1"/>
        <v>3.9111154834764128E-2</v>
      </c>
      <c r="AD23" s="155">
        <f ca="1"/>
        <v>6.0926014961473651E-2</v>
      </c>
      <c r="AE23" s="138">
        <f ca="1"/>
        <v>9.4443245254033803E-2</v>
      </c>
      <c r="AG23" s="456"/>
      <c r="AH23" s="458"/>
      <c r="AI23" s="457"/>
      <c r="AJ23" s="459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1.4291256647325223E-3</v>
      </c>
      <c r="P24" s="155">
        <f ca="1"/>
        <v>4.1875253800822687E-3</v>
      </c>
      <c r="Q24" s="155">
        <f ca="1"/>
        <v>1.0648661664851677E-2</v>
      </c>
      <c r="R24" s="155">
        <f ca="1"/>
        <v>1.7342552117040277E-2</v>
      </c>
      <c r="S24" s="155">
        <f ca="1"/>
        <v>0</v>
      </c>
      <c r="T24" s="155">
        <f ca="1"/>
        <v>3.3966412136105073E-2</v>
      </c>
      <c r="U24" s="155">
        <f ca="1"/>
        <v>5.2016816794548171E-2</v>
      </c>
      <c r="V24" s="138">
        <f ca="1"/>
        <v>8.4263869360083121E-2</v>
      </c>
      <c r="W24" s="137">
        <f ca="1"/>
        <v>0</v>
      </c>
      <c r="X24" s="155">
        <f ca="1"/>
        <v>1.5218509139774961E-3</v>
      </c>
      <c r="Y24" s="155">
        <f ca="1"/>
        <v>4.353480295895662E-3</v>
      </c>
      <c r="Z24" s="155">
        <f ca="1"/>
        <v>1.0978390486434564E-2</v>
      </c>
      <c r="AA24" s="155">
        <f ca="1"/>
        <v>1.7833758029264013E-2</v>
      </c>
      <c r="AB24" s="155">
        <f ca="1"/>
        <v>0</v>
      </c>
      <c r="AC24" s="155">
        <f ca="1"/>
        <v>3.4771104790798035E-2</v>
      </c>
      <c r="AD24" s="155">
        <f ca="1"/>
        <v>5.3144700096431907E-2</v>
      </c>
      <c r="AE24" s="138">
        <f ca="1"/>
        <v>8.578882509499075E-2</v>
      </c>
      <c r="AG24" s="456"/>
      <c r="AH24" s="458"/>
      <c r="AI24" s="457"/>
      <c r="AJ24" s="459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4.6422559508285666E-4</v>
      </c>
      <c r="P25" s="155">
        <f ca="1"/>
        <v>1.0635183000881065E-3</v>
      </c>
      <c r="Q25" s="155">
        <f ca="1"/>
        <v>2.7735532819737063E-3</v>
      </c>
      <c r="R25" s="155">
        <f ca="1"/>
        <v>6.2504038707316134E-3</v>
      </c>
      <c r="S25" s="155">
        <f ca="1"/>
        <v>0</v>
      </c>
      <c r="T25" s="155">
        <f ca="1"/>
        <v>1.6560310730566852E-2</v>
      </c>
      <c r="U25" s="155">
        <f ca="1"/>
        <v>2.9365934285491835E-2</v>
      </c>
      <c r="V25" s="138">
        <f ca="1"/>
        <v>5.4666903459537397E-2</v>
      </c>
      <c r="W25" s="137">
        <f ca="1"/>
        <v>0</v>
      </c>
      <c r="X25" s="155">
        <f ca="1"/>
        <v>5.5704436557602044E-4</v>
      </c>
      <c r="Y25" s="155">
        <f ca="1"/>
        <v>1.2299938403631527E-3</v>
      </c>
      <c r="Z25" s="155">
        <f ca="1"/>
        <v>3.1059067022344289E-3</v>
      </c>
      <c r="AA25" s="155">
        <f ca="1"/>
        <v>6.7471544708027631E-3</v>
      </c>
      <c r="AB25" s="155">
        <f ca="1"/>
        <v>0</v>
      </c>
      <c r="AC25" s="155">
        <f ca="1"/>
        <v>1.7379502427657956E-2</v>
      </c>
      <c r="AD25" s="155">
        <f ca="1"/>
        <v>3.0522688293274314E-2</v>
      </c>
      <c r="AE25" s="138">
        <f ca="1"/>
        <v>5.6271500364068694E-2</v>
      </c>
      <c r="AG25" s="456"/>
      <c r="AH25" s="458"/>
      <c r="AI25" s="457"/>
      <c r="AJ25" s="459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2.7856118988234257E-4</v>
      </c>
      <c r="P26" s="155">
        <f ca="1"/>
        <v>1.6052151010047533E-3</v>
      </c>
      <c r="Q26" s="155">
        <f ca="1"/>
        <v>5.2240803250656054E-3</v>
      </c>
      <c r="R26" s="155">
        <f ca="1"/>
        <v>1.039315686683373E-2</v>
      </c>
      <c r="S26" s="155">
        <f ca="1"/>
        <v>0</v>
      </c>
      <c r="T26" s="155">
        <f ca="1"/>
        <v>2.8679436768009769E-2</v>
      </c>
      <c r="U26" s="155">
        <f ca="1"/>
        <v>4.9765662692503154E-2</v>
      </c>
      <c r="V26" s="138">
        <f ca="1"/>
        <v>9.0241417915751021E-2</v>
      </c>
      <c r="W26" s="137">
        <f ca="1"/>
        <v>0</v>
      </c>
      <c r="X26" s="155">
        <f ca="1"/>
        <v>3.7139749276848821E-4</v>
      </c>
      <c r="Y26" s="155">
        <f ca="1"/>
        <v>1.7716003659955515E-3</v>
      </c>
      <c r="Z26" s="155">
        <f ca="1"/>
        <v>5.5556170391188875E-3</v>
      </c>
      <c r="AA26" s="155">
        <f ca="1"/>
        <v>1.0887836608177603E-2</v>
      </c>
      <c r="AB26" s="155">
        <f ca="1"/>
        <v>0</v>
      </c>
      <c r="AC26" s="155">
        <f ca="1"/>
        <v>2.9488533400288452E-2</v>
      </c>
      <c r="AD26" s="155">
        <f ca="1"/>
        <v>5.089950558826728E-2</v>
      </c>
      <c r="AE26" s="138">
        <f ca="1"/>
        <v>9.1803588153503868E-2</v>
      </c>
      <c r="AG26" s="456"/>
      <c r="AH26" s="458"/>
      <c r="AI26" s="457"/>
      <c r="AJ26" s="459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5.5704488486529868E-4</v>
      </c>
      <c r="P27" s="155">
        <f ca="1"/>
        <v>1.0612488032009093E-3</v>
      </c>
      <c r="Q27" s="155">
        <f ca="1"/>
        <v>3.8278784894353324E-3</v>
      </c>
      <c r="R27" s="155">
        <f ca="1"/>
        <v>7.8022939217065046E-3</v>
      </c>
      <c r="S27" s="155">
        <f ca="1"/>
        <v>0</v>
      </c>
      <c r="T27" s="155">
        <f ca="1"/>
        <v>2.1786820846376731E-2</v>
      </c>
      <c r="U27" s="155">
        <f ca="1"/>
        <v>4.0401359053466535E-2</v>
      </c>
      <c r="V27" s="138">
        <f ca="1"/>
        <v>7.5531665144961901E-2</v>
      </c>
      <c r="W27" s="137">
        <f ca="1"/>
        <v>0</v>
      </c>
      <c r="X27" s="155">
        <f ca="1"/>
        <v>6.4985483622026496E-4</v>
      </c>
      <c r="Y27" s="155">
        <f ca="1"/>
        <v>1.2277247216911924E-3</v>
      </c>
      <c r="Z27" s="155">
        <f ca="1"/>
        <v>4.1598805265316008E-3</v>
      </c>
      <c r="AA27" s="155">
        <f ca="1"/>
        <v>8.2982687707094938E-3</v>
      </c>
      <c r="AB27" s="155">
        <f ca="1"/>
        <v>0</v>
      </c>
      <c r="AC27" s="155">
        <f ca="1"/>
        <v>2.2601658932675406E-2</v>
      </c>
      <c r="AD27" s="155">
        <f ca="1"/>
        <v>4.1546195017280407E-2</v>
      </c>
      <c r="AE27" s="138">
        <f ca="1"/>
        <v>7.7098847534314952E-2</v>
      </c>
      <c r="AG27" s="456"/>
      <c r="AH27" s="458"/>
      <c r="AI27" s="457"/>
      <c r="AJ27" s="459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1.0488434562637705E-3</v>
      </c>
      <c r="P28" s="155">
        <f ca="1"/>
        <v>3.2498705418229079E-3</v>
      </c>
      <c r="Q28" s="155">
        <f ca="1"/>
        <v>9.1153320969504792E-3</v>
      </c>
      <c r="R28" s="155">
        <f ca="1"/>
        <v>1.4915268132706494E-2</v>
      </c>
      <c r="S28" s="155">
        <f ca="1"/>
        <v>0</v>
      </c>
      <c r="T28" s="155">
        <f ca="1"/>
        <v>2.8045696028089484E-2</v>
      </c>
      <c r="U28" s="155">
        <f ca="1"/>
        <v>4.329502097496396E-2</v>
      </c>
      <c r="V28" s="138">
        <f ca="1"/>
        <v>6.9391793338761665E-2</v>
      </c>
      <c r="W28" s="137">
        <f ca="1"/>
        <v>0</v>
      </c>
      <c r="X28" s="155">
        <f ca="1"/>
        <v>1.1416060593463229E-3</v>
      </c>
      <c r="Y28" s="155">
        <f ca="1"/>
        <v>3.4159817204182374E-3</v>
      </c>
      <c r="Z28" s="155">
        <f ca="1"/>
        <v>9.4455719432098295E-3</v>
      </c>
      <c r="AA28" s="155">
        <f ca="1"/>
        <v>1.5407687383559687E-2</v>
      </c>
      <c r="AB28" s="155">
        <f ca="1"/>
        <v>0</v>
      </c>
      <c r="AC28" s="155">
        <f ca="1"/>
        <v>2.8855320557635178E-2</v>
      </c>
      <c r="AD28" s="155">
        <f ca="1"/>
        <v>4.4433176321251544E-2</v>
      </c>
      <c r="AE28" s="138">
        <f ca="1"/>
        <v>7.0965973725217624E-2</v>
      </c>
      <c r="AG28" s="456"/>
      <c r="AH28" s="458"/>
      <c r="AI28" s="457"/>
      <c r="AJ28" s="459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6.4985556770325026E-4</v>
      </c>
      <c r="P29" s="155">
        <f ca="1"/>
        <v>1.4170335872464301E-3</v>
      </c>
      <c r="Q29" s="155">
        <f ca="1"/>
        <v>4.8691342506955726E-3</v>
      </c>
      <c r="R29" s="155">
        <f ca="1"/>
        <v>9.8731740173833016E-3</v>
      </c>
      <c r="S29" s="155">
        <f ca="1"/>
        <v>0</v>
      </c>
      <c r="T29" s="155">
        <f ca="1"/>
        <v>2.6943190785999827E-2</v>
      </c>
      <c r="U29" s="155">
        <f ca="1"/>
        <v>4.7415334055555758E-2</v>
      </c>
      <c r="V29" s="138">
        <f ca="1"/>
        <v>9.2764740321023331E-2</v>
      </c>
      <c r="W29" s="137">
        <f ca="1"/>
        <v>0</v>
      </c>
      <c r="X29" s="155">
        <f ca="1"/>
        <v>7.4265666409367714E-4</v>
      </c>
      <c r="Y29" s="155">
        <f ca="1"/>
        <v>1.5834502132131556E-3</v>
      </c>
      <c r="Z29" s="155">
        <f ca="1"/>
        <v>5.2007892603862516E-3</v>
      </c>
      <c r="AA29" s="155">
        <f ca="1"/>
        <v>1.0368113685148228E-2</v>
      </c>
      <c r="AB29" s="155">
        <f ca="1"/>
        <v>0</v>
      </c>
      <c r="AC29" s="155">
        <f ca="1"/>
        <v>2.7753733687235993E-2</v>
      </c>
      <c r="AD29" s="155">
        <f ca="1"/>
        <v>4.8551884566531922E-2</v>
      </c>
      <c r="AE29" s="138">
        <f ca="1"/>
        <v>9.4326097027223943E-2</v>
      </c>
      <c r="AG29" s="456"/>
      <c r="AH29" s="458"/>
      <c r="AI29" s="457"/>
      <c r="AJ29" s="459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4.6422559508285666E-4</v>
      </c>
      <c r="P30" s="155">
        <f ca="1"/>
        <v>1.4216052903200938E-3</v>
      </c>
      <c r="Q30" s="155">
        <f ca="1"/>
        <v>4.1698750968857112E-3</v>
      </c>
      <c r="R30" s="155">
        <f ca="1"/>
        <v>8.3097435647113693E-3</v>
      </c>
      <c r="S30" s="155">
        <f ca="1"/>
        <v>0</v>
      </c>
      <c r="T30" s="155">
        <f ca="1"/>
        <v>2.261819186603764E-2</v>
      </c>
      <c r="U30" s="155">
        <f ca="1"/>
        <v>3.8938418556627497E-2</v>
      </c>
      <c r="V30" s="138">
        <f ca="1"/>
        <v>6.2055557378828174E-2</v>
      </c>
      <c r="W30" s="137">
        <f ca="1"/>
        <v>0</v>
      </c>
      <c r="X30" s="155">
        <f ca="1"/>
        <v>5.5704436557602044E-4</v>
      </c>
      <c r="Y30" s="155">
        <f ca="1"/>
        <v>1.5880211543956024E-3</v>
      </c>
      <c r="Z30" s="155">
        <f ca="1"/>
        <v>4.5017631540871239E-3</v>
      </c>
      <c r="AA30" s="155">
        <f ca="1"/>
        <v>8.805464752301817E-3</v>
      </c>
      <c r="AB30" s="155">
        <f ca="1"/>
        <v>0</v>
      </c>
      <c r="AC30" s="155">
        <f ca="1"/>
        <v>2.3432337431722794E-2</v>
      </c>
      <c r="AD30" s="155">
        <f ca="1"/>
        <v>4.00844755432328E-2</v>
      </c>
      <c r="AE30" s="138">
        <f ca="1"/>
        <v>6.3646706715448809E-2</v>
      </c>
      <c r="AG30" s="456"/>
      <c r="AH30" s="458"/>
      <c r="AI30" s="457"/>
      <c r="AJ30" s="459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5.9417019075691524E-4</v>
      </c>
      <c r="P31" s="155">
        <f ca="1"/>
        <v>2.0985610621968576E-3</v>
      </c>
      <c r="Q31" s="155">
        <f ca="1"/>
        <v>5.761298255463787E-3</v>
      </c>
      <c r="R31" s="155">
        <f ca="1"/>
        <v>1.092717326164705E-2</v>
      </c>
      <c r="S31" s="155">
        <f ca="1"/>
        <v>0</v>
      </c>
      <c r="T31" s="155">
        <f ca="1"/>
        <v>2.5897181757175924E-2</v>
      </c>
      <c r="U31" s="155">
        <f ca="1"/>
        <v>4.3461453660738614E-2</v>
      </c>
      <c r="V31" s="138">
        <f ca="1"/>
        <v>6.4522755168534007E-2</v>
      </c>
      <c r="W31" s="137">
        <f ca="1"/>
        <v>0</v>
      </c>
      <c r="X31" s="155">
        <f ca="1"/>
        <v>6.8697660446681574E-4</v>
      </c>
      <c r="Y31" s="155">
        <f ca="1"/>
        <v>2.2648641097201549E-3</v>
      </c>
      <c r="Z31" s="155">
        <f ca="1"/>
        <v>6.0926559267021618E-3</v>
      </c>
      <c r="AA31" s="155">
        <f ca="1"/>
        <v>1.1421586061534206E-2</v>
      </c>
      <c r="AB31" s="155">
        <f ca="1"/>
        <v>0</v>
      </c>
      <c r="AC31" s="155">
        <f ca="1"/>
        <v>2.670859596946551E-2</v>
      </c>
      <c r="AD31" s="155">
        <f ca="1"/>
        <v>4.4601598805122933E-2</v>
      </c>
      <c r="AE31" s="138">
        <f ca="1"/>
        <v>6.6108268676622672E-2</v>
      </c>
      <c r="AG31" s="456"/>
      <c r="AH31" s="458"/>
      <c r="AI31" s="457"/>
      <c r="AJ31" s="459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1.0210122534125565E-3</v>
      </c>
      <c r="P32" s="155">
        <f ca="1"/>
        <v>2.8392451850541844E-3</v>
      </c>
      <c r="Q32" s="155">
        <f ca="1"/>
        <v>7.2701582984785462E-3</v>
      </c>
      <c r="R32" s="155">
        <f ca="1"/>
        <v>1.5553475837292385E-2</v>
      </c>
      <c r="S32" s="155">
        <f ca="1"/>
        <v>0</v>
      </c>
      <c r="T32" s="155">
        <f ca="1"/>
        <v>3.3463458299987203E-2</v>
      </c>
      <c r="U32" s="155">
        <f ca="1"/>
        <v>5.5081501705208757E-2</v>
      </c>
      <c r="V32" s="138">
        <f ca="1"/>
        <v>9.7659262746140008E-2</v>
      </c>
      <c r="W32" s="137">
        <f ca="1"/>
        <v>0</v>
      </c>
      <c r="X32" s="155">
        <f ca="1"/>
        <v>1.1137775643985659E-3</v>
      </c>
      <c r="Y32" s="155">
        <f ca="1"/>
        <v>3.0054247954978131E-3</v>
      </c>
      <c r="Z32" s="155">
        <f ca="1"/>
        <v>7.6010131002002268E-3</v>
      </c>
      <c r="AA32" s="155">
        <f ca="1"/>
        <v>1.6045576064066425E-2</v>
      </c>
      <c r="AB32" s="155">
        <f ca="1"/>
        <v>0</v>
      </c>
      <c r="AC32" s="155">
        <f ca="1"/>
        <v>3.4268569908345481E-2</v>
      </c>
      <c r="AD32" s="155">
        <f ca="1"/>
        <v>5.6207531306411429E-2</v>
      </c>
      <c r="AE32" s="138">
        <f ca="1"/>
        <v>9.9207681808008763E-2</v>
      </c>
      <c r="AG32" s="456"/>
      <c r="AH32" s="458"/>
      <c r="AI32" s="457"/>
      <c r="AJ32" s="459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7.2409791776117949E-4</v>
      </c>
      <c r="P33" s="155">
        <f ca="1"/>
        <v>2.4352922823102086E-3</v>
      </c>
      <c r="Q33" s="155">
        <f ca="1"/>
        <v>7.9950758524612864E-3</v>
      </c>
      <c r="R33" s="155">
        <f ca="1"/>
        <v>1.3946232365528166E-2</v>
      </c>
      <c r="S33" s="155">
        <f ca="1"/>
        <v>0</v>
      </c>
      <c r="T33" s="155">
        <f ca="1"/>
        <v>2.822053324172602E-2</v>
      </c>
      <c r="U33" s="155">
        <f ca="1"/>
        <v>4.4118034802362205E-2</v>
      </c>
      <c r="V33" s="138">
        <f ca="1"/>
        <v>6.7555547473892474E-2</v>
      </c>
      <c r="W33" s="137">
        <f ca="1"/>
        <v>0</v>
      </c>
      <c r="X33" s="155">
        <f ca="1"/>
        <v>8.1689190417466584E-4</v>
      </c>
      <c r="Y33" s="155">
        <f ca="1"/>
        <v>2.6015392126281789E-3</v>
      </c>
      <c r="Z33" s="155">
        <f ca="1"/>
        <v>8.3256890552665386E-3</v>
      </c>
      <c r="AA33" s="155">
        <f ca="1"/>
        <v>1.4439136013182474E-2</v>
      </c>
      <c r="AB33" s="155">
        <f ca="1"/>
        <v>0</v>
      </c>
      <c r="AC33" s="155">
        <f ca="1"/>
        <v>2.9030012134316774E-2</v>
      </c>
      <c r="AD33" s="155">
        <f ca="1"/>
        <v>4.5256049841821189E-2</v>
      </c>
      <c r="AE33" s="138">
        <f ca="1"/>
        <v>6.9133819947687858E-2</v>
      </c>
      <c r="AG33" s="456"/>
      <c r="AH33" s="458"/>
      <c r="AI33" s="457"/>
      <c r="AJ33" s="459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4.6422559508285666E-4</v>
      </c>
      <c r="P34" s="155">
        <f ca="1"/>
        <v>1.6006262531162996E-3</v>
      </c>
      <c r="Q34" s="155">
        <f ca="1"/>
        <v>5.5711935191748996E-3</v>
      </c>
      <c r="R34" s="155">
        <f ca="1"/>
        <v>1.2504153181971511E-2</v>
      </c>
      <c r="S34" s="155">
        <f ca="1"/>
        <v>0</v>
      </c>
      <c r="T34" s="155">
        <f ca="1"/>
        <v>3.1178482997685997E-2</v>
      </c>
      <c r="U34" s="155">
        <f ca="1"/>
        <v>5.5766194661726498E-2</v>
      </c>
      <c r="V34" s="138">
        <f ca="1"/>
        <v>0.10024683284761937</v>
      </c>
      <c r="W34" s="137">
        <f ca="1"/>
        <v>0</v>
      </c>
      <c r="X34" s="155">
        <f ca="1"/>
        <v>5.5704436557602044E-4</v>
      </c>
      <c r="Y34" s="155">
        <f ca="1"/>
        <v>1.7670122828469248E-3</v>
      </c>
      <c r="Z34" s="155">
        <f ca="1"/>
        <v>5.9026145480794989E-3</v>
      </c>
      <c r="AA34" s="155">
        <f ca="1"/>
        <v>1.299777768898136E-2</v>
      </c>
      <c r="AB34" s="155">
        <f ca="1"/>
        <v>0</v>
      </c>
      <c r="AC34" s="155">
        <f ca="1"/>
        <v>3.1985497958925024E-2</v>
      </c>
      <c r="AD34" s="155">
        <f ca="1"/>
        <v>5.6892709736939939E-2</v>
      </c>
      <c r="AE34" s="138">
        <f ca="1"/>
        <v>0.10179480216182013</v>
      </c>
      <c r="AG34" s="456"/>
      <c r="AH34" s="458"/>
      <c r="AI34" s="457"/>
      <c r="AJ34" s="459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1.0673971614578726E-3</v>
      </c>
      <c r="P35" s="155">
        <f ca="1"/>
        <v>3.2136322455901256E-3</v>
      </c>
      <c r="Q35" s="155">
        <f ca="1"/>
        <v>9.7126039117522156E-3</v>
      </c>
      <c r="R35" s="155">
        <f ca="1"/>
        <v>1.8074490973155943E-2</v>
      </c>
      <c r="S35" s="155">
        <f ca="1"/>
        <v>0</v>
      </c>
      <c r="T35" s="155">
        <f ca="1"/>
        <v>3.9345230099660067E-2</v>
      </c>
      <c r="U35" s="155">
        <f ca="1"/>
        <v>6.1784590914189641E-2</v>
      </c>
      <c r="V35" s="138">
        <f ca="1"/>
        <v>9.5542603353518163E-2</v>
      </c>
      <c r="W35" s="137">
        <f ca="1"/>
        <v>0</v>
      </c>
      <c r="X35" s="155">
        <f ca="1"/>
        <v>1.1601579573663479E-3</v>
      </c>
      <c r="Y35" s="155">
        <f ca="1"/>
        <v>3.3797494633945879E-3</v>
      </c>
      <c r="Z35" s="155">
        <f ca="1"/>
        <v>1.0042644700607006E-2</v>
      </c>
      <c r="AA35" s="155">
        <f ca="1"/>
        <v>1.8565331007447616E-2</v>
      </c>
      <c r="AB35" s="155">
        <f ca="1"/>
        <v>0</v>
      </c>
      <c r="AC35" s="155">
        <f ca="1"/>
        <v>4.0145442273231025E-2</v>
      </c>
      <c r="AD35" s="155">
        <f ca="1"/>
        <v>6.290220772036148E-2</v>
      </c>
      <c r="AE35" s="138">
        <f ca="1"/>
        <v>9.7048776854683383E-2</v>
      </c>
      <c r="AG35" s="456"/>
      <c r="AH35" s="458"/>
      <c r="AI35" s="457"/>
      <c r="AJ35" s="459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4.6422559508285666E-4</v>
      </c>
      <c r="P36" s="155">
        <f ca="1"/>
        <v>1.2425693066163701E-3</v>
      </c>
      <c r="Q36" s="155">
        <f ca="1"/>
        <v>3.8240060591129277E-3</v>
      </c>
      <c r="R36" s="155">
        <f ca="1"/>
        <v>8.3323722564101477E-3</v>
      </c>
      <c r="S36" s="155">
        <f ca="1"/>
        <v>0</v>
      </c>
      <c r="T36" s="155">
        <f ca="1"/>
        <v>1.9947896135811272E-2</v>
      </c>
      <c r="U36" s="155">
        <f ca="1"/>
        <v>3.53262054884107E-2</v>
      </c>
      <c r="V36" s="138">
        <f ca="1"/>
        <v>6.4824143268306766E-2</v>
      </c>
      <c r="W36" s="137">
        <f ca="1"/>
        <v>0</v>
      </c>
      <c r="X36" s="155">
        <f ca="1"/>
        <v>5.5704436557602044E-4</v>
      </c>
      <c r="Y36" s="155">
        <f ca="1"/>
        <v>1.4090150075465324E-3</v>
      </c>
      <c r="Z36" s="155">
        <f ca="1"/>
        <v>4.1560093867978321E-3</v>
      </c>
      <c r="AA36" s="155">
        <f ca="1"/>
        <v>8.8280821325006364E-3</v>
      </c>
      <c r="AB36" s="155">
        <f ca="1"/>
        <v>0</v>
      </c>
      <c r="AC36" s="155">
        <f ca="1"/>
        <v>2.0764266020970035E-2</v>
      </c>
      <c r="AD36" s="155">
        <f ca="1"/>
        <v>3.6476098143403912E-2</v>
      </c>
      <c r="AE36" s="138">
        <f ca="1"/>
        <v>6.6410334835719897E-2</v>
      </c>
      <c r="AG36" s="456"/>
      <c r="AH36" s="458"/>
      <c r="AI36" s="457"/>
      <c r="AJ36" s="459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8.3545111727989507E-4</v>
      </c>
      <c r="P37" s="155">
        <f ca="1"/>
        <v>3.9169299942101166E-3</v>
      </c>
      <c r="Q37" s="155">
        <f ca="1"/>
        <v>1.1446116551495744E-2</v>
      </c>
      <c r="R37" s="155">
        <f ca="1"/>
        <v>2.3269372098955521E-2</v>
      </c>
      <c r="S37" s="155">
        <f ca="1"/>
        <v>0</v>
      </c>
      <c r="T37" s="155">
        <f ca="1"/>
        <v>5.8247715287757962E-2</v>
      </c>
      <c r="U37" s="155">
        <f ca="1"/>
        <v>9.9770393941572721E-2</v>
      </c>
      <c r="V37" s="138">
        <f ca="1"/>
        <v>0.1682460619995706</v>
      </c>
      <c r="W37" s="137">
        <f ca="1"/>
        <v>0</v>
      </c>
      <c r="X37" s="155">
        <f ca="1"/>
        <v>9.2823439486788839E-4</v>
      </c>
      <c r="Y37" s="155">
        <f ca="1"/>
        <v>4.0829300054981976E-3</v>
      </c>
      <c r="Z37" s="155">
        <f ca="1"/>
        <v>1.1775579599103136E-2</v>
      </c>
      <c r="AA37" s="155">
        <f ca="1"/>
        <v>2.3757615341938987E-2</v>
      </c>
      <c r="AB37" s="155">
        <f ca="1"/>
        <v>0</v>
      </c>
      <c r="AC37" s="155">
        <f ca="1"/>
        <v>5.9032181951814922E-2</v>
      </c>
      <c r="AD37" s="155">
        <f ca="1"/>
        <v>0.10082004939722611</v>
      </c>
      <c r="AE37" s="138">
        <f ca="1"/>
        <v>0.16969701443830509</v>
      </c>
      <c r="AG37" s="456"/>
      <c r="AH37" s="458"/>
      <c r="AI37" s="457"/>
      <c r="AJ37" s="459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4.6422559508285666E-4</v>
      </c>
      <c r="P38" s="155">
        <f ca="1"/>
        <v>1.0635183000881065E-3</v>
      </c>
      <c r="Q38" s="155">
        <f ca="1"/>
        <v>4.1822800913825509E-3</v>
      </c>
      <c r="R38" s="155">
        <f ca="1"/>
        <v>8.3222952888234447E-3</v>
      </c>
      <c r="S38" s="155">
        <f ca="1"/>
        <v>0</v>
      </c>
      <c r="T38" s="155">
        <f ca="1"/>
        <v>1.9937633159288204E-2</v>
      </c>
      <c r="U38" s="155">
        <f ca="1"/>
        <v>3.2704530148225275E-2</v>
      </c>
      <c r="V38" s="138">
        <f ca="1"/>
        <v>5.7428800019142745E-2</v>
      </c>
      <c r="W38" s="137">
        <f ca="1"/>
        <v>0</v>
      </c>
      <c r="X38" s="155">
        <f ca="1"/>
        <v>5.5704436557602044E-4</v>
      </c>
      <c r="Y38" s="155">
        <f ca="1"/>
        <v>1.2299938403631527E-3</v>
      </c>
      <c r="Z38" s="155">
        <f ca="1"/>
        <v>4.5141640142958295E-3</v>
      </c>
      <c r="AA38" s="155">
        <f ca="1"/>
        <v>8.8180102021115925E-3</v>
      </c>
      <c r="AB38" s="155">
        <f ca="1"/>
        <v>0</v>
      </c>
      <c r="AC38" s="155">
        <f ca="1"/>
        <v>2.0754011593358879E-2</v>
      </c>
      <c r="AD38" s="155">
        <f ca="1"/>
        <v>3.3856904747403549E-2</v>
      </c>
      <c r="AE38" s="138">
        <f ca="1"/>
        <v>5.9027335694872507E-2</v>
      </c>
      <c r="AG38" s="456"/>
      <c r="AH38" s="458"/>
      <c r="AI38" s="457"/>
      <c r="AJ38" s="459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9.282359864184464E-4</v>
      </c>
      <c r="P39" s="155">
        <f ca="1"/>
        <v>2.3049265531046581E-3</v>
      </c>
      <c r="Q39" s="155">
        <f ca="1"/>
        <v>7.9943024283565256E-3</v>
      </c>
      <c r="R39" s="155">
        <f ca="1"/>
        <v>1.7667959477604134E-2</v>
      </c>
      <c r="S39" s="155">
        <f ca="1"/>
        <v>0</v>
      </c>
      <c r="T39" s="155">
        <f ca="1"/>
        <v>4.3952448331593286E-2</v>
      </c>
      <c r="U39" s="155">
        <f ca="1"/>
        <v>7.8122098365654868E-2</v>
      </c>
      <c r="V39" s="138">
        <f ca="1"/>
        <v>0.1284051820454003</v>
      </c>
      <c r="W39" s="137">
        <f ca="1"/>
        <v>0</v>
      </c>
      <c r="X39" s="155">
        <f ca="1"/>
        <v>1.0210102993825076E-3</v>
      </c>
      <c r="Y39" s="155">
        <f ca="1"/>
        <v>2.4711952092453249E-3</v>
      </c>
      <c r="Z39" s="155">
        <f ca="1"/>
        <v>8.324915888924922E-3</v>
      </c>
      <c r="AA39" s="155">
        <f ca="1"/>
        <v>1.8159002726816587E-2</v>
      </c>
      <c r="AB39" s="155">
        <f ca="1"/>
        <v>0</v>
      </c>
      <c r="AC39" s="155">
        <f ca="1"/>
        <v>4.4748822755922069E-2</v>
      </c>
      <c r="AD39" s="155">
        <f ca="1"/>
        <v>7.9220455997538575E-2</v>
      </c>
      <c r="AE39" s="138">
        <f ca="1"/>
        <v>0.12990911568081231</v>
      </c>
      <c r="AG39" s="456"/>
      <c r="AH39" s="458"/>
      <c r="AI39" s="457"/>
      <c r="AJ39" s="459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1.7721831315653525E-3</v>
      </c>
      <c r="P40" s="155">
        <f ca="1"/>
        <v>3.8569553915207555E-3</v>
      </c>
      <c r="Q40" s="155">
        <f ca="1"/>
        <v>1.0055525922743835E-2</v>
      </c>
      <c r="R40" s="155">
        <f ca="1"/>
        <v>1.7905645589101793E-2</v>
      </c>
      <c r="S40" s="155">
        <f ca="1"/>
        <v>0</v>
      </c>
      <c r="T40" s="155">
        <f ca="1"/>
        <v>3.6625168599005331E-2</v>
      </c>
      <c r="U40" s="155">
        <f ca="1"/>
        <v>5.623182881114519E-2</v>
      </c>
      <c r="V40" s="138">
        <f ca="1"/>
        <v>8.5230337336312356E-2</v>
      </c>
      <c r="W40" s="137">
        <f ca="1"/>
        <v>0</v>
      </c>
      <c r="X40" s="155">
        <f ca="1"/>
        <v>1.864874103630676E-3</v>
      </c>
      <c r="Y40" s="155">
        <f ca="1"/>
        <v>4.0229653977428281E-3</v>
      </c>
      <c r="Z40" s="155">
        <f ca="1"/>
        <v>1.0385452423316233E-2</v>
      </c>
      <c r="AA40" s="155">
        <f ca="1"/>
        <v>1.8396570024989845E-2</v>
      </c>
      <c r="AB40" s="155">
        <f ca="1"/>
        <v>0</v>
      </c>
      <c r="AC40" s="155">
        <f ca="1"/>
        <v>3.7427646546287829E-2</v>
      </c>
      <c r="AD40" s="155">
        <f ca="1"/>
        <v>5.7355242007477436E-2</v>
      </c>
      <c r="AE40" s="138">
        <f ca="1"/>
        <v>8.6753683632870393E-2</v>
      </c>
      <c r="AG40" s="456"/>
      <c r="AH40" s="458"/>
      <c r="AI40" s="457"/>
      <c r="AJ40" s="459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3.7139769715544002E-4</v>
      </c>
      <c r="P41" s="155">
        <f ca="1"/>
        <v>1.2448472000856636E-3</v>
      </c>
      <c r="Q41" s="155">
        <f ca="1"/>
        <v>4.1783932157226644E-3</v>
      </c>
      <c r="R41" s="155">
        <f ca="1"/>
        <v>9.9196687710075837E-3</v>
      </c>
      <c r="S41" s="155">
        <f ca="1"/>
        <v>0</v>
      </c>
      <c r="T41" s="155">
        <f ca="1"/>
        <v>2.4303463582967755E-2</v>
      </c>
      <c r="U41" s="155">
        <f ca="1"/>
        <v>4.3849015632676847E-2</v>
      </c>
      <c r="V41" s="138">
        <f ca="1"/>
        <v>7.6446425836558252E-2</v>
      </c>
      <c r="W41" s="137">
        <f ca="1"/>
        <v>0</v>
      </c>
      <c r="X41" s="155">
        <f ca="1"/>
        <v>4.6422525135358939E-4</v>
      </c>
      <c r="Y41" s="155">
        <f ca="1"/>
        <v>1.4112925213842775E-3</v>
      </c>
      <c r="Z41" s="155">
        <f ca="1"/>
        <v>4.5102784340511626E-3</v>
      </c>
      <c r="AA41" s="155">
        <f ca="1"/>
        <v>1.0414585197193627E-2</v>
      </c>
      <c r="AB41" s="155">
        <f ca="1"/>
        <v>0</v>
      </c>
      <c r="AC41" s="155">
        <f ca="1"/>
        <v>2.5116205340518061E-2</v>
      </c>
      <c r="AD41" s="155">
        <f ca="1"/>
        <v>4.498954225851981E-2</v>
      </c>
      <c r="AE41" s="138">
        <f ca="1"/>
        <v>7.8012014310746114E-2</v>
      </c>
      <c r="AG41" s="456"/>
      <c r="AH41" s="458"/>
      <c r="AI41" s="457"/>
      <c r="AJ41" s="459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8.3545111727989507E-4</v>
      </c>
      <c r="P42" s="155">
        <f ca="1"/>
        <v>3.2016679387290026E-3</v>
      </c>
      <c r="Q42" s="155">
        <f ca="1"/>
        <v>1.2173727878693308E-2</v>
      </c>
      <c r="R42" s="155">
        <f ca="1"/>
        <v>2.1141388417921236E-2</v>
      </c>
      <c r="S42" s="155">
        <f ca="1"/>
        <v>0</v>
      </c>
      <c r="T42" s="155">
        <f ca="1"/>
        <v>5.0481358513756125E-2</v>
      </c>
      <c r="U42" s="155">
        <f ca="1"/>
        <v>8.5669142187501657E-2</v>
      </c>
      <c r="V42" s="138">
        <f ca="1"/>
        <v>0.14237170141121358</v>
      </c>
      <c r="W42" s="137">
        <f ca="1"/>
        <v>0</v>
      </c>
      <c r="X42" s="155">
        <f ca="1"/>
        <v>9.2823439486788839E-4</v>
      </c>
      <c r="Y42" s="155">
        <f ca="1"/>
        <v>3.3677871504220747E-3</v>
      </c>
      <c r="Z42" s="155">
        <f ca="1"/>
        <v>1.2502948429602867E-2</v>
      </c>
      <c r="AA42" s="155">
        <f ca="1"/>
        <v>2.1630695386790078E-2</v>
      </c>
      <c r="AB42" s="155">
        <f ca="1"/>
        <v>0</v>
      </c>
      <c r="AC42" s="155">
        <f ca="1"/>
        <v>5.1272294445886102E-2</v>
      </c>
      <c r="AD42" s="155">
        <f ca="1"/>
        <v>8.6757023995675531E-2</v>
      </c>
      <c r="AE42" s="138">
        <f ca="1"/>
        <v>0.1438540991850682</v>
      </c>
      <c r="AG42" s="456"/>
      <c r="AH42" s="458"/>
      <c r="AI42" s="457"/>
      <c r="AJ42" s="459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3.0641304613077125E-4</v>
      </c>
      <c r="P43" s="155">
        <f ca="1"/>
        <v>1.6224293965315661E-3</v>
      </c>
      <c r="Q43" s="155">
        <f ca="1"/>
        <v>5.7152602812322595E-3</v>
      </c>
      <c r="R43" s="155">
        <f ca="1"/>
        <v>1.1328297999483539E-2</v>
      </c>
      <c r="S43" s="155">
        <f ca="1"/>
        <v>0</v>
      </c>
      <c r="T43" s="155">
        <f ca="1"/>
        <v>2.5898139556492117E-2</v>
      </c>
      <c r="U43" s="155">
        <f ca="1"/>
        <v>4.1513440420047343E-2</v>
      </c>
      <c r="V43" s="138">
        <f ca="1"/>
        <v>6.4792089642589645E-2</v>
      </c>
      <c r="W43" s="137">
        <f ca="1"/>
        <v>0</v>
      </c>
      <c r="X43" s="155">
        <f ca="1"/>
        <v>3.9924672804547701E-4</v>
      </c>
      <c r="Y43" s="155">
        <f ca="1"/>
        <v>1.7888117927158387E-3</v>
      </c>
      <c r="Z43" s="155">
        <f ca="1"/>
        <v>6.0466332959132618E-3</v>
      </c>
      <c r="AA43" s="155">
        <f ca="1"/>
        <v>1.1822510287121668E-2</v>
      </c>
      <c r="AB43" s="155">
        <f ca="1"/>
        <v>0</v>
      </c>
      <c r="AC43" s="155">
        <f ca="1"/>
        <v>2.6709552970969108E-2</v>
      </c>
      <c r="AD43" s="155">
        <f ca="1"/>
        <v>4.2655577814326717E-2</v>
      </c>
      <c r="AE43" s="138">
        <f ca="1"/>
        <v>6.6376753527163324E-2</v>
      </c>
      <c r="AG43" s="456"/>
      <c r="AH43" s="458"/>
      <c r="AI43" s="457"/>
      <c r="AJ43" s="459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7.7049658995254067E-4</v>
      </c>
      <c r="P44" s="155">
        <f ca="1"/>
        <v>3.1317835123794158E-3</v>
      </c>
      <c r="Q44" s="155">
        <f ca="1"/>
        <v>9.8289401054890702E-3</v>
      </c>
      <c r="R44" s="155">
        <f ca="1"/>
        <v>1.8133650684817093E-2</v>
      </c>
      <c r="S44" s="155">
        <f ca="1"/>
        <v>0</v>
      </c>
      <c r="T44" s="155">
        <f ca="1"/>
        <v>4.1122321632296899E-2</v>
      </c>
      <c r="U44" s="155">
        <f ca="1"/>
        <v>6.2875501401521872E-2</v>
      </c>
      <c r="V44" s="138">
        <f ca="1"/>
        <v>9.5165588772117116E-2</v>
      </c>
      <c r="W44" s="137">
        <f ca="1"/>
        <v>0</v>
      </c>
      <c r="X44" s="155">
        <f ca="1"/>
        <v>8.6328612077846145E-4</v>
      </c>
      <c r="Y44" s="155">
        <f ca="1"/>
        <v>3.2979143704949809E-3</v>
      </c>
      <c r="Z44" s="155">
        <f ca="1"/>
        <v>1.0158942122067804E-2</v>
      </c>
      <c r="AA44" s="155">
        <f ca="1"/>
        <v>1.8624461146643179E-2</v>
      </c>
      <c r="AB44" s="155">
        <f ca="1"/>
        <v>0</v>
      </c>
      <c r="AC44" s="155">
        <f ca="1"/>
        <v>4.1921053513099271E-2</v>
      </c>
      <c r="AD44" s="155">
        <f ca="1"/>
        <v>6.3992045463708735E-2</v>
      </c>
      <c r="AE44" s="138">
        <f ca="1"/>
        <v>9.6672390107541917E-2</v>
      </c>
      <c r="AG44" s="456"/>
      <c r="AH44" s="458"/>
      <c r="AI44" s="457"/>
      <c r="AJ44" s="459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1.1137799194392839E-3</v>
      </c>
      <c r="P45" s="155">
        <f ca="1"/>
        <v>2.4791628345923744E-3</v>
      </c>
      <c r="Q45" s="155">
        <f ca="1"/>
        <v>6.2263996442820657E-3</v>
      </c>
      <c r="R45" s="155">
        <f ca="1"/>
        <v>1.1888830666442307E-2</v>
      </c>
      <c r="S45" s="155">
        <f ca="1"/>
        <v>0</v>
      </c>
      <c r="T45" s="155">
        <f ca="1"/>
        <v>2.3084980701589264E-2</v>
      </c>
      <c r="U45" s="155">
        <f ca="1"/>
        <v>3.971392967898868E-2</v>
      </c>
      <c r="V45" s="138">
        <f ca="1"/>
        <v>7.0987308285585415E-2</v>
      </c>
      <c r="W45" s="137">
        <f ca="1"/>
        <v>0</v>
      </c>
      <c r="X45" s="155">
        <f ca="1"/>
        <v>1.2065361907452887E-3</v>
      </c>
      <c r="Y45" s="155">
        <f ca="1"/>
        <v>2.6454024537728715E-3</v>
      </c>
      <c r="Z45" s="155">
        <f ca="1"/>
        <v>6.5576023075566425E-3</v>
      </c>
      <c r="AA45" s="155">
        <f ca="1"/>
        <v>1.2382762757795596E-2</v>
      </c>
      <c r="AB45" s="155">
        <f ca="1"/>
        <v>0</v>
      </c>
      <c r="AC45" s="155">
        <f ca="1"/>
        <v>2.3898737438573514E-2</v>
      </c>
      <c r="AD45" s="155">
        <f ca="1"/>
        <v>4.0857481394901418E-2</v>
      </c>
      <c r="AE45" s="138">
        <f ca="1"/>
        <v>7.2560628220214141E-2</v>
      </c>
      <c r="AG45" s="456"/>
      <c r="AH45" s="458"/>
      <c r="AI45" s="457"/>
      <c r="AJ45" s="459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3.7139769715544002E-4</v>
      </c>
      <c r="P46" s="155">
        <f ca="1"/>
        <v>1.6029205889476206E-3</v>
      </c>
      <c r="Q46" s="155">
        <f ca="1"/>
        <v>4.8698819059787013E-3</v>
      </c>
      <c r="R46" s="155">
        <f ca="1"/>
        <v>9.34041718091283E-3</v>
      </c>
      <c r="S46" s="155">
        <f ca="1"/>
        <v>0</v>
      </c>
      <c r="T46" s="155">
        <f ca="1"/>
        <v>2.3399346612112737E-2</v>
      </c>
      <c r="U46" s="155">
        <f ca="1"/>
        <v>4.1332847974425158E-2</v>
      </c>
      <c r="V46" s="138">
        <f ca="1"/>
        <v>7.1126806586260805E-2</v>
      </c>
      <c r="W46" s="137">
        <f ca="1"/>
        <v>0</v>
      </c>
      <c r="X46" s="155">
        <f ca="1"/>
        <v>4.6422525135358939E-4</v>
      </c>
      <c r="Y46" s="155">
        <f ca="1"/>
        <v>1.7693062363334233E-3</v>
      </c>
      <c r="Z46" s="155">
        <f ca="1"/>
        <v>5.2015366664852625E-3</v>
      </c>
      <c r="AA46" s="155">
        <f ca="1"/>
        <v>9.8356231605132294E-3</v>
      </c>
      <c r="AB46" s="155">
        <f ca="1"/>
        <v>0</v>
      </c>
      <c r="AC46" s="155">
        <f ca="1"/>
        <v>2.4212841486663028E-2</v>
      </c>
      <c r="AD46" s="155">
        <f ca="1"/>
        <v>4.247597933091718E-2</v>
      </c>
      <c r="AE46" s="138">
        <f ca="1"/>
        <v>7.2701792232436557E-2</v>
      </c>
      <c r="AG46" s="456"/>
      <c r="AH46" s="458"/>
      <c r="AI46" s="457"/>
      <c r="AJ46" s="459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1.7165601824981058E-3</v>
      </c>
      <c r="P47" s="155">
        <f ca="1"/>
        <v>3.6618028207250353E-3</v>
      </c>
      <c r="Q47" s="155">
        <f ca="1"/>
        <v>9.7135675511592634E-3</v>
      </c>
      <c r="R47" s="155">
        <f ca="1"/>
        <v>1.6763729364406843E-2</v>
      </c>
      <c r="S47" s="155">
        <f ca="1"/>
        <v>0</v>
      </c>
      <c r="T47" s="155">
        <f ca="1"/>
        <v>3.4963633671573735E-2</v>
      </c>
      <c r="U47" s="155">
        <f ca="1"/>
        <v>5.4607868054687092E-2</v>
      </c>
      <c r="V47" s="138">
        <f ca="1"/>
        <v>8.3908488527769443E-2</v>
      </c>
      <c r="W47" s="137">
        <f ca="1"/>
        <v>0</v>
      </c>
      <c r="X47" s="155">
        <f ca="1"/>
        <v>1.8092567504361945E-3</v>
      </c>
      <c r="Y47" s="155">
        <f ca="1"/>
        <v>3.8278453496685128E-3</v>
      </c>
      <c r="Z47" s="155">
        <f ca="1"/>
        <v>1.0043608018848182E-2</v>
      </c>
      <c r="AA47" s="155">
        <f ca="1"/>
        <v>1.7255224615664977E-2</v>
      </c>
      <c r="AB47" s="155">
        <f ca="1"/>
        <v>0</v>
      </c>
      <c r="AC47" s="155">
        <f ca="1"/>
        <v>3.5767495654518089E-2</v>
      </c>
      <c r="AD47" s="155">
        <f ca="1"/>
        <v>5.5733415872417646E-2</v>
      </c>
      <c r="AE47" s="138">
        <f ca="1"/>
        <v>8.5434036070814012E-2</v>
      </c>
      <c r="AG47" s="456"/>
      <c r="AH47" s="458"/>
      <c r="AI47" s="457"/>
      <c r="AJ47" s="459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4.6422559508285666E-4</v>
      </c>
      <c r="P48" s="155">
        <f ca="1"/>
        <v>1.2425693066163701E-3</v>
      </c>
      <c r="Q48" s="155">
        <f ca="1"/>
        <v>3.8240060591129277E-3</v>
      </c>
      <c r="R48" s="155">
        <f ca="1"/>
        <v>7.7983750100618643E-3</v>
      </c>
      <c r="S48" s="155">
        <f ca="1"/>
        <v>0</v>
      </c>
      <c r="T48" s="155">
        <f ca="1"/>
        <v>2.0884789256333303E-2</v>
      </c>
      <c r="U48" s="155">
        <f ca="1"/>
        <v>3.7882665878542388E-2</v>
      </c>
      <c r="V48" s="138">
        <f ca="1"/>
        <v>7.0203623461851494E-2</v>
      </c>
      <c r="W48" s="137">
        <f ca="1"/>
        <v>0</v>
      </c>
      <c r="X48" s="155">
        <f ca="1"/>
        <v>5.5704436557602044E-4</v>
      </c>
      <c r="Y48" s="155">
        <f ca="1"/>
        <v>1.4090150075465324E-3</v>
      </c>
      <c r="Z48" s="155">
        <f ca="1"/>
        <v>4.1560093867978321E-3</v>
      </c>
      <c r="AA48" s="155">
        <f ca="1"/>
        <v>8.294351818036394E-3</v>
      </c>
      <c r="AB48" s="155">
        <f ca="1"/>
        <v>0</v>
      </c>
      <c r="AC48" s="155">
        <f ca="1"/>
        <v>2.1700378722477209E-2</v>
      </c>
      <c r="AD48" s="155">
        <f ca="1"/>
        <v>3.9030102960794566E-2</v>
      </c>
      <c r="AE48" s="138">
        <f ca="1"/>
        <v>7.1780472410811202E-2</v>
      </c>
      <c r="AG48" s="456"/>
      <c r="AH48" s="458"/>
      <c r="AI48" s="457"/>
      <c r="AJ48" s="459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1.0210122534125565E-3</v>
      </c>
      <c r="P49" s="155">
        <f ca="1"/>
        <v>2.8392451850541844E-3</v>
      </c>
      <c r="Q49" s="155">
        <f ca="1"/>
        <v>6.9188634908970981E-3</v>
      </c>
      <c r="R49" s="155">
        <f ca="1"/>
        <v>1.4506575893975748E-2</v>
      </c>
      <c r="S49" s="155">
        <f ca="1"/>
        <v>0</v>
      </c>
      <c r="T49" s="155">
        <f ca="1"/>
        <v>3.3562062058157482E-2</v>
      </c>
      <c r="U49" s="155">
        <f ca="1"/>
        <v>5.5180657218111384E-2</v>
      </c>
      <c r="V49" s="138">
        <f ca="1"/>
        <v>9.5862979823795991E-2</v>
      </c>
      <c r="W49" s="137">
        <f ca="1"/>
        <v>0</v>
      </c>
      <c r="X49" s="155">
        <f ca="1"/>
        <v>1.1137775643985659E-3</v>
      </c>
      <c r="Y49" s="155">
        <f ca="1"/>
        <v>3.0054247954978131E-3</v>
      </c>
      <c r="Z49" s="155">
        <f ca="1"/>
        <v>7.2498353713464914E-3</v>
      </c>
      <c r="AA49" s="155">
        <f ca="1"/>
        <v>1.4999199439864164E-2</v>
      </c>
      <c r="AB49" s="155">
        <f ca="1"/>
        <v>0</v>
      </c>
      <c r="AC49" s="155">
        <f ca="1"/>
        <v>3.4367091530929761E-2</v>
      </c>
      <c r="AD49" s="155">
        <f ca="1"/>
        <v>5.6306950374634512E-2</v>
      </c>
      <c r="AE49" s="138">
        <f ca="1"/>
        <v>9.7413548017617035E-2</v>
      </c>
      <c r="AG49" s="456"/>
      <c r="AH49" s="458"/>
      <c r="AI49" s="457"/>
      <c r="AJ49" s="459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6.4985556770325026E-4</v>
      </c>
      <c r="P50" s="155">
        <f ca="1"/>
        <v>1.5960381102448906E-3</v>
      </c>
      <c r="Q50" s="155">
        <f ca="1"/>
        <v>4.5109952047818203E-3</v>
      </c>
      <c r="R50" s="155">
        <f ca="1"/>
        <v>9.34980565490795E-3</v>
      </c>
      <c r="S50" s="155">
        <f ca="1"/>
        <v>0</v>
      </c>
      <c r="T50" s="155">
        <f ca="1"/>
        <v>2.5201751769713066E-2</v>
      </c>
      <c r="U50" s="155">
        <f ca="1"/>
        <v>4.3757215297448249E-2</v>
      </c>
      <c r="V50" s="138">
        <f ca="1"/>
        <v>7.6354363986293805E-2</v>
      </c>
      <c r="W50" s="137">
        <f ca="1"/>
        <v>0</v>
      </c>
      <c r="X50" s="155">
        <f ca="1"/>
        <v>7.4265666409367714E-4</v>
      </c>
      <c r="Y50" s="155">
        <f ca="1"/>
        <v>1.7624249046001017E-3</v>
      </c>
      <c r="Z50" s="155">
        <f ca="1"/>
        <v>4.8427695742649934E-3</v>
      </c>
      <c r="AA50" s="155">
        <f ca="1"/>
        <v>9.8450069414479646E-3</v>
      </c>
      <c r="AB50" s="155">
        <f ca="1"/>
        <v>0</v>
      </c>
      <c r="AC50" s="155">
        <f ca="1"/>
        <v>2.6013745265620836E-2</v>
      </c>
      <c r="AD50" s="155">
        <f ca="1"/>
        <v>4.4897842733041871E-2</v>
      </c>
      <c r="AE50" s="138">
        <f ca="1"/>
        <v>7.7919735155456804E-2</v>
      </c>
      <c r="AG50" s="456"/>
      <c r="AH50" s="458"/>
      <c r="AI50" s="457"/>
      <c r="AJ50" s="459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1.1137799194392839E-3</v>
      </c>
      <c r="P51" s="155">
        <f ca="1"/>
        <v>4.2672217089695375E-3</v>
      </c>
      <c r="Q51" s="155">
        <f ca="1"/>
        <v>1.3176523018124664E-2</v>
      </c>
      <c r="R51" s="155">
        <f ca="1"/>
        <v>2.7918813601753523E-2</v>
      </c>
      <c r="S51" s="155">
        <f ca="1"/>
        <v>0</v>
      </c>
      <c r="T51" s="155">
        <f ca="1"/>
        <v>6.8252026555960521E-2</v>
      </c>
      <c r="U51" s="155">
        <f ca="1"/>
        <v>0.11302869425941164</v>
      </c>
      <c r="V51" s="138">
        <f ca="1"/>
        <v>0.18393625000950597</v>
      </c>
      <c r="W51" s="137">
        <f ca="1"/>
        <v>0</v>
      </c>
      <c r="X51" s="155">
        <f ca="1"/>
        <v>1.2065361907452887E-3</v>
      </c>
      <c r="Y51" s="155">
        <f ca="1"/>
        <v>4.4331633431620165E-3</v>
      </c>
      <c r="Z51" s="155">
        <f ca="1"/>
        <v>1.350540935968414E-2</v>
      </c>
      <c r="AA51" s="155">
        <f ca="1"/>
        <v>2.8404732705054836E-2</v>
      </c>
      <c r="AB51" s="155">
        <f ca="1"/>
        <v>0</v>
      </c>
      <c r="AC51" s="155">
        <f ca="1"/>
        <v>6.9028159766717279E-2</v>
      </c>
      <c r="AD51" s="155">
        <f ca="1"/>
        <v>0.11410154452411814</v>
      </c>
      <c r="AE51" s="138">
        <f ca="1"/>
        <v>0.18535449956415861</v>
      </c>
      <c r="AG51" s="456"/>
      <c r="AH51" s="458"/>
      <c r="AI51" s="457"/>
      <c r="AJ51" s="459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5.5704488486529868E-4</v>
      </c>
      <c r="P52" s="155">
        <f ca="1"/>
        <v>1.2402915881148946E-3</v>
      </c>
      <c r="Q52" s="155">
        <f ca="1"/>
        <v>4.1737617200827692E-3</v>
      </c>
      <c r="R52" s="155">
        <f ca="1"/>
        <v>9.3812694259765017E-3</v>
      </c>
      <c r="S52" s="155">
        <f ca="1"/>
        <v>0</v>
      </c>
      <c r="T52" s="155">
        <f ca="1"/>
        <v>2.4337858393239098E-2</v>
      </c>
      <c r="U52" s="155">
        <f ca="1"/>
        <v>4.2583229580871573E-2</v>
      </c>
      <c r="V52" s="138">
        <f ca="1"/>
        <v>7.6663814564431942E-2</v>
      </c>
      <c r="W52" s="137">
        <f ca="1"/>
        <v>0</v>
      </c>
      <c r="X52" s="155">
        <f ca="1"/>
        <v>6.4985483622026496E-4</v>
      </c>
      <c r="Y52" s="155">
        <f ca="1"/>
        <v>1.4067376686272004E-3</v>
      </c>
      <c r="Z52" s="155">
        <f ca="1"/>
        <v>4.5056484819939735E-3</v>
      </c>
      <c r="AA52" s="155">
        <f ca="1"/>
        <v>9.8764549845390404E-3</v>
      </c>
      <c r="AB52" s="155">
        <f ca="1"/>
        <v>0</v>
      </c>
      <c r="AC52" s="155">
        <f ca="1"/>
        <v>2.515057150042499E-2</v>
      </c>
      <c r="AD52" s="155">
        <f ca="1"/>
        <v>4.372522453288219E-2</v>
      </c>
      <c r="AE52" s="138">
        <f ca="1"/>
        <v>7.8228392896320664E-2</v>
      </c>
      <c r="AG52" s="456"/>
      <c r="AH52" s="458"/>
      <c r="AI52" s="457"/>
      <c r="AJ52" s="459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6.4985556770325026E-4</v>
      </c>
      <c r="P53" s="155">
        <f ca="1"/>
        <v>1.4170335872464301E-3</v>
      </c>
      <c r="Q53" s="155">
        <f ca="1"/>
        <v>3.8132117940630206E-3</v>
      </c>
      <c r="R53" s="155">
        <f ca="1"/>
        <v>8.8552776495629537E-3</v>
      </c>
      <c r="S53" s="155">
        <f ca="1"/>
        <v>0</v>
      </c>
      <c r="T53" s="155">
        <f ca="1"/>
        <v>2.4385115011546055E-2</v>
      </c>
      <c r="U53" s="155">
        <f ca="1"/>
        <v>4.3931805249156186E-2</v>
      </c>
      <c r="V53" s="138">
        <f ca="1"/>
        <v>7.8450387012795719E-2</v>
      </c>
      <c r="W53" s="137">
        <f ca="1"/>
        <v>0</v>
      </c>
      <c r="X53" s="155">
        <f ca="1"/>
        <v>7.4265666409367714E-4</v>
      </c>
      <c r="Y53" s="155">
        <f ca="1"/>
        <v>1.5834502132131556E-3</v>
      </c>
      <c r="Z53" s="155">
        <f ca="1"/>
        <v>4.1452187192470014E-3</v>
      </c>
      <c r="AA53" s="155">
        <f ca="1"/>
        <v>9.350726138290244E-3</v>
      </c>
      <c r="AB53" s="155">
        <f ca="1"/>
        <v>0</v>
      </c>
      <c r="AC53" s="155">
        <f ca="1"/>
        <v>2.5197788754607431E-2</v>
      </c>
      <c r="AD53" s="155">
        <f ca="1"/>
        <v>4.5072556066214409E-2</v>
      </c>
      <c r="AE53" s="138">
        <f ca="1"/>
        <v>8.0012273826799207E-2</v>
      </c>
      <c r="AG53" s="456"/>
      <c r="AH53" s="458"/>
      <c r="AI53" s="457"/>
      <c r="AJ53" s="459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3.7139769715544002E-4</v>
      </c>
      <c r="P54" s="155">
        <f ca="1"/>
        <v>1.0657879713348306E-3</v>
      </c>
      <c r="Q54" s="155">
        <f ca="1"/>
        <v>3.4803340204766497E-3</v>
      </c>
      <c r="R54" s="155">
        <f ca="1"/>
        <v>7.2890887796697168E-3</v>
      </c>
      <c r="S54" s="155">
        <f ca="1"/>
        <v>0</v>
      </c>
      <c r="T54" s="155">
        <f ca="1"/>
        <v>1.8252662400179198E-2</v>
      </c>
      <c r="U54" s="155">
        <f ca="1"/>
        <v>2.9077379528736014E-2</v>
      </c>
      <c r="V54" s="138">
        <f ca="1"/>
        <v>5.0489435494228352E-2</v>
      </c>
      <c r="W54" s="137">
        <f ca="1"/>
        <v>0</v>
      </c>
      <c r="X54" s="155">
        <f ca="1"/>
        <v>4.6422525135358939E-4</v>
      </c>
      <c r="Y54" s="155">
        <f ca="1"/>
        <v>1.2322631333656631E-3</v>
      </c>
      <c r="Z54" s="155">
        <f ca="1"/>
        <v>3.8124518863995593E-3</v>
      </c>
      <c r="AA54" s="155">
        <f ca="1"/>
        <v>7.7853201671091998E-3</v>
      </c>
      <c r="AB54" s="155">
        <f ca="1"/>
        <v>0</v>
      </c>
      <c r="AC54" s="155">
        <f ca="1"/>
        <v>1.907044439170813E-2</v>
      </c>
      <c r="AD54" s="155">
        <f ca="1"/>
        <v>3.0233754646732391E-2</v>
      </c>
      <c r="AE54" s="138">
        <f ca="1"/>
        <v>5.2099873465192847E-2</v>
      </c>
      <c r="AG54" s="456"/>
      <c r="AH54" s="458"/>
      <c r="AI54" s="457"/>
      <c r="AJ54" s="459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5.5704488486529868E-4</v>
      </c>
      <c r="P55" s="155">
        <f ca="1"/>
        <v>1.9563125255107616E-3</v>
      </c>
      <c r="Q55" s="155">
        <f ca="1"/>
        <v>6.2595687695987667E-3</v>
      </c>
      <c r="R55" s="155">
        <f ca="1"/>
        <v>1.2987928054884468E-2</v>
      </c>
      <c r="S55" s="155">
        <f ca="1"/>
        <v>0</v>
      </c>
      <c r="T55" s="155">
        <f ca="1"/>
        <v>2.9301614946806054E-2</v>
      </c>
      <c r="U55" s="155">
        <f ca="1"/>
        <v>5.0691047770278663E-2</v>
      </c>
      <c r="V55" s="138">
        <f ca="1"/>
        <v>8.5889268471480484E-2</v>
      </c>
      <c r="W55" s="137">
        <f ca="1"/>
        <v>0</v>
      </c>
      <c r="X55" s="155">
        <f ca="1"/>
        <v>6.4985483622026496E-4</v>
      </c>
      <c r="Y55" s="155">
        <f ca="1"/>
        <v>2.1226392791496851E-3</v>
      </c>
      <c r="Z55" s="155">
        <f ca="1"/>
        <v>6.5907603783296187E-3</v>
      </c>
      <c r="AA55" s="155">
        <f ca="1"/>
        <v>1.3481310734915652E-2</v>
      </c>
      <c r="AB55" s="155">
        <f ca="1"/>
        <v>0</v>
      </c>
      <c r="AC55" s="155">
        <f ca="1"/>
        <v>3.0110193313218736E-2</v>
      </c>
      <c r="AD55" s="155">
        <f ca="1"/>
        <v>5.1822856317756738E-2</v>
      </c>
      <c r="AE55" s="138">
        <f ca="1"/>
        <v>8.7436131447537813E-2</v>
      </c>
      <c r="AG55" s="456"/>
      <c r="AH55" s="458"/>
      <c r="AI55" s="457"/>
      <c r="AJ55" s="459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5.5704488486529868E-4</v>
      </c>
      <c r="P56" s="155">
        <f ca="1"/>
        <v>2.4931705690940387E-3</v>
      </c>
      <c r="Q56" s="155">
        <f ca="1"/>
        <v>7.2948820361435907E-3</v>
      </c>
      <c r="R56" s="155">
        <f ca="1"/>
        <v>1.3982587564942306E-2</v>
      </c>
      <c r="S56" s="155">
        <f ca="1"/>
        <v>0</v>
      </c>
      <c r="T56" s="155">
        <f ca="1"/>
        <v>3.0935478200959099E-2</v>
      </c>
      <c r="U56" s="155">
        <f ca="1"/>
        <v>5.2933985521065319E-2</v>
      </c>
      <c r="V56" s="138">
        <f ca="1"/>
        <v>8.8988590051808814E-2</v>
      </c>
      <c r="W56" s="137">
        <f ca="1"/>
        <v>0</v>
      </c>
      <c r="X56" s="155">
        <f ca="1"/>
        <v>6.4985483622026496E-4</v>
      </c>
      <c r="Y56" s="155">
        <f ca="1"/>
        <v>2.6594078538481059E-3</v>
      </c>
      <c r="Z56" s="155">
        <f ca="1"/>
        <v>7.62572859799171E-3</v>
      </c>
      <c r="AA56" s="155">
        <f ca="1"/>
        <v>1.4475473039539333E-2</v>
      </c>
      <c r="AB56" s="155">
        <f ca="1"/>
        <v>0</v>
      </c>
      <c r="AC56" s="155">
        <f ca="1"/>
        <v>3.1742695581830849E-2</v>
      </c>
      <c r="AD56" s="155">
        <f ca="1"/>
        <v>5.4062801464828891E-2</v>
      </c>
      <c r="AE56" s="138">
        <f ca="1"/>
        <v>9.0505677810695517E-2</v>
      </c>
      <c r="AG56" s="456"/>
      <c r="AH56" s="458"/>
      <c r="AI56" s="457"/>
      <c r="AJ56" s="459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4.6422559508285666E-4</v>
      </c>
      <c r="P57" s="155">
        <f ca="1"/>
        <v>1.4216052903200938E-3</v>
      </c>
      <c r="Q57" s="155">
        <f ca="1"/>
        <v>4.8737971589343232E-3</v>
      </c>
      <c r="R57" s="155">
        <f ca="1"/>
        <v>1.1477968987022247E-2</v>
      </c>
      <c r="S57" s="155">
        <f ca="1"/>
        <v>0</v>
      </c>
      <c r="T57" s="155">
        <f ca="1"/>
        <v>3.0406716420945723E-2</v>
      </c>
      <c r="U57" s="155">
        <f ca="1"/>
        <v>5.2104424309518005E-2</v>
      </c>
      <c r="V57" s="138">
        <f ca="1"/>
        <v>9.1546733270194025E-2</v>
      </c>
      <c r="W57" s="137">
        <f ca="1"/>
        <v>0</v>
      </c>
      <c r="X57" s="155">
        <f ca="1"/>
        <v>5.5704436557602044E-4</v>
      </c>
      <c r="Y57" s="155">
        <f ca="1"/>
        <v>1.5880211543956024E-3</v>
      </c>
      <c r="Z57" s="155">
        <f ca="1"/>
        <v>5.2054506145854385E-3</v>
      </c>
      <c r="AA57" s="155">
        <f ca="1"/>
        <v>1.1972106457877163E-2</v>
      </c>
      <c r="AB57" s="155">
        <f ca="1"/>
        <v>0</v>
      </c>
      <c r="AC57" s="155">
        <f ca="1"/>
        <v>3.1214374253071275E-2</v>
      </c>
      <c r="AD57" s="155">
        <f ca="1"/>
        <v>5.3235545443126475E-2</v>
      </c>
      <c r="AE57" s="138">
        <f ca="1"/>
        <v>9.3059561008094871E-2</v>
      </c>
      <c r="AG57" s="456"/>
      <c r="AH57" s="458"/>
      <c r="AI57" s="457"/>
      <c r="AJ57" s="459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1.1137799194392839E-3</v>
      </c>
      <c r="P58" s="155">
        <f ca="1"/>
        <v>3.0157379609644375E-3</v>
      </c>
      <c r="Q58" s="155">
        <f ca="1"/>
        <v>9.718591528252718E-3</v>
      </c>
      <c r="R58" s="155">
        <f ca="1"/>
        <v>1.8080582519130917E-2</v>
      </c>
      <c r="S58" s="155">
        <f ca="1"/>
        <v>0</v>
      </c>
      <c r="T58" s="155">
        <f ca="1"/>
        <v>3.8463499366897747E-2</v>
      </c>
      <c r="U58" s="155">
        <f ca="1"/>
        <v>6.1888539331350745E-2</v>
      </c>
      <c r="V58" s="138">
        <f ca="1"/>
        <v>0.10506691875895191</v>
      </c>
      <c r="W58" s="137">
        <f ca="1"/>
        <v>0</v>
      </c>
      <c r="X58" s="155">
        <f ca="1"/>
        <v>1.2065361907452887E-3</v>
      </c>
      <c r="Y58" s="155">
        <f ca="1"/>
        <v>3.1818881583938197E-3</v>
      </c>
      <c r="Z58" s="155">
        <f ca="1"/>
        <v>1.0048630321559116E-2</v>
      </c>
      <c r="AA58" s="155">
        <f ca="1"/>
        <v>1.8571419508393028E-2</v>
      </c>
      <c r="AB58" s="155">
        <f ca="1"/>
        <v>0</v>
      </c>
      <c r="AC58" s="155">
        <f ca="1"/>
        <v>3.9264446009959264E-2</v>
      </c>
      <c r="AD58" s="155">
        <f ca="1"/>
        <v>6.3005967086252834E-2</v>
      </c>
      <c r="AE58" s="138">
        <f ca="1"/>
        <v>0.10660194404860202</v>
      </c>
      <c r="AG58" s="456"/>
      <c r="AH58" s="458"/>
      <c r="AI58" s="457"/>
      <c r="AJ58" s="459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7.4265764477476903E-4</v>
      </c>
      <c r="P59" s="155">
        <f ca="1"/>
        <v>2.3095793686794819E-3</v>
      </c>
      <c r="Q59" s="155">
        <f ca="1"/>
        <v>7.9991064636090181E-3</v>
      </c>
      <c r="R59" s="155">
        <f ca="1"/>
        <v>1.5014347210400736E-2</v>
      </c>
      <c r="S59" s="155">
        <f ca="1"/>
        <v>0</v>
      </c>
      <c r="T59" s="155">
        <f ca="1"/>
        <v>3.2605468481048061E-2</v>
      </c>
      <c r="U59" s="155">
        <f ca="1"/>
        <v>5.3919803264998567E-2</v>
      </c>
      <c r="V59" s="138">
        <f ca="1"/>
        <v>9.4180434947571445E-2</v>
      </c>
      <c r="W59" s="137">
        <f ca="1"/>
        <v>0</v>
      </c>
      <c r="X59" s="155">
        <f ca="1"/>
        <v>8.354498500481311E-4</v>
      </c>
      <c r="Y59" s="155">
        <f ca="1"/>
        <v>2.4758472494171846E-3</v>
      </c>
      <c r="Z59" s="155">
        <f ca="1"/>
        <v>8.329718323101587E-3</v>
      </c>
      <c r="AA59" s="155">
        <f ca="1"/>
        <v>1.5506716934105991E-2</v>
      </c>
      <c r="AB59" s="155">
        <f ca="1"/>
        <v>0</v>
      </c>
      <c r="AC59" s="155">
        <f ca="1"/>
        <v>3.3411294783073364E-2</v>
      </c>
      <c r="AD59" s="155">
        <f ca="1"/>
        <v>5.5047198655144403E-2</v>
      </c>
      <c r="AE59" s="138">
        <f ca="1"/>
        <v>9.5733319513964354E-2</v>
      </c>
      <c r="AG59" s="456"/>
      <c r="AH59" s="458"/>
      <c r="AI59" s="457"/>
      <c r="AJ59" s="459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5.5704488486529868E-4</v>
      </c>
      <c r="P60" s="155">
        <f ca="1"/>
        <v>1.5983320934883638E-3</v>
      </c>
      <c r="Q60" s="155">
        <f ca="1"/>
        <v>4.5133181350786034E-3</v>
      </c>
      <c r="R60" s="155">
        <f ca="1"/>
        <v>8.8185151810228346E-3</v>
      </c>
      <c r="S60" s="155">
        <f ca="1"/>
        <v>0</v>
      </c>
      <c r="T60" s="155">
        <f ca="1"/>
        <v>1.8962666227772651E-2</v>
      </c>
      <c r="U60" s="155">
        <f ca="1"/>
        <v>3.141220665864175E-2</v>
      </c>
      <c r="V60" s="138">
        <f ca="1"/>
        <v>5.5680965616617395E-2</v>
      </c>
      <c r="W60" s="137">
        <f ca="1"/>
        <v>0</v>
      </c>
      <c r="X60" s="155">
        <f ca="1"/>
        <v>6.4985483622026496E-4</v>
      </c>
      <c r="Y60" s="155">
        <f ca="1"/>
        <v>1.7647185055548187E-3</v>
      </c>
      <c r="Z60" s="155">
        <f ca="1"/>
        <v>4.84509173036618E-3</v>
      </c>
      <c r="AA60" s="155">
        <f ca="1"/>
        <v>9.3139820463945533E-3</v>
      </c>
      <c r="AB60" s="155">
        <f ca="1"/>
        <v>0</v>
      </c>
      <c r="AC60" s="155">
        <f ca="1"/>
        <v>1.9779856795882012E-2</v>
      </c>
      <c r="AD60" s="155">
        <f ca="1"/>
        <v>3.2565585695524923E-2</v>
      </c>
      <c r="AE60" s="138">
        <f ca="1"/>
        <v>5.7282196599327762E-2</v>
      </c>
      <c r="AG60" s="456"/>
      <c r="AH60" s="458"/>
      <c r="AI60" s="457"/>
      <c r="AJ60" s="459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7.4265764477476903E-4</v>
      </c>
      <c r="P61" s="155">
        <f ca="1"/>
        <v>1.9516918622675128E-3</v>
      </c>
      <c r="Q61" s="155">
        <f ca="1"/>
        <v>5.5515727667541093E-3</v>
      </c>
      <c r="R61" s="155">
        <f ca="1"/>
        <v>9.2854382739706587E-3</v>
      </c>
      <c r="S61" s="155">
        <f ca="1"/>
        <v>0</v>
      </c>
      <c r="T61" s="155">
        <f ca="1"/>
        <v>2.065228711963063E-2</v>
      </c>
      <c r="U61" s="155">
        <f ca="1"/>
        <v>3.3734600165218342E-2</v>
      </c>
      <c r="V61" s="138">
        <f ca="1"/>
        <v>6.0846111041482964E-2</v>
      </c>
      <c r="W61" s="137">
        <f ca="1"/>
        <v>0</v>
      </c>
      <c r="X61" s="155">
        <f ca="1"/>
        <v>8.354498500481311E-4</v>
      </c>
      <c r="Y61" s="155">
        <f ca="1"/>
        <v>2.1180193859522412E-3</v>
      </c>
      <c r="Z61" s="155">
        <f ca="1"/>
        <v>5.8830003348254722E-3</v>
      </c>
      <c r="AA61" s="155">
        <f ca="1"/>
        <v>9.7806717361427209E-3</v>
      </c>
      <c r="AB61" s="155">
        <f ca="1"/>
        <v>0</v>
      </c>
      <c r="AC61" s="155">
        <f ca="1"/>
        <v>2.1468070256809524E-2</v>
      </c>
      <c r="AD61" s="155">
        <f ca="1"/>
        <v>3.4885182962010153E-2</v>
      </c>
      <c r="AE61" s="138">
        <f ca="1"/>
        <v>6.2437901804243023E-2</v>
      </c>
      <c r="AG61" s="456"/>
      <c r="AH61" s="458"/>
      <c r="AI61" s="457"/>
      <c r="AJ61" s="459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4.6422559508285666E-4</v>
      </c>
      <c r="P62" s="155">
        <f ca="1"/>
        <v>1.0635183000881065E-3</v>
      </c>
      <c r="Q62" s="155">
        <f ca="1"/>
        <v>4.1822800913825509E-3</v>
      </c>
      <c r="R62" s="155">
        <f ca="1"/>
        <v>8.856166905940599E-3</v>
      </c>
      <c r="S62" s="155">
        <f ca="1"/>
        <v>0</v>
      </c>
      <c r="T62" s="155">
        <f ca="1"/>
        <v>2.3489224310802692E-2</v>
      </c>
      <c r="U62" s="155">
        <f ca="1"/>
        <v>4.0121946388657959E-2</v>
      </c>
      <c r="V62" s="138">
        <f ca="1"/>
        <v>6.9473070241104717E-2</v>
      </c>
      <c r="W62" s="137">
        <f ca="1"/>
        <v>0</v>
      </c>
      <c r="X62" s="155">
        <f ca="1"/>
        <v>5.5704436557602044E-4</v>
      </c>
      <c r="Y62" s="155">
        <f ca="1"/>
        <v>1.2299938403631527E-3</v>
      </c>
      <c r="Z62" s="155">
        <f ca="1"/>
        <v>4.5141640142958295E-3</v>
      </c>
      <c r="AA62" s="155">
        <f ca="1"/>
        <v>9.3516149501348123E-3</v>
      </c>
      <c r="AB62" s="155">
        <f ca="1"/>
        <v>0</v>
      </c>
      <c r="AC62" s="155">
        <f ca="1"/>
        <v>2.4302644318437761E-2</v>
      </c>
      <c r="AD62" s="155">
        <f ca="1"/>
        <v>4.1266679317303434E-2</v>
      </c>
      <c r="AE62" s="138">
        <f ca="1"/>
        <v>7.1050998535050591E-2</v>
      </c>
      <c r="AG62" s="456"/>
      <c r="AH62" s="458"/>
      <c r="AI62" s="457"/>
      <c r="AJ62" s="459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9.282359864184464E-4</v>
      </c>
      <c r="P63" s="155">
        <f ca="1"/>
        <v>2.1260067360213686E-3</v>
      </c>
      <c r="Q63" s="155">
        <f ca="1"/>
        <v>5.1889074912903066E-3</v>
      </c>
      <c r="R63" s="155">
        <f ca="1"/>
        <v>1.1423709190243492E-2</v>
      </c>
      <c r="S63" s="155">
        <f ca="1"/>
        <v>0</v>
      </c>
      <c r="T63" s="155">
        <f ca="1"/>
        <v>2.5878820135334268E-2</v>
      </c>
      <c r="U63" s="155">
        <f ca="1"/>
        <v>4.3443055422407229E-2</v>
      </c>
      <c r="V63" s="138">
        <f ca="1"/>
        <v>7.9875264194818718E-2</v>
      </c>
      <c r="W63" s="137">
        <f ca="1"/>
        <v>0</v>
      </c>
      <c r="X63" s="155">
        <f ca="1"/>
        <v>1.0210102993825076E-3</v>
      </c>
      <c r="Y63" s="155">
        <f ca="1"/>
        <v>2.2923052096391894E-3</v>
      </c>
      <c r="Z63" s="155">
        <f ca="1"/>
        <v>5.5204559276402776E-3</v>
      </c>
      <c r="AA63" s="155">
        <f ca="1"/>
        <v>1.1917873784224375E-2</v>
      </c>
      <c r="AB63" s="155">
        <f ca="1"/>
        <v>0</v>
      </c>
      <c r="AC63" s="155">
        <f ca="1"/>
        <v>2.6690249642662089E-2</v>
      </c>
      <c r="AD63" s="155">
        <f ca="1"/>
        <v>4.4583154039369188E-2</v>
      </c>
      <c r="AE63" s="138">
        <f ca="1"/>
        <v>8.1432078416916798E-2</v>
      </c>
      <c r="AG63" s="456"/>
      <c r="AH63" s="458"/>
      <c r="AI63" s="457"/>
      <c r="AJ63" s="459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2.7856118988234257E-4</v>
      </c>
      <c r="P64" s="155">
        <f ca="1"/>
        <v>8.8897533929943595E-4</v>
      </c>
      <c r="Q64" s="155">
        <f ca="1"/>
        <v>3.4887932217072537E-3</v>
      </c>
      <c r="R64" s="155">
        <f ca="1"/>
        <v>7.8318588667354305E-3</v>
      </c>
      <c r="S64" s="155">
        <f ca="1"/>
        <v>0</v>
      </c>
      <c r="T64" s="155">
        <f ca="1"/>
        <v>2.0020742162318528E-2</v>
      </c>
      <c r="U64" s="155">
        <f ca="1"/>
        <v>3.5399872321176806E-2</v>
      </c>
      <c r="V64" s="138">
        <f ca="1"/>
        <v>5.9095183294807563E-2</v>
      </c>
      <c r="W64" s="137">
        <f ca="1"/>
        <v>0</v>
      </c>
      <c r="X64" s="155">
        <f ca="1"/>
        <v>3.7139749276848821E-4</v>
      </c>
      <c r="Y64" s="155">
        <f ca="1"/>
        <v>1.0554799676462112E-3</v>
      </c>
      <c r="Z64" s="155">
        <f ca="1"/>
        <v>3.8209082684037554E-3</v>
      </c>
      <c r="AA64" s="155">
        <f ca="1"/>
        <v>8.3278189369587752E-3</v>
      </c>
      <c r="AB64" s="155">
        <f ca="1"/>
        <v>0</v>
      </c>
      <c r="AC64" s="155">
        <f ca="1"/>
        <v>2.0837051367791459E-2</v>
      </c>
      <c r="AD64" s="155">
        <f ca="1"/>
        <v>3.6549983401938269E-2</v>
      </c>
      <c r="AE64" s="138">
        <f ca="1"/>
        <v>6.0691875518401828E-2</v>
      </c>
      <c r="AG64" s="456"/>
      <c r="AH64" s="458"/>
      <c r="AI64" s="457"/>
      <c r="AJ64" s="459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2.7856118988234257E-4</v>
      </c>
      <c r="P65" s="155">
        <f ca="1"/>
        <v>8.8897533929943595E-4</v>
      </c>
      <c r="Q65" s="155">
        <f ca="1"/>
        <v>3.4887932217072537E-3</v>
      </c>
      <c r="R65" s="155">
        <f ca="1"/>
        <v>6.7633581673195442E-3</v>
      </c>
      <c r="S65" s="155">
        <f ca="1"/>
        <v>0</v>
      </c>
      <c r="T65" s="155">
        <f ca="1"/>
        <v>1.7400193979209111E-2</v>
      </c>
      <c r="U65" s="155">
        <f ca="1"/>
        <v>2.9214944085490968E-2</v>
      </c>
      <c r="V65" s="138">
        <f ca="1"/>
        <v>5.0627446011656474E-2</v>
      </c>
      <c r="W65" s="137">
        <f ca="1"/>
        <v>0</v>
      </c>
      <c r="X65" s="155">
        <f ca="1"/>
        <v>3.7139749276848821E-4</v>
      </c>
      <c r="Y65" s="155">
        <f ca="1"/>
        <v>1.0554799676462112E-3</v>
      </c>
      <c r="Z65" s="155">
        <f ca="1"/>
        <v>3.8209082684037554E-3</v>
      </c>
      <c r="AA65" s="155">
        <f ca="1"/>
        <v>7.259852354335794E-3</v>
      </c>
      <c r="AB65" s="155">
        <f ca="1"/>
        <v>0</v>
      </c>
      <c r="AC65" s="155">
        <f ca="1"/>
        <v>1.8218686065164413E-2</v>
      </c>
      <c r="AD65" s="155">
        <f ca="1"/>
        <v>3.0371496800934317E-2</v>
      </c>
      <c r="AE65" s="138">
        <f ca="1"/>
        <v>5.2238193751922402E-2</v>
      </c>
      <c r="AG65" s="456"/>
      <c r="AH65" s="458"/>
      <c r="AI65" s="457"/>
      <c r="AJ65" s="459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1.8571607206241403E-4</v>
      </c>
      <c r="P66" s="155">
        <f ca="1"/>
        <v>8.9123713527383686E-4</v>
      </c>
      <c r="Q66" s="155">
        <f ca="1"/>
        <v>3.843292833639822E-3</v>
      </c>
      <c r="R66" s="155">
        <f ca="1"/>
        <v>7.2837414966849812E-3</v>
      </c>
      <c r="S66" s="155">
        <f ca="1"/>
        <v>0</v>
      </c>
      <c r="T66" s="155">
        <f ca="1"/>
        <v>1.824720853398798E-2</v>
      </c>
      <c r="U66" s="155">
        <f ca="1"/>
        <v>3.0380007480910409E-2</v>
      </c>
      <c r="V66" s="138">
        <f ca="1"/>
        <v>5.2251755422574098E-2</v>
      </c>
      <c r="W66" s="137">
        <f ca="1"/>
        <v>0</v>
      </c>
      <c r="X66" s="155">
        <f ca="1"/>
        <v>2.7856108896862075E-4</v>
      </c>
      <c r="Y66" s="155">
        <f ca="1"/>
        <v>1.0577413866776908E-3</v>
      </c>
      <c r="Z66" s="155">
        <f ca="1"/>
        <v>4.1752897334713657E-3</v>
      </c>
      <c r="AA66" s="155">
        <f ca="1"/>
        <v>7.7799755570926443E-3</v>
      </c>
      <c r="AB66" s="155">
        <f ca="1"/>
        <v>0</v>
      </c>
      <c r="AC66" s="155">
        <f ca="1"/>
        <v>1.9064995068511448E-2</v>
      </c>
      <c r="AD66" s="155">
        <f ca="1"/>
        <v>3.1535170545504809E-2</v>
      </c>
      <c r="AE66" s="138">
        <f ca="1"/>
        <v>5.3859527769543947E-2</v>
      </c>
      <c r="AG66" s="456"/>
      <c r="AH66" s="458"/>
      <c r="AI66" s="457"/>
      <c r="AJ66" s="459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7.9833476074253618E-4</v>
      </c>
      <c r="P67" s="155">
        <f ca="1"/>
        <v>2.3081834490588093E-3</v>
      </c>
      <c r="Q67" s="155">
        <f ca="1"/>
        <v>6.8734142322423031E-3</v>
      </c>
      <c r="R67" s="155">
        <f ca="1"/>
        <v>1.2459120044053584E-2</v>
      </c>
      <c r="S67" s="155">
        <f ca="1"/>
        <v>0</v>
      </c>
      <c r="T67" s="155">
        <f ca="1"/>
        <v>2.6605634542990586E-2</v>
      </c>
      <c r="U67" s="155">
        <f ca="1"/>
        <v>4.2401613910750147E-2</v>
      </c>
      <c r="V67" s="138">
        <f ca="1"/>
        <v>6.8199853687765488E-2</v>
      </c>
      <c r="W67" s="137">
        <f ca="1"/>
        <v>0</v>
      </c>
      <c r="X67" s="155">
        <f ca="1"/>
        <v>8.9112161381466048E-4</v>
      </c>
      <c r="Y67" s="155">
        <f ca="1"/>
        <v>2.4744515624171015E-3</v>
      </c>
      <c r="Z67" s="155">
        <f ca="1"/>
        <v>7.2044012599115081E-3</v>
      </c>
      <c r="AA67" s="155">
        <f ca="1"/>
        <v>1.2952767061998771E-2</v>
      </c>
      <c r="AB67" s="155">
        <f ca="1"/>
        <v>0</v>
      </c>
      <c r="AC67" s="155">
        <f ca="1"/>
        <v>2.741645862391795E-2</v>
      </c>
      <c r="AD67" s="155">
        <f ca="1"/>
        <v>4.3542088000573353E-2</v>
      </c>
      <c r="AE67" s="138">
        <f ca="1"/>
        <v>6.9777828924214247E-2</v>
      </c>
      <c r="AG67" s="456"/>
      <c r="AH67" s="458"/>
      <c r="AI67" s="457"/>
      <c r="AJ67" s="459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9.282359864184464E-4</v>
      </c>
      <c r="P68" s="155">
        <f ca="1"/>
        <v>3.1993005559234344E-3</v>
      </c>
      <c r="Q68" s="155">
        <f ca="1"/>
        <v>8.6641965037701496E-3</v>
      </c>
      <c r="R68" s="155">
        <f ca="1"/>
        <v>1.9193301540333385E-2</v>
      </c>
      <c r="S68" s="155">
        <f ca="1"/>
        <v>0</v>
      </c>
      <c r="T68" s="155">
        <f ca="1"/>
        <v>4.7298049775446382E-2</v>
      </c>
      <c r="U68" s="155">
        <f ca="1"/>
        <v>8.2619130370174654E-2</v>
      </c>
      <c r="V68" s="138">
        <f ca="1"/>
        <v>0.14002845001263176</v>
      </c>
      <c r="W68" s="137">
        <f ca="1"/>
        <v>0</v>
      </c>
      <c r="X68" s="155">
        <f ca="1"/>
        <v>1.0210102993825076E-3</v>
      </c>
      <c r="Y68" s="155">
        <f ca="1"/>
        <v>3.3654201621495794E-3</v>
      </c>
      <c r="Z68" s="155">
        <f ca="1"/>
        <v>8.9945867034897375E-3</v>
      </c>
      <c r="AA68" s="155">
        <f ca="1"/>
        <v>1.9683582309169667E-2</v>
      </c>
      <c r="AB68" s="155">
        <f ca="1"/>
        <v>0</v>
      </c>
      <c r="AC68" s="155">
        <f ca="1"/>
        <v>4.8091637359917394E-2</v>
      </c>
      <c r="AD68" s="155">
        <f ca="1"/>
        <v>8.3711519149616387E-2</v>
      </c>
      <c r="AE68" s="138">
        <f ca="1"/>
        <v>0.14151689164165826</v>
      </c>
      <c r="AG68" s="456"/>
      <c r="AH68" s="458"/>
      <c r="AI68" s="457"/>
      <c r="AJ68" s="459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1.5774892768244397E-3</v>
      </c>
      <c r="P69" s="155">
        <f ca="1"/>
        <v>3.7190060097964661E-3</v>
      </c>
      <c r="Q69" s="155">
        <f ca="1"/>
        <v>1.0030859023309024E-2</v>
      </c>
      <c r="R69" s="155">
        <f ca="1"/>
        <v>2.2797759084546954E-2</v>
      </c>
      <c r="S69" s="155">
        <f ca="1"/>
        <v>0</v>
      </c>
      <c r="T69" s="155">
        <f ca="1"/>
        <v>5.1303463064765853E-2</v>
      </c>
      <c r="U69" s="155">
        <f ca="1"/>
        <v>8.9317256240253329E-2</v>
      </c>
      <c r="V69" s="138">
        <f ca="1"/>
        <v>0.15451889735442959</v>
      </c>
      <c r="W69" s="137">
        <f ca="1"/>
        <v>0</v>
      </c>
      <c r="X69" s="155">
        <f ca="1"/>
        <v>1.6701997708021832E-3</v>
      </c>
      <c r="Y69" s="155">
        <f ca="1"/>
        <v>3.8850390056593964E-3</v>
      </c>
      <c r="Z69" s="155">
        <f ca="1"/>
        <v>1.0360793744786045E-2</v>
      </c>
      <c r="AA69" s="155">
        <f ca="1"/>
        <v>2.3286238075096111E-2</v>
      </c>
      <c r="AB69" s="155">
        <f ca="1"/>
        <v>0</v>
      </c>
      <c r="AC69" s="155">
        <f ca="1"/>
        <v>5.2093714195172613E-2</v>
      </c>
      <c r="AD69" s="155">
        <f ca="1"/>
        <v>9.0379099912027194E-2</v>
      </c>
      <c r="AE69" s="138">
        <f ca="1"/>
        <v>0.1559904983957755</v>
      </c>
      <c r="AG69" s="456"/>
      <c r="AH69" s="458"/>
      <c r="AI69" s="457"/>
      <c r="AJ69" s="459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3.7139769715544002E-4</v>
      </c>
      <c r="P70" s="155">
        <f ca="1"/>
        <v>1.6029205889476206E-3</v>
      </c>
      <c r="Q70" s="155">
        <f ca="1"/>
        <v>5.2217407693783136E-3</v>
      </c>
      <c r="R70" s="155">
        <f ca="1"/>
        <v>1.1457255459284998E-2</v>
      </c>
      <c r="S70" s="155">
        <f ca="1"/>
        <v>0</v>
      </c>
      <c r="T70" s="155">
        <f ca="1"/>
        <v>3.0385249997767039E-2</v>
      </c>
      <c r="U70" s="155">
        <f ca="1"/>
        <v>5.4671083039903312E-2</v>
      </c>
      <c r="V70" s="138">
        <f ca="1"/>
        <v>9.6836710561797101E-2</v>
      </c>
      <c r="W70" s="137">
        <f ca="1"/>
        <v>0</v>
      </c>
      <c r="X70" s="155">
        <f ca="1"/>
        <v>4.6422525135358939E-4</v>
      </c>
      <c r="Y70" s="155">
        <f ca="1"/>
        <v>1.7693062363334233E-3</v>
      </c>
      <c r="Z70" s="155">
        <f ca="1"/>
        <v>5.553278263137118E-3</v>
      </c>
      <c r="AA70" s="155">
        <f ca="1"/>
        <v>1.1951403284313877E-2</v>
      </c>
      <c r="AB70" s="155">
        <f ca="1"/>
        <v>0</v>
      </c>
      <c r="AC70" s="155">
        <f ca="1"/>
        <v>3.1192925711152619E-2</v>
      </c>
      <c r="AD70" s="155">
        <f ca="1"/>
        <v>5.5799171022572147E-2</v>
      </c>
      <c r="AE70" s="138">
        <f ca="1"/>
        <v>9.8389289019897186E-2</v>
      </c>
      <c r="AG70" s="456"/>
      <c r="AH70" s="458"/>
      <c r="AI70" s="457"/>
      <c r="AJ70" s="459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1.0673971614578726E-3</v>
      </c>
      <c r="P71" s="155">
        <f ca="1"/>
        <v>2.5518826931980598E-3</v>
      </c>
      <c r="Q71" s="155">
        <f ca="1"/>
        <v>6.9630112252025977E-3</v>
      </c>
      <c r="R71" s="155">
        <f ca="1"/>
        <v>1.2171842913173081E-2</v>
      </c>
      <c r="S71" s="155">
        <f ca="1"/>
        <v>0</v>
      </c>
      <c r="T71" s="155">
        <f ca="1"/>
        <v>2.5709709509209366E-2</v>
      </c>
      <c r="U71" s="155">
        <f ca="1"/>
        <v>4.1064487343608902E-2</v>
      </c>
      <c r="V71" s="138">
        <f ca="1"/>
        <v>6.6564762050640658E-2</v>
      </c>
      <c r="W71" s="137">
        <f ca="1"/>
        <v>0</v>
      </c>
      <c r="X71" s="155">
        <f ca="1"/>
        <v>1.1601579573663479E-3</v>
      </c>
      <c r="Y71" s="155">
        <f ca="1"/>
        <v>2.7181101934140584E-3</v>
      </c>
      <c r="Z71" s="155">
        <f ca="1"/>
        <v>7.2939683921950937E-3</v>
      </c>
      <c r="AA71" s="155">
        <f ca="1"/>
        <v>1.2665633533790466E-2</v>
      </c>
      <c r="AB71" s="155">
        <f ca="1"/>
        <v>0</v>
      </c>
      <c r="AC71" s="155">
        <f ca="1"/>
        <v>2.6521279883358062E-2</v>
      </c>
      <c r="AD71" s="155">
        <f ca="1"/>
        <v>4.2206324600506995E-2</v>
      </c>
      <c r="AE71" s="138">
        <f ca="1"/>
        <v>6.814552466863244E-2</v>
      </c>
      <c r="AG71" s="456"/>
      <c r="AH71" s="458"/>
      <c r="AI71" s="457"/>
      <c r="AJ71" s="459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6.4985556770325026E-4</v>
      </c>
      <c r="P72" s="155">
        <f ca="1"/>
        <v>2.1329615809273506E-3</v>
      </c>
      <c r="Q72" s="155">
        <f ca="1"/>
        <v>8.3591945318625127E-3</v>
      </c>
      <c r="R72" s="155">
        <f ca="1"/>
        <v>1.6601571316210983E-2</v>
      </c>
      <c r="S72" s="155">
        <f ca="1"/>
        <v>0</v>
      </c>
      <c r="T72" s="155">
        <f ca="1"/>
        <v>4.0482408794524027E-2</v>
      </c>
      <c r="U72" s="155">
        <f ca="1"/>
        <v>6.7074000807866185E-2</v>
      </c>
      <c r="V72" s="138">
        <f ca="1"/>
        <v>0.12127562135629733</v>
      </c>
      <c r="W72" s="137">
        <f ca="1"/>
        <v>0</v>
      </c>
      <c r="X72" s="155">
        <f ca="1"/>
        <v>7.4265666409367714E-4</v>
      </c>
      <c r="Y72" s="155">
        <f ca="1"/>
        <v>2.2992588955043081E-3</v>
      </c>
      <c r="Z72" s="155">
        <f ca="1"/>
        <v>8.6896863819746484E-3</v>
      </c>
      <c r="AA72" s="155">
        <f ca="1"/>
        <v>1.7093147626249139E-2</v>
      </c>
      <c r="AB72" s="155">
        <f ca="1"/>
        <v>0</v>
      </c>
      <c r="AC72" s="155">
        <f ca="1"/>
        <v>4.1281673713886691E-2</v>
      </c>
      <c r="AD72" s="155">
        <f ca="1"/>
        <v>6.8186398914846458E-2</v>
      </c>
      <c r="AE72" s="138">
        <f ca="1"/>
        <v>0.12279232646412341</v>
      </c>
      <c r="AG72" s="456"/>
      <c r="AH72" s="458"/>
      <c r="AI72" s="457"/>
      <c r="AJ72" s="459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3.7139769715544002E-4</v>
      </c>
      <c r="P73" s="155">
        <f ca="1"/>
        <v>1.0657879713348306E-3</v>
      </c>
      <c r="Q73" s="155">
        <f ca="1"/>
        <v>3.8324944784602355E-3</v>
      </c>
      <c r="R73" s="155">
        <f ca="1"/>
        <v>7.2728501519583322E-3</v>
      </c>
      <c r="S73" s="155">
        <f ca="1"/>
        <v>0</v>
      </c>
      <c r="T73" s="155">
        <f ca="1"/>
        <v>2.0932346344506469E-2</v>
      </c>
      <c r="U73" s="155">
        <f ca="1"/>
        <v>3.9235001636504951E-2</v>
      </c>
      <c r="V73" s="138">
        <f ca="1"/>
        <v>7.1999822911803735E-2</v>
      </c>
      <c r="W73" s="137">
        <f ca="1"/>
        <v>0</v>
      </c>
      <c r="X73" s="155">
        <f ca="1"/>
        <v>4.6422525135358939E-4</v>
      </c>
      <c r="Y73" s="155">
        <f ca="1"/>
        <v>1.2322631333656631E-3</v>
      </c>
      <c r="Z73" s="155">
        <f ca="1"/>
        <v>4.1644949771556528E-3</v>
      </c>
      <c r="AA73" s="155">
        <f ca="1"/>
        <v>7.7690896566697809E-3</v>
      </c>
      <c r="AB73" s="155">
        <f ca="1"/>
        <v>0</v>
      </c>
      <c r="AC73" s="155">
        <f ca="1"/>
        <v>2.1747896196241512E-2</v>
      </c>
      <c r="AD73" s="155">
        <f ca="1"/>
        <v>4.0381232716141691E-2</v>
      </c>
      <c r="AE73" s="138">
        <f ca="1"/>
        <v>7.3573999128134226E-2</v>
      </c>
      <c r="AG73" s="456"/>
      <c r="AH73" s="458"/>
      <c r="AI73" s="457"/>
      <c r="AJ73" s="459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5.5704488486529868E-4</v>
      </c>
      <c r="P74" s="155">
        <f ca="1"/>
        <v>1.9563125255107616E-3</v>
      </c>
      <c r="Q74" s="155">
        <f ca="1"/>
        <v>6.9626377012802498E-3</v>
      </c>
      <c r="R74" s="155">
        <f ca="1"/>
        <v>1.3486685321276171E-2</v>
      </c>
      <c r="S74" s="155">
        <f ca="1"/>
        <v>0</v>
      </c>
      <c r="T74" s="155">
        <f ca="1"/>
        <v>2.922723232701685E-2</v>
      </c>
      <c r="U74" s="155">
        <f ca="1"/>
        <v>4.932099221154207E-2</v>
      </c>
      <c r="V74" s="138">
        <f ca="1"/>
        <v>8.4088382173451715E-2</v>
      </c>
      <c r="W74" s="137">
        <f ca="1"/>
        <v>0</v>
      </c>
      <c r="X74" s="155">
        <f ca="1"/>
        <v>6.4985483622026496E-4</v>
      </c>
      <c r="Y74" s="155">
        <f ca="1"/>
        <v>2.1226392791496851E-3</v>
      </c>
      <c r="Z74" s="155">
        <f ca="1"/>
        <v>7.2935949927519506E-3</v>
      </c>
      <c r="AA74" s="155">
        <f ca="1"/>
        <v>1.3979818684984657E-2</v>
      </c>
      <c r="AB74" s="155">
        <f ca="1"/>
        <v>0</v>
      </c>
      <c r="AC74" s="155">
        <f ca="1"/>
        <v>3.0035872653149553E-2</v>
      </c>
      <c r="AD74" s="155">
        <f ca="1"/>
        <v>5.0454015684665343E-2</v>
      </c>
      <c r="AE74" s="138">
        <f ca="1"/>
        <v>8.5637861806131643E-2</v>
      </c>
      <c r="AG74" s="456"/>
      <c r="AH74" s="458"/>
      <c r="AI74" s="457"/>
      <c r="AJ74" s="459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1.8571607206241403E-4</v>
      </c>
      <c r="P75" s="155">
        <f ca="1"/>
        <v>5.3301064376032325E-4</v>
      </c>
      <c r="Q75" s="155">
        <f ca="1"/>
        <v>2.0938518174417053E-3</v>
      </c>
      <c r="R75" s="155">
        <f ca="1"/>
        <v>4.7036388349313007E-3</v>
      </c>
      <c r="S75" s="155">
        <f ca="1"/>
        <v>0</v>
      </c>
      <c r="T75" s="155">
        <f ca="1"/>
        <v>1.1323442411675599E-2</v>
      </c>
      <c r="U75" s="155">
        <f ca="1"/>
        <v>2.2206505968677903E-2</v>
      </c>
      <c r="V75" s="138">
        <f ca="1"/>
        <v>4.4744924432258304E-2</v>
      </c>
      <c r="W75" s="137">
        <f ca="1"/>
        <v>0</v>
      </c>
      <c r="X75" s="155">
        <f ca="1"/>
        <v>2.7856108896862075E-4</v>
      </c>
      <c r="Y75" s="155">
        <f ca="1"/>
        <v>6.9957459461300608E-4</v>
      </c>
      <c r="Z75" s="155">
        <f ca="1"/>
        <v>2.4264317671013336E-3</v>
      </c>
      <c r="AA75" s="155">
        <f ca="1"/>
        <v>5.2011626241909026E-3</v>
      </c>
      <c r="AB75" s="155">
        <f ca="1"/>
        <v>0</v>
      </c>
      <c r="AC75" s="155">
        <f ca="1"/>
        <v>1.2146996347873751E-2</v>
      </c>
      <c r="AD75" s="155">
        <f ca="1"/>
        <v>2.3371214492927339E-2</v>
      </c>
      <c r="AE75" s="138">
        <f ca="1"/>
        <v>4.6367309699209436E-2</v>
      </c>
      <c r="AG75" s="456"/>
      <c r="AH75" s="458"/>
      <c r="AI75" s="457"/>
      <c r="AJ75" s="459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8.5400877933528019E-4</v>
      </c>
      <c r="P76" s="155">
        <f ca="1"/>
        <v>2.4678085111669024E-3</v>
      </c>
      <c r="Q76" s="155">
        <f ca="1"/>
        <v>7.217621148696618E-3</v>
      </c>
      <c r="R76" s="155">
        <f ca="1"/>
        <v>1.2861026956353161E-2</v>
      </c>
      <c r="S76" s="155">
        <f ca="1"/>
        <v>0</v>
      </c>
      <c r="T76" s="155">
        <f ca="1"/>
        <v>2.565542238634988E-2</v>
      </c>
      <c r="U76" s="155">
        <f ca="1"/>
        <v>3.9970794830503698E-2</v>
      </c>
      <c r="V76" s="138">
        <f ca="1"/>
        <v>6.2802552125893363E-2</v>
      </c>
      <c r="W76" s="137">
        <f ca="1"/>
        <v>0</v>
      </c>
      <c r="X76" s="155">
        <f ca="1"/>
        <v>9.4679026695865254E-4</v>
      </c>
      <c r="Y76" s="155">
        <f ca="1"/>
        <v>2.6340500225721097E-3</v>
      </c>
      <c r="Z76" s="155">
        <f ca="1"/>
        <v>7.5484934598578635E-3</v>
      </c>
      <c r="AA76" s="155">
        <f ca="1"/>
        <v>1.3354473071070849E-2</v>
      </c>
      <c r="AB76" s="155">
        <f ca="1"/>
        <v>0</v>
      </c>
      <c r="AC76" s="155">
        <f ca="1"/>
        <v>2.646703798088279E-2</v>
      </c>
      <c r="AD76" s="155">
        <f ca="1"/>
        <v>4.1113503230431281E-2</v>
      </c>
      <c r="AE76" s="138">
        <f ca="1"/>
        <v>6.4389279232373364E-2</v>
      </c>
      <c r="AG76" s="456"/>
      <c r="AH76" s="458"/>
      <c r="AI76" s="457"/>
      <c r="AJ76" s="459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2.2263214711810697E-3</v>
      </c>
      <c r="P77" s="155">
        <f ca="1"/>
        <v>5.6668219087674387E-3</v>
      </c>
      <c r="Q77" s="155">
        <f ca="1"/>
        <v>1.6936624279414891E-2</v>
      </c>
      <c r="R77" s="155">
        <f ca="1"/>
        <v>3.4479897443469132E-2</v>
      </c>
      <c r="S77" s="155">
        <f ca="1"/>
        <v>0</v>
      </c>
      <c r="T77" s="155">
        <f ca="1"/>
        <v>8.7311118231438112E-2</v>
      </c>
      <c r="U77" s="155">
        <f ca="1"/>
        <v>0.14307115979825014</v>
      </c>
      <c r="V77" s="138">
        <f ca="1"/>
        <v>0.22814347632007315</v>
      </c>
      <c r="W77" s="137">
        <f ca="1"/>
        <v>0</v>
      </c>
      <c r="X77" s="155">
        <f ca="1"/>
        <v>2.3189661864259081E-3</v>
      </c>
      <c r="Y77" s="155">
        <f ca="1"/>
        <v>5.8325302957011882E-3</v>
      </c>
      <c r="Z77" s="155">
        <f ca="1"/>
        <v>1.7264257462751509E-2</v>
      </c>
      <c r="AA77" s="155">
        <f ca="1"/>
        <v>3.4962536824834967E-2</v>
      </c>
      <c r="AB77" s="155">
        <f ca="1"/>
        <v>0</v>
      </c>
      <c r="AC77" s="155">
        <f ca="1"/>
        <v>8.8098831408890521E-2</v>
      </c>
      <c r="AD77" s="155">
        <f ca="1"/>
        <v>0.14411006471366006</v>
      </c>
      <c r="AE77" s="138">
        <f ca="1"/>
        <v>0.22949142539338385</v>
      </c>
      <c r="AG77" s="456"/>
      <c r="AH77" s="458"/>
      <c r="AI77" s="457"/>
      <c r="AJ77" s="459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5.5704488486529868E-4</v>
      </c>
      <c r="P78" s="155">
        <f ca="1"/>
        <v>1.9563125255107616E-3</v>
      </c>
      <c r="Q78" s="155">
        <f ca="1"/>
        <v>7.314084377800123E-3</v>
      </c>
      <c r="R78" s="155">
        <f ca="1"/>
        <v>1.4534348653272522E-2</v>
      </c>
      <c r="S78" s="155">
        <f ca="1"/>
        <v>0</v>
      </c>
      <c r="T78" s="155">
        <f ca="1"/>
        <v>3.4481786953805882E-2</v>
      </c>
      <c r="U78" s="155">
        <f ca="1"/>
        <v>5.7693783333136017E-2</v>
      </c>
      <c r="V78" s="138">
        <f ca="1"/>
        <v>0.10489140469478986</v>
      </c>
      <c r="W78" s="137">
        <f ca="1"/>
        <v>0</v>
      </c>
      <c r="X78" s="155">
        <f ca="1"/>
        <v>6.4985483622026496E-4</v>
      </c>
      <c r="Y78" s="155">
        <f ca="1"/>
        <v>2.1226392791496851E-3</v>
      </c>
      <c r="Z78" s="155">
        <f ca="1"/>
        <v>7.6449245399252685E-3</v>
      </c>
      <c r="AA78" s="155">
        <f ca="1"/>
        <v>1.502695831628198E-2</v>
      </c>
      <c r="AB78" s="155">
        <f ca="1"/>
        <v>0</v>
      </c>
      <c r="AC78" s="155">
        <f ca="1"/>
        <v>3.528605030838794E-2</v>
      </c>
      <c r="AD78" s="155">
        <f ca="1"/>
        <v>5.881740981811745E-2</v>
      </c>
      <c r="AE78" s="138">
        <f ca="1"/>
        <v>0.10643154620793982</v>
      </c>
      <c r="AG78" s="456"/>
      <c r="AH78" s="458"/>
      <c r="AI78" s="457"/>
      <c r="AJ78" s="459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9.282359864184464E-4</v>
      </c>
      <c r="P79" s="155">
        <f ca="1"/>
        <v>2.4838313621484698E-3</v>
      </c>
      <c r="Q79" s="155">
        <f ca="1"/>
        <v>7.6366284424509434E-3</v>
      </c>
      <c r="R79" s="155">
        <f ca="1"/>
        <v>1.7147124414695902E-2</v>
      </c>
      <c r="S79" s="155">
        <f ca="1"/>
        <v>0</v>
      </c>
      <c r="T79" s="155">
        <f ca="1"/>
        <v>4.400572584055229E-2</v>
      </c>
      <c r="U79" s="155">
        <f ca="1"/>
        <v>7.561821227172516E-2</v>
      </c>
      <c r="V79" s="138">
        <f ca="1"/>
        <v>0.12884684592901985</v>
      </c>
      <c r="W79" s="137">
        <f ca="1"/>
        <v>0</v>
      </c>
      <c r="X79" s="155">
        <f ca="1"/>
        <v>1.0210102993825076E-3</v>
      </c>
      <c r="Y79" s="155">
        <f ca="1"/>
        <v>2.6500702032997703E-3</v>
      </c>
      <c r="Z79" s="155">
        <f ca="1"/>
        <v>7.9673611077769602E-3</v>
      </c>
      <c r="AA79" s="155">
        <f ca="1"/>
        <v>1.7638428016362839E-2</v>
      </c>
      <c r="AB79" s="155">
        <f ca="1"/>
        <v>0</v>
      </c>
      <c r="AC79" s="155">
        <f ca="1"/>
        <v>4.4802055885408087E-2</v>
      </c>
      <c r="AD79" s="155">
        <f ca="1"/>
        <v>7.6720252806799283E-2</v>
      </c>
      <c r="AE79" s="138">
        <f ca="1"/>
        <v>0.13035132513346703</v>
      </c>
      <c r="AG79" s="456"/>
      <c r="AH79" s="458"/>
      <c r="AI79" s="457"/>
      <c r="AJ79" s="459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4.6422559508285666E-4</v>
      </c>
      <c r="P80" s="155">
        <f ca="1"/>
        <v>8.8445226887701178E-4</v>
      </c>
      <c r="Q80" s="155">
        <f ca="1"/>
        <v>3.4841924642385891E-3</v>
      </c>
      <c r="R80" s="155">
        <f ca="1"/>
        <v>9.429219715729964E-3</v>
      </c>
      <c r="S80" s="155">
        <f ca="1"/>
        <v>0</v>
      </c>
      <c r="T80" s="155">
        <f ca="1"/>
        <v>2.3490342452262447E-2</v>
      </c>
      <c r="U80" s="155">
        <f ca="1"/>
        <v>4.2726711801842177E-2</v>
      </c>
      <c r="V80" s="138">
        <f ca="1"/>
        <v>7.8729838317248779E-2</v>
      </c>
      <c r="W80" s="137">
        <f ca="1"/>
        <v>0</v>
      </c>
      <c r="X80" s="155">
        <f ca="1"/>
        <v>5.5704436557602044E-4</v>
      </c>
      <c r="Y80" s="155">
        <f ca="1"/>
        <v>1.0509576510076002E-3</v>
      </c>
      <c r="Z80" s="155">
        <f ca="1"/>
        <v>3.8163090442263625E-3</v>
      </c>
      <c r="AA80" s="155">
        <f ca="1"/>
        <v>9.9243813051579366E-3</v>
      </c>
      <c r="AB80" s="155">
        <f ca="1"/>
        <v>0</v>
      </c>
      <c r="AC80" s="155">
        <f ca="1"/>
        <v>2.4303761528519319E-2</v>
      </c>
      <c r="AD80" s="155">
        <f ca="1"/>
        <v>4.3868757518143897E-2</v>
      </c>
      <c r="AE80" s="138">
        <f ca="1"/>
        <v>8.0290780821794749E-2</v>
      </c>
      <c r="AG80" s="456"/>
      <c r="AH80" s="458"/>
      <c r="AI80" s="457"/>
      <c r="AJ80" s="459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9.282359864184464E-4</v>
      </c>
      <c r="P81" s="155">
        <f ca="1"/>
        <v>1.7681220702605582E-3</v>
      </c>
      <c r="Q81" s="155">
        <f ca="1"/>
        <v>6.2564521341071933E-3</v>
      </c>
      <c r="R81" s="155">
        <f ca="1"/>
        <v>1.5114573663229103E-2</v>
      </c>
      <c r="S81" s="155">
        <f ca="1"/>
        <v>0</v>
      </c>
      <c r="T81" s="155">
        <f ca="1"/>
        <v>3.7162322937927872E-2</v>
      </c>
      <c r="U81" s="155">
        <f ca="1"/>
        <v>6.5138841958272575E-2</v>
      </c>
      <c r="V81" s="138">
        <f ca="1"/>
        <v>0.11854781618701837</v>
      </c>
      <c r="W81" s="137">
        <f ca="1"/>
        <v>0</v>
      </c>
      <c r="X81" s="155">
        <f ca="1"/>
        <v>1.0210102993825076E-3</v>
      </c>
      <c r="Y81" s="155">
        <f ca="1"/>
        <v>1.9344801863577787E-3</v>
      </c>
      <c r="Z81" s="155">
        <f ca="1"/>
        <v>6.5876447815456096E-3</v>
      </c>
      <c r="AA81" s="155">
        <f ca="1"/>
        <v>1.5606893286232881E-2</v>
      </c>
      <c r="AB81" s="155">
        <f ca="1"/>
        <v>0</v>
      </c>
      <c r="AC81" s="155">
        <f ca="1"/>
        <v>3.7964353442998644E-2</v>
      </c>
      <c r="AD81" s="155">
        <f ca="1"/>
        <v>6.6253914155387728E-2</v>
      </c>
      <c r="AE81" s="138">
        <f ca="1"/>
        <v>0.12007026149230537</v>
      </c>
      <c r="AG81" s="456"/>
      <c r="AH81" s="458"/>
      <c r="AI81" s="457"/>
      <c r="AJ81" s="459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3.7139769715544002E-4</v>
      </c>
      <c r="P82" s="155">
        <f ca="1"/>
        <v>1.6029205889476206E-3</v>
      </c>
      <c r="Q82" s="155">
        <f ca="1"/>
        <v>4.5179644233264149E-3</v>
      </c>
      <c r="R82" s="155">
        <f ca="1"/>
        <v>9.3568816912088515E-3</v>
      </c>
      <c r="S82" s="155">
        <f ca="1"/>
        <v>0</v>
      </c>
      <c r="T82" s="155">
        <f ca="1"/>
        <v>2.4312778599523299E-2</v>
      </c>
      <c r="U82" s="155">
        <f ca="1"/>
        <v>4.2557788871790292E-2</v>
      </c>
      <c r="V82" s="138">
        <f ca="1"/>
        <v>7.4716330862104163E-2</v>
      </c>
      <c r="W82" s="137">
        <f ca="1"/>
        <v>0</v>
      </c>
      <c r="X82" s="155">
        <f ca="1"/>
        <v>4.6422525135358939E-4</v>
      </c>
      <c r="Y82" s="155">
        <f ca="1"/>
        <v>1.7693062363334233E-3</v>
      </c>
      <c r="Z82" s="155">
        <f ca="1"/>
        <v>4.8497364701065582E-3</v>
      </c>
      <c r="AA82" s="155">
        <f ca="1"/>
        <v>9.8520794406221635E-3</v>
      </c>
      <c r="AB82" s="155">
        <f ca="1"/>
        <v>0</v>
      </c>
      <c r="AC82" s="155">
        <f ca="1"/>
        <v>2.5125512597853894E-2</v>
      </c>
      <c r="AD82" s="155">
        <f ca="1"/>
        <v>4.3699706379624614E-2</v>
      </c>
      <c r="AE82" s="138">
        <f ca="1"/>
        <v>7.628469219292211E-2</v>
      </c>
      <c r="AG82" s="456"/>
      <c r="AH82" s="458"/>
      <c r="AI82" s="457"/>
      <c r="AJ82" s="459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5.5704488486529868E-4</v>
      </c>
      <c r="P83" s="155">
        <f ca="1"/>
        <v>2.3142328993116523E-3</v>
      </c>
      <c r="Q83" s="155">
        <f ca="1"/>
        <v>6.5984197314430393E-3</v>
      </c>
      <c r="R83" s="155">
        <f ca="1"/>
        <v>1.2958136986799373E-2</v>
      </c>
      <c r="S83" s="155">
        <f ca="1"/>
        <v>0</v>
      </c>
      <c r="T83" s="155">
        <f ca="1"/>
        <v>3.4625593362853535E-2</v>
      </c>
      <c r="U83" s="155">
        <f ca="1"/>
        <v>6.1707793937656907E-2</v>
      </c>
      <c r="V83" s="138">
        <f ca="1"/>
        <v>0.10636474337206625</v>
      </c>
      <c r="W83" s="137">
        <f ca="1"/>
        <v>0</v>
      </c>
      <c r="X83" s="155">
        <f ca="1"/>
        <v>6.4985483622026496E-4</v>
      </c>
      <c r="Y83" s="155">
        <f ca="1"/>
        <v>2.4805000045189374E-3</v>
      </c>
      <c r="Z83" s="155">
        <f ca="1"/>
        <v>6.9294984086775147E-3</v>
      </c>
      <c r="AA83" s="155">
        <f ca="1"/>
        <v>1.3451534558644451E-2</v>
      </c>
      <c r="AB83" s="155">
        <f ca="1"/>
        <v>0</v>
      </c>
      <c r="AC83" s="155">
        <f ca="1"/>
        <v>3.5429736928698996E-2</v>
      </c>
      <c r="AD83" s="155">
        <f ca="1"/>
        <v>6.2827162284960325E-2</v>
      </c>
      <c r="AE83" s="138">
        <f ca="1"/>
        <v>0.10790241571386483</v>
      </c>
      <c r="AG83" s="456"/>
      <c r="AH83" s="458"/>
      <c r="AI83" s="457"/>
      <c r="AJ83" s="459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2.7856118988234257E-4</v>
      </c>
      <c r="P84" s="155">
        <f ca="1"/>
        <v>1.6052151010047533E-3</v>
      </c>
      <c r="Q84" s="155">
        <f ca="1"/>
        <v>5.2240803250656054E-3</v>
      </c>
      <c r="R84" s="155">
        <f ca="1"/>
        <v>1.1459645889487224E-2</v>
      </c>
      <c r="S84" s="155">
        <f ca="1"/>
        <v>0</v>
      </c>
      <c r="T84" s="155">
        <f ca="1"/>
        <v>2.6810497662199562E-2</v>
      </c>
      <c r="U84" s="155">
        <f ca="1"/>
        <v>4.857831295936188E-2</v>
      </c>
      <c r="V84" s="138">
        <f ca="1"/>
        <v>8.8651428995173753E-2</v>
      </c>
      <c r="W84" s="137">
        <f ca="1"/>
        <v>0</v>
      </c>
      <c r="X84" s="155">
        <f ca="1"/>
        <v>3.7139749276848821E-4</v>
      </c>
      <c r="Y84" s="155">
        <f ca="1"/>
        <v>1.7716003659955515E-3</v>
      </c>
      <c r="Z84" s="155">
        <f ca="1"/>
        <v>5.5556170391188875E-3</v>
      </c>
      <c r="AA84" s="155">
        <f ca="1"/>
        <v>1.1953792519605932E-2</v>
      </c>
      <c r="AB84" s="155">
        <f ca="1"/>
        <v>0</v>
      </c>
      <c r="AC84" s="155">
        <f ca="1"/>
        <v>2.7621151094999297E-2</v>
      </c>
      <c r="AD84" s="155">
        <f ca="1"/>
        <v>4.971306679685028E-2</v>
      </c>
      <c r="AE84" s="138">
        <f ca="1"/>
        <v>9.0169078221219556E-2</v>
      </c>
      <c r="AG84" s="456"/>
      <c r="AH84" s="458"/>
      <c r="AI84" s="457"/>
      <c r="AJ84" s="459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9.282359864184464E-4</v>
      </c>
      <c r="P85" s="155">
        <f ca="1"/>
        <v>1.947071909050635E-3</v>
      </c>
      <c r="Q85" s="155">
        <f ca="1"/>
        <v>6.6016502695143142E-3</v>
      </c>
      <c r="R85" s="155">
        <f ca="1"/>
        <v>1.2961417922661811E-2</v>
      </c>
      <c r="S85" s="155">
        <f ca="1"/>
        <v>0</v>
      </c>
      <c r="T85" s="155">
        <f ca="1"/>
        <v>3.462902579154592E-2</v>
      </c>
      <c r="U85" s="155">
        <f ca="1"/>
        <v>6.0422024131402186E-2</v>
      </c>
      <c r="V85" s="138">
        <f ca="1"/>
        <v>9.522011095842442E-2</v>
      </c>
      <c r="W85" s="137">
        <f ca="1"/>
        <v>0</v>
      </c>
      <c r="X85" s="155">
        <f ca="1"/>
        <v>1.0210102993825076E-3</v>
      </c>
      <c r="Y85" s="155">
        <f ca="1"/>
        <v>2.1134002026537146E-3</v>
      </c>
      <c r="Z85" s="155">
        <f ca="1"/>
        <v>6.9327278701051265E-3</v>
      </c>
      <c r="AA85" s="155">
        <f ca="1"/>
        <v>1.3454813854424263E-2</v>
      </c>
      <c r="AB85" s="155">
        <f ca="1"/>
        <v>0</v>
      </c>
      <c r="AC85" s="155">
        <f ca="1"/>
        <v>3.54331664982247E-2</v>
      </c>
      <c r="AD85" s="155">
        <f ca="1"/>
        <v>6.1542982918525668E-2</v>
      </c>
      <c r="AE85" s="138">
        <f ca="1"/>
        <v>9.6751509539094394E-2</v>
      </c>
      <c r="AG85" s="456"/>
      <c r="AH85" s="458"/>
      <c r="AI85" s="457"/>
      <c r="AJ85" s="459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1.6331199592025669E-3</v>
      </c>
      <c r="P86" s="155">
        <f ca="1"/>
        <v>3.6996985921504688E-3</v>
      </c>
      <c r="Q86" s="155">
        <f ca="1"/>
        <v>9.4338829404777558E-3</v>
      </c>
      <c r="R86" s="155">
        <f ca="1"/>
        <v>1.5928546766083684E-2</v>
      </c>
      <c r="S86" s="155">
        <f ca="1"/>
        <v>0</v>
      </c>
      <c r="T86" s="155">
        <f ca="1"/>
        <v>3.1482580220002943E-2</v>
      </c>
      <c r="U86" s="155">
        <f ca="1"/>
        <v>4.7967757732232053E-2</v>
      </c>
      <c r="V86" s="138">
        <f ca="1"/>
        <v>7.3917541470447823E-2</v>
      </c>
      <c r="W86" s="137">
        <f ca="1"/>
        <v>0</v>
      </c>
      <c r="X86" s="155">
        <f ca="1"/>
        <v>1.7258248936152798E-3</v>
      </c>
      <c r="Y86" s="155">
        <f ca="1"/>
        <v>3.8657348056460039E-3</v>
      </c>
      <c r="Z86" s="155">
        <f ca="1"/>
        <v>9.7640166208406987E-3</v>
      </c>
      <c r="AA86" s="155">
        <f ca="1"/>
        <v>1.6420459504257634E-2</v>
      </c>
      <c r="AB86" s="155">
        <f ca="1"/>
        <v>0</v>
      </c>
      <c r="AC86" s="155">
        <f ca="1"/>
        <v>3.2289341872450139E-2</v>
      </c>
      <c r="AD86" s="155">
        <f ca="1"/>
        <v>4.9100572415172405E-2</v>
      </c>
      <c r="AE86" s="138">
        <f ca="1"/>
        <v>7.5459726723317022E-2</v>
      </c>
      <c r="AG86" s="456"/>
      <c r="AH86" s="458"/>
      <c r="AI86" s="457"/>
      <c r="AJ86" s="459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1.0766738850542801E-3</v>
      </c>
      <c r="P87" s="155">
        <f ca="1"/>
        <v>2.67685998618028E-3</v>
      </c>
      <c r="Q87" s="155">
        <f ca="1"/>
        <v>7.0285745260185717E-3</v>
      </c>
      <c r="R87" s="155">
        <f ca="1"/>
        <v>1.2270246969556364E-2</v>
      </c>
      <c r="S87" s="155">
        <f ca="1"/>
        <v>0</v>
      </c>
      <c r="T87" s="155">
        <f ca="1"/>
        <v>2.4799018944968609E-2</v>
      </c>
      <c r="U87" s="155">
        <f ca="1"/>
        <v>3.932177645268109E-2</v>
      </c>
      <c r="V87" s="138">
        <f ca="1"/>
        <v>6.3039512913285134E-2</v>
      </c>
      <c r="W87" s="137">
        <f ca="1"/>
        <v>0</v>
      </c>
      <c r="X87" s="155">
        <f ca="1"/>
        <v>1.1694337767953478E-3</v>
      </c>
      <c r="Y87" s="155">
        <f ca="1"/>
        <v>2.8430666585680386E-3</v>
      </c>
      <c r="Z87" s="155">
        <f ca="1"/>
        <v>7.3595098422458705E-3</v>
      </c>
      <c r="AA87" s="155">
        <f ca="1"/>
        <v>1.2763988400412596E-2</v>
      </c>
      <c r="AB87" s="155">
        <f ca="1"/>
        <v>0</v>
      </c>
      <c r="AC87" s="155">
        <f ca="1"/>
        <v>2.5611347911759563E-2</v>
      </c>
      <c r="AD87" s="155">
        <f ca="1"/>
        <v>4.0465320729431986E-2</v>
      </c>
      <c r="AE87" s="138">
        <f ca="1"/>
        <v>6.4626157157566033E-2</v>
      </c>
      <c r="AG87" s="456"/>
      <c r="AH87" s="458"/>
      <c r="AI87" s="457"/>
      <c r="AJ87" s="459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6.4985556770325026E-4</v>
      </c>
      <c r="P88" s="155">
        <f ca="1"/>
        <v>1.7750276155927835E-3</v>
      </c>
      <c r="Q88" s="155">
        <f ca="1"/>
        <v>5.5602088317014964E-3</v>
      </c>
      <c r="R88" s="155">
        <f ca="1"/>
        <v>1.089390096424947E-2</v>
      </c>
      <c r="S88" s="155">
        <f ca="1"/>
        <v>0</v>
      </c>
      <c r="T88" s="155">
        <f ca="1"/>
        <v>2.860594281618134E-2</v>
      </c>
      <c r="U88" s="155">
        <f ca="1"/>
        <v>4.8394908753408905E-2</v>
      </c>
      <c r="V88" s="138">
        <f ca="1"/>
        <v>8.2731806048344847E-2</v>
      </c>
      <c r="W88" s="137">
        <f ca="1"/>
        <v>0</v>
      </c>
      <c r="X88" s="155">
        <f ca="1"/>
        <v>7.4265666409367714E-4</v>
      </c>
      <c r="Y88" s="155">
        <f ca="1"/>
        <v>1.9413845808663455E-3</v>
      </c>
      <c r="Z88" s="155">
        <f ca="1"/>
        <v>5.8916335215749571E-3</v>
      </c>
      <c r="AA88" s="155">
        <f ca="1"/>
        <v>1.1388330396113533E-2</v>
      </c>
      <c r="AB88" s="155">
        <f ca="1"/>
        <v>0</v>
      </c>
      <c r="AC88" s="155">
        <f ca="1"/>
        <v>2.9415100667909311E-2</v>
      </c>
      <c r="AD88" s="155">
        <f ca="1"/>
        <v>4.9529958876596059E-2</v>
      </c>
      <c r="AE88" s="138">
        <f ca="1"/>
        <v>8.4284864129645309E-2</v>
      </c>
      <c r="AG88" s="456"/>
      <c r="AH88" s="458"/>
      <c r="AI88" s="457"/>
      <c r="AJ88" s="459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1.5774892768244397E-3</v>
      </c>
      <c r="P89" s="155">
        <f ca="1"/>
        <v>3.1827339657645171E-3</v>
      </c>
      <c r="Q89" s="155">
        <f ca="1"/>
        <v>9.3490476759091612E-3</v>
      </c>
      <c r="R89" s="155">
        <f ca="1"/>
        <v>2.0202158102575418E-2</v>
      </c>
      <c r="S89" s="155">
        <f ca="1"/>
        <v>0</v>
      </c>
      <c r="T89" s="155">
        <f ca="1"/>
        <v>5.1577808704661998E-2</v>
      </c>
      <c r="U89" s="155">
        <f ca="1"/>
        <v>8.5782426857156313E-2</v>
      </c>
      <c r="V89" s="138">
        <f ca="1"/>
        <v>0.14618085824488314</v>
      </c>
      <c r="W89" s="137">
        <f ca="1"/>
        <v>0</v>
      </c>
      <c r="X89" s="155">
        <f ca="1"/>
        <v>1.6701997708021832E-3</v>
      </c>
      <c r="Y89" s="155">
        <f ca="1"/>
        <v>3.3488563328510912E-3</v>
      </c>
      <c r="Z89" s="155">
        <f ca="1"/>
        <v>9.6792096299513908E-3</v>
      </c>
      <c r="AA89" s="155">
        <f ca="1"/>
        <v>2.0691934569185055E-2</v>
      </c>
      <c r="AB89" s="155">
        <f ca="1"/>
        <v>0</v>
      </c>
      <c r="AC89" s="155">
        <f ca="1"/>
        <v>5.2367831308949508E-2</v>
      </c>
      <c r="AD89" s="155">
        <f ca="1"/>
        <v>8.6871325983927217E-2</v>
      </c>
      <c r="AE89" s="138">
        <f ca="1"/>
        <v>0.14765964942627918</v>
      </c>
      <c r="AG89" s="456"/>
      <c r="AH89" s="458"/>
      <c r="AI89" s="457"/>
      <c r="AJ89" s="459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3.7139769715544002E-4</v>
      </c>
      <c r="P90" s="155">
        <f ca="1"/>
        <v>1.2448472000856636E-3</v>
      </c>
      <c r="Q90" s="155">
        <f ca="1"/>
        <v>5.2342796660783675E-3</v>
      </c>
      <c r="R90" s="155">
        <f ca="1"/>
        <v>1.1470064997166185E-2</v>
      </c>
      <c r="S90" s="155">
        <f ca="1"/>
        <v>0</v>
      </c>
      <c r="T90" s="155">
        <f ca="1"/>
        <v>2.9504627629433622E-2</v>
      </c>
      <c r="U90" s="155">
        <f ca="1"/>
        <v>5.0896541297884568E-2</v>
      </c>
      <c r="V90" s="138">
        <f ca="1"/>
        <v>9.56028755330528E-2</v>
      </c>
      <c r="W90" s="137">
        <f ca="1"/>
        <v>0</v>
      </c>
      <c r="X90" s="155">
        <f ca="1"/>
        <v>4.6422525135358939E-4</v>
      </c>
      <c r="Y90" s="155">
        <f ca="1"/>
        <v>1.4112925213842775E-3</v>
      </c>
      <c r="Z90" s="155">
        <f ca="1"/>
        <v>5.5658129809121881E-3</v>
      </c>
      <c r="AA90" s="155">
        <f ca="1"/>
        <v>1.1964206419036727E-2</v>
      </c>
      <c r="AB90" s="155">
        <f ca="1"/>
        <v>0</v>
      </c>
      <c r="AC90" s="155">
        <f ca="1"/>
        <v>3.0313036889088929E-2</v>
      </c>
      <c r="AD90" s="155">
        <f ca="1"/>
        <v>5.2028921793025207E-2</v>
      </c>
      <c r="AE90" s="138">
        <f ca="1"/>
        <v>9.7158528542814815E-2</v>
      </c>
      <c r="AG90" s="456"/>
      <c r="AH90" s="458"/>
      <c r="AI90" s="457"/>
      <c r="AJ90" s="459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1.0210122534125565E-3</v>
      </c>
      <c r="P91" s="155">
        <f ca="1"/>
        <v>1.9447621984642893E-3</v>
      </c>
      <c r="Q91" s="155">
        <f ca="1"/>
        <v>5.5445345441496041E-3</v>
      </c>
      <c r="R91" s="155">
        <f ca="1"/>
        <v>1.1943975750896785E-2</v>
      </c>
      <c r="S91" s="155">
        <f ca="1"/>
        <v>0</v>
      </c>
      <c r="T91" s="155">
        <f ca="1"/>
        <v>3.2083518963962443E-2</v>
      </c>
      <c r="U91" s="155">
        <f ca="1"/>
        <v>5.1802474181976033E-2</v>
      </c>
      <c r="V91" s="138">
        <f ca="1"/>
        <v>9.3122305813903017E-2</v>
      </c>
      <c r="W91" s="137">
        <f ca="1"/>
        <v>0</v>
      </c>
      <c r="X91" s="155">
        <f ca="1"/>
        <v>1.1137775643985659E-3</v>
      </c>
      <c r="Y91" s="155">
        <f ca="1"/>
        <v>2.1110908769874648E-3</v>
      </c>
      <c r="Z91" s="155">
        <f ca="1"/>
        <v>5.8759644579144954E-3</v>
      </c>
      <c r="AA91" s="155">
        <f ca="1"/>
        <v>1.2437880276584101E-2</v>
      </c>
      <c r="AB91" s="155">
        <f ca="1"/>
        <v>0</v>
      </c>
      <c r="AC91" s="155">
        <f ca="1"/>
        <v>3.288978004272658E-2</v>
      </c>
      <c r="AD91" s="155">
        <f ca="1"/>
        <v>5.2933579115321705E-2</v>
      </c>
      <c r="AE91" s="138">
        <f ca="1"/>
        <v>9.4678746559874294E-2</v>
      </c>
      <c r="AG91" s="456"/>
      <c r="AH91" s="458"/>
      <c r="AI91" s="457"/>
      <c r="AJ91" s="459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5.5704488486529868E-4</v>
      </c>
      <c r="P92" s="155">
        <f ca="1"/>
        <v>1.2402915881148946E-3</v>
      </c>
      <c r="Q92" s="155">
        <f ca="1"/>
        <v>4.1737617200827692E-3</v>
      </c>
      <c r="R92" s="155">
        <f ca="1"/>
        <v>8.8475170213948573E-3</v>
      </c>
      <c r="S92" s="155">
        <f ca="1"/>
        <v>0</v>
      </c>
      <c r="T92" s="155">
        <f ca="1"/>
        <v>2.3480327461436024E-2</v>
      </c>
      <c r="U92" s="155">
        <f ca="1"/>
        <v>4.2716370452553165E-2</v>
      </c>
      <c r="V92" s="138">
        <f ca="1"/>
        <v>8.0639713888311593E-2</v>
      </c>
      <c r="W92" s="137">
        <f ca="1"/>
        <v>0</v>
      </c>
      <c r="X92" s="155">
        <f ca="1"/>
        <v>6.4985483622026496E-4</v>
      </c>
      <c r="Y92" s="155">
        <f ca="1"/>
        <v>1.4067376686272004E-3</v>
      </c>
      <c r="Z92" s="155">
        <f ca="1"/>
        <v>4.5056484819939735E-3</v>
      </c>
      <c r="AA92" s="155">
        <f ca="1"/>
        <v>9.3429693894659938E-3</v>
      </c>
      <c r="AB92" s="155">
        <f ca="1"/>
        <v>0</v>
      </c>
      <c r="AC92" s="155">
        <f ca="1"/>
        <v>2.4293754880027052E-2</v>
      </c>
      <c r="AD92" s="155">
        <f ca="1"/>
        <v>4.3858372078696473E-2</v>
      </c>
      <c r="AE92" s="138">
        <f ca="1"/>
        <v>8.2196533862473165E-2</v>
      </c>
      <c r="AG92" s="456"/>
      <c r="AH92" s="458"/>
      <c r="AI92" s="457"/>
      <c r="AJ92" s="459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8.3545111727989507E-4</v>
      </c>
      <c r="P93" s="155">
        <f ca="1"/>
        <v>4.2744710640684191E-3</v>
      </c>
      <c r="Q93" s="155">
        <f ca="1"/>
        <v>1.2133481224721687E-2</v>
      </c>
      <c r="R93" s="155">
        <f ca="1"/>
        <v>2.3219643857508743E-2</v>
      </c>
      <c r="S93" s="155">
        <f ca="1"/>
        <v>0</v>
      </c>
      <c r="T93" s="155">
        <f ca="1"/>
        <v>5.819525766850786E-2</v>
      </c>
      <c r="U93" s="155">
        <f ca="1"/>
        <v>9.71889837237494E-2</v>
      </c>
      <c r="V93" s="138">
        <f ca="1"/>
        <v>0.16494672385125853</v>
      </c>
      <c r="W93" s="137">
        <f ca="1"/>
        <v>0</v>
      </c>
      <c r="X93" s="155">
        <f ca="1"/>
        <v>9.2823439486788839E-4</v>
      </c>
      <c r="Y93" s="155">
        <f ca="1"/>
        <v>4.4404114901461789E-3</v>
      </c>
      <c r="Z93" s="155">
        <f ca="1"/>
        <v>1.2462715188926832E-2</v>
      </c>
      <c r="AA93" s="155">
        <f ca="1"/>
        <v>2.3707911958365302E-2</v>
      </c>
      <c r="AB93" s="155">
        <f ca="1"/>
        <v>0</v>
      </c>
      <c r="AC93" s="155">
        <f ca="1"/>
        <v>5.8979768029090218E-2</v>
      </c>
      <c r="AD93" s="155">
        <f ca="1"/>
        <v>9.8241649068535608E-2</v>
      </c>
      <c r="AE93" s="138">
        <f ca="1"/>
        <v>0.16640172143575538</v>
      </c>
      <c r="AG93" s="456"/>
      <c r="AH93" s="458"/>
      <c r="AI93" s="457"/>
      <c r="AJ93" s="459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6.4985556770325026E-4</v>
      </c>
      <c r="P94" s="155">
        <f ca="1"/>
        <v>1.7750276155927835E-3</v>
      </c>
      <c r="Q94" s="155">
        <f ca="1"/>
        <v>6.9666377683981207E-3</v>
      </c>
      <c r="R94" s="155">
        <f ca="1"/>
        <v>1.6151905537440725E-2</v>
      </c>
      <c r="S94" s="155">
        <f ca="1"/>
        <v>0</v>
      </c>
      <c r="T94" s="155">
        <f ca="1"/>
        <v>4.1497927668512569E-2</v>
      </c>
      <c r="U94" s="155">
        <f ca="1"/>
        <v>7.0952891280073538E-2</v>
      </c>
      <c r="V94" s="138">
        <f ca="1"/>
        <v>0.12447548243139872</v>
      </c>
      <c r="W94" s="137">
        <f ca="1"/>
        <v>0</v>
      </c>
      <c r="X94" s="155">
        <f ca="1"/>
        <v>7.4265666409367714E-4</v>
      </c>
      <c r="Y94" s="155">
        <f ca="1"/>
        <v>1.9413845808663455E-3</v>
      </c>
      <c r="Z94" s="155">
        <f ca="1"/>
        <v>7.2975937267339974E-3</v>
      </c>
      <c r="AA94" s="155">
        <f ca="1"/>
        <v>1.6643706624168697E-2</v>
      </c>
      <c r="AB94" s="155">
        <f ca="1"/>
        <v>0</v>
      </c>
      <c r="AC94" s="155">
        <f ca="1"/>
        <v>4.2296346674662311E-2</v>
      </c>
      <c r="AD94" s="155">
        <f ca="1"/>
        <v>7.2061053650780305E-2</v>
      </c>
      <c r="AE94" s="138">
        <f ca="1"/>
        <v>0.12598764859944311</v>
      </c>
      <c r="AG94" s="456"/>
      <c r="AH94" s="458"/>
      <c r="AI94" s="457"/>
      <c r="AJ94" s="459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4.6422559508285666E-4</v>
      </c>
      <c r="P95" s="155">
        <f ca="1"/>
        <v>1.0635183000881065E-3</v>
      </c>
      <c r="Q95" s="155">
        <f ca="1"/>
        <v>4.8862914870396734E-3</v>
      </c>
      <c r="R95" s="155">
        <f ca="1"/>
        <v>9.8905862178273463E-3</v>
      </c>
      <c r="S95" s="155">
        <f ca="1"/>
        <v>0</v>
      </c>
      <c r="T95" s="155">
        <f ca="1"/>
        <v>2.606565746763656E-2</v>
      </c>
      <c r="U95" s="155">
        <f ca="1"/>
        <v>4.6229660568044117E-2</v>
      </c>
      <c r="V95" s="138">
        <f ca="1"/>
        <v>8.7336261950499705E-2</v>
      </c>
      <c r="W95" s="137">
        <f ca="1"/>
        <v>0</v>
      </c>
      <c r="X95" s="155">
        <f ca="1"/>
        <v>5.5704436557602044E-4</v>
      </c>
      <c r="Y95" s="155">
        <f ca="1"/>
        <v>1.2299938403631527E-3</v>
      </c>
      <c r="Z95" s="155">
        <f ca="1"/>
        <v>5.2179407785937215E-3</v>
      </c>
      <c r="AA95" s="155">
        <f ca="1"/>
        <v>1.0385517181652704E-2</v>
      </c>
      <c r="AB95" s="155">
        <f ca="1"/>
        <v>0</v>
      </c>
      <c r="AC95" s="155">
        <f ca="1"/>
        <v>2.6876931342047494E-2</v>
      </c>
      <c r="AD95" s="155">
        <f ca="1"/>
        <v>4.7367545199955896E-2</v>
      </c>
      <c r="AE95" s="138">
        <f ca="1"/>
        <v>8.8904065211574901E-2</v>
      </c>
      <c r="AG95" s="456"/>
      <c r="AH95" s="458"/>
      <c r="AI95" s="457"/>
      <c r="AJ95" s="459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8.3545111727989507E-4</v>
      </c>
      <c r="P96" s="155">
        <f ca="1"/>
        <v>1.5914506724118427E-3</v>
      </c>
      <c r="Q96" s="155">
        <f ca="1"/>
        <v>6.265148755624006E-3</v>
      </c>
      <c r="R96" s="155">
        <f ca="1"/>
        <v>1.1928113712413979E-2</v>
      </c>
      <c r="S96" s="155">
        <f ca="1"/>
        <v>0</v>
      </c>
      <c r="T96" s="155">
        <f ca="1"/>
        <v>3.2067035598424831E-2</v>
      </c>
      <c r="U96" s="155">
        <f ca="1"/>
        <v>5.1785860023816022E-2</v>
      </c>
      <c r="V96" s="138">
        <f ca="1"/>
        <v>9.1226087292443192E-2</v>
      </c>
      <c r="W96" s="137">
        <f ca="1"/>
        <v>0</v>
      </c>
      <c r="X96" s="155">
        <f ca="1"/>
        <v>9.2823439486788839E-4</v>
      </c>
      <c r="Y96" s="155">
        <f ca="1"/>
        <v>1.7578382312913865E-3</v>
      </c>
      <c r="Z96" s="155">
        <f ca="1"/>
        <v>6.5963385046622358E-3</v>
      </c>
      <c r="AA96" s="155">
        <f ca="1"/>
        <v>1.2422026167159816E-2</v>
      </c>
      <c r="AB96" s="155">
        <f ca="1"/>
        <v>0</v>
      </c>
      <c r="AC96" s="155">
        <f ca="1"/>
        <v>3.2873310407588674E-2</v>
      </c>
      <c r="AD96" s="155">
        <f ca="1"/>
        <v>5.2916918612793906E-2</v>
      </c>
      <c r="AE96" s="138">
        <f ca="1"/>
        <v>9.2739448995275531E-2</v>
      </c>
      <c r="AG96" s="456"/>
      <c r="AH96" s="458"/>
      <c r="AI96" s="457"/>
      <c r="AJ96" s="459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6.4985556770325026E-4</v>
      </c>
      <c r="P97" s="155">
        <f ca="1"/>
        <v>3.0275338176835032E-3</v>
      </c>
      <c r="Q97" s="155">
        <f ca="1"/>
        <v>9.3798999431037311E-3</v>
      </c>
      <c r="R97" s="155">
        <f ca="1"/>
        <v>1.8110435656792712E-2</v>
      </c>
      <c r="S97" s="155">
        <f ca="1"/>
        <v>0</v>
      </c>
      <c r="T97" s="155">
        <f ca="1"/>
        <v>4.1157244177972729E-2</v>
      </c>
      <c r="U97" s="155">
        <f ca="1"/>
        <v>6.8043218752788959E-2</v>
      </c>
      <c r="V97" s="138">
        <f ca="1"/>
        <v>0.1151427810499247</v>
      </c>
      <c r="W97" s="137">
        <f ca="1"/>
        <v>0</v>
      </c>
      <c r="X97" s="155">
        <f ca="1"/>
        <v>7.4265666409367714E-4</v>
      </c>
      <c r="Y97" s="155">
        <f ca="1"/>
        <v>3.193682049302482E-3</v>
      </c>
      <c r="Z97" s="155">
        <f ca="1"/>
        <v>9.7100516147738958E-3</v>
      </c>
      <c r="AA97" s="155">
        <f ca="1"/>
        <v>1.8601257723228404E-2</v>
      </c>
      <c r="AB97" s="155">
        <f ca="1"/>
        <v>0</v>
      </c>
      <c r="AC97" s="155">
        <f ca="1"/>
        <v>4.1955946968809887E-2</v>
      </c>
      <c r="AD97" s="155">
        <f ca="1"/>
        <v>6.9153744344309542E-2</v>
      </c>
      <c r="AE97" s="138">
        <f ca="1"/>
        <v>0.11666432768713275</v>
      </c>
      <c r="AG97" s="456"/>
      <c r="AH97" s="458"/>
      <c r="AI97" s="457"/>
      <c r="AJ97" s="459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2.7856118988234257E-4</v>
      </c>
      <c r="P98" s="155">
        <f ca="1"/>
        <v>8.8897533929943595E-4</v>
      </c>
      <c r="Q98" s="155">
        <f ca="1"/>
        <v>3.1365436147927639E-3</v>
      </c>
      <c r="R98" s="155">
        <f ca="1"/>
        <v>6.7795414453423186E-3</v>
      </c>
      <c r="S98" s="155">
        <f ca="1"/>
        <v>0</v>
      </c>
      <c r="T98" s="155">
        <f ca="1"/>
        <v>1.8316320211929193E-2</v>
      </c>
      <c r="U98" s="155">
        <f ca="1"/>
        <v>3.3064888540053183E-2</v>
      </c>
      <c r="V98" s="138">
        <f ca="1"/>
        <v>5.9729278874139258E-2</v>
      </c>
      <c r="W98" s="137">
        <f ca="1"/>
        <v>0</v>
      </c>
      <c r="X98" s="155">
        <f ca="1"/>
        <v>3.7139749276848821E-4</v>
      </c>
      <c r="Y98" s="155">
        <f ca="1"/>
        <v>1.0554799676462112E-3</v>
      </c>
      <c r="Z98" s="155">
        <f ca="1"/>
        <v>3.4687760584427574E-3</v>
      </c>
      <c r="AA98" s="155">
        <f ca="1"/>
        <v>7.276027542765684E-3</v>
      </c>
      <c r="AB98" s="155">
        <f ca="1"/>
        <v>0</v>
      </c>
      <c r="AC98" s="155">
        <f ca="1"/>
        <v>1.9134049177342294E-2</v>
      </c>
      <c r="AD98" s="155">
        <f ca="1"/>
        <v>3.4217774769322862E-2</v>
      </c>
      <c r="AE98" s="138">
        <f ca="1"/>
        <v>6.1325250363356787E-2</v>
      </c>
      <c r="AG98" s="456"/>
      <c r="AH98" s="458"/>
      <c r="AI98" s="457"/>
      <c r="AJ98" s="459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1.5311280115709591E-3</v>
      </c>
      <c r="P99" s="155">
        <f ca="1"/>
        <v>4.4886403582067302E-3</v>
      </c>
      <c r="Q99" s="155">
        <f ca="1"/>
        <v>1.1160315954633182E-2</v>
      </c>
      <c r="R99" s="155">
        <f ca="1"/>
        <v>1.8151453389442573E-2</v>
      </c>
      <c r="S99" s="155">
        <f ca="1"/>
        <v>0</v>
      </c>
      <c r="T99" s="155">
        <f ca="1"/>
        <v>3.5638715992796444E-2</v>
      </c>
      <c r="U99" s="155">
        <f ca="1"/>
        <v>5.429838307753998E-2</v>
      </c>
      <c r="V99" s="138">
        <f ca="1"/>
        <v>8.3602592211662552E-2</v>
      </c>
      <c r="W99" s="137">
        <f ca="1"/>
        <v>0</v>
      </c>
      <c r="X99" s="155">
        <f ca="1"/>
        <v>1.623843127476543E-3</v>
      </c>
      <c r="Y99" s="155">
        <f ca="1"/>
        <v>4.6545450923682896E-3</v>
      </c>
      <c r="Z99" s="155">
        <f ca="1"/>
        <v>1.1489874253209131E-2</v>
      </c>
      <c r="AA99" s="155">
        <f ca="1"/>
        <v>1.864225495214622E-2</v>
      </c>
      <c r="AB99" s="155">
        <f ca="1"/>
        <v>0</v>
      </c>
      <c r="AC99" s="155">
        <f ca="1"/>
        <v>3.6442015641441561E-2</v>
      </c>
      <c r="AD99" s="155">
        <f ca="1"/>
        <v>5.5423469845813145E-2</v>
      </c>
      <c r="AE99" s="138">
        <f ca="1"/>
        <v>8.5128649157249048E-2</v>
      </c>
      <c r="AG99" s="456"/>
      <c r="AH99" s="458"/>
      <c r="AI99" s="457"/>
      <c r="AJ99" s="459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3.7139769715544002E-4</v>
      </c>
      <c r="P100" s="155">
        <f ca="1"/>
        <v>1.2448472000856636E-3</v>
      </c>
      <c r="Q100" s="155">
        <f ca="1"/>
        <v>4.1783932157226644E-3</v>
      </c>
      <c r="R100" s="155">
        <f ca="1"/>
        <v>7.2503814835180869E-3</v>
      </c>
      <c r="S100" s="155">
        <f ca="1"/>
        <v>0</v>
      </c>
      <c r="T100" s="155">
        <f ca="1"/>
        <v>1.8213190815406843E-2</v>
      </c>
      <c r="U100" s="155">
        <f ca="1"/>
        <v>3.0345755743950709E-2</v>
      </c>
      <c r="V100" s="138">
        <f ca="1"/>
        <v>5.2217353546536671E-2</v>
      </c>
      <c r="W100" s="137">
        <f ca="1"/>
        <v>0</v>
      </c>
      <c r="X100" s="155">
        <f ca="1"/>
        <v>4.6422525135358939E-4</v>
      </c>
      <c r="Y100" s="155">
        <f ca="1"/>
        <v>1.4112925213842775E-3</v>
      </c>
      <c r="Z100" s="155">
        <f ca="1"/>
        <v>4.5102784340511626E-3</v>
      </c>
      <c r="AA100" s="155">
        <f ca="1"/>
        <v>7.7466322197409232E-3</v>
      </c>
      <c r="AB100" s="155">
        <f ca="1"/>
        <v>0</v>
      </c>
      <c r="AC100" s="155">
        <f ca="1"/>
        <v>1.903100568620919E-2</v>
      </c>
      <c r="AD100" s="155">
        <f ca="1"/>
        <v>3.1500809316497347E-2</v>
      </c>
      <c r="AE100" s="138">
        <f ca="1"/>
        <v>5.3825035624972317E-2</v>
      </c>
      <c r="AG100" s="456"/>
      <c r="AH100" s="458"/>
      <c r="AI100" s="457"/>
      <c r="AJ100" s="459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5.5704488486529868E-4</v>
      </c>
      <c r="P101" s="155">
        <f ca="1"/>
        <v>2.6720932300023925E-3</v>
      </c>
      <c r="Q101" s="155">
        <f ca="1"/>
        <v>7.9910215963165943E-3</v>
      </c>
      <c r="R101" s="155">
        <f ca="1"/>
        <v>1.7664573190580901E-2</v>
      </c>
      <c r="S101" s="155">
        <f ca="1"/>
        <v>0</v>
      </c>
      <c r="T101" s="155">
        <f ca="1"/>
        <v>4.5722041982758532E-2</v>
      </c>
      <c r="U101" s="155">
        <f ca="1"/>
        <v>7.9193252856257002E-2</v>
      </c>
      <c r="V101" s="138">
        <f ca="1"/>
        <v>0.13916665075951162</v>
      </c>
      <c r="W101" s="137">
        <f ca="1"/>
        <v>0</v>
      </c>
      <c r="X101" s="155">
        <f ca="1"/>
        <v>6.4985483622026496E-4</v>
      </c>
      <c r="Y101" s="155">
        <f ca="1"/>
        <v>2.8383006967911406E-3</v>
      </c>
      <c r="Z101" s="155">
        <f ca="1"/>
        <v>8.321636150315892E-3</v>
      </c>
      <c r="AA101" s="155">
        <f ca="1"/>
        <v>1.815561813253308E-2</v>
      </c>
      <c r="AB101" s="155">
        <f ca="1"/>
        <v>0</v>
      </c>
      <c r="AC101" s="155">
        <f ca="1"/>
        <v>4.6516942359960844E-2</v>
      </c>
      <c r="AD101" s="155">
        <f ca="1"/>
        <v>8.0290685834904285E-2</v>
      </c>
      <c r="AE101" s="138">
        <f ca="1"/>
        <v>0.14065847236994311</v>
      </c>
      <c r="AG101" s="456"/>
      <c r="AH101" s="458"/>
      <c r="AI101" s="457"/>
      <c r="AJ101" s="459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3.7139769715544002E-4</v>
      </c>
      <c r="P102" s="155">
        <f ca="1"/>
        <v>8.8671371722182091E-4</v>
      </c>
      <c r="Q102" s="155">
        <f ca="1"/>
        <v>3.1342512747341011E-3</v>
      </c>
      <c r="R102" s="155">
        <f ca="1"/>
        <v>6.2427850950322883E-3</v>
      </c>
      <c r="S102" s="155">
        <f ca="1"/>
        <v>0</v>
      </c>
      <c r="T102" s="155">
        <f ca="1"/>
        <v>1.7452572255110987E-2</v>
      </c>
      <c r="U102" s="155">
        <f ca="1"/>
        <v>3.0576370146061849E-2</v>
      </c>
      <c r="V102" s="138">
        <f ca="1"/>
        <v>5.8273855937362562E-2</v>
      </c>
      <c r="W102" s="137">
        <f ca="1"/>
        <v>0</v>
      </c>
      <c r="X102" s="155">
        <f ca="1"/>
        <v>4.6422525135358939E-4</v>
      </c>
      <c r="Y102" s="155">
        <f ca="1"/>
        <v>1.0532187224753242E-3</v>
      </c>
      <c r="Z102" s="155">
        <f ca="1"/>
        <v>3.4664844823549812E-3</v>
      </c>
      <c r="AA102" s="155">
        <f ca="1"/>
        <v>6.7395395035353411E-3</v>
      </c>
      <c r="AB102" s="155">
        <f ca="1"/>
        <v>0</v>
      </c>
      <c r="AC102" s="155">
        <f ca="1"/>
        <v>1.8271020710659558E-2</v>
      </c>
      <c r="AD102" s="155">
        <f ca="1"/>
        <v>3.1731858545964275E-2</v>
      </c>
      <c r="AE102" s="138">
        <f ca="1"/>
        <v>5.9872086290491233E-2</v>
      </c>
      <c r="AG102" s="456"/>
      <c r="AH102" s="458"/>
      <c r="AI102" s="457"/>
      <c r="AJ102" s="459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4.6422559508285666E-4</v>
      </c>
      <c r="P103" s="155">
        <f ca="1"/>
        <v>8.8445226887701178E-4</v>
      </c>
      <c r="Q103" s="155">
        <f ca="1"/>
        <v>3.1319590768296157E-3</v>
      </c>
      <c r="R103" s="155">
        <f ca="1"/>
        <v>6.7748984864373085E-3</v>
      </c>
      <c r="S103" s="155">
        <f ca="1"/>
        <v>0</v>
      </c>
      <c r="T103" s="155">
        <f ca="1"/>
        <v>1.7411969706308095E-2</v>
      </c>
      <c r="U103" s="155">
        <f ca="1"/>
        <v>3.0535438743240939E-2</v>
      </c>
      <c r="V103" s="138">
        <f ca="1"/>
        <v>4.8519739779501636E-2</v>
      </c>
      <c r="W103" s="137">
        <f ca="1"/>
        <v>0</v>
      </c>
      <c r="X103" s="155">
        <f ca="1"/>
        <v>5.5704436557602044E-4</v>
      </c>
      <c r="Y103" s="155">
        <f ca="1"/>
        <v>1.0509576510076002E-3</v>
      </c>
      <c r="Z103" s="155">
        <f ca="1"/>
        <v>3.4641930484134997E-3</v>
      </c>
      <c r="AA103" s="155">
        <f ca="1"/>
        <v>7.2713869047346114E-3</v>
      </c>
      <c r="AB103" s="155">
        <f ca="1"/>
        <v>0</v>
      </c>
      <c r="AC103" s="155">
        <f ca="1"/>
        <v>1.8230451983247797E-2</v>
      </c>
      <c r="AD103" s="155">
        <f ca="1"/>
        <v>3.1690809284872112E-2</v>
      </c>
      <c r="AE103" s="138">
        <f ca="1"/>
        <v>5.0133978169477733E-2</v>
      </c>
      <c r="AG103" s="456"/>
      <c r="AH103" s="458"/>
      <c r="AI103" s="457"/>
      <c r="AJ103" s="459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2.7856118988234257E-4</v>
      </c>
      <c r="P104" s="155">
        <f ca="1"/>
        <v>1.9632448518657197E-3</v>
      </c>
      <c r="Q104" s="155">
        <f ca="1"/>
        <v>5.2115423085294932E-3</v>
      </c>
      <c r="R104" s="155">
        <f ca="1"/>
        <v>1.0380435989657877E-2</v>
      </c>
      <c r="S104" s="155">
        <f ca="1"/>
        <v>0</v>
      </c>
      <c r="T104" s="155">
        <f ca="1"/>
        <v>2.508577510570642E-2</v>
      </c>
      <c r="U104" s="155">
        <f ca="1"/>
        <v>4.3639941187124109E-2</v>
      </c>
      <c r="V104" s="138">
        <f ca="1"/>
        <v>7.815577177872246E-2</v>
      </c>
      <c r="W104" s="137">
        <f ca="1"/>
        <v>0</v>
      </c>
      <c r="X104" s="155">
        <f ca="1"/>
        <v>3.7139749276848821E-4</v>
      </c>
      <c r="Y104" s="155">
        <f ca="1"/>
        <v>2.1295704502093393E-3</v>
      </c>
      <c r="Z104" s="155">
        <f ca="1"/>
        <v>5.5430832012095532E-3</v>
      </c>
      <c r="AA104" s="155">
        <f ca="1"/>
        <v>1.0875122089842204E-2</v>
      </c>
      <c r="AB104" s="155">
        <f ca="1"/>
        <v>0</v>
      </c>
      <c r="AC104" s="155">
        <f ca="1"/>
        <v>2.5897865208597826E-2</v>
      </c>
      <c r="AD104" s="155">
        <f ca="1"/>
        <v>4.4780238898497471E-2</v>
      </c>
      <c r="AE104" s="138">
        <f ca="1"/>
        <v>7.9717009337630818E-2</v>
      </c>
      <c r="AG104" s="456"/>
      <c r="AH104" s="458"/>
      <c r="AI104" s="457"/>
      <c r="AJ104" s="459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2.7856118988234257E-4</v>
      </c>
      <c r="P105" s="155">
        <f ca="1"/>
        <v>8.8897533929943595E-4</v>
      </c>
      <c r="Q105" s="155">
        <f ca="1"/>
        <v>3.1365436147927639E-3</v>
      </c>
      <c r="R105" s="155">
        <f ca="1"/>
        <v>6.7795414453423186E-3</v>
      </c>
      <c r="S105" s="155">
        <f ca="1"/>
        <v>0</v>
      </c>
      <c r="T105" s="155">
        <f ca="1"/>
        <v>1.8316320211929193E-2</v>
      </c>
      <c r="U105" s="155">
        <f ca="1"/>
        <v>3.3064888540053183E-2</v>
      </c>
      <c r="V105" s="138">
        <f ca="1"/>
        <v>5.9729278874139258E-2</v>
      </c>
      <c r="W105" s="137">
        <f ca="1"/>
        <v>0</v>
      </c>
      <c r="X105" s="155">
        <f ca="1"/>
        <v>3.7139749276848821E-4</v>
      </c>
      <c r="Y105" s="155">
        <f ca="1"/>
        <v>1.0554799676462112E-3</v>
      </c>
      <c r="Z105" s="155">
        <f ca="1"/>
        <v>3.4687760584427574E-3</v>
      </c>
      <c r="AA105" s="155">
        <f ca="1"/>
        <v>7.276027542765684E-3</v>
      </c>
      <c r="AB105" s="155">
        <f ca="1"/>
        <v>0</v>
      </c>
      <c r="AC105" s="155">
        <f ca="1"/>
        <v>1.9134049177342294E-2</v>
      </c>
      <c r="AD105" s="155">
        <f ca="1"/>
        <v>3.4217774769322862E-2</v>
      </c>
      <c r="AE105" s="138">
        <f ca="1"/>
        <v>6.1325250363356787E-2</v>
      </c>
      <c r="AG105" s="456"/>
      <c r="AH105" s="458"/>
      <c r="AI105" s="457"/>
      <c r="AJ105" s="459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8.3545111727989507E-4</v>
      </c>
      <c r="P106" s="155">
        <f ca="1"/>
        <v>1.5914506724118427E-3</v>
      </c>
      <c r="Q106" s="155">
        <f ca="1"/>
        <v>6.265148755624006E-3</v>
      </c>
      <c r="R106" s="155">
        <f ca="1"/>
        <v>1.3526241288902785E-2</v>
      </c>
      <c r="S106" s="155">
        <f ca="1"/>
        <v>0</v>
      </c>
      <c r="T106" s="155">
        <f ca="1"/>
        <v>3.7295020529996892E-2</v>
      </c>
      <c r="U106" s="155">
        <f ca="1"/>
        <v>6.5273485716139779E-2</v>
      </c>
      <c r="V106" s="138">
        <f ca="1"/>
        <v>0.10927458658552791</v>
      </c>
      <c r="W106" s="137">
        <f ca="1"/>
        <v>0</v>
      </c>
      <c r="X106" s="155">
        <f ca="1"/>
        <v>9.2823439486788839E-4</v>
      </c>
      <c r="Y106" s="155">
        <f ca="1"/>
        <v>1.7578382312913865E-3</v>
      </c>
      <c r="Z106" s="155">
        <f ca="1"/>
        <v>6.5963385046622358E-3</v>
      </c>
      <c r="AA106" s="155">
        <f ca="1"/>
        <v>1.4019354879583834E-2</v>
      </c>
      <c r="AB106" s="155">
        <f ca="1"/>
        <v>0</v>
      </c>
      <c r="AC106" s="155">
        <f ca="1"/>
        <v>3.8096940499808274E-2</v>
      </c>
      <c r="AD106" s="155">
        <f ca="1"/>
        <v>6.6388900292593367E-2</v>
      </c>
      <c r="AE106" s="138">
        <f ca="1"/>
        <v>0.11080693035967348</v>
      </c>
      <c r="AG106" s="456"/>
      <c r="AH106" s="458"/>
      <c r="AI106" s="457"/>
      <c r="AJ106" s="459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2.7856118988234257E-4</v>
      </c>
      <c r="P107" s="155">
        <f ca="1"/>
        <v>8.8897533929943595E-4</v>
      </c>
      <c r="Q107" s="155">
        <f ca="1"/>
        <v>4.1931163677889627E-3</v>
      </c>
      <c r="R107" s="155">
        <f ca="1"/>
        <v>8.3332604937490506E-3</v>
      </c>
      <c r="S107" s="155">
        <f ca="1"/>
        <v>0</v>
      </c>
      <c r="T107" s="155">
        <f ca="1"/>
        <v>2.2642393268111793E-2</v>
      </c>
      <c r="U107" s="155">
        <f ca="1"/>
        <v>4.1568157570749498E-2</v>
      </c>
      <c r="V107" s="138">
        <f ca="1"/>
        <v>7.7135580210993204E-2</v>
      </c>
      <c r="W107" s="137">
        <f ca="1"/>
        <v>0</v>
      </c>
      <c r="X107" s="155">
        <f ca="1"/>
        <v>3.7139749276848821E-4</v>
      </c>
      <c r="Y107" s="155">
        <f ca="1"/>
        <v>1.0554799676462112E-3</v>
      </c>
      <c r="Z107" s="155">
        <f ca="1"/>
        <v>4.5249966792263452E-3</v>
      </c>
      <c r="AA107" s="155">
        <f ca="1"/>
        <v>8.8289699258184973E-3</v>
      </c>
      <c r="AB107" s="155">
        <f ca="1"/>
        <v>0</v>
      </c>
      <c r="AC107" s="155">
        <f ca="1"/>
        <v>2.3456518674358051E-2</v>
      </c>
      <c r="AD107" s="155">
        <f ca="1"/>
        <v>4.2711605003508568E-2</v>
      </c>
      <c r="AE107" s="138">
        <f ca="1"/>
        <v>7.8699648360920027E-2</v>
      </c>
      <c r="AH107" s="135"/>
      <c r="AI107" s="457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6.4985556770325026E-4</v>
      </c>
      <c r="P108" s="155">
        <f ca="1"/>
        <v>1.9540021051831502E-3</v>
      </c>
      <c r="Q108" s="155">
        <f ca="1"/>
        <v>6.9602588364758855E-3</v>
      </c>
      <c r="R108" s="155">
        <f ca="1"/>
        <v>1.5081158364255165E-2</v>
      </c>
      <c r="S108" s="155">
        <f ca="1"/>
        <v>0</v>
      </c>
      <c r="T108" s="155">
        <f ca="1"/>
        <v>4.2463028385422485E-2</v>
      </c>
      <c r="U108" s="155">
        <f ca="1"/>
        <v>7.2212696641732799E-2</v>
      </c>
      <c r="V108" s="138">
        <f ca="1"/>
        <v>0.12238985920698009</v>
      </c>
      <c r="W108" s="137">
        <f ca="1"/>
        <v>0</v>
      </c>
      <c r="X108" s="155">
        <f ca="1"/>
        <v>7.4265666409367714E-4</v>
      </c>
      <c r="Y108" s="155">
        <f ca="1"/>
        <v>2.1203292438438659E-3</v>
      </c>
      <c r="Z108" s="155">
        <f ca="1"/>
        <v>7.2912169207981492E-3</v>
      </c>
      <c r="AA108" s="155">
        <f ca="1"/>
        <v>1.5573494690735545E-2</v>
      </c>
      <c r="AB108" s="155">
        <f ca="1"/>
        <v>0</v>
      </c>
      <c r="AC108" s="155">
        <f ca="1"/>
        <v>4.3260643476003446E-2</v>
      </c>
      <c r="AD108" s="155">
        <f ca="1"/>
        <v>7.3319717458943612E-2</v>
      </c>
      <c r="AE108" s="138">
        <f ca="1"/>
        <v>0.1239036085216102</v>
      </c>
      <c r="AH108" s="135"/>
      <c r="AI108" s="457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3.7139769715544002E-4</v>
      </c>
      <c r="P109" s="155">
        <f ca="1"/>
        <v>1.6029205889476206E-3</v>
      </c>
      <c r="Q109" s="155">
        <f ca="1"/>
        <v>4.8698819059787013E-3</v>
      </c>
      <c r="R109" s="155">
        <f ca="1"/>
        <v>8.8068109645643711E-3</v>
      </c>
      <c r="S109" s="155">
        <f ca="1"/>
        <v>0</v>
      </c>
      <c r="T109" s="155">
        <f ca="1"/>
        <v>2.1644288612724161E-2</v>
      </c>
      <c r="U109" s="155">
        <f ca="1"/>
        <v>3.5042597058117519E-2</v>
      </c>
      <c r="V109" s="138">
        <f ca="1"/>
        <v>5.8737726697059678E-2</v>
      </c>
      <c r="W109" s="137">
        <f ca="1"/>
        <v>0</v>
      </c>
      <c r="X109" s="155">
        <f ca="1"/>
        <v>4.6422525135358939E-4</v>
      </c>
      <c r="Y109" s="155">
        <f ca="1"/>
        <v>1.7693062363334233E-3</v>
      </c>
      <c r="Z109" s="155">
        <f ca="1"/>
        <v>5.2015366664852625E-3</v>
      </c>
      <c r="AA109" s="155">
        <f ca="1"/>
        <v>9.3022836805934928E-3</v>
      </c>
      <c r="AB109" s="155">
        <f ca="1"/>
        <v>0</v>
      </c>
      <c r="AC109" s="155">
        <f ca="1"/>
        <v>2.245924542634703E-2</v>
      </c>
      <c r="AD109" s="155">
        <f ca="1"/>
        <v>3.6192227620546968E-2</v>
      </c>
      <c r="AE109" s="138">
        <f ca="1"/>
        <v>6.0333595231762627E-2</v>
      </c>
      <c r="AH109" s="135"/>
      <c r="AI109" s="457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7.4265764477476903E-4</v>
      </c>
      <c r="P110" s="155">
        <f ca="1"/>
        <v>1.4147479991380996E-3</v>
      </c>
      <c r="Q110" s="155">
        <f ca="1"/>
        <v>5.9221736088136412E-3</v>
      </c>
      <c r="R110" s="155">
        <f ca="1"/>
        <v>1.1953682795640908E-2</v>
      </c>
      <c r="S110" s="155">
        <f ca="1"/>
        <v>0</v>
      </c>
      <c r="T110" s="155">
        <f ca="1"/>
        <v>3.6554266572732863E-2</v>
      </c>
      <c r="U110" s="155">
        <f ca="1"/>
        <v>6.4237080179755601E-2</v>
      </c>
      <c r="V110" s="138">
        <f ca="1"/>
        <v>0.11160048133915546</v>
      </c>
      <c r="W110" s="137">
        <f ca="1"/>
        <v>0</v>
      </c>
      <c r="X110" s="155">
        <f ca="1"/>
        <v>8.354498500481311E-4</v>
      </c>
      <c r="Y110" s="155">
        <f ca="1"/>
        <v>1.5811650060093552E-3</v>
      </c>
      <c r="Z110" s="155">
        <f ca="1"/>
        <v>6.2534776638789591E-3</v>
      </c>
      <c r="AA110" s="155">
        <f ca="1"/>
        <v>1.2447582469027774E-2</v>
      </c>
      <c r="AB110" s="155">
        <f ca="1"/>
        <v>0</v>
      </c>
      <c r="AC110" s="155">
        <f ca="1"/>
        <v>3.7356803580364195E-2</v>
      </c>
      <c r="AD110" s="155">
        <f ca="1"/>
        <v>6.535420891815158E-2</v>
      </c>
      <c r="AE110" s="138">
        <f ca="1"/>
        <v>0.11313168648485428</v>
      </c>
      <c r="AH110" s="135"/>
      <c r="AI110" s="457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1.4847645977182911E-3</v>
      </c>
      <c r="P111" s="155">
        <f ca="1"/>
        <v>3.3638806221035766E-3</v>
      </c>
      <c r="Q111" s="155">
        <f ca="1"/>
        <v>8.2922644550883495E-3</v>
      </c>
      <c r="R111" s="155">
        <f ca="1"/>
        <v>1.3874959662451669E-2</v>
      </c>
      <c r="S111" s="155">
        <f ca="1"/>
        <v>0</v>
      </c>
      <c r="T111" s="155">
        <f ca="1"/>
        <v>2.8148499582274944E-2</v>
      </c>
      <c r="U111" s="155">
        <f ca="1"/>
        <v>4.33976248160578E-2</v>
      </c>
      <c r="V111" s="138">
        <f ca="1"/>
        <v>6.9494049381604861E-2</v>
      </c>
      <c r="W111" s="137">
        <f ca="1"/>
        <v>0</v>
      </c>
      <c r="X111" s="155">
        <f ca="1"/>
        <v>1.5774843256372018E-3</v>
      </c>
      <c r="Y111" s="155">
        <f ca="1"/>
        <v>3.5299728005949715E-3</v>
      </c>
      <c r="Z111" s="155">
        <f ca="1"/>
        <v>8.6227786115132821E-3</v>
      </c>
      <c r="AA111" s="155">
        <f ca="1"/>
        <v>1.4367898937543089E-2</v>
      </c>
      <c r="AB111" s="155">
        <f ca="1"/>
        <v>0</v>
      </c>
      <c r="AC111" s="155">
        <f ca="1"/>
        <v>2.8958038477875037E-2</v>
      </c>
      <c r="AD111" s="155">
        <f ca="1"/>
        <v>4.4536063775310386E-2</v>
      </c>
      <c r="AE111" s="138">
        <f ca="1"/>
        <v>7.1068454801479386E-2</v>
      </c>
      <c r="AH111" s="135"/>
      <c r="AI111" s="457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6.4985556770325026E-4</v>
      </c>
      <c r="P112" s="155">
        <f ca="1"/>
        <v>2.49083549834761E-3</v>
      </c>
      <c r="Q112" s="155">
        <f ca="1"/>
        <v>8.6973981986375737E-3</v>
      </c>
      <c r="R112" s="155">
        <f ca="1"/>
        <v>1.8696542692533402E-2</v>
      </c>
      <c r="S112" s="155">
        <f ca="1"/>
        <v>0</v>
      </c>
      <c r="T112" s="155">
        <f ca="1"/>
        <v>4.8261748465876719E-2</v>
      </c>
      <c r="U112" s="155">
        <f ca="1"/>
        <v>8.3871478967066815E-2</v>
      </c>
      <c r="V112" s="138">
        <f ca="1"/>
        <v>0.14536483700571501</v>
      </c>
      <c r="W112" s="137">
        <f ca="1"/>
        <v>0</v>
      </c>
      <c r="X112" s="155">
        <f ca="1"/>
        <v>7.4265666409367714E-4</v>
      </c>
      <c r="Y112" s="155">
        <f ca="1"/>
        <v>2.6570731722421748E-3</v>
      </c>
      <c r="Z112" s="155">
        <f ca="1"/>
        <v>9.0277773329732192E-3</v>
      </c>
      <c r="AA112" s="155">
        <f ca="1"/>
        <v>1.9187071778677733E-2</v>
      </c>
      <c r="AB112" s="155">
        <f ca="1"/>
        <v>0</v>
      </c>
      <c r="AC112" s="155">
        <f ca="1"/>
        <v>4.9054533302606007E-2</v>
      </c>
      <c r="AD112" s="155">
        <f ca="1"/>
        <v>8.4962701280623332E-2</v>
      </c>
      <c r="AE112" s="138">
        <f ca="1"/>
        <v>0.14684731642989834</v>
      </c>
      <c r="AH112" s="135"/>
      <c r="AI112" s="457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1.1137799194392839E-3</v>
      </c>
      <c r="P113" s="155">
        <f ca="1"/>
        <v>3.0157379609644375E-3</v>
      </c>
      <c r="Q113" s="155">
        <f ca="1"/>
        <v>1.0770807597130672E-2</v>
      </c>
      <c r="R113" s="155">
        <f ca="1"/>
        <v>2.1211637199300637E-2</v>
      </c>
      <c r="S113" s="155">
        <f ca="1"/>
        <v>0</v>
      </c>
      <c r="T113" s="155">
        <f ca="1"/>
        <v>4.3480505926091428E-2</v>
      </c>
      <c r="U113" s="155">
        <f ca="1"/>
        <v>7.2528072765291829E-2</v>
      </c>
      <c r="V113" s="138">
        <f ca="1"/>
        <v>0.13056082917698031</v>
      </c>
      <c r="W113" s="137">
        <f ca="1"/>
        <v>0</v>
      </c>
      <c r="X113" s="155">
        <f ca="1"/>
        <v>1.2065361907452887E-3</v>
      </c>
      <c r="Y113" s="155">
        <f ca="1"/>
        <v>3.1818881583938197E-3</v>
      </c>
      <c r="Z113" s="155">
        <f ca="1"/>
        <v>1.1100495710198111E-2</v>
      </c>
      <c r="AA113" s="155">
        <f ca="1"/>
        <v>2.170090905255484E-2</v>
      </c>
      <c r="AB113" s="155">
        <f ca="1"/>
        <v>0</v>
      </c>
      <c r="AC113" s="155">
        <f ca="1"/>
        <v>4.4277273471901579E-2</v>
      </c>
      <c r="AD113" s="155">
        <f ca="1"/>
        <v>7.3632162004259594E-2</v>
      </c>
      <c r="AE113" s="138">
        <f ca="1"/>
        <v>0.13206283729777757</v>
      </c>
      <c r="AH113" s="135"/>
      <c r="AI113" s="457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1.6702053621326929E-3</v>
      </c>
      <c r="P114" s="155">
        <f ca="1"/>
        <v>3.7166154657752859E-3</v>
      </c>
      <c r="Q114" s="155">
        <f ca="1"/>
        <v>7.9235790934784056E-3</v>
      </c>
      <c r="R114" s="155">
        <f ca="1"/>
        <v>1.3874079076088508E-2</v>
      </c>
      <c r="S114" s="155">
        <f ca="1"/>
        <v>0</v>
      </c>
      <c r="T114" s="155">
        <f ca="1"/>
        <v>3.2608053791892022E-2</v>
      </c>
      <c r="U114" s="155">
        <f ca="1"/>
        <v>5.5213310542284955E-2</v>
      </c>
      <c r="V114" s="138">
        <f ca="1"/>
        <v>9.7791991947859369E-2</v>
      </c>
      <c r="W114" s="137">
        <f ca="1"/>
        <v>0</v>
      </c>
      <c r="X114" s="155">
        <f ca="1"/>
        <v>1.7629065821588297E-3</v>
      </c>
      <c r="Y114" s="155">
        <f ca="1"/>
        <v>3.8826488600357534E-3</v>
      </c>
      <c r="Z114" s="155">
        <f ca="1"/>
        <v>8.2542161245525714E-3</v>
      </c>
      <c r="AA114" s="155">
        <f ca="1"/>
        <v>1.436701879134139E-2</v>
      </c>
      <c r="AB114" s="155">
        <f ca="1"/>
        <v>0</v>
      </c>
      <c r="AC114" s="155">
        <f ca="1"/>
        <v>3.3413877940343784E-2</v>
      </c>
      <c r="AD114" s="155">
        <f ca="1"/>
        <v>5.633922148243542E-2</v>
      </c>
      <c r="AE114" s="138">
        <f ca="1"/>
        <v>9.9340664478657081E-2</v>
      </c>
      <c r="AH114" s="135"/>
      <c r="AI114" s="457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5.5704488486529868E-4</v>
      </c>
      <c r="P115" s="155">
        <f ca="1"/>
        <v>1.4193193509048907E-3</v>
      </c>
      <c r="Q115" s="155">
        <f ca="1"/>
        <v>4.871465634139871E-3</v>
      </c>
      <c r="R115" s="155">
        <f ca="1"/>
        <v>9.8755405873667268E-3</v>
      </c>
      <c r="S115" s="155">
        <f ca="1"/>
        <v>0</v>
      </c>
      <c r="T115" s="155">
        <f ca="1"/>
        <v>2.6050143863215025E-2</v>
      </c>
      <c r="U115" s="155">
        <f ca="1"/>
        <v>4.4914971235404777E-2</v>
      </c>
      <c r="V115" s="138">
        <f ca="1"/>
        <v>8.559167160175507E-2</v>
      </c>
      <c r="W115" s="137">
        <f ca="1"/>
        <v>0</v>
      </c>
      <c r="X115" s="155">
        <f ca="1"/>
        <v>6.4985483622026496E-4</v>
      </c>
      <c r="Y115" s="155">
        <f ca="1"/>
        <v>1.5857355959494335E-3</v>
      </c>
      <c r="Z115" s="155">
        <f ca="1"/>
        <v>5.2031198668229806E-3</v>
      </c>
      <c r="AA115" s="155">
        <f ca="1"/>
        <v>1.0370479072154604E-2</v>
      </c>
      <c r="AB115" s="155">
        <f ca="1"/>
        <v>0</v>
      </c>
      <c r="AC115" s="155">
        <f ca="1"/>
        <v>2.6861430660183427E-2</v>
      </c>
      <c r="AD115" s="155">
        <f ca="1"/>
        <v>4.6054199220583625E-2</v>
      </c>
      <c r="AE115" s="138">
        <f ca="1"/>
        <v>8.7161710632174816E-2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8.3545111727989507E-4</v>
      </c>
      <c r="P116" s="155">
        <f ca="1"/>
        <v>1.7704237418953994E-3</v>
      </c>
      <c r="Q116" s="155">
        <f ca="1"/>
        <v>6.2588147465428845E-3</v>
      </c>
      <c r="R116" s="155">
        <f ca="1"/>
        <v>1.0855876064893133E-2</v>
      </c>
      <c r="S116" s="155">
        <f ca="1"/>
        <v>0</v>
      </c>
      <c r="T116" s="155">
        <f ca="1"/>
        <v>2.8566649842739933E-2</v>
      </c>
      <c r="U116" s="155">
        <f ca="1"/>
        <v>4.9651343492487676E-2</v>
      </c>
      <c r="V116" s="138">
        <f ca="1"/>
        <v>9.0125521160166477E-2</v>
      </c>
      <c r="W116" s="137">
        <f ca="1"/>
        <v>0</v>
      </c>
      <c r="X116" s="155">
        <f ca="1"/>
        <v>9.2823439486788839E-4</v>
      </c>
      <c r="Y116" s="155">
        <f ca="1"/>
        <v>1.936781474405902E-3</v>
      </c>
      <c r="Z116" s="155">
        <f ca="1"/>
        <v>6.5900066066006957E-3</v>
      </c>
      <c r="AA116" s="155">
        <f ca="1"/>
        <v>1.1350324504435516E-2</v>
      </c>
      <c r="AB116" s="155">
        <f ca="1"/>
        <v>0</v>
      </c>
      <c r="AC116" s="155">
        <f ca="1"/>
        <v>2.9375840424932576E-2</v>
      </c>
      <c r="AD116" s="155">
        <f ca="1"/>
        <v>5.0784858507021302E-2</v>
      </c>
      <c r="AE116" s="138">
        <f ca="1"/>
        <v>9.1687430197799347E-2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4.6422559508285666E-4</v>
      </c>
      <c r="P117" s="155">
        <f ca="1"/>
        <v>1.2425693066163701E-3</v>
      </c>
      <c r="Q117" s="155">
        <f ca="1"/>
        <v>4.1760773975658694E-3</v>
      </c>
      <c r="R117" s="155">
        <f ca="1"/>
        <v>9.3836291998368182E-3</v>
      </c>
      <c r="S117" s="155">
        <f ca="1"/>
        <v>0</v>
      </c>
      <c r="T117" s="155">
        <f ca="1"/>
        <v>2.5236640412968914E-2</v>
      </c>
      <c r="U117" s="155">
        <f ca="1"/>
        <v>4.249223098173327E-2</v>
      </c>
      <c r="V117" s="138">
        <f ca="1"/>
        <v>8.2331223072000026E-2</v>
      </c>
      <c r="W117" s="137">
        <f ca="1"/>
        <v>0</v>
      </c>
      <c r="X117" s="155">
        <f ca="1"/>
        <v>5.5704436557602044E-4</v>
      </c>
      <c r="Y117" s="155">
        <f ca="1"/>
        <v>1.4090150075465324E-3</v>
      </c>
      <c r="Z117" s="155">
        <f ca="1"/>
        <v>4.5079633876990988E-3</v>
      </c>
      <c r="AA117" s="155">
        <f ca="1"/>
        <v>9.8788135788188125E-3</v>
      </c>
      <c r="AB117" s="155">
        <f ca="1"/>
        <v>0</v>
      </c>
      <c r="AC117" s="155">
        <f ca="1"/>
        <v>2.60486048471259E-2</v>
      </c>
      <c r="AD117" s="155">
        <f ca="1"/>
        <v>4.3634318366941427E-2</v>
      </c>
      <c r="AE117" s="138">
        <f ca="1"/>
        <v>8.385939720130875E-2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1.8571607206241403E-4</v>
      </c>
      <c r="P118" s="155">
        <f ca="1"/>
        <v>8.9123713527383686E-4</v>
      </c>
      <c r="Q118" s="155">
        <f ca="1"/>
        <v>3.4910938118015711E-3</v>
      </c>
      <c r="R118" s="155">
        <f ca="1"/>
        <v>7.8341963387978941E-3</v>
      </c>
      <c r="S118" s="155">
        <f ca="1"/>
        <v>0</v>
      </c>
      <c r="T118" s="155">
        <f ca="1"/>
        <v>2.0023131105939673E-2</v>
      </c>
      <c r="U118" s="155">
        <f ca="1"/>
        <v>3.4096578733891603E-2</v>
      </c>
      <c r="V118" s="138">
        <f ca="1"/>
        <v>6.1211139747053167E-2</v>
      </c>
      <c r="W118" s="137">
        <f ca="1"/>
        <v>0</v>
      </c>
      <c r="X118" s="155">
        <f ca="1"/>
        <v>2.7856108896862075E-4</v>
      </c>
      <c r="Y118" s="155">
        <f ca="1"/>
        <v>1.0577413866776908E-3</v>
      </c>
      <c r="Z118" s="155">
        <f ca="1"/>
        <v>3.8232080917341982E-3</v>
      </c>
      <c r="AA118" s="155">
        <f ca="1"/>
        <v>8.3301552405706802E-3</v>
      </c>
      <c r="AB118" s="155">
        <f ca="1"/>
        <v>0</v>
      </c>
      <c r="AC118" s="155">
        <f ca="1"/>
        <v>2.083943832140589E-2</v>
      </c>
      <c r="AD118" s="155">
        <f ca="1"/>
        <v>3.5247970047508015E-2</v>
      </c>
      <c r="AE118" s="138">
        <f ca="1"/>
        <v>6.2803784505950921E-2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5.5704488486529868E-4</v>
      </c>
      <c r="P119" s="155">
        <f ca="1"/>
        <v>1.5983320934883638E-3</v>
      </c>
      <c r="Q119" s="155">
        <f ca="1"/>
        <v>5.9205716344062909E-3</v>
      </c>
      <c r="R119" s="155">
        <f ca="1"/>
        <v>1.2484935724120017E-2</v>
      </c>
      <c r="S119" s="155">
        <f ca="1"/>
        <v>0</v>
      </c>
      <c r="T119" s="155">
        <f ca="1"/>
        <v>3.2944120272270228E-2</v>
      </c>
      <c r="U119" s="155">
        <f ca="1"/>
        <v>5.9427522364011054E-2</v>
      </c>
      <c r="V119" s="138">
        <f ca="1"/>
        <v>0.11082203869217477</v>
      </c>
      <c r="W119" s="137">
        <f ca="1"/>
        <v>0</v>
      </c>
      <c r="X119" s="155">
        <f ca="1"/>
        <v>6.4985483622026496E-4</v>
      </c>
      <c r="Y119" s="155">
        <f ca="1"/>
        <v>1.7647185055548187E-3</v>
      </c>
      <c r="Z119" s="155">
        <f ca="1"/>
        <v>6.2518762233724212E-3</v>
      </c>
      <c r="AA119" s="155">
        <f ca="1"/>
        <v>1.297856983745016E-2</v>
      </c>
      <c r="AB119" s="155">
        <f ca="1"/>
        <v>0</v>
      </c>
      <c r="AC119" s="155">
        <f ca="1"/>
        <v>3.3749664482021102E-2</v>
      </c>
      <c r="AD119" s="155">
        <f ca="1"/>
        <v>6.0549809588067771E-2</v>
      </c>
      <c r="AE119" s="138">
        <f ca="1"/>
        <v>0.11235704783754896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1.0581203518688076E-3</v>
      </c>
      <c r="P120" s="155">
        <f ca="1"/>
        <v>2.9098460442795737E-3</v>
      </c>
      <c r="Q120" s="155">
        <f ca="1"/>
        <v>8.1797068699075437E-3</v>
      </c>
      <c r="R120" s="155">
        <f ca="1"/>
        <v>1.5079909620993148E-2</v>
      </c>
      <c r="S120" s="155">
        <f ca="1"/>
        <v>0</v>
      </c>
      <c r="T120" s="155">
        <f ca="1"/>
        <v>3.4337571738410344E-2</v>
      </c>
      <c r="U120" s="155">
        <f ca="1"/>
        <v>5.2386974132368258E-2</v>
      </c>
      <c r="V120" s="138">
        <f ca="1"/>
        <v>7.8912502713496147E-2</v>
      </c>
      <c r="W120" s="137">
        <f ca="1"/>
        <v>0</v>
      </c>
      <c r="X120" s="155">
        <f ca="1"/>
        <v>1.1508820515279128E-3</v>
      </c>
      <c r="Y120" s="155">
        <f ca="1"/>
        <v>3.0760138889081023E-3</v>
      </c>
      <c r="Z120" s="155">
        <f ca="1"/>
        <v>8.5102585392612395E-3</v>
      </c>
      <c r="AA120" s="155">
        <f ca="1"/>
        <v>1.5572246571669335E-2</v>
      </c>
      <c r="AB120" s="155">
        <f ca="1"/>
        <v>0</v>
      </c>
      <c r="AC120" s="155">
        <f ca="1"/>
        <v>3.5141955222287136E-2</v>
      </c>
      <c r="AD120" s="155">
        <f ca="1"/>
        <v>5.3515891766639734E-2</v>
      </c>
      <c r="AE120" s="138">
        <f ca="1"/>
        <v>8.0470595984518445E-2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1.0673971614578726E-3</v>
      </c>
      <c r="P121" s="155">
        <f ca="1"/>
        <v>3.2136322455901256E-3</v>
      </c>
      <c r="Q121" s="155">
        <f ca="1"/>
        <v>9.7126039117522156E-3</v>
      </c>
      <c r="R121" s="155">
        <f ca="1"/>
        <v>1.8074490973155943E-2</v>
      </c>
      <c r="S121" s="155">
        <f ca="1"/>
        <v>0</v>
      </c>
      <c r="T121" s="155">
        <f ca="1"/>
        <v>3.9345230099660067E-2</v>
      </c>
      <c r="U121" s="155">
        <f ca="1"/>
        <v>6.1784590914189641E-2</v>
      </c>
      <c r="V121" s="138">
        <f ca="1"/>
        <v>9.5542603353518163E-2</v>
      </c>
      <c r="W121" s="137">
        <f ca="1"/>
        <v>0</v>
      </c>
      <c r="X121" s="155">
        <f ca="1"/>
        <v>1.1601579573663479E-3</v>
      </c>
      <c r="Y121" s="155">
        <f ca="1"/>
        <v>3.3797494633945879E-3</v>
      </c>
      <c r="Z121" s="155">
        <f ca="1"/>
        <v>1.0042644700607006E-2</v>
      </c>
      <c r="AA121" s="155">
        <f ca="1"/>
        <v>1.8565331007447616E-2</v>
      </c>
      <c r="AB121" s="155">
        <f ca="1"/>
        <v>0</v>
      </c>
      <c r="AC121" s="155">
        <f ca="1"/>
        <v>4.0145442273231025E-2</v>
      </c>
      <c r="AD121" s="155">
        <f ca="1"/>
        <v>6.290220772036148E-2</v>
      </c>
      <c r="AE121" s="138">
        <f ca="1"/>
        <v>9.7048776854683383E-2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2.7856118988234257E-4</v>
      </c>
      <c r="P122" s="155">
        <f ca="1"/>
        <v>5.3076529820395013E-4</v>
      </c>
      <c r="Q122" s="155">
        <f ca="1"/>
        <v>2.4440534936602809E-3</v>
      </c>
      <c r="R122" s="155">
        <f ca="1"/>
        <v>5.220265148623171E-3</v>
      </c>
      <c r="S122" s="155">
        <f ca="1"/>
        <v>0</v>
      </c>
      <c r="T122" s="155">
        <f ca="1"/>
        <v>1.4874882661353284E-2</v>
      </c>
      <c r="U122" s="155">
        <f ca="1"/>
        <v>2.7043026316166174E-2</v>
      </c>
      <c r="V122" s="138">
        <f ca="1"/>
        <v>4.9482061054634374E-2</v>
      </c>
      <c r="W122" s="137">
        <f ca="1"/>
        <v>0</v>
      </c>
      <c r="X122" s="155">
        <f ca="1"/>
        <v>3.7139749276848821E-4</v>
      </c>
      <c r="Y122" s="155">
        <f ca="1"/>
        <v>6.973296232443138E-4</v>
      </c>
      <c r="Z122" s="155">
        <f ca="1"/>
        <v>2.7765167288917869E-3</v>
      </c>
      <c r="AA122" s="155">
        <f ca="1"/>
        <v>5.7175306893174627E-3</v>
      </c>
      <c r="AB122" s="155">
        <f ca="1"/>
        <v>0</v>
      </c>
      <c r="AC122" s="155">
        <f ca="1"/>
        <v>1.5695478296816723E-2</v>
      </c>
      <c r="AD122" s="155">
        <f ca="1"/>
        <v>2.8202612680561789E-2</v>
      </c>
      <c r="AE122" s="138">
        <f ca="1"/>
        <v>5.1095992094374543E-2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6.4985556770325026E-4</v>
      </c>
      <c r="P123" s="155">
        <f ca="1"/>
        <v>2.1329615809273506E-3</v>
      </c>
      <c r="Q123" s="155">
        <f ca="1"/>
        <v>6.602405498485342E-3</v>
      </c>
      <c r="R123" s="155">
        <f ca="1"/>
        <v>1.3494700464757314E-2</v>
      </c>
      <c r="S123" s="155">
        <f ca="1"/>
        <v>0</v>
      </c>
      <c r="T123" s="155">
        <f ca="1"/>
        <v>3.28056923392257E-2</v>
      </c>
      <c r="U123" s="155">
        <f ca="1"/>
        <v>5.5413314471597364E-2</v>
      </c>
      <c r="V123" s="138">
        <f ca="1"/>
        <v>9.4221135043008775E-2</v>
      </c>
      <c r="W123" s="137">
        <f ca="1"/>
        <v>0</v>
      </c>
      <c r="X123" s="155">
        <f ca="1"/>
        <v>7.4265666409367714E-4</v>
      </c>
      <c r="Y123" s="155">
        <f ca="1"/>
        <v>2.2992588955043081E-3</v>
      </c>
      <c r="Z123" s="155">
        <f ca="1"/>
        <v>6.9334828473663901E-3</v>
      </c>
      <c r="AA123" s="155">
        <f ca="1"/>
        <v>1.3987829821928588E-2</v>
      </c>
      <c r="AB123" s="155">
        <f ca="1"/>
        <v>0</v>
      </c>
      <c r="AC123" s="155">
        <f ca="1"/>
        <v>3.361135185752806E-2</v>
      </c>
      <c r="AD123" s="155">
        <f ca="1"/>
        <v>5.6539802307065679E-2</v>
      </c>
      <c r="AE123" s="138">
        <f ca="1"/>
        <v>9.5729509157017167E-2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5.5704488486529868E-4</v>
      </c>
      <c r="P124" s="155">
        <f ca="1"/>
        <v>1.4193193509048907E-3</v>
      </c>
      <c r="Q124" s="155">
        <f ca="1"/>
        <v>4.871465634139871E-3</v>
      </c>
      <c r="R124" s="155">
        <f ca="1"/>
        <v>1.0408975229282191E-2</v>
      </c>
      <c r="S124" s="155">
        <f ca="1"/>
        <v>0</v>
      </c>
      <c r="T124" s="155">
        <f ca="1"/>
        <v>2.6906018266553478E-2</v>
      </c>
      <c r="U124" s="155">
        <f ca="1"/>
        <v>4.7377730350479874E-2</v>
      </c>
      <c r="V124" s="138">
        <f ca="1"/>
        <v>8.128206673065419E-2</v>
      </c>
      <c r="W124" s="137">
        <f ca="1"/>
        <v>0</v>
      </c>
      <c r="X124" s="155">
        <f ca="1"/>
        <v>6.4985483622026496E-4</v>
      </c>
      <c r="Y124" s="155">
        <f ca="1"/>
        <v>1.5857355959494335E-3</v>
      </c>
      <c r="Z124" s="155">
        <f ca="1"/>
        <v>5.2031198668229806E-3</v>
      </c>
      <c r="AA124" s="155">
        <f ca="1"/>
        <v>1.0903647063390198E-2</v>
      </c>
      <c r="AB124" s="155">
        <f ca="1"/>
        <v>0</v>
      </c>
      <c r="AC124" s="155">
        <f ca="1"/>
        <v>2.7716592131978968E-2</v>
      </c>
      <c r="AD124" s="155">
        <f ca="1"/>
        <v>4.8514180995058109E-2</v>
      </c>
      <c r="AE124" s="138">
        <f ca="1"/>
        <v>8.2838524934433777E-2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1.9483020672479423E-3</v>
      </c>
      <c r="P125" s="155">
        <f ca="1"/>
        <v>3.7094449343560987E-3</v>
      </c>
      <c r="Q125" s="155">
        <f ca="1"/>
        <v>1.3174171575582649E-2</v>
      </c>
      <c r="R125" s="155">
        <f ca="1"/>
        <v>3.6889454199661165E-2</v>
      </c>
      <c r="S125" s="155">
        <f ca="1"/>
        <v>0</v>
      </c>
      <c r="T125" s="155">
        <f ca="1"/>
        <v>8.1380168394056818E-2</v>
      </c>
      <c r="U125" s="155">
        <f ca="1"/>
        <v>0.13412014320237664</v>
      </c>
      <c r="V125" s="138">
        <f ca="1"/>
        <v>0.21314988300988724</v>
      </c>
      <c r="W125" s="137">
        <f ca="1"/>
        <v>0</v>
      </c>
      <c r="X125" s="155">
        <f ca="1"/>
        <v>2.0409752217086519E-3</v>
      </c>
      <c r="Y125" s="155">
        <f ca="1"/>
        <v>3.8754795235937944E-3</v>
      </c>
      <c r="Z125" s="155">
        <f ca="1"/>
        <v>1.3503058700832571E-2</v>
      </c>
      <c r="AA125" s="155">
        <f ca="1"/>
        <v>3.7370889103801375E-2</v>
      </c>
      <c r="AB125" s="155">
        <f ca="1"/>
        <v>0</v>
      </c>
      <c r="AC125" s="155">
        <f ca="1"/>
        <v>8.2171705235351222E-2</v>
      </c>
      <c r="AD125" s="155">
        <f ca="1"/>
        <v>0.13516797250213053</v>
      </c>
      <c r="AE125" s="138">
        <f ca="1"/>
        <v>0.21451940835431782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1.2992894533422339E-3</v>
      </c>
      <c r="P126" s="155">
        <f ca="1"/>
        <v>3.011020886335869E-3</v>
      </c>
      <c r="Q126" s="155">
        <f ca="1"/>
        <v>1.1116484482870392E-2</v>
      </c>
      <c r="R126" s="155">
        <f ca="1"/>
        <v>2.2779049249506023E-2</v>
      </c>
      <c r="S126" s="155">
        <f ca="1"/>
        <v>0</v>
      </c>
      <c r="T126" s="155">
        <f ca="1"/>
        <v>5.4811240905364489E-2</v>
      </c>
      <c r="U126" s="155">
        <f ca="1"/>
        <v>9.5220348607963579E-2</v>
      </c>
      <c r="V126" s="138">
        <f ca="1"/>
        <v>0.15492140437008028</v>
      </c>
      <c r="W126" s="137">
        <f ca="1"/>
        <v>0</v>
      </c>
      <c r="X126" s="155">
        <f ca="1"/>
        <v>1.3920275306570362E-3</v>
      </c>
      <c r="Y126" s="155">
        <f ca="1"/>
        <v>3.1771718698963003E-3</v>
      </c>
      <c r="Z126" s="155">
        <f ca="1"/>
        <v>1.1446057389506992E-2</v>
      </c>
      <c r="AA126" s="155">
        <f ca="1"/>
        <v>2.3267537592600251E-2</v>
      </c>
      <c r="AB126" s="155">
        <f ca="1"/>
        <v>0</v>
      </c>
      <c r="AC126" s="155">
        <f ca="1"/>
        <v>5.5598570105181877E-2</v>
      </c>
      <c r="AD126" s="155">
        <f ca="1"/>
        <v>9.627530935450046E-2</v>
      </c>
      <c r="AE126" s="138">
        <f ca="1"/>
        <v>0.15638911821134982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2.7856118988234257E-4</v>
      </c>
      <c r="P127" s="155">
        <f ca="1"/>
        <v>1.068057816943524E-3</v>
      </c>
      <c r="Q127" s="155">
        <f ca="1"/>
        <v>3.834802686009442E-3</v>
      </c>
      <c r="R127" s="155">
        <f ca="1"/>
        <v>7.2751786774941651E-3</v>
      </c>
      <c r="S127" s="155">
        <f ca="1"/>
        <v>0</v>
      </c>
      <c r="T127" s="155">
        <f ca="1"/>
        <v>1.9137529108701035E-2</v>
      </c>
      <c r="U127" s="155">
        <f ca="1"/>
        <v>3.1587890740384483E-2</v>
      </c>
      <c r="V127" s="138">
        <f ca="1"/>
        <v>5.3917698797399716E-2</v>
      </c>
      <c r="W127" s="137">
        <f ca="1"/>
        <v>0</v>
      </c>
      <c r="X127" s="155">
        <f ca="1"/>
        <v>3.7139749276848821E-4</v>
      </c>
      <c r="Y127" s="155">
        <f ca="1"/>
        <v>1.2345326006799606E-3</v>
      </c>
      <c r="Z127" s="155">
        <f ca="1"/>
        <v>4.1668024154327687E-3</v>
      </c>
      <c r="AA127" s="155">
        <f ca="1"/>
        <v>7.7714170182489051E-3</v>
      </c>
      <c r="AB127" s="155">
        <f ca="1"/>
        <v>0</v>
      </c>
      <c r="AC127" s="155">
        <f ca="1"/>
        <v>1.9954574018480331E-2</v>
      </c>
      <c r="AD127" s="155">
        <f ca="1"/>
        <v>3.2741789395345111E-2</v>
      </c>
      <c r="AE127" s="138">
        <f ca="1"/>
        <v>5.5522594109374324E-2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4.6422559508285666E-4</v>
      </c>
      <c r="P128" s="155">
        <f ca="1"/>
        <v>1.9586231235175777E-3</v>
      </c>
      <c r="Q128" s="155">
        <f ca="1"/>
        <v>6.6135034255387914E-3</v>
      </c>
      <c r="R128" s="155">
        <f ca="1"/>
        <v>1.2973476416975993E-2</v>
      </c>
      <c r="S128" s="155">
        <f ca="1"/>
        <v>0</v>
      </c>
      <c r="T128" s="155">
        <f ca="1"/>
        <v>3.2857839646196152E-2</v>
      </c>
      <c r="U128" s="155">
        <f ca="1"/>
        <v>5.546593203632677E-2</v>
      </c>
      <c r="V128" s="138">
        <f ca="1"/>
        <v>9.6149912531716009E-2</v>
      </c>
      <c r="W128" s="137">
        <f ca="1"/>
        <v>0</v>
      </c>
      <c r="X128" s="155">
        <f ca="1"/>
        <v>5.5704436557602044E-4</v>
      </c>
      <c r="Y128" s="155">
        <f ca="1"/>
        <v>2.1249494920878575E-3</v>
      </c>
      <c r="Z128" s="155">
        <f ca="1"/>
        <v>6.9445770757061709E-3</v>
      </c>
      <c r="AA128" s="155">
        <f ca="1"/>
        <v>1.3466866321017013E-2</v>
      </c>
      <c r="AB128" s="155">
        <f ca="1"/>
        <v>0</v>
      </c>
      <c r="AC128" s="155">
        <f ca="1"/>
        <v>3.3663455726477332E-2</v>
      </c>
      <c r="AD128" s="155">
        <f ca="1"/>
        <v>5.6592561821182552E-2</v>
      </c>
      <c r="AE128" s="138">
        <f ca="1"/>
        <v>9.7701101317495986E-2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9.282359864184464E-4</v>
      </c>
      <c r="P129" s="155">
        <f ca="1"/>
        <v>2.8415959637621002E-3</v>
      </c>
      <c r="Q129" s="155">
        <f ca="1"/>
        <v>8.326100665567715E-3</v>
      </c>
      <c r="R129" s="155">
        <f ca="1"/>
        <v>1.6036165633914856E-2</v>
      </c>
      <c r="S129" s="155">
        <f ca="1"/>
        <v>0</v>
      </c>
      <c r="T129" s="155">
        <f ca="1"/>
        <v>4.4926793637717788E-2</v>
      </c>
      <c r="U129" s="155">
        <f ca="1"/>
        <v>7.555138051352539E-2</v>
      </c>
      <c r="V129" s="138">
        <f ca="1"/>
        <v>0.12131269566968916</v>
      </c>
      <c r="W129" s="137">
        <f ca="1"/>
        <v>0</v>
      </c>
      <c r="X129" s="155">
        <f ca="1"/>
        <v>1.0210102993825076E-3</v>
      </c>
      <c r="Y129" s="155">
        <f ca="1"/>
        <v>3.0077751824569843E-3</v>
      </c>
      <c r="Z129" s="155">
        <f ca="1"/>
        <v>8.6566035451444145E-3</v>
      </c>
      <c r="AA129" s="155">
        <f ca="1"/>
        <v>1.6528024576120681E-2</v>
      </c>
      <c r="AB129" s="155">
        <f ca="1"/>
        <v>0</v>
      </c>
      <c r="AC129" s="155">
        <f ca="1"/>
        <v>4.5722356445795587E-2</v>
      </c>
      <c r="AD129" s="155">
        <f ca="1"/>
        <v>7.6653873889356072E-2</v>
      </c>
      <c r="AE129" s="138">
        <f ca="1"/>
        <v>0.12282461647271514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6.4985556770325026E-4</v>
      </c>
      <c r="P130" s="155">
        <f ca="1"/>
        <v>1.7750276155927835E-3</v>
      </c>
      <c r="Q130" s="155">
        <f ca="1"/>
        <v>5.9119039026633846E-3</v>
      </c>
      <c r="R130" s="155">
        <f ca="1"/>
        <v>1.2476085715962038E-2</v>
      </c>
      <c r="S130" s="155">
        <f ca="1"/>
        <v>0</v>
      </c>
      <c r="T130" s="155">
        <f ca="1"/>
        <v>3.2934930151411912E-2</v>
      </c>
      <c r="U130" s="155">
        <f ca="1"/>
        <v>5.812712120231156E-2</v>
      </c>
      <c r="V130" s="138">
        <f ca="1"/>
        <v>0.10343772324200928</v>
      </c>
      <c r="W130" s="137">
        <f ca="1"/>
        <v>0</v>
      </c>
      <c r="X130" s="155">
        <f ca="1"/>
        <v>7.4265666409367714E-4</v>
      </c>
      <c r="Y130" s="155">
        <f ca="1"/>
        <v>1.9413845808663455E-3</v>
      </c>
      <c r="Z130" s="155">
        <f ca="1"/>
        <v>6.2432113803736478E-3</v>
      </c>
      <c r="AA130" s="155">
        <f ca="1"/>
        <v>1.2969724253182768E-2</v>
      </c>
      <c r="AB130" s="155">
        <f ca="1"/>
        <v>0</v>
      </c>
      <c r="AC130" s="155">
        <f ca="1"/>
        <v>3.3740482016396012E-2</v>
      </c>
      <c r="AD130" s="155">
        <f ca="1"/>
        <v>5.9250942919898297E-2</v>
      </c>
      <c r="AE130" s="138">
        <f ca="1"/>
        <v>0.10498073788725371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1.0210122534125565E-3</v>
      </c>
      <c r="P131" s="155">
        <f ca="1"/>
        <v>2.6603785986276662E-3</v>
      </c>
      <c r="Q131" s="155">
        <f ca="1"/>
        <v>6.5738633575398442E-3</v>
      </c>
      <c r="R131" s="155">
        <f ca="1"/>
        <v>1.3465572326468722E-2</v>
      </c>
      <c r="S131" s="155">
        <f ca="1"/>
        <v>0</v>
      </c>
      <c r="T131" s="155">
        <f ca="1"/>
        <v>3.2775667226535687E-2</v>
      </c>
      <c r="U131" s="155">
        <f ca="1"/>
        <v>5.6674262656986052E-2</v>
      </c>
      <c r="V131" s="138">
        <f ca="1"/>
        <v>9.7777372320330569E-2</v>
      </c>
      <c r="W131" s="137">
        <f ca="1"/>
        <v>0</v>
      </c>
      <c r="X131" s="155">
        <f ca="1"/>
        <v>1.1137775643985659E-3</v>
      </c>
      <c r="Y131" s="155">
        <f ca="1"/>
        <v>2.8265880177005265E-3</v>
      </c>
      <c r="Z131" s="155">
        <f ca="1"/>
        <v>6.9049502188908152E-3</v>
      </c>
      <c r="AA131" s="155">
        <f ca="1"/>
        <v>1.3958716244038993E-2</v>
      </c>
      <c r="AB131" s="155">
        <f ca="1"/>
        <v>0</v>
      </c>
      <c r="AC131" s="155">
        <f ca="1"/>
        <v>3.358135175535093E-2</v>
      </c>
      <c r="AD131" s="155">
        <f ca="1"/>
        <v>5.7799165983124401E-2</v>
      </c>
      <c r="AE131" s="138">
        <f ca="1"/>
        <v>9.9326143397736488E-2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7.4265764477476903E-4</v>
      </c>
      <c r="P132" s="155">
        <f ca="1"/>
        <v>1.7727255902509897E-3</v>
      </c>
      <c r="Q132" s="155">
        <f ca="1"/>
        <v>6.6127473640757994E-3</v>
      </c>
      <c r="R132" s="155">
        <f ca="1"/>
        <v>1.2440067810354893E-2</v>
      </c>
      <c r="S132" s="155">
        <f ca="1"/>
        <v>0</v>
      </c>
      <c r="T132" s="155">
        <f ca="1"/>
        <v>3.2897528469377546E-2</v>
      </c>
      <c r="U132" s="155">
        <f ca="1"/>
        <v>5.4213774549469185E-2</v>
      </c>
      <c r="V132" s="138">
        <f ca="1"/>
        <v>9.259878523425058E-2</v>
      </c>
      <c r="W132" s="137">
        <f ca="1"/>
        <v>0</v>
      </c>
      <c r="X132" s="155">
        <f ca="1"/>
        <v>8.354498500481311E-4</v>
      </c>
      <c r="Y132" s="155">
        <f ca="1"/>
        <v>1.9390829391621178E-3</v>
      </c>
      <c r="Z132" s="155">
        <f ca="1"/>
        <v>6.9438212662236154E-3</v>
      </c>
      <c r="AA132" s="155">
        <f ca="1"/>
        <v>1.2933724352028109E-2</v>
      </c>
      <c r="AB132" s="155">
        <f ca="1"/>
        <v>0</v>
      </c>
      <c r="AC132" s="155">
        <f ca="1"/>
        <v>3.3703111489418625E-2</v>
      </c>
      <c r="AD132" s="155">
        <f ca="1"/>
        <v>5.534196761810195E-2</v>
      </c>
      <c r="AE132" s="138">
        <f ca="1"/>
        <v>9.4109861012545037E-2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6.4985556770325026E-4</v>
      </c>
      <c r="P133" s="155">
        <f ca="1"/>
        <v>1.4170335872464301E-3</v>
      </c>
      <c r="Q133" s="155">
        <f ca="1"/>
        <v>4.5172187369558747E-3</v>
      </c>
      <c r="R133" s="155">
        <f ca="1"/>
        <v>8.8224603516980915E-3</v>
      </c>
      <c r="S133" s="155">
        <f ca="1"/>
        <v>0</v>
      </c>
      <c r="T133" s="155">
        <f ca="1"/>
        <v>2.3454553823359037E-2</v>
      </c>
      <c r="U133" s="155">
        <f ca="1"/>
        <v>3.7481929573900619E-2</v>
      </c>
      <c r="V133" s="138">
        <f ca="1"/>
        <v>6.7870396396646382E-2</v>
      </c>
      <c r="W133" s="137">
        <f ca="1"/>
        <v>0</v>
      </c>
      <c r="X133" s="155">
        <f ca="1"/>
        <v>7.4265666409367714E-4</v>
      </c>
      <c r="Y133" s="155">
        <f ca="1"/>
        <v>1.5834502132131556E-3</v>
      </c>
      <c r="Z133" s="155">
        <f ca="1"/>
        <v>4.8489910322649932E-3</v>
      </c>
      <c r="AA133" s="155">
        <f ca="1"/>
        <v>9.3179252449709926E-3</v>
      </c>
      <c r="AB133" s="155">
        <f ca="1"/>
        <v>0</v>
      </c>
      <c r="AC133" s="155">
        <f ca="1"/>
        <v>2.4268002711092529E-2</v>
      </c>
      <c r="AD133" s="155">
        <f ca="1"/>
        <v>3.8629129578122812E-2</v>
      </c>
      <c r="AE133" s="138">
        <f ca="1"/>
        <v>6.9450084393945177E-2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2.7856118988234257E-4</v>
      </c>
      <c r="P134" s="155">
        <f ca="1"/>
        <v>1.068057816943524E-3</v>
      </c>
      <c r="Q134" s="155">
        <f ca="1"/>
        <v>4.5389638042747649E-3</v>
      </c>
      <c r="R134" s="155">
        <f ca="1"/>
        <v>9.3781989871384308E-3</v>
      </c>
      <c r="S134" s="155">
        <f ca="1"/>
        <v>0</v>
      </c>
      <c r="T134" s="155">
        <f ca="1"/>
        <v>2.5231036092480452E-2</v>
      </c>
      <c r="U134" s="155">
        <f ca="1"/>
        <v>4.2486559519432698E-2</v>
      </c>
      <c r="V134" s="138">
        <f ca="1"/>
        <v>7.8487029651153284E-2</v>
      </c>
      <c r="W134" s="137">
        <f ca="1"/>
        <v>0</v>
      </c>
      <c r="X134" s="155">
        <f ca="1"/>
        <v>3.7139749276848821E-4</v>
      </c>
      <c r="Y134" s="155">
        <f ca="1"/>
        <v>1.2345326006799606E-3</v>
      </c>
      <c r="Z134" s="155">
        <f ca="1"/>
        <v>4.8707288524364456E-3</v>
      </c>
      <c r="AA134" s="155">
        <f ca="1"/>
        <v>9.8733860805675366E-3</v>
      </c>
      <c r="AB134" s="155">
        <f ca="1"/>
        <v>0</v>
      </c>
      <c r="AC134" s="155">
        <f ca="1"/>
        <v>2.6043005194938518E-2</v>
      </c>
      <c r="AD134" s="155">
        <f ca="1"/>
        <v>4.3628631193601497E-2</v>
      </c>
      <c r="AE134" s="138">
        <f ca="1"/>
        <v>8.0047434929038763E-2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5.5704488486529868E-4</v>
      </c>
      <c r="P135" s="155">
        <f ca="1"/>
        <v>1.5983320934883638E-3</v>
      </c>
      <c r="Q135" s="155">
        <f ca="1"/>
        <v>6.2722385410258763E-3</v>
      </c>
      <c r="R135" s="155">
        <f ca="1"/>
        <v>1.3000859220416272E-2</v>
      </c>
      <c r="S135" s="155">
        <f ca="1"/>
        <v>0</v>
      </c>
      <c r="T135" s="155">
        <f ca="1"/>
        <v>3.3778278709576282E-2</v>
      </c>
      <c r="U135" s="155">
        <f ca="1"/>
        <v>5.7980670603160145E-2</v>
      </c>
      <c r="V135" s="138">
        <f ca="1"/>
        <v>0.10896324590147199</v>
      </c>
      <c r="W135" s="137">
        <f ca="1"/>
        <v>0</v>
      </c>
      <c r="X135" s="155">
        <f ca="1"/>
        <v>6.4985483622026496E-4</v>
      </c>
      <c r="Y135" s="155">
        <f ca="1"/>
        <v>1.7647185055548187E-3</v>
      </c>
      <c r="Z135" s="155">
        <f ca="1"/>
        <v>6.6034259272202966E-3</v>
      </c>
      <c r="AA135" s="155">
        <f ca="1"/>
        <v>1.3494235436456337E-2</v>
      </c>
      <c r="AB135" s="155">
        <f ca="1"/>
        <v>0</v>
      </c>
      <c r="AC135" s="155">
        <f ca="1"/>
        <v>3.4583128076859371E-2</v>
      </c>
      <c r="AD135" s="155">
        <f ca="1"/>
        <v>5.9104594757291351E-2</v>
      </c>
      <c r="AE135" s="138">
        <f ca="1"/>
        <v>0.11050012362479977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1.0952270742498049E-3</v>
      </c>
      <c r="P136" s="155">
        <f ca="1"/>
        <v>2.7121642553423753E-3</v>
      </c>
      <c r="Q136" s="155">
        <f ca="1"/>
        <v>7.1673438981554316E-3</v>
      </c>
      <c r="R136" s="155">
        <f ca="1"/>
        <v>1.2847410202944776E-2</v>
      </c>
      <c r="S136" s="155">
        <f ca="1"/>
        <v>0</v>
      </c>
      <c r="T136" s="155">
        <f ca="1"/>
        <v>2.7429665396884739E-2</v>
      </c>
      <c r="U136" s="155">
        <f ca="1"/>
        <v>4.3276494935419962E-2</v>
      </c>
      <c r="V136" s="138">
        <f ca="1"/>
        <v>6.7893608108648307E-2</v>
      </c>
      <c r="W136" s="137">
        <f ca="1"/>
        <v>0</v>
      </c>
      <c r="X136" s="155">
        <f ca="1"/>
        <v>1.1879851565397281E-3</v>
      </c>
      <c r="Y136" s="155">
        <f ca="1"/>
        <v>2.8783650441820408E-3</v>
      </c>
      <c r="Z136" s="155">
        <f ca="1"/>
        <v>7.4982329655983726E-3</v>
      </c>
      <c r="AA136" s="155">
        <f ca="1"/>
        <v>1.3340863124336355E-2</v>
      </c>
      <c r="AB136" s="155">
        <f ca="1"/>
        <v>0</v>
      </c>
      <c r="AC136" s="155">
        <f ca="1"/>
        <v>2.8239803071461345E-2</v>
      </c>
      <c r="AD136" s="155">
        <f ca="1"/>
        <v>4.4415777414280044E-2</v>
      </c>
      <c r="AE136" s="138">
        <f ca="1"/>
        <v>6.9471781065132965E-2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2.0409837893189398E-3</v>
      </c>
      <c r="P264" s="155">
        <f ca="1"/>
        <v>5.1361265675101686E-3</v>
      </c>
      <c r="Q264" s="155">
        <f ca="1"/>
        <v>1.6613569129885097E-2</v>
      </c>
      <c r="R264" s="155">
        <f ca="1"/>
        <v>3.5579718588078513E-2</v>
      </c>
      <c r="S264" s="155">
        <f ca="1"/>
        <v>6.6508563498184792E-2</v>
      </c>
      <c r="T264" s="155">
        <f ca="1"/>
        <v>0.10210725026445966</v>
      </c>
      <c r="U264" s="155">
        <f ca="1"/>
        <v>0.17546595620766936</v>
      </c>
      <c r="V264" s="138">
        <f ca="1"/>
        <v>0.27551306511737761</v>
      </c>
      <c r="W264" s="137">
        <f ca="1"/>
        <v>0</v>
      </c>
      <c r="X264" s="155">
        <f ca="1"/>
        <v>2.1336475060494964E-3</v>
      </c>
      <c r="Y264" s="155">
        <f ca="1"/>
        <v>5.3019233962926515E-3</v>
      </c>
      <c r="Z264" s="155">
        <f ca="1"/>
        <v>1.6941309980322394E-2</v>
      </c>
      <c r="AA264" s="155">
        <f ca="1"/>
        <v>3.6061808196335976E-2</v>
      </c>
      <c r="AB264" s="155">
        <f ca="1"/>
        <v>6.7130683726078999E-2</v>
      </c>
      <c r="AC264" s="155">
        <f ca="1"/>
        <v>0.10288066817302288</v>
      </c>
      <c r="AD264" s="155">
        <f ca="1"/>
        <v>0.17647864070069663</v>
      </c>
      <c r="AE264" s="138">
        <f ca="1"/>
        <v>0.27679627108282301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5.0022710268402548E-3</v>
      </c>
      <c r="P265" s="155">
        <f ca="1"/>
        <v>9.5107890918716409E-3</v>
      </c>
      <c r="Q265" s="155">
        <f ca="1"/>
        <v>2.7825651684181052E-2</v>
      </c>
      <c r="R265" s="155">
        <f ca="1"/>
        <v>4.982657428816295E-2</v>
      </c>
      <c r="S265" s="155">
        <f ca="1"/>
        <v>0</v>
      </c>
      <c r="T265" s="155">
        <f ca="1"/>
        <v>0.10373871556015735</v>
      </c>
      <c r="U265" s="155">
        <f ca="1"/>
        <v>0.16852069510773338</v>
      </c>
      <c r="V265" s="138">
        <f ca="1"/>
        <v>0.24900845487748113</v>
      </c>
      <c r="W265" s="137">
        <f ca="1"/>
        <v>0</v>
      </c>
      <c r="X265" s="155">
        <f ca="1"/>
        <v>5.0946085512784123E-3</v>
      </c>
      <c r="Y265" s="155">
        <f ca="1"/>
        <v>9.6758568710011428E-3</v>
      </c>
      <c r="Z265" s="155">
        <f ca="1"/>
        <v>2.8149655796581685E-2</v>
      </c>
      <c r="AA265" s="155">
        <f ca="1"/>
        <v>5.0301542249117759E-2</v>
      </c>
      <c r="AB265" s="155">
        <f ca="1"/>
        <v>0</v>
      </c>
      <c r="AC265" s="155">
        <f ca="1"/>
        <v>0.10451055791125652</v>
      </c>
      <c r="AD265" s="155">
        <f ca="1"/>
        <v>0.1695290944819694</v>
      </c>
      <c r="AE265" s="138">
        <f ca="1"/>
        <v>0.25031209683171307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6.4985556770325026E-4</v>
      </c>
      <c r="P269" s="155">
        <f ca="1"/>
        <v>2.49083549834761E-3</v>
      </c>
      <c r="Q269" s="155">
        <f ca="1"/>
        <v>8.6973981986375737E-3</v>
      </c>
      <c r="R269" s="155">
        <f ca="1"/>
        <v>1.8696542692533402E-2</v>
      </c>
      <c r="S269" s="155">
        <f ca="1"/>
        <v>0</v>
      </c>
      <c r="T269" s="155">
        <f ca="1"/>
        <v>4.8261748465876719E-2</v>
      </c>
      <c r="U269" s="155">
        <f ca="1"/>
        <v>8.3871478967066815E-2</v>
      </c>
      <c r="V269" s="138">
        <f ca="1"/>
        <v>0.14536483700571501</v>
      </c>
      <c r="W269" s="137">
        <f ca="1"/>
        <v>0</v>
      </c>
      <c r="X269" s="155">
        <f ca="1"/>
        <v>7.4265666409367714E-4</v>
      </c>
      <c r="Y269" s="155">
        <f ca="1"/>
        <v>2.6570731722421748E-3</v>
      </c>
      <c r="Z269" s="155">
        <f ca="1"/>
        <v>9.0277773329732192E-3</v>
      </c>
      <c r="AA269" s="155">
        <f ca="1"/>
        <v>1.9187071778677733E-2</v>
      </c>
      <c r="AB269" s="155">
        <f ca="1"/>
        <v>0</v>
      </c>
      <c r="AC269" s="155">
        <f ca="1"/>
        <v>4.9054533302606007E-2</v>
      </c>
      <c r="AD269" s="155">
        <f ca="1"/>
        <v>8.4962701280623332E-2</v>
      </c>
      <c r="AE269" s="138">
        <f ca="1"/>
        <v>0.14684731642989834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9.282359864184464E-4</v>
      </c>
      <c r="P274" s="155">
        <f ca="1"/>
        <v>2.8415959637621002E-3</v>
      </c>
      <c r="Q274" s="155">
        <f ca="1"/>
        <v>8.326100665567715E-3</v>
      </c>
      <c r="R274" s="155">
        <f ca="1"/>
        <v>1.6036165633914856E-2</v>
      </c>
      <c r="S274" s="155">
        <f ca="1"/>
        <v>0</v>
      </c>
      <c r="T274" s="155">
        <f ca="1"/>
        <v>4.4926793637717788E-2</v>
      </c>
      <c r="U274" s="155">
        <f ca="1"/>
        <v>7.555138051352539E-2</v>
      </c>
      <c r="V274" s="138">
        <f ca="1"/>
        <v>0.12131269566968916</v>
      </c>
      <c r="W274" s="137">
        <f ca="1"/>
        <v>0</v>
      </c>
      <c r="X274" s="155">
        <f ca="1"/>
        <v>1.0210102993825076E-3</v>
      </c>
      <c r="Y274" s="155">
        <f ca="1"/>
        <v>3.0077751824569843E-3</v>
      </c>
      <c r="Z274" s="155">
        <f ca="1"/>
        <v>8.6566035451444145E-3</v>
      </c>
      <c r="AA274" s="155">
        <f ca="1"/>
        <v>1.6528024576120681E-2</v>
      </c>
      <c r="AB274" s="155">
        <f ca="1"/>
        <v>0</v>
      </c>
      <c r="AC274" s="155">
        <f ca="1"/>
        <v>4.5722356445795587E-2</v>
      </c>
      <c r="AD274" s="155">
        <f ca="1"/>
        <v>7.6653873889356072E-2</v>
      </c>
      <c r="AE274" s="138">
        <f ca="1"/>
        <v>0.12282461647271514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1.7262381747663369E-2</v>
      </c>
      <c r="P276" s="155">
        <f ca="1"/>
        <v>3.2637297704895318E-2</v>
      </c>
      <c r="Q276" s="155">
        <f ca="1"/>
        <v>5.7549962705336188E-2</v>
      </c>
      <c r="R276" s="155">
        <f ca="1"/>
        <v>8.0648311994002131E-2</v>
      </c>
      <c r="S276" s="155">
        <f ca="1"/>
        <v>0</v>
      </c>
      <c r="T276" s="155">
        <f ca="1"/>
        <v>0.11786544801573717</v>
      </c>
      <c r="U276" s="155">
        <f ca="1"/>
        <v>0.16117803552337095</v>
      </c>
      <c r="V276" s="138">
        <f ca="1"/>
        <v>0.22228996944828949</v>
      </c>
      <c r="W276" s="137">
        <f ca="1"/>
        <v>0</v>
      </c>
      <c r="X276" s="155">
        <f ca="1"/>
        <v>1.7344273136985611E-2</v>
      </c>
      <c r="Y276" s="155">
        <f ca="1"/>
        <v>3.2798511387104323E-2</v>
      </c>
      <c r="Z276" s="155">
        <f ca="1"/>
        <v>5.7864060365267034E-2</v>
      </c>
      <c r="AA276" s="155">
        <f ca="1"/>
        <v>8.1107872938187553E-2</v>
      </c>
      <c r="AB276" s="155">
        <f ca="1"/>
        <v>0</v>
      </c>
      <c r="AC276" s="155">
        <f ca="1"/>
        <v>0.11860025393076346</v>
      </c>
      <c r="AD276" s="155">
        <f ca="1"/>
        <v>0.16215609050561208</v>
      </c>
      <c r="AE276" s="138">
        <f ca="1"/>
        <v>0.2235850732795972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7.9548033105876215E-3</v>
      </c>
      <c r="P277" s="155">
        <f ca="1"/>
        <v>1.5104077515710079E-2</v>
      </c>
      <c r="Q277" s="155">
        <f ca="1"/>
        <v>2.9216911068694396E-2</v>
      </c>
      <c r="R277" s="155">
        <f ca="1"/>
        <v>4.4587557415332824E-2</v>
      </c>
      <c r="S277" s="155">
        <f ca="1"/>
        <v>0</v>
      </c>
      <c r="T277" s="155">
        <f ca="1"/>
        <v>7.8043943433171226E-2</v>
      </c>
      <c r="U277" s="155">
        <f ca="1"/>
        <v>0.10698657005880052</v>
      </c>
      <c r="V277" s="138">
        <f ca="1"/>
        <v>0.1487488953351036</v>
      </c>
      <c r="W277" s="137">
        <f ca="1"/>
        <v>0</v>
      </c>
      <c r="X277" s="155">
        <f ca="1"/>
        <v>8.046759389267466E-3</v>
      </c>
      <c r="Y277" s="155">
        <f ca="1"/>
        <v>1.5268213157779265E-2</v>
      </c>
      <c r="Z277" s="155">
        <f ca="1"/>
        <v>2.9540451505278509E-2</v>
      </c>
      <c r="AA277" s="155">
        <f ca="1"/>
        <v>4.5065144229979204E-2</v>
      </c>
      <c r="AB277" s="155">
        <f ca="1"/>
        <v>0</v>
      </c>
      <c r="AC277" s="155">
        <f ca="1"/>
        <v>7.8811920112266898E-2</v>
      </c>
      <c r="AD277" s="155">
        <f ca="1"/>
        <v>0.10802781155145524</v>
      </c>
      <c r="AE277" s="138">
        <f ca="1"/>
        <v>0.15019481495944864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1.1137799194392839E-3</v>
      </c>
      <c r="P279" s="155">
        <f ca="1"/>
        <v>3.0157379609644375E-3</v>
      </c>
      <c r="Q279" s="155">
        <f ca="1"/>
        <v>9.718591528252718E-3</v>
      </c>
      <c r="R279" s="155">
        <f ca="1"/>
        <v>1.8080582519130917E-2</v>
      </c>
      <c r="S279" s="155">
        <f ca="1"/>
        <v>0</v>
      </c>
      <c r="T279" s="155">
        <f ca="1"/>
        <v>3.8463499366897747E-2</v>
      </c>
      <c r="U279" s="155">
        <f ca="1"/>
        <v>6.1888539331350745E-2</v>
      </c>
      <c r="V279" s="138">
        <f ca="1"/>
        <v>0.10506691875895191</v>
      </c>
      <c r="W279" s="137">
        <f ca="1"/>
        <v>0</v>
      </c>
      <c r="X279" s="155">
        <f ca="1"/>
        <v>1.2065361907452887E-3</v>
      </c>
      <c r="Y279" s="155">
        <f ca="1"/>
        <v>3.1818881583938197E-3</v>
      </c>
      <c r="Z279" s="155">
        <f ca="1"/>
        <v>1.0048630321559116E-2</v>
      </c>
      <c r="AA279" s="155">
        <f ca="1"/>
        <v>1.8571419508393028E-2</v>
      </c>
      <c r="AB279" s="155">
        <f ca="1"/>
        <v>0</v>
      </c>
      <c r="AC279" s="155">
        <f ca="1"/>
        <v>3.9264446009959264E-2</v>
      </c>
      <c r="AD279" s="155">
        <f ca="1"/>
        <v>6.3005967086252834E-2</v>
      </c>
      <c r="AE279" s="138">
        <f ca="1"/>
        <v>0.10660194404860202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1.0210122534125565E-3</v>
      </c>
      <c r="P280" s="155">
        <f ca="1"/>
        <v>2.6603785986276662E-3</v>
      </c>
      <c r="Q280" s="155">
        <f ca="1"/>
        <v>6.5738633575398442E-3</v>
      </c>
      <c r="R280" s="155">
        <f ca="1"/>
        <v>1.3465572326468722E-2</v>
      </c>
      <c r="S280" s="155">
        <f ca="1"/>
        <v>0</v>
      </c>
      <c r="T280" s="155">
        <f ca="1"/>
        <v>3.2775667226535687E-2</v>
      </c>
      <c r="U280" s="155">
        <f ca="1"/>
        <v>5.6674262656986052E-2</v>
      </c>
      <c r="V280" s="138">
        <f ca="1"/>
        <v>9.7777372320330569E-2</v>
      </c>
      <c r="W280" s="137">
        <f ca="1"/>
        <v>0</v>
      </c>
      <c r="X280" s="155">
        <f ca="1"/>
        <v>1.1137775643985659E-3</v>
      </c>
      <c r="Y280" s="155">
        <f ca="1"/>
        <v>2.8265880177005265E-3</v>
      </c>
      <c r="Z280" s="155">
        <f ca="1"/>
        <v>6.9049502188908152E-3</v>
      </c>
      <c r="AA280" s="155">
        <f ca="1"/>
        <v>1.3958716244038993E-2</v>
      </c>
      <c r="AB280" s="155">
        <f ca="1"/>
        <v>0</v>
      </c>
      <c r="AC280" s="155">
        <f ca="1"/>
        <v>3.358135175535093E-2</v>
      </c>
      <c r="AD280" s="155">
        <f ca="1"/>
        <v>5.7799165983124401E-2</v>
      </c>
      <c r="AE280" s="138">
        <f ca="1"/>
        <v>9.9326143397736488E-2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1.0210122534125565E-3</v>
      </c>
      <c r="P281" s="155">
        <f ca="1"/>
        <v>2.8392451850541844E-3</v>
      </c>
      <c r="Q281" s="155">
        <f ca="1"/>
        <v>6.9188634908970981E-3</v>
      </c>
      <c r="R281" s="155">
        <f ca="1"/>
        <v>1.4506575893975748E-2</v>
      </c>
      <c r="S281" s="155">
        <f ca="1"/>
        <v>0</v>
      </c>
      <c r="T281" s="155">
        <f ca="1"/>
        <v>3.3562062058157482E-2</v>
      </c>
      <c r="U281" s="155">
        <f ca="1"/>
        <v>5.5180657218111384E-2</v>
      </c>
      <c r="V281" s="138">
        <f ca="1"/>
        <v>9.5862979823795991E-2</v>
      </c>
      <c r="W281" s="137">
        <f ca="1"/>
        <v>0</v>
      </c>
      <c r="X281" s="155">
        <f ca="1"/>
        <v>1.1137775643985659E-3</v>
      </c>
      <c r="Y281" s="155">
        <f ca="1"/>
        <v>3.0054247954978131E-3</v>
      </c>
      <c r="Z281" s="155">
        <f ca="1"/>
        <v>7.2498353713464914E-3</v>
      </c>
      <c r="AA281" s="155">
        <f ca="1"/>
        <v>1.4999199439864164E-2</v>
      </c>
      <c r="AB281" s="155">
        <f ca="1"/>
        <v>0</v>
      </c>
      <c r="AC281" s="155">
        <f ca="1"/>
        <v>3.4367091530929761E-2</v>
      </c>
      <c r="AD281" s="155">
        <f ca="1"/>
        <v>5.6306950374634512E-2</v>
      </c>
      <c r="AE281" s="138">
        <f ca="1"/>
        <v>9.7413548017617035E-2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7.4265764477476903E-4</v>
      </c>
      <c r="P283" s="155">
        <f ca="1"/>
        <v>1.7727255902509897E-3</v>
      </c>
      <c r="Q283" s="155">
        <f ca="1"/>
        <v>6.6127473640757994E-3</v>
      </c>
      <c r="R283" s="155">
        <f ca="1"/>
        <v>1.2440067810354893E-2</v>
      </c>
      <c r="S283" s="155">
        <f ca="1"/>
        <v>0</v>
      </c>
      <c r="T283" s="155">
        <f ca="1"/>
        <v>3.2897528469377546E-2</v>
      </c>
      <c r="U283" s="155">
        <f ca="1"/>
        <v>5.4213774549469185E-2</v>
      </c>
      <c r="V283" s="138">
        <f ca="1"/>
        <v>9.259878523425058E-2</v>
      </c>
      <c r="W283" s="137">
        <f ca="1"/>
        <v>0</v>
      </c>
      <c r="X283" s="155">
        <f ca="1"/>
        <v>8.354498500481311E-4</v>
      </c>
      <c r="Y283" s="155">
        <f ca="1"/>
        <v>1.9390829391621178E-3</v>
      </c>
      <c r="Z283" s="155">
        <f ca="1"/>
        <v>6.9438212662236154E-3</v>
      </c>
      <c r="AA283" s="155">
        <f ca="1"/>
        <v>1.2933724352028109E-2</v>
      </c>
      <c r="AB283" s="155">
        <f ca="1"/>
        <v>0</v>
      </c>
      <c r="AC283" s="155">
        <f ca="1"/>
        <v>3.3703111489418625E-2</v>
      </c>
      <c r="AD283" s="155">
        <f ca="1"/>
        <v>5.534196761810195E-2</v>
      </c>
      <c r="AE283" s="138">
        <f ca="1"/>
        <v>9.4109861012545037E-2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5.5704488486529868E-4</v>
      </c>
      <c r="P286" s="155">
        <f ca="1"/>
        <v>1.4193193509048907E-3</v>
      </c>
      <c r="Q286" s="155">
        <f ca="1"/>
        <v>4.5195420210055737E-3</v>
      </c>
      <c r="R286" s="155">
        <f ca="1"/>
        <v>9.8920648040496939E-3</v>
      </c>
      <c r="S286" s="155">
        <f ca="1"/>
        <v>0</v>
      </c>
      <c r="T286" s="155">
        <f ca="1"/>
        <v>2.6962729863421075E-2</v>
      </c>
      <c r="U286" s="155">
        <f ca="1"/>
        <v>4.8733020090839574E-2</v>
      </c>
      <c r="V286" s="138">
        <f ca="1"/>
        <v>8.6896797717168184E-2</v>
      </c>
      <c r="W286" s="137">
        <f ca="1"/>
        <v>0</v>
      </c>
      <c r="X286" s="155">
        <f ca="1"/>
        <v>6.4985483622026496E-4</v>
      </c>
      <c r="Y286" s="155">
        <f ca="1"/>
        <v>1.5857355959494335E-3</v>
      </c>
      <c r="Z286" s="155">
        <f ca="1"/>
        <v>4.8513135420026332E-3</v>
      </c>
      <c r="AA286" s="155">
        <f ca="1"/>
        <v>1.0386995028795809E-2</v>
      </c>
      <c r="AB286" s="155">
        <f ca="1"/>
        <v>0</v>
      </c>
      <c r="AC286" s="155">
        <f ca="1"/>
        <v>2.7773256488858755E-2</v>
      </c>
      <c r="AD286" s="155">
        <f ca="1"/>
        <v>4.9868196238429863E-2</v>
      </c>
      <c r="AE286" s="138">
        <f ca="1"/>
        <v>8.8442492779167048E-2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4.6422559508285666E-4</v>
      </c>
      <c r="P287" s="155">
        <f ca="1"/>
        <v>1.2425693066163701E-3</v>
      </c>
      <c r="Q287" s="155">
        <f ca="1"/>
        <v>4.5280900813219338E-3</v>
      </c>
      <c r="R287" s="155">
        <f ca="1"/>
        <v>8.8334586469164256E-3</v>
      </c>
      <c r="S287" s="155">
        <f ca="1"/>
        <v>0</v>
      </c>
      <c r="T287" s="155">
        <f ca="1"/>
        <v>2.5259024338311287E-2</v>
      </c>
      <c r="U287" s="155">
        <f ca="1"/>
        <v>4.7713803561839296E-2</v>
      </c>
      <c r="V287" s="138">
        <f ca="1"/>
        <v>8.5449780886814652E-2</v>
      </c>
      <c r="W287" s="137">
        <f ca="1"/>
        <v>0</v>
      </c>
      <c r="X287" s="155">
        <f ca="1"/>
        <v>5.5704436557602044E-4</v>
      </c>
      <c r="Y287" s="155">
        <f ca="1"/>
        <v>1.4090150075465324E-3</v>
      </c>
      <c r="Z287" s="155">
        <f ca="1"/>
        <v>4.859858753441415E-3</v>
      </c>
      <c r="AA287" s="155">
        <f ca="1"/>
        <v>9.3289180424034335E-3</v>
      </c>
      <c r="AB287" s="155">
        <f ca="1"/>
        <v>0</v>
      </c>
      <c r="AC287" s="155">
        <f ca="1"/>
        <v>2.6070970126924164E-2</v>
      </c>
      <c r="AD287" s="155">
        <f ca="1"/>
        <v>4.8850344884189933E-2</v>
      </c>
      <c r="AE287" s="138">
        <f ca="1"/>
        <v>8.6998923489043145E-2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6.4985556770325026E-4</v>
      </c>
      <c r="P288" s="155">
        <f ca="1"/>
        <v>1.4170335872464301E-3</v>
      </c>
      <c r="Q288" s="155">
        <f ca="1"/>
        <v>4.5172187369558747E-3</v>
      </c>
      <c r="R288" s="155">
        <f ca="1"/>
        <v>1.0423183331267127E-2</v>
      </c>
      <c r="S288" s="155">
        <f ca="1"/>
        <v>0</v>
      </c>
      <c r="T288" s="155">
        <f ca="1"/>
        <v>2.8710596036924052E-2</v>
      </c>
      <c r="U288" s="155">
        <f ca="1"/>
        <v>4.8500644363422829E-2</v>
      </c>
      <c r="V288" s="138">
        <f ca="1"/>
        <v>8.4750890845978866E-2</v>
      </c>
      <c r="W288" s="137">
        <f ca="1"/>
        <v>0</v>
      </c>
      <c r="X288" s="155">
        <f ca="1"/>
        <v>7.4265666409367714E-4</v>
      </c>
      <c r="Y288" s="155">
        <f ca="1"/>
        <v>1.5834502132131556E-3</v>
      </c>
      <c r="Z288" s="155">
        <f ca="1"/>
        <v>4.8489910322649932E-3</v>
      </c>
      <c r="AA288" s="155">
        <f ca="1"/>
        <v>1.0917848063114799E-2</v>
      </c>
      <c r="AB288" s="155">
        <f ca="1"/>
        <v>0</v>
      </c>
      <c r="AC288" s="155">
        <f ca="1"/>
        <v>2.9519666713926584E-2</v>
      </c>
      <c r="AD288" s="155">
        <f ca="1"/>
        <v>4.9635997180032865E-2</v>
      </c>
      <c r="AE288" s="138">
        <f ca="1"/>
        <v>8.6300193728987784E-2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6.4985556770325026E-4</v>
      </c>
      <c r="P290" s="155">
        <f ca="1"/>
        <v>1.5960381102448906E-3</v>
      </c>
      <c r="Q290" s="155">
        <f ca="1"/>
        <v>4.5109952047818203E-3</v>
      </c>
      <c r="R290" s="155">
        <f ca="1"/>
        <v>9.34980565490795E-3</v>
      </c>
      <c r="S290" s="155">
        <f ca="1"/>
        <v>0</v>
      </c>
      <c r="T290" s="155">
        <f ca="1"/>
        <v>2.5201751769713066E-2</v>
      </c>
      <c r="U290" s="155">
        <f ca="1"/>
        <v>4.3757215297448249E-2</v>
      </c>
      <c r="V290" s="138">
        <f ca="1"/>
        <v>7.6354363986293805E-2</v>
      </c>
      <c r="W290" s="137">
        <f ca="1"/>
        <v>0</v>
      </c>
      <c r="X290" s="155">
        <f ca="1"/>
        <v>7.4265666409367714E-4</v>
      </c>
      <c r="Y290" s="155">
        <f ca="1"/>
        <v>1.7624249046001017E-3</v>
      </c>
      <c r="Z290" s="155">
        <f ca="1"/>
        <v>4.8427695742649934E-3</v>
      </c>
      <c r="AA290" s="155">
        <f ca="1"/>
        <v>9.8450069414479646E-3</v>
      </c>
      <c r="AB290" s="155">
        <f ca="1"/>
        <v>0</v>
      </c>
      <c r="AC290" s="155">
        <f ca="1"/>
        <v>2.6013745265620836E-2</v>
      </c>
      <c r="AD290" s="155">
        <f ca="1"/>
        <v>4.4897842733041871E-2</v>
      </c>
      <c r="AE290" s="138">
        <f ca="1"/>
        <v>7.7919735155456804E-2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5.5704488486529868E-4</v>
      </c>
      <c r="P291" s="155">
        <f ca="1"/>
        <v>1.2402915881148946E-3</v>
      </c>
      <c r="Q291" s="155">
        <f ca="1"/>
        <v>4.1737617200827692E-3</v>
      </c>
      <c r="R291" s="155">
        <f ca="1"/>
        <v>9.3812694259765017E-3</v>
      </c>
      <c r="S291" s="155">
        <f ca="1"/>
        <v>0</v>
      </c>
      <c r="T291" s="155">
        <f ca="1"/>
        <v>2.4337858393239098E-2</v>
      </c>
      <c r="U291" s="155">
        <f ca="1"/>
        <v>4.2583229580871573E-2</v>
      </c>
      <c r="V291" s="138">
        <f ca="1"/>
        <v>7.6663814564431942E-2</v>
      </c>
      <c r="W291" s="137">
        <f ca="1"/>
        <v>0</v>
      </c>
      <c r="X291" s="155">
        <f ca="1"/>
        <v>6.4985483622026496E-4</v>
      </c>
      <c r="Y291" s="155">
        <f ca="1"/>
        <v>1.4067376686272004E-3</v>
      </c>
      <c r="Z291" s="155">
        <f ca="1"/>
        <v>4.5056484819939735E-3</v>
      </c>
      <c r="AA291" s="155">
        <f ca="1"/>
        <v>9.8764549845390404E-3</v>
      </c>
      <c r="AB291" s="155">
        <f ca="1"/>
        <v>0</v>
      </c>
      <c r="AC291" s="155">
        <f ca="1"/>
        <v>2.515057150042499E-2</v>
      </c>
      <c r="AD291" s="155">
        <f ca="1"/>
        <v>4.372522453288219E-2</v>
      </c>
      <c r="AE291" s="138">
        <f ca="1"/>
        <v>7.8228392896320664E-2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4.2165346121658676E-3</v>
      </c>
      <c r="P293" s="155">
        <f ca="1"/>
        <v>1.003171588384022E-2</v>
      </c>
      <c r="Q293" s="155">
        <f ca="1"/>
        <v>2.7308298380167906E-2</v>
      </c>
      <c r="R293" s="155">
        <f ca="1"/>
        <v>4.9964954988685917E-2</v>
      </c>
      <c r="S293" s="155">
        <f ca="1"/>
        <v>0</v>
      </c>
      <c r="T293" s="155">
        <f ca="1"/>
        <v>0.10376390673595415</v>
      </c>
      <c r="U293" s="155">
        <f ca="1"/>
        <v>0.14669883576486764</v>
      </c>
      <c r="V293" s="138">
        <f ca="1"/>
        <v>0.20960408861983726</v>
      </c>
      <c r="W293" s="137">
        <f ca="1"/>
        <v>0</v>
      </c>
      <c r="X293" s="155">
        <f ca="1"/>
        <v>4.3089636643586227E-3</v>
      </c>
      <c r="Y293" s="155">
        <f ca="1"/>
        <v>1.0196696849065434E-2</v>
      </c>
      <c r="Z293" s="155">
        <f ca="1"/>
        <v>2.7632474914960237E-2</v>
      </c>
      <c r="AA293" s="155">
        <f ca="1"/>
        <v>5.0439853776596988E-2</v>
      </c>
      <c r="AB293" s="155">
        <f ca="1"/>
        <v>0</v>
      </c>
      <c r="AC293" s="155">
        <f ca="1"/>
        <v>0.10453580713284827</v>
      </c>
      <c r="AD293" s="155">
        <f ca="1"/>
        <v>0.14772294483310022</v>
      </c>
      <c r="AE293" s="138">
        <f ca="1"/>
        <v>0.21095685056629487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9.398334901983274E-4</v>
      </c>
      <c r="P294" s="155">
        <f ca="1"/>
        <v>3.0917001841830327E-3</v>
      </c>
      <c r="Q294" s="155">
        <f ca="1"/>
        <v>1.0027502397036647E-2</v>
      </c>
      <c r="R294" s="155">
        <f ca="1"/>
        <v>2.0747489617411463E-2</v>
      </c>
      <c r="S294" s="155">
        <f ca="1"/>
        <v>0</v>
      </c>
      <c r="T294" s="155">
        <f ca="1"/>
        <v>4.6216551013461893E-2</v>
      </c>
      <c r="U294" s="155">
        <f ca="1"/>
        <v>7.1030668991686863E-2</v>
      </c>
      <c r="V294" s="138">
        <f ca="1"/>
        <v>0.10507038781120837</v>
      </c>
      <c r="W294" s="137">
        <f ca="1"/>
        <v>0</v>
      </c>
      <c r="X294" s="155">
        <f ca="1"/>
        <v>1.009413784240798E-3</v>
      </c>
      <c r="Y294" s="155">
        <f ca="1"/>
        <v>3.2163059336361988E-3</v>
      </c>
      <c r="Z294" s="155">
        <f ca="1"/>
        <v>1.0274964587378088E-2</v>
      </c>
      <c r="AA294" s="155">
        <f ca="1"/>
        <v>2.11146404637369E-2</v>
      </c>
      <c r="AB294" s="155">
        <f ca="1"/>
        <v>0</v>
      </c>
      <c r="AC294" s="155">
        <f ca="1"/>
        <v>4.6812479422014386E-2</v>
      </c>
      <c r="AD294" s="155">
        <f ca="1"/>
        <v>7.1859419522825929E-2</v>
      </c>
      <c r="AE294" s="138">
        <f ca="1"/>
        <v>0.10618835095388213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5.2920000172429482E-4</v>
      </c>
      <c r="P295" s="155">
        <f ca="1"/>
        <v>2.2075597045938533E-3</v>
      </c>
      <c r="Q295" s="155">
        <f ca="1"/>
        <v>6.7786900200018652E-3</v>
      </c>
      <c r="R295" s="155">
        <f ca="1"/>
        <v>1.3859477732494963E-2</v>
      </c>
      <c r="S295" s="155">
        <f ca="1"/>
        <v>0</v>
      </c>
      <c r="T295" s="155">
        <f ca="1"/>
        <v>3.455236896950542E-2</v>
      </c>
      <c r="U295" s="155">
        <f ca="1"/>
        <v>5.9183813143511177E-2</v>
      </c>
      <c r="V295" s="138">
        <f ca="1"/>
        <v>0.10834730575674745</v>
      </c>
      <c r="W295" s="137">
        <f ca="1"/>
        <v>0</v>
      </c>
      <c r="X295" s="155">
        <f ca="1"/>
        <v>6.2201260254091117E-4</v>
      </c>
      <c r="Y295" s="155">
        <f ca="1"/>
        <v>2.3738445871844815E-3</v>
      </c>
      <c r="Z295" s="155">
        <f ca="1"/>
        <v>7.1097086171807433E-3</v>
      </c>
      <c r="AA295" s="155">
        <f ca="1"/>
        <v>1.4352424746615799E-2</v>
      </c>
      <c r="AB295" s="155">
        <f ca="1"/>
        <v>0</v>
      </c>
      <c r="AC295" s="155">
        <f ca="1"/>
        <v>3.5356573530247126E-2</v>
      </c>
      <c r="AD295" s="155">
        <f ca="1"/>
        <v>6.0305963838643617E-2</v>
      </c>
      <c r="AE295" s="138">
        <f ca="1"/>
        <v>0.10988360435489797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5.5704488486529868E-4</v>
      </c>
      <c r="P302" s="155">
        <f ca="1"/>
        <v>1.0612488032009093E-3</v>
      </c>
      <c r="Q302" s="155">
        <f ca="1"/>
        <v>4.1799640624465839E-3</v>
      </c>
      <c r="R302" s="155">
        <f ca="1"/>
        <v>9.3875894851583874E-3</v>
      </c>
      <c r="S302" s="155">
        <f ca="1"/>
        <v>0</v>
      </c>
      <c r="T302" s="155">
        <f ca="1"/>
        <v>2.5240729372765447E-2</v>
      </c>
      <c r="U302" s="155">
        <f ca="1"/>
        <v>4.2496363457808939E-2</v>
      </c>
      <c r="V302" s="138">
        <f ca="1"/>
        <v>7.8496993509472812E-2</v>
      </c>
      <c r="W302" s="137">
        <f ca="1"/>
        <v>0</v>
      </c>
      <c r="X302" s="155">
        <f ca="1"/>
        <v>6.4985483622026496E-4</v>
      </c>
      <c r="Y302" s="155">
        <f ca="1"/>
        <v>1.2277247216911924E-3</v>
      </c>
      <c r="Z302" s="155">
        <f ca="1"/>
        <v>4.5118487572539667E-3</v>
      </c>
      <c r="AA302" s="155">
        <f ca="1"/>
        <v>9.8827718845088119E-3</v>
      </c>
      <c r="AB302" s="155">
        <f ca="1"/>
        <v>0</v>
      </c>
      <c r="AC302" s="155">
        <f ca="1"/>
        <v>2.6052690400899858E-2</v>
      </c>
      <c r="AD302" s="155">
        <f ca="1"/>
        <v>4.3638463695677476E-2</v>
      </c>
      <c r="AE302" s="138">
        <f ca="1"/>
        <v>8.0057421249653427E-2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4.6422559508285666E-4</v>
      </c>
      <c r="P304" s="155">
        <f ca="1"/>
        <v>8.8445226887701178E-4</v>
      </c>
      <c r="Q304" s="155">
        <f ca="1"/>
        <v>3.4841924642385891E-3</v>
      </c>
      <c r="R304" s="155">
        <f ca="1"/>
        <v>7.8271843556977361E-3</v>
      </c>
      <c r="S304" s="155">
        <f ca="1"/>
        <v>0</v>
      </c>
      <c r="T304" s="155">
        <f ca="1"/>
        <v>2.2710245593841605E-2</v>
      </c>
      <c r="U304" s="155">
        <f ca="1"/>
        <v>4.033447764033582E-2</v>
      </c>
      <c r="V304" s="138">
        <f ca="1"/>
        <v>6.968657069147699E-2</v>
      </c>
      <c r="W304" s="137">
        <f ca="1"/>
        <v>0</v>
      </c>
      <c r="X304" s="155">
        <f ca="1"/>
        <v>5.5704436557602044E-4</v>
      </c>
      <c r="Y304" s="155">
        <f ca="1"/>
        <v>1.0509576510076002E-3</v>
      </c>
      <c r="Z304" s="155">
        <f ca="1"/>
        <v>3.8163090442263625E-3</v>
      </c>
      <c r="AA304" s="155">
        <f ca="1"/>
        <v>8.3231467625912714E-3</v>
      </c>
      <c r="AB304" s="155">
        <f ca="1"/>
        <v>0</v>
      </c>
      <c r="AC304" s="155">
        <f ca="1"/>
        <v>2.3524314480013242E-2</v>
      </c>
      <c r="AD304" s="155">
        <f ca="1"/>
        <v>4.1479481518045591E-2</v>
      </c>
      <c r="AE304" s="138">
        <f ca="1"/>
        <v>7.1264976373844324E-2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3.7139769715544002E-4</v>
      </c>
      <c r="P305" s="155">
        <f ca="1"/>
        <v>1.0657879713348306E-3</v>
      </c>
      <c r="Q305" s="155">
        <f ca="1"/>
        <v>3.8324944784602355E-3</v>
      </c>
      <c r="R305" s="155">
        <f ca="1"/>
        <v>7.2728501519583322E-3</v>
      </c>
      <c r="S305" s="155">
        <f ca="1"/>
        <v>0</v>
      </c>
      <c r="T305" s="155">
        <f ca="1"/>
        <v>2.0932346344506469E-2</v>
      </c>
      <c r="U305" s="155">
        <f ca="1"/>
        <v>3.9235001636504951E-2</v>
      </c>
      <c r="V305" s="138">
        <f ca="1"/>
        <v>7.1999822911803735E-2</v>
      </c>
      <c r="W305" s="137">
        <f ca="1"/>
        <v>0</v>
      </c>
      <c r="X305" s="155">
        <f ca="1"/>
        <v>4.6422525135358939E-4</v>
      </c>
      <c r="Y305" s="155">
        <f ca="1"/>
        <v>1.2322631333656631E-3</v>
      </c>
      <c r="Z305" s="155">
        <f ca="1"/>
        <v>4.1644949771556528E-3</v>
      </c>
      <c r="AA305" s="155">
        <f ca="1"/>
        <v>7.7690896566697809E-3</v>
      </c>
      <c r="AB305" s="155">
        <f ca="1"/>
        <v>0</v>
      </c>
      <c r="AC305" s="155">
        <f ca="1"/>
        <v>2.1747896196241512E-2</v>
      </c>
      <c r="AD305" s="155">
        <f ca="1"/>
        <v>4.0381232716141691E-2</v>
      </c>
      <c r="AE305" s="138">
        <f ca="1"/>
        <v>7.3573999128134226E-2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3.7139769715544002E-4</v>
      </c>
      <c r="P307" s="155">
        <f ca="1"/>
        <v>1.6029205889476206E-3</v>
      </c>
      <c r="Q307" s="155">
        <f ca="1"/>
        <v>4.8698819059787013E-3</v>
      </c>
      <c r="R307" s="155">
        <f ca="1"/>
        <v>8.8068109645643711E-3</v>
      </c>
      <c r="S307" s="155">
        <f ca="1"/>
        <v>0</v>
      </c>
      <c r="T307" s="155">
        <f ca="1"/>
        <v>2.1644288612724161E-2</v>
      </c>
      <c r="U307" s="155">
        <f ca="1"/>
        <v>3.5042597058117519E-2</v>
      </c>
      <c r="V307" s="138">
        <f ca="1"/>
        <v>5.8737726697059678E-2</v>
      </c>
      <c r="W307" s="137">
        <f ca="1"/>
        <v>0</v>
      </c>
      <c r="X307" s="155">
        <f ca="1"/>
        <v>4.6422525135358939E-4</v>
      </c>
      <c r="Y307" s="155">
        <f ca="1"/>
        <v>1.7693062363334233E-3</v>
      </c>
      <c r="Z307" s="155">
        <f ca="1"/>
        <v>5.2015366664852625E-3</v>
      </c>
      <c r="AA307" s="155">
        <f ca="1"/>
        <v>9.3022836805934928E-3</v>
      </c>
      <c r="AB307" s="155">
        <f ca="1"/>
        <v>0</v>
      </c>
      <c r="AC307" s="155">
        <f ca="1"/>
        <v>2.245924542634703E-2</v>
      </c>
      <c r="AD307" s="155">
        <f ca="1"/>
        <v>3.6192227620546968E-2</v>
      </c>
      <c r="AE307" s="138">
        <f ca="1"/>
        <v>6.0333595231762627E-2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4.6422559508285666E-4</v>
      </c>
      <c r="P308" s="155">
        <f ca="1"/>
        <v>1.2425693066163701E-3</v>
      </c>
      <c r="Q308" s="155">
        <f ca="1"/>
        <v>3.8240060591129277E-3</v>
      </c>
      <c r="R308" s="155">
        <f ca="1"/>
        <v>8.3323722564101477E-3</v>
      </c>
      <c r="S308" s="155">
        <f ca="1"/>
        <v>0</v>
      </c>
      <c r="T308" s="155">
        <f ca="1"/>
        <v>1.9947896135811272E-2</v>
      </c>
      <c r="U308" s="155">
        <f ca="1"/>
        <v>3.53262054884107E-2</v>
      </c>
      <c r="V308" s="138">
        <f ca="1"/>
        <v>6.4824143268306766E-2</v>
      </c>
      <c r="W308" s="137">
        <f ca="1"/>
        <v>0</v>
      </c>
      <c r="X308" s="155">
        <f ca="1"/>
        <v>5.5704436557602044E-4</v>
      </c>
      <c r="Y308" s="155">
        <f ca="1"/>
        <v>1.4090150075465324E-3</v>
      </c>
      <c r="Z308" s="155">
        <f ca="1"/>
        <v>4.1560093867978321E-3</v>
      </c>
      <c r="AA308" s="155">
        <f ca="1"/>
        <v>8.8280821325006364E-3</v>
      </c>
      <c r="AB308" s="155">
        <f ca="1"/>
        <v>0</v>
      </c>
      <c r="AC308" s="155">
        <f ca="1"/>
        <v>2.0764266020970035E-2</v>
      </c>
      <c r="AD308" s="155">
        <f ca="1"/>
        <v>3.6476098143403912E-2</v>
      </c>
      <c r="AE308" s="138">
        <f ca="1"/>
        <v>6.6410334835719897E-2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3.7139769715544002E-4</v>
      </c>
      <c r="P309" s="155">
        <f ca="1"/>
        <v>8.8671371722182091E-4</v>
      </c>
      <c r="Q309" s="155">
        <f ca="1"/>
        <v>3.1342512747341011E-3</v>
      </c>
      <c r="R309" s="155">
        <f ca="1"/>
        <v>7.3115656659622497E-3</v>
      </c>
      <c r="S309" s="155">
        <f ca="1"/>
        <v>0</v>
      </c>
      <c r="T309" s="155">
        <f ca="1"/>
        <v>1.8275581900230375E-2</v>
      </c>
      <c r="U309" s="155">
        <f ca="1"/>
        <v>3.4330614462252163E-2</v>
      </c>
      <c r="V309" s="138">
        <f ca="1"/>
        <v>5.9509953490007095E-2</v>
      </c>
      <c r="W309" s="137">
        <f ca="1"/>
        <v>0</v>
      </c>
      <c r="X309" s="155">
        <f ca="1"/>
        <v>4.6422525135358939E-4</v>
      </c>
      <c r="Y309" s="155">
        <f ca="1"/>
        <v>1.0532187224753242E-3</v>
      </c>
      <c r="Z309" s="155">
        <f ca="1"/>
        <v>3.4664844823549812E-3</v>
      </c>
      <c r="AA309" s="155">
        <f ca="1"/>
        <v>7.8077858177647563E-3</v>
      </c>
      <c r="AB309" s="155">
        <f ca="1"/>
        <v>0</v>
      </c>
      <c r="AC309" s="155">
        <f ca="1"/>
        <v>1.9093344800125478E-2</v>
      </c>
      <c r="AD309" s="155">
        <f ca="1"/>
        <v>3.5482095181425422E-2</v>
      </c>
      <c r="AE309" s="138">
        <f ca="1"/>
        <v>6.1106534716229621E-2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4.6422559508285666E-4</v>
      </c>
      <c r="P310" s="155">
        <f ca="1"/>
        <v>1.0635183000881065E-3</v>
      </c>
      <c r="Q310" s="155">
        <f ca="1"/>
        <v>4.1822800913825509E-3</v>
      </c>
      <c r="R310" s="155">
        <f ca="1"/>
        <v>8.3222952888234447E-3</v>
      </c>
      <c r="S310" s="155">
        <f ca="1"/>
        <v>0</v>
      </c>
      <c r="T310" s="155">
        <f ca="1"/>
        <v>1.9937633159288204E-2</v>
      </c>
      <c r="U310" s="155">
        <f ca="1"/>
        <v>3.2704530148225275E-2</v>
      </c>
      <c r="V310" s="138">
        <f ca="1"/>
        <v>5.7428800019142745E-2</v>
      </c>
      <c r="W310" s="137">
        <f ca="1"/>
        <v>0</v>
      </c>
      <c r="X310" s="155">
        <f ca="1"/>
        <v>5.5704436557602044E-4</v>
      </c>
      <c r="Y310" s="155">
        <f ca="1"/>
        <v>1.2299938403631527E-3</v>
      </c>
      <c r="Z310" s="155">
        <f ca="1"/>
        <v>4.5141640142958295E-3</v>
      </c>
      <c r="AA310" s="155">
        <f ca="1"/>
        <v>8.8180102021115925E-3</v>
      </c>
      <c r="AB310" s="155">
        <f ca="1"/>
        <v>0</v>
      </c>
      <c r="AC310" s="155">
        <f ca="1"/>
        <v>2.0754011593358879E-2</v>
      </c>
      <c r="AD310" s="155">
        <f ca="1"/>
        <v>3.3856904747403549E-2</v>
      </c>
      <c r="AE310" s="138">
        <f ca="1"/>
        <v>5.9027335694872507E-2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2.7856118988234257E-4</v>
      </c>
      <c r="P311" s="155">
        <f ca="1"/>
        <v>8.8897533929943595E-4</v>
      </c>
      <c r="Q311" s="155">
        <f ca="1"/>
        <v>3.1365436147927639E-3</v>
      </c>
      <c r="R311" s="155">
        <f ca="1"/>
        <v>6.7795414453423186E-3</v>
      </c>
      <c r="S311" s="155">
        <f ca="1"/>
        <v>0</v>
      </c>
      <c r="T311" s="155">
        <f ca="1"/>
        <v>1.8316320211929193E-2</v>
      </c>
      <c r="U311" s="155">
        <f ca="1"/>
        <v>3.3064888540053183E-2</v>
      </c>
      <c r="V311" s="138">
        <f ca="1"/>
        <v>5.9729278874139258E-2</v>
      </c>
      <c r="W311" s="137">
        <f ca="1"/>
        <v>0</v>
      </c>
      <c r="X311" s="155">
        <f ca="1"/>
        <v>3.7139749276848821E-4</v>
      </c>
      <c r="Y311" s="155">
        <f ca="1"/>
        <v>1.0554799676462112E-3</v>
      </c>
      <c r="Z311" s="155">
        <f ca="1"/>
        <v>3.4687760584427574E-3</v>
      </c>
      <c r="AA311" s="155">
        <f ca="1"/>
        <v>7.276027542765684E-3</v>
      </c>
      <c r="AB311" s="155">
        <f ca="1"/>
        <v>0</v>
      </c>
      <c r="AC311" s="155">
        <f ca="1"/>
        <v>1.9134049177342294E-2</v>
      </c>
      <c r="AD311" s="155">
        <f ca="1"/>
        <v>3.4217774769322862E-2</v>
      </c>
      <c r="AE311" s="138">
        <f ca="1"/>
        <v>6.1325250363356787E-2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1.5658991619381668E-3</v>
      </c>
      <c r="P313" s="155">
        <f ca="1"/>
        <v>3.9873918131383412E-3</v>
      </c>
      <c r="Q313" s="155">
        <f ca="1"/>
        <v>1.1686029942564846E-2</v>
      </c>
      <c r="R313" s="155">
        <f ca="1"/>
        <v>2.16032962273911E-2</v>
      </c>
      <c r="S313" s="155">
        <f ca="1"/>
        <v>0</v>
      </c>
      <c r="T313" s="155">
        <f ca="1"/>
        <v>4.7983677625695109E-2</v>
      </c>
      <c r="U313" s="155">
        <f ca="1"/>
        <v>7.2500906070267379E-2</v>
      </c>
      <c r="V313" s="138">
        <f ca="1"/>
        <v>0.11065933652016813</v>
      </c>
      <c r="W313" s="137">
        <f ca="1"/>
        <v>0</v>
      </c>
      <c r="X313" s="155">
        <f ca="1"/>
        <v>1.6354324910922147E-3</v>
      </c>
      <c r="Y313" s="155">
        <f ca="1"/>
        <v>4.1118856081472366E-3</v>
      </c>
      <c r="Z313" s="155">
        <f ca="1"/>
        <v>1.1933077552842009E-2</v>
      </c>
      <c r="AA313" s="155">
        <f ca="1"/>
        <v>2.1970126206398932E-2</v>
      </c>
      <c r="AB313" s="155">
        <f ca="1"/>
        <v>0</v>
      </c>
      <c r="AC313" s="155">
        <f ca="1"/>
        <v>4.8578501925196527E-2</v>
      </c>
      <c r="AD313" s="155">
        <f ca="1"/>
        <v>7.3312112822758624E-2</v>
      </c>
      <c r="AE313" s="138">
        <f ca="1"/>
        <v>0.11180211961315012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9.6070865831099361E-4</v>
      </c>
      <c r="P316" s="155">
        <f ca="1"/>
        <v>2.8228866530979335E-3</v>
      </c>
      <c r="Q316" s="155">
        <f ca="1"/>
        <v>8.1152349247608502E-3</v>
      </c>
      <c r="R316" s="155">
        <f ca="1"/>
        <v>1.5195525352403427E-2</v>
      </c>
      <c r="S316" s="155">
        <f ca="1"/>
        <v>0</v>
      </c>
      <c r="T316" s="155">
        <f ca="1"/>
        <v>3.2779922218145852E-2</v>
      </c>
      <c r="U316" s="155">
        <f ca="1"/>
        <v>5.210356310633546E-2</v>
      </c>
      <c r="V316" s="138">
        <f ca="1"/>
        <v>8.248142715538509E-2</v>
      </c>
      <c r="W316" s="137">
        <f ca="1"/>
        <v>0</v>
      </c>
      <c r="X316" s="155">
        <f ca="1"/>
        <v>1.0302874150616148E-3</v>
      </c>
      <c r="Y316" s="155">
        <f ca="1"/>
        <v>2.9475260021386562E-3</v>
      </c>
      <c r="Z316" s="155">
        <f ca="1"/>
        <v>8.3631751222135176E-3</v>
      </c>
      <c r="AA316" s="155">
        <f ca="1"/>
        <v>1.5564757794979234E-2</v>
      </c>
      <c r="AB316" s="155">
        <f ca="1"/>
        <v>0</v>
      </c>
      <c r="AC316" s="155">
        <f ca="1"/>
        <v>3.3384245895943798E-2</v>
      </c>
      <c r="AD316" s="155">
        <f ca="1"/>
        <v>5.2949752534532601E-2</v>
      </c>
      <c r="AE316" s="138">
        <f ca="1"/>
        <v>8.3627608858686253E-2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1.0511626882298009E-3</v>
      </c>
      <c r="P317" s="155">
        <f ca="1"/>
        <v>2.8340098059057572E-3</v>
      </c>
      <c r="Q317" s="155">
        <f ca="1"/>
        <v>7.6646777178185355E-3</v>
      </c>
      <c r="R317" s="155">
        <f ca="1"/>
        <v>1.4296870481931068E-2</v>
      </c>
      <c r="S317" s="155">
        <f ca="1"/>
        <v>0</v>
      </c>
      <c r="T317" s="155">
        <f ca="1"/>
        <v>3.2200369144765317E-2</v>
      </c>
      <c r="U317" s="155">
        <f ca="1"/>
        <v>5.1101180536668345E-2</v>
      </c>
      <c r="V317" s="138">
        <f ca="1"/>
        <v>7.9942978592421166E-2</v>
      </c>
      <c r="W317" s="137">
        <f ca="1"/>
        <v>0</v>
      </c>
      <c r="X317" s="155">
        <f ca="1"/>
        <v>1.1207347614458074E-3</v>
      </c>
      <c r="Y317" s="155">
        <f ca="1"/>
        <v>2.958647764647715E-3</v>
      </c>
      <c r="Z317" s="155">
        <f ca="1"/>
        <v>7.9127305404944615E-3</v>
      </c>
      <c r="AA317" s="155">
        <f ca="1"/>
        <v>1.4666439856895197E-2</v>
      </c>
      <c r="AB317" s="155">
        <f ca="1"/>
        <v>0</v>
      </c>
      <c r="AC317" s="155">
        <f ca="1"/>
        <v>3.2805054930080568E-2</v>
      </c>
      <c r="AD317" s="155">
        <f ca="1"/>
        <v>5.1948455419480011E-2</v>
      </c>
      <c r="AE317" s="138">
        <f ca="1"/>
        <v>8.1092331374031712E-2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1.1045035398281611E-3</v>
      </c>
      <c r="P321" s="155">
        <f ca="1"/>
        <v>2.5330600788711077E-3</v>
      </c>
      <c r="Q321" s="155">
        <f ca="1"/>
        <v>6.6113198627973935E-3</v>
      </c>
      <c r="R321" s="155">
        <f ca="1"/>
        <v>1.1975257829312191E-2</v>
      </c>
      <c r="S321" s="155">
        <f ca="1"/>
        <v>0</v>
      </c>
      <c r="T321" s="155">
        <f ca="1"/>
        <v>2.663662308405168E-2</v>
      </c>
      <c r="U321" s="155">
        <f ca="1"/>
        <v>4.2043040934403919E-2</v>
      </c>
      <c r="V321" s="138">
        <f ca="1"/>
        <v>6.6361284367140949E-2</v>
      </c>
      <c r="W321" s="137">
        <f ca="1"/>
        <v>0</v>
      </c>
      <c r="X321" s="155">
        <f ca="1"/>
        <v>1.1972607168343474E-3</v>
      </c>
      <c r="Y321" s="155">
        <f ca="1"/>
        <v>2.6992907159224533E-3</v>
      </c>
      <c r="Z321" s="155">
        <f ca="1"/>
        <v>6.9423942407298433E-3</v>
      </c>
      <c r="AA321" s="155">
        <f ca="1"/>
        <v>1.2469146717874136E-2</v>
      </c>
      <c r="AB321" s="155">
        <f ca="1"/>
        <v>0</v>
      </c>
      <c r="AC321" s="155">
        <f ca="1"/>
        <v>2.7447421351942669E-2</v>
      </c>
      <c r="AD321" s="155">
        <f ca="1"/>
        <v>4.3183984697328315E-2</v>
      </c>
      <c r="AE321" s="138">
        <f ca="1"/>
        <v>6.7942470509798514E-2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4.6422559508285666E-4</v>
      </c>
      <c r="P322" s="155">
        <f ca="1"/>
        <v>1.4216052903200938E-3</v>
      </c>
      <c r="Q322" s="155">
        <f ca="1"/>
        <v>4.1698750968857112E-3</v>
      </c>
      <c r="R322" s="155">
        <f ca="1"/>
        <v>8.3097435647113693E-3</v>
      </c>
      <c r="S322" s="155">
        <f ca="1"/>
        <v>0</v>
      </c>
      <c r="T322" s="155">
        <f ca="1"/>
        <v>2.261819186603764E-2</v>
      </c>
      <c r="U322" s="155">
        <f ca="1"/>
        <v>3.8938418556627497E-2</v>
      </c>
      <c r="V322" s="138">
        <f ca="1"/>
        <v>6.2055557378828174E-2</v>
      </c>
      <c r="W322" s="137">
        <f ca="1"/>
        <v>0</v>
      </c>
      <c r="X322" s="155">
        <f ca="1"/>
        <v>5.5704436557602044E-4</v>
      </c>
      <c r="Y322" s="155">
        <f ca="1"/>
        <v>1.5880211543956024E-3</v>
      </c>
      <c r="Z322" s="155">
        <f ca="1"/>
        <v>4.5017631540871239E-3</v>
      </c>
      <c r="AA322" s="155">
        <f ca="1"/>
        <v>8.805464752301817E-3</v>
      </c>
      <c r="AB322" s="155">
        <f ca="1"/>
        <v>0</v>
      </c>
      <c r="AC322" s="155">
        <f ca="1"/>
        <v>2.3432337431722794E-2</v>
      </c>
      <c r="AD322" s="155">
        <f ca="1"/>
        <v>4.00844755432328E-2</v>
      </c>
      <c r="AE322" s="138">
        <f ca="1"/>
        <v>6.3646706715448809E-2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2.7856118988234257E-4</v>
      </c>
      <c r="P324" s="155">
        <f ca="1"/>
        <v>8.8897533929943595E-4</v>
      </c>
      <c r="Q324" s="155">
        <f ca="1"/>
        <v>3.4887932217072537E-3</v>
      </c>
      <c r="R324" s="155">
        <f ca="1"/>
        <v>7.8318588667354305E-3</v>
      </c>
      <c r="S324" s="155">
        <f ca="1"/>
        <v>0</v>
      </c>
      <c r="T324" s="155">
        <f ca="1"/>
        <v>2.0020742162318528E-2</v>
      </c>
      <c r="U324" s="155">
        <f ca="1"/>
        <v>3.5399872321176806E-2</v>
      </c>
      <c r="V324" s="138">
        <f ca="1"/>
        <v>5.9095183294807563E-2</v>
      </c>
      <c r="W324" s="137">
        <f ca="1"/>
        <v>0</v>
      </c>
      <c r="X324" s="155">
        <f ca="1"/>
        <v>3.7139749276848821E-4</v>
      </c>
      <c r="Y324" s="155">
        <f ca="1"/>
        <v>1.0554799676462112E-3</v>
      </c>
      <c r="Z324" s="155">
        <f ca="1"/>
        <v>3.8209082684037554E-3</v>
      </c>
      <c r="AA324" s="155">
        <f ca="1"/>
        <v>8.3278189369587752E-3</v>
      </c>
      <c r="AB324" s="155">
        <f ca="1"/>
        <v>0</v>
      </c>
      <c r="AC324" s="155">
        <f ca="1"/>
        <v>2.0837051367791459E-2</v>
      </c>
      <c r="AD324" s="155">
        <f ca="1"/>
        <v>3.6549983401938269E-2</v>
      </c>
      <c r="AE324" s="138">
        <f ca="1"/>
        <v>6.0691875518401828E-2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6.5449587592181224E-4</v>
      </c>
      <c r="P328" s="155">
        <f ca="1"/>
        <v>1.3408380081098015E-3</v>
      </c>
      <c r="Q328" s="155">
        <f ca="1"/>
        <v>5.249925852454318E-3</v>
      </c>
      <c r="R328" s="155">
        <f ca="1"/>
        <v>1.1764385127325139E-2</v>
      </c>
      <c r="S328" s="155">
        <f ca="1"/>
        <v>0</v>
      </c>
      <c r="T328" s="155">
        <f ca="1"/>
        <v>3.125628312944928E-2</v>
      </c>
      <c r="U328" s="155">
        <f ca="1"/>
        <v>4.9698751143599118E-2</v>
      </c>
      <c r="V328" s="138">
        <f ca="1"/>
        <v>7.9318647456582347E-2</v>
      </c>
      <c r="W328" s="137">
        <f ca="1"/>
        <v>0</v>
      </c>
      <c r="X328" s="155">
        <f ca="1"/>
        <v>7.2409699033137986E-4</v>
      </c>
      <c r="Y328" s="155">
        <f ca="1"/>
        <v>1.4656626016679164E-3</v>
      </c>
      <c r="Z328" s="155">
        <f ca="1"/>
        <v>5.4985822876268964E-3</v>
      </c>
      <c r="AA328" s="155">
        <f ca="1"/>
        <v>1.2134904006283476E-2</v>
      </c>
      <c r="AB328" s="155">
        <f ca="1"/>
        <v>0</v>
      </c>
      <c r="AC328" s="155">
        <f ca="1"/>
        <v>3.1861558784111677E-2</v>
      </c>
      <c r="AD328" s="155">
        <f ca="1"/>
        <v>5.054832160917877E-2</v>
      </c>
      <c r="AE328" s="138">
        <f ca="1"/>
        <v>8.046878016452319E-2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8.8416424624260248E-4</v>
      </c>
      <c r="P329" s="155">
        <f ca="1"/>
        <v>2.3820695678495873E-3</v>
      </c>
      <c r="Q329" s="155">
        <f ca="1"/>
        <v>6.7367269823676024E-3</v>
      </c>
      <c r="R329" s="155">
        <f ca="1"/>
        <v>1.2726729144550308E-2</v>
      </c>
      <c r="S329" s="155">
        <f ca="1"/>
        <v>0</v>
      </c>
      <c r="T329" s="155">
        <f ca="1"/>
        <v>2.9714967796000913E-2</v>
      </c>
      <c r="U329" s="155">
        <f ca="1"/>
        <v>4.7890244451058828E-2</v>
      </c>
      <c r="V329" s="138">
        <f ca="1"/>
        <v>7.5197822038464368E-2</v>
      </c>
      <c r="W329" s="137">
        <f ca="1"/>
        <v>0</v>
      </c>
      <c r="X329" s="155">
        <f ca="1"/>
        <v>9.5374863033603763E-4</v>
      </c>
      <c r="Y329" s="155">
        <f ca="1"/>
        <v>2.5067640155873594E-3</v>
      </c>
      <c r="Z329" s="155">
        <f ca="1"/>
        <v>6.9850117637417775E-3</v>
      </c>
      <c r="AA329" s="155">
        <f ca="1"/>
        <v>1.3096887212139308E-2</v>
      </c>
      <c r="AB329" s="155">
        <f ca="1"/>
        <v>0</v>
      </c>
      <c r="AC329" s="155">
        <f ca="1"/>
        <v>3.0321206471778717E-2</v>
      </c>
      <c r="AD329" s="155">
        <f ca="1"/>
        <v>4.8740670871747938E-2</v>
      </c>
      <c r="AE329" s="138">
        <f ca="1"/>
        <v>7.6353102560186126E-2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6.5449587592181224E-4</v>
      </c>
      <c r="P330" s="155">
        <f ca="1"/>
        <v>2.2133723352194545E-3</v>
      </c>
      <c r="Q330" s="155">
        <f ca="1"/>
        <v>6.696085356039716E-3</v>
      </c>
      <c r="R330" s="155">
        <f ca="1"/>
        <v>1.3340583955285479E-2</v>
      </c>
      <c r="S330" s="155">
        <f ca="1"/>
        <v>0</v>
      </c>
      <c r="T330" s="155">
        <f ca="1"/>
        <v>3.1024303220221872E-2</v>
      </c>
      <c r="U330" s="155">
        <f ca="1"/>
        <v>5.0145613091898356E-2</v>
      </c>
      <c r="V330" s="138">
        <f ca="1"/>
        <v>7.8991065962616402E-2</v>
      </c>
      <c r="W330" s="137">
        <f ca="1"/>
        <v>0</v>
      </c>
      <c r="X330" s="155">
        <f ca="1"/>
        <v>7.2409699033137986E-4</v>
      </c>
      <c r="Y330" s="155">
        <f ca="1"/>
        <v>2.3380878687949691E-3</v>
      </c>
      <c r="Z330" s="155">
        <f ca="1"/>
        <v>6.9443802965584167E-3</v>
      </c>
      <c r="AA330" s="155">
        <f ca="1"/>
        <v>1.3710511870483E-2</v>
      </c>
      <c r="AB330" s="155">
        <f ca="1"/>
        <v>0</v>
      </c>
      <c r="AC330" s="155">
        <f ca="1"/>
        <v>3.1629723817068855E-2</v>
      </c>
      <c r="AD330" s="155">
        <f ca="1"/>
        <v>5.0994093812540831E-2</v>
      </c>
      <c r="AE330" s="138">
        <f ca="1"/>
        <v>8.0141607891655364E-2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7.7281646707649809E-4</v>
      </c>
      <c r="P331" s="155">
        <f ca="1"/>
        <v>2.3043500809305506E-3</v>
      </c>
      <c r="Q331" s="155">
        <f ca="1"/>
        <v>6.7424386070746856E-3</v>
      </c>
      <c r="R331" s="155">
        <f ca="1"/>
        <v>1.301208977492907E-2</v>
      </c>
      <c r="S331" s="155">
        <f ca="1"/>
        <v>0</v>
      </c>
      <c r="T331" s="155">
        <f ca="1"/>
        <v>3.1039182199124493E-2</v>
      </c>
      <c r="U331" s="155">
        <f ca="1"/>
        <v>5.0257541229738245E-2</v>
      </c>
      <c r="V331" s="138">
        <f ca="1"/>
        <v>7.8992155374316253E-2</v>
      </c>
      <c r="W331" s="137">
        <f ca="1"/>
        <v>0</v>
      </c>
      <c r="X331" s="155">
        <f ca="1"/>
        <v>8.424089910727961E-4</v>
      </c>
      <c r="Y331" s="155">
        <f ca="1"/>
        <v>2.4290542429902251E-3</v>
      </c>
      <c r="Z331" s="155">
        <f ca="1"/>
        <v>6.990721960712154E-3</v>
      </c>
      <c r="AA331" s="155">
        <f ca="1"/>
        <v>1.3382140852351565E-2</v>
      </c>
      <c r="AB331" s="155">
        <f ca="1"/>
        <v>0</v>
      </c>
      <c r="AC331" s="155">
        <f ca="1"/>
        <v>3.16445934995504E-2</v>
      </c>
      <c r="AD331" s="155">
        <f ca="1"/>
        <v>5.1105962494682022E-2</v>
      </c>
      <c r="AE331" s="138">
        <f ca="1"/>
        <v>8.0142695942457598E-2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7.3801774528492459E-4</v>
      </c>
      <c r="P332" s="155">
        <f ca="1"/>
        <v>2.0368112852880982E-3</v>
      </c>
      <c r="Q332" s="155">
        <f ca="1"/>
        <v>6.4365175775810135E-3</v>
      </c>
      <c r="R332" s="155">
        <f ca="1"/>
        <v>1.2798205130891249E-2</v>
      </c>
      <c r="S332" s="155">
        <f ca="1"/>
        <v>0</v>
      </c>
      <c r="T332" s="155">
        <f ca="1"/>
        <v>3.0414104277841858E-2</v>
      </c>
      <c r="U332" s="155">
        <f ca="1"/>
        <v>4.8820114874186693E-2</v>
      </c>
      <c r="V332" s="138">
        <f ca="1"/>
        <v>7.6456534561247458E-2</v>
      </c>
      <c r="W332" s="137">
        <f ca="1"/>
        <v>0</v>
      </c>
      <c r="X332" s="155">
        <f ca="1"/>
        <v>8.0761280202745755E-4</v>
      </c>
      <c r="Y332" s="155">
        <f ca="1"/>
        <v>2.1615488876102207E-3</v>
      </c>
      <c r="Z332" s="155">
        <f ca="1"/>
        <v>6.6848774018953838E-3</v>
      </c>
      <c r="AA332" s="155">
        <f ca="1"/>
        <v>1.3168336400009806E-2</v>
      </c>
      <c r="AB332" s="155">
        <f ca="1"/>
        <v>0</v>
      </c>
      <c r="AC332" s="155">
        <f ca="1"/>
        <v>3.1019906129865271E-2</v>
      </c>
      <c r="AD332" s="155">
        <f ca="1"/>
        <v>4.9669878953806923E-2</v>
      </c>
      <c r="AE332" s="138">
        <f ca="1"/>
        <v>7.7610242675210328E-2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1.0673971614578726E-3</v>
      </c>
      <c r="P333" s="155">
        <f ca="1"/>
        <v>3.2136322455901256E-3</v>
      </c>
      <c r="Q333" s="155">
        <f ca="1"/>
        <v>9.7126039117522156E-3</v>
      </c>
      <c r="R333" s="155">
        <f ca="1"/>
        <v>1.8074490973155943E-2</v>
      </c>
      <c r="S333" s="155">
        <f ca="1"/>
        <v>0</v>
      </c>
      <c r="T333" s="155">
        <f ca="1"/>
        <v>3.9345230099660067E-2</v>
      </c>
      <c r="U333" s="155">
        <f ca="1"/>
        <v>6.1784590914189641E-2</v>
      </c>
      <c r="V333" s="138">
        <f ca="1"/>
        <v>9.5542603353518163E-2</v>
      </c>
      <c r="W333" s="137">
        <f ca="1"/>
        <v>0</v>
      </c>
      <c r="X333" s="155">
        <f ca="1"/>
        <v>1.1601579573663479E-3</v>
      </c>
      <c r="Y333" s="155">
        <f ca="1"/>
        <v>3.3797494633945879E-3</v>
      </c>
      <c r="Z333" s="155">
        <f ca="1"/>
        <v>1.0042644700607006E-2</v>
      </c>
      <c r="AA333" s="155">
        <f ca="1"/>
        <v>1.8565331007447616E-2</v>
      </c>
      <c r="AB333" s="155">
        <f ca="1"/>
        <v>0</v>
      </c>
      <c r="AC333" s="155">
        <f ca="1"/>
        <v>4.0145442273231025E-2</v>
      </c>
      <c r="AD333" s="155">
        <f ca="1"/>
        <v>6.290220772036148E-2</v>
      </c>
      <c r="AE333" s="138">
        <f ca="1"/>
        <v>9.7048776854683383E-2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3.481893775190148E-4</v>
      </c>
      <c r="P337" s="155">
        <f ca="1"/>
        <v>1.3349417089397742E-3</v>
      </c>
      <c r="Q337" s="155">
        <f ca="1"/>
        <v>4.1758707742833856E-3</v>
      </c>
      <c r="R337" s="155">
        <f ca="1"/>
        <v>8.5827462629493034E-3</v>
      </c>
      <c r="S337" s="155">
        <f ca="1"/>
        <v>0</v>
      </c>
      <c r="T337" s="155">
        <f ca="1"/>
        <v>2.1483091230227735E-2</v>
      </c>
      <c r="U337" s="155">
        <f ca="1"/>
        <v>3.5455159446814655E-2</v>
      </c>
      <c r="V337" s="138">
        <f ca="1"/>
        <v>5.8296173620916769E-2</v>
      </c>
      <c r="W337" s="137">
        <f ca="1"/>
        <v>0</v>
      </c>
      <c r="X337" s="155">
        <f ca="1"/>
        <v>4.1781245307725978E-4</v>
      </c>
      <c r="Y337" s="155">
        <f ca="1"/>
        <v>1.459767039484916E-3</v>
      </c>
      <c r="Z337" s="155">
        <f ca="1"/>
        <v>4.4247956896611429E-3</v>
      </c>
      <c r="AA337" s="155">
        <f ca="1"/>
        <v>8.954458032775281E-3</v>
      </c>
      <c r="AB337" s="155">
        <f ca="1"/>
        <v>0</v>
      </c>
      <c r="AC337" s="155">
        <f ca="1"/>
        <v>2.2094473221440425E-2</v>
      </c>
      <c r="AD337" s="155">
        <f ca="1"/>
        <v>3.6317005578140882E-2</v>
      </c>
      <c r="AE337" s="138">
        <f ca="1"/>
        <v>5.9492481431923094E-2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4.6422559508285666E-4</v>
      </c>
      <c r="P341" s="155">
        <f ca="1"/>
        <v>1.2425693066163701E-3</v>
      </c>
      <c r="Q341" s="155">
        <f ca="1"/>
        <v>3.8240060591129277E-3</v>
      </c>
      <c r="R341" s="155">
        <f ca="1"/>
        <v>8.3323722564101477E-3</v>
      </c>
      <c r="S341" s="155">
        <f ca="1"/>
        <v>0</v>
      </c>
      <c r="T341" s="155">
        <f ca="1"/>
        <v>2.2641481411456499E-2</v>
      </c>
      <c r="U341" s="155">
        <f ca="1"/>
        <v>4.0264826377684027E-2</v>
      </c>
      <c r="V341" s="138">
        <f ca="1"/>
        <v>7.154305386065507E-2</v>
      </c>
      <c r="W341" s="137">
        <f ca="1"/>
        <v>0</v>
      </c>
      <c r="X341" s="155">
        <f ca="1"/>
        <v>5.5704436557602044E-4</v>
      </c>
      <c r="Y341" s="155">
        <f ca="1"/>
        <v>1.4090150075465324E-3</v>
      </c>
      <c r="Z341" s="155">
        <f ca="1"/>
        <v>4.1560093867978321E-3</v>
      </c>
      <c r="AA341" s="155">
        <f ca="1"/>
        <v>8.8280821325006364E-3</v>
      </c>
      <c r="AB341" s="155">
        <f ca="1"/>
        <v>0</v>
      </c>
      <c r="AC341" s="155">
        <f ca="1"/>
        <v>2.3455607577263282E-2</v>
      </c>
      <c r="AD341" s="155">
        <f ca="1"/>
        <v>4.1409628421755107E-2</v>
      </c>
      <c r="AE341" s="138">
        <f ca="1"/>
        <v>7.3117627682197872E-2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7.4265764477476903E-4</v>
      </c>
      <c r="P342" s="155">
        <f ca="1"/>
        <v>2.2559000704757137E-3</v>
      </c>
      <c r="Q342" s="155">
        <f ca="1"/>
        <v>6.4901396160274016E-3</v>
      </c>
      <c r="R342" s="155">
        <f ca="1"/>
        <v>1.1895034932709714E-2</v>
      </c>
      <c r="S342" s="155">
        <f ca="1"/>
        <v>0</v>
      </c>
      <c r="T342" s="155">
        <f ca="1"/>
        <v>2.3986696894540471E-2</v>
      </c>
      <c r="U342" s="155">
        <f ca="1"/>
        <v>3.8326771210897448E-2</v>
      </c>
      <c r="V342" s="138">
        <f ca="1"/>
        <v>6.3375018999469734E-2</v>
      </c>
      <c r="W342" s="137">
        <f ca="1"/>
        <v>0</v>
      </c>
      <c r="X342" s="155">
        <f ca="1"/>
        <v>8.354498500481311E-4</v>
      </c>
      <c r="Y342" s="155">
        <f ca="1"/>
        <v>2.4221768970188462E-3</v>
      </c>
      <c r="Z342" s="155">
        <f ca="1"/>
        <v>6.8212543806129844E-3</v>
      </c>
      <c r="AA342" s="155">
        <f ca="1"/>
        <v>1.2388963922686291E-2</v>
      </c>
      <c r="AB342" s="155">
        <f ca="1"/>
        <v>0</v>
      </c>
      <c r="AC342" s="155">
        <f ca="1"/>
        <v>2.4799702514370248E-2</v>
      </c>
      <c r="AD342" s="155">
        <f ca="1"/>
        <v>3.9471676747929507E-2</v>
      </c>
      <c r="AE342" s="138">
        <f ca="1"/>
        <v>6.4961476618284664E-2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8.0065457335387613E-4</v>
      </c>
      <c r="P345" s="155">
        <f ca="1"/>
        <v>2.2097150324131842E-3</v>
      </c>
      <c r="Q345" s="155">
        <f ca="1"/>
        <v>7.3512426611814785E-3</v>
      </c>
      <c r="R345" s="155">
        <f ca="1"/>
        <v>1.5141143050001471E-2</v>
      </c>
      <c r="S345" s="155">
        <f ca="1"/>
        <v>0</v>
      </c>
      <c r="T345" s="155">
        <f ca="1"/>
        <v>3.552832963889585E-2</v>
      </c>
      <c r="U345" s="155">
        <f ca="1"/>
        <v>5.5667769729636829E-2</v>
      </c>
      <c r="V345" s="138">
        <f ca="1"/>
        <v>8.3451254244526485E-2</v>
      </c>
      <c r="W345" s="137">
        <f ca="1"/>
        <v>0</v>
      </c>
      <c r="X345" s="155">
        <f ca="1"/>
        <v>8.7024506736066432E-4</v>
      </c>
      <c r="Y345" s="155">
        <f ca="1"/>
        <v>2.334431023117256E-3</v>
      </c>
      <c r="Z345" s="155">
        <f ca="1"/>
        <v>7.5993738328351546E-3</v>
      </c>
      <c r="AA345" s="155">
        <f ca="1"/>
        <v>1.5510395882129546E-2</v>
      </c>
      <c r="AB345" s="155">
        <f ca="1"/>
        <v>0</v>
      </c>
      <c r="AC345" s="155">
        <f ca="1"/>
        <v>3.6130936098733413E-2</v>
      </c>
      <c r="AD345" s="155">
        <f ca="1"/>
        <v>5.6511274359662633E-2</v>
      </c>
      <c r="AE345" s="138">
        <f ca="1"/>
        <v>8.4596224421245036E-2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1.0372472158195478E-3</v>
      </c>
      <c r="P346" s="155">
        <f ca="1"/>
        <v>2.9014330754933981E-3</v>
      </c>
      <c r="Q346" s="155">
        <f ca="1"/>
        <v>8.0576807175051224E-3</v>
      </c>
      <c r="R346" s="155">
        <f ca="1"/>
        <v>1.5432422016010472E-2</v>
      </c>
      <c r="S346" s="155">
        <f ca="1"/>
        <v>0</v>
      </c>
      <c r="T346" s="155">
        <f ca="1"/>
        <v>3.4095517456330438E-2</v>
      </c>
      <c r="U346" s="155">
        <f ca="1"/>
        <v>5.2714365044586153E-2</v>
      </c>
      <c r="V346" s="138">
        <f ca="1"/>
        <v>7.9348337142265191E-2</v>
      </c>
      <c r="W346" s="137">
        <f ca="1"/>
        <v>0</v>
      </c>
      <c r="X346" s="155">
        <f ca="1"/>
        <v>1.1068203196271664E-3</v>
      </c>
      <c r="Y346" s="155">
        <f ca="1"/>
        <v>3.0260626068457919E-3</v>
      </c>
      <c r="Z346" s="155">
        <f ca="1"/>
        <v>8.3056353017098017E-3</v>
      </c>
      <c r="AA346" s="155">
        <f ca="1"/>
        <v>1.5801565639010251E-2</v>
      </c>
      <c r="AB346" s="155">
        <f ca="1"/>
        <v>0</v>
      </c>
      <c r="AC346" s="155">
        <f ca="1"/>
        <v>3.4699019144004084E-2</v>
      </c>
      <c r="AD346" s="155">
        <f ca="1"/>
        <v>5.3560084948974129E-2</v>
      </c>
      <c r="AE346" s="138">
        <f ca="1"/>
        <v>8.0498432761268668E-2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9.6766695090333421E-4</v>
      </c>
      <c r="P347" s="155">
        <f ca="1"/>
        <v>2.7824653309483915E-3</v>
      </c>
      <c r="Q347" s="155">
        <f ca="1"/>
        <v>7.9321511221305263E-3</v>
      </c>
      <c r="R347" s="155">
        <f ca="1"/>
        <v>1.5126020721911937E-2</v>
      </c>
      <c r="S347" s="155">
        <f ca="1"/>
        <v>0</v>
      </c>
      <c r="T347" s="155">
        <f ca="1"/>
        <v>3.4132874600504071E-2</v>
      </c>
      <c r="U347" s="155">
        <f ca="1"/>
        <v>5.3719889515881913E-2</v>
      </c>
      <c r="V347" s="138">
        <f ca="1"/>
        <v>8.3537845344618389E-2</v>
      </c>
      <c r="W347" s="137">
        <f ca="1"/>
        <v>0</v>
      </c>
      <c r="X347" s="155">
        <f ca="1"/>
        <v>1.0372451948126304E-3</v>
      </c>
      <c r="Y347" s="155">
        <f ca="1"/>
        <v>2.9071097323413175E-3</v>
      </c>
      <c r="Z347" s="155">
        <f ca="1"/>
        <v>8.1801370848078037E-3</v>
      </c>
      <c r="AA347" s="155">
        <f ca="1"/>
        <v>1.5495279223845415E-2</v>
      </c>
      <c r="AB347" s="155">
        <f ca="1"/>
        <v>0</v>
      </c>
      <c r="AC347" s="155">
        <f ca="1"/>
        <v>3.4736352947259408E-2</v>
      </c>
      <c r="AD347" s="155">
        <f ca="1"/>
        <v>5.4564821140881348E-2</v>
      </c>
      <c r="AE347" s="138">
        <f ca="1"/>
        <v>8.4682707350066222E-2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8.4936939607582751E-4</v>
      </c>
      <c r="P349" s="155">
        <f ca="1"/>
        <v>2.42319828362203E-3</v>
      </c>
      <c r="Q349" s="155">
        <f ca="1"/>
        <v>6.947029389991477E-3</v>
      </c>
      <c r="R349" s="155">
        <f ca="1"/>
        <v>1.3354989034527698E-2</v>
      </c>
      <c r="S349" s="155">
        <f ca="1"/>
        <v>0</v>
      </c>
      <c r="T349" s="155">
        <f ca="1"/>
        <v>3.0995123719360418E-2</v>
      </c>
      <c r="U349" s="155">
        <f ca="1"/>
        <v>4.9436863080647875E-2</v>
      </c>
      <c r="V349" s="138">
        <f ca="1"/>
        <v>7.7623580024766214E-2</v>
      </c>
      <c r="W349" s="137">
        <f ca="1"/>
        <v>0</v>
      </c>
      <c r="X349" s="155">
        <f ca="1"/>
        <v>9.1895632964889007E-4</v>
      </c>
      <c r="Y349" s="155">
        <f ca="1"/>
        <v>2.5478875905992071E-3</v>
      </c>
      <c r="Z349" s="155">
        <f ca="1"/>
        <v>7.1952616023061022E-3</v>
      </c>
      <c r="AA349" s="155">
        <f ca="1"/>
        <v>1.3724911548840368E-2</v>
      </c>
      <c r="AB349" s="155">
        <f ca="1"/>
        <v>0</v>
      </c>
      <c r="AC349" s="155">
        <f ca="1"/>
        <v>3.1600562547671629E-2</v>
      </c>
      <c r="AD349" s="155">
        <f ca="1"/>
        <v>5.028587868366341E-2</v>
      </c>
      <c r="AE349" s="138">
        <f ca="1"/>
        <v>7.8775830243303591E-2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9.8854153839345038E-4</v>
      </c>
      <c r="P350" s="155">
        <f ca="1"/>
        <v>2.3526133920052095E-3</v>
      </c>
      <c r="Q350" s="155">
        <f ca="1"/>
        <v>6.9195002109394554E-3</v>
      </c>
      <c r="R350" s="155">
        <f ca="1"/>
        <v>1.3275204646296168E-2</v>
      </c>
      <c r="S350" s="155">
        <f ca="1"/>
        <v>0</v>
      </c>
      <c r="T350" s="155">
        <f ca="1"/>
        <v>2.9662128542878641E-2</v>
      </c>
      <c r="U350" s="155">
        <f ca="1"/>
        <v>4.7060046851657433E-2</v>
      </c>
      <c r="V350" s="138">
        <f ca="1"/>
        <v>7.381725958456431E-2</v>
      </c>
      <c r="W350" s="137">
        <f ca="1"/>
        <v>0</v>
      </c>
      <c r="X350" s="155">
        <f ca="1"/>
        <v>1.0581182425244418E-3</v>
      </c>
      <c r="Y350" s="155">
        <f ca="1"/>
        <v>2.4773115215329655E-3</v>
      </c>
      <c r="Z350" s="155">
        <f ca="1"/>
        <v>7.1677393047060445E-3</v>
      </c>
      <c r="AA350" s="155">
        <f ca="1"/>
        <v>1.3645157074119285E-2</v>
      </c>
      <c r="AB350" s="155">
        <f ca="1"/>
        <v>0</v>
      </c>
      <c r="AC350" s="155">
        <f ca="1"/>
        <v>3.0268400232927095E-2</v>
      </c>
      <c r="AD350" s="155">
        <f ca="1"/>
        <v>4.7911034500594751E-2</v>
      </c>
      <c r="AE350" s="138">
        <f ca="1"/>
        <v>7.4974264731160423E-2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1.7165601824981058E-3</v>
      </c>
      <c r="P351" s="155">
        <f ca="1"/>
        <v>3.6618028207250353E-3</v>
      </c>
      <c r="Q351" s="155">
        <f ca="1"/>
        <v>9.7135675511592634E-3</v>
      </c>
      <c r="R351" s="155">
        <f ca="1"/>
        <v>1.6763729364406843E-2</v>
      </c>
      <c r="S351" s="155">
        <f ca="1"/>
        <v>0</v>
      </c>
      <c r="T351" s="155">
        <f ca="1"/>
        <v>3.4963633671573735E-2</v>
      </c>
      <c r="U351" s="155">
        <f ca="1"/>
        <v>5.4607868054687092E-2</v>
      </c>
      <c r="V351" s="138">
        <f ca="1"/>
        <v>8.3908488527769443E-2</v>
      </c>
      <c r="W351" s="137">
        <f ca="1"/>
        <v>0</v>
      </c>
      <c r="X351" s="155">
        <f ca="1"/>
        <v>1.8092567504361945E-3</v>
      </c>
      <c r="Y351" s="155">
        <f ca="1"/>
        <v>3.8278453496685128E-3</v>
      </c>
      <c r="Z351" s="155">
        <f ca="1"/>
        <v>1.0043608018848182E-2</v>
      </c>
      <c r="AA351" s="155">
        <f ca="1"/>
        <v>1.7255224615664977E-2</v>
      </c>
      <c r="AB351" s="155">
        <f ca="1"/>
        <v>0</v>
      </c>
      <c r="AC351" s="155">
        <f ca="1"/>
        <v>3.5767495654518089E-2</v>
      </c>
      <c r="AD351" s="155">
        <f ca="1"/>
        <v>5.5733415872417646E-2</v>
      </c>
      <c r="AE351" s="138">
        <f ca="1"/>
        <v>8.5434036070814012E-2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9.4679192795887879E-4</v>
      </c>
      <c r="P353" s="155">
        <f ca="1"/>
        <v>2.7338037001157778E-3</v>
      </c>
      <c r="Q353" s="155">
        <f ca="1"/>
        <v>7.1002546897949159E-3</v>
      </c>
      <c r="R353" s="155">
        <f ca="1"/>
        <v>1.4291076935714631E-2</v>
      </c>
      <c r="S353" s="155">
        <f ca="1"/>
        <v>0</v>
      </c>
      <c r="T353" s="155">
        <f ca="1"/>
        <v>3.7138448912688138E-2</v>
      </c>
      <c r="U353" s="155">
        <f ca="1"/>
        <v>5.9965111263452164E-2</v>
      </c>
      <c r="V353" s="138">
        <f ca="1"/>
        <v>9.0973392679459586E-2</v>
      </c>
      <c r="W353" s="137">
        <f ca="1"/>
        <v>0</v>
      </c>
      <c r="X353" s="155">
        <f ca="1"/>
        <v>1.0395644435134965E-3</v>
      </c>
      <c r="Y353" s="155">
        <f ca="1"/>
        <v>2.9000008826739476E-3</v>
      </c>
      <c r="Z353" s="155">
        <f ca="1"/>
        <v>7.4311661165767928E-3</v>
      </c>
      <c r="AA353" s="155">
        <f ca="1"/>
        <v>1.4783808204177573E-2</v>
      </c>
      <c r="AB353" s="155">
        <f ca="1"/>
        <v>0</v>
      </c>
      <c r="AC353" s="155">
        <f ca="1"/>
        <v>3.7940499304549902E-2</v>
      </c>
      <c r="AD353" s="155">
        <f ca="1"/>
        <v>6.1086314536300201E-2</v>
      </c>
      <c r="AE353" s="138">
        <f ca="1"/>
        <v>9.2511529416654414E-2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1.5311280115709591E-3</v>
      </c>
      <c r="P354" s="155">
        <f ca="1"/>
        <v>4.4886403582067302E-3</v>
      </c>
      <c r="Q354" s="155">
        <f ca="1"/>
        <v>1.1160315954633182E-2</v>
      </c>
      <c r="R354" s="155">
        <f ca="1"/>
        <v>1.8151453389442573E-2</v>
      </c>
      <c r="S354" s="155">
        <f ca="1"/>
        <v>0</v>
      </c>
      <c r="T354" s="155">
        <f ca="1"/>
        <v>3.5638715992796444E-2</v>
      </c>
      <c r="U354" s="155">
        <f ca="1"/>
        <v>5.429838307753998E-2</v>
      </c>
      <c r="V354" s="138">
        <f ca="1"/>
        <v>8.3602592211662552E-2</v>
      </c>
      <c r="W354" s="137">
        <f ca="1"/>
        <v>0</v>
      </c>
      <c r="X354" s="155">
        <f ca="1"/>
        <v>1.623843127476543E-3</v>
      </c>
      <c r="Y354" s="155">
        <f ca="1"/>
        <v>4.6545450923682896E-3</v>
      </c>
      <c r="Z354" s="155">
        <f ca="1"/>
        <v>1.1489874253209131E-2</v>
      </c>
      <c r="AA354" s="155">
        <f ca="1"/>
        <v>1.864225495214622E-2</v>
      </c>
      <c r="AB354" s="155">
        <f ca="1"/>
        <v>0</v>
      </c>
      <c r="AC354" s="155">
        <f ca="1"/>
        <v>3.6442015641441561E-2</v>
      </c>
      <c r="AD354" s="155">
        <f ca="1"/>
        <v>5.5423469845813145E-2</v>
      </c>
      <c r="AE354" s="138">
        <f ca="1"/>
        <v>8.5128649157249048E-2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9.8390277880788801E-4</v>
      </c>
      <c r="P355" s="155">
        <f ca="1"/>
        <v>3.0011555323758987E-3</v>
      </c>
      <c r="Q355" s="155">
        <f ca="1"/>
        <v>6.9492067937091395E-3</v>
      </c>
      <c r="R355" s="155">
        <f ca="1"/>
        <v>1.3116245403044569E-2</v>
      </c>
      <c r="S355" s="155">
        <f ca="1"/>
        <v>0</v>
      </c>
      <c r="T355" s="155">
        <f ca="1"/>
        <v>3.0984726509085236E-2</v>
      </c>
      <c r="U355" s="155">
        <f ca="1"/>
        <v>4.9749868237862094E-2</v>
      </c>
      <c r="V355" s="138">
        <f ca="1"/>
        <v>7.8045648337609852E-2</v>
      </c>
      <c r="W355" s="137">
        <f ca="1"/>
        <v>0</v>
      </c>
      <c r="X355" s="155">
        <f ca="1"/>
        <v>1.0766716951000621E-3</v>
      </c>
      <c r="Y355" s="155">
        <f ca="1"/>
        <v>3.167308160019644E-3</v>
      </c>
      <c r="Z355" s="155">
        <f ca="1"/>
        <v>7.2801685614006795E-3</v>
      </c>
      <c r="AA355" s="155">
        <f ca="1"/>
        <v>1.3609563940412905E-2</v>
      </c>
      <c r="AB355" s="155">
        <f ca="1"/>
        <v>0</v>
      </c>
      <c r="AC355" s="155">
        <f ca="1"/>
        <v>3.1791902866837973E-2</v>
      </c>
      <c r="AD355" s="155">
        <f ca="1"/>
        <v>5.0882348175325998E-2</v>
      </c>
      <c r="AE355" s="138">
        <f ca="1"/>
        <v>7.9606427731727769E-2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7.5889712356125294E-4</v>
      </c>
      <c r="P356" s="155">
        <f ca="1"/>
        <v>2.0765540389025006E-3</v>
      </c>
      <c r="Q356" s="155">
        <f ca="1"/>
        <v>5.6962173067851563E-3</v>
      </c>
      <c r="R356" s="155">
        <f ca="1"/>
        <v>1.0593322607559186E-2</v>
      </c>
      <c r="S356" s="155">
        <f ca="1"/>
        <v>0</v>
      </c>
      <c r="T356" s="155">
        <f ca="1"/>
        <v>2.2562031354644296E-2</v>
      </c>
      <c r="U356" s="155">
        <f ca="1"/>
        <v>3.60275509490533E-2</v>
      </c>
      <c r="V356" s="138">
        <f ca="1"/>
        <v>5.9208634194243603E-2</v>
      </c>
      <c r="W356" s="137">
        <f ca="1"/>
        <v>0</v>
      </c>
      <c r="X356" s="155">
        <f ca="1"/>
        <v>8.2849066128587445E-4</v>
      </c>
      <c r="Y356" s="155">
        <f ca="1"/>
        <v>2.2012866737035619E-3</v>
      </c>
      <c r="Z356" s="155">
        <f ca="1"/>
        <v>5.9447621830458486E-3</v>
      </c>
      <c r="AA356" s="155">
        <f ca="1"/>
        <v>1.0964280552603789E-2</v>
      </c>
      <c r="AB356" s="155">
        <f ca="1"/>
        <v>0</v>
      </c>
      <c r="AC356" s="155">
        <f ca="1"/>
        <v>2.3172739218923266E-2</v>
      </c>
      <c r="AD356" s="155">
        <f ca="1"/>
        <v>3.6888143139599872E-2</v>
      </c>
      <c r="AE356" s="138">
        <f ca="1"/>
        <v>6.0402686167422948E-2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1.6145767421428259E-3</v>
      </c>
      <c r="P357" s="155">
        <f ca="1"/>
        <v>3.7001765370213713E-3</v>
      </c>
      <c r="Q357" s="155">
        <f ca="1"/>
        <v>9.6097305423384904E-3</v>
      </c>
      <c r="R357" s="155">
        <f ca="1"/>
        <v>1.7142037754760087E-2</v>
      </c>
      <c r="S357" s="155">
        <f ca="1"/>
        <v>0</v>
      </c>
      <c r="T357" s="155">
        <f ca="1"/>
        <v>3.4052237966284649E-2</v>
      </c>
      <c r="U357" s="155">
        <f ca="1"/>
        <v>5.2747586943837965E-2</v>
      </c>
      <c r="V357" s="138">
        <f ca="1"/>
        <v>8.4257369866902354E-2</v>
      </c>
      <c r="W357" s="137">
        <f ca="1"/>
        <v>0</v>
      </c>
      <c r="X357" s="155">
        <f ca="1"/>
        <v>1.7072835313415302E-3</v>
      </c>
      <c r="Y357" s="155">
        <f ca="1"/>
        <v>3.8662126708642885E-3</v>
      </c>
      <c r="Z357" s="155">
        <f ca="1"/>
        <v>9.9398056166042359E-3</v>
      </c>
      <c r="AA357" s="155">
        <f ca="1"/>
        <v>1.7633343899100318E-2</v>
      </c>
      <c r="AB357" s="155">
        <f ca="1"/>
        <v>0</v>
      </c>
      <c r="AC357" s="155">
        <f ca="1"/>
        <v>3.4856859129284046E-2</v>
      </c>
      <c r="AD357" s="155">
        <f ca="1"/>
        <v>5.3875033054291088E-2</v>
      </c>
      <c r="AE357" s="138">
        <f ca="1"/>
        <v>8.578233642527866E-2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9.8854153839345038E-4</v>
      </c>
      <c r="P358" s="155">
        <f ca="1"/>
        <v>2.446535318337606E-3</v>
      </c>
      <c r="Q358" s="155">
        <f ca="1"/>
        <v>6.6262457398378327E-3</v>
      </c>
      <c r="R358" s="155">
        <f ca="1"/>
        <v>1.3006209247134803E-2</v>
      </c>
      <c r="S358" s="155">
        <f ca="1"/>
        <v>0</v>
      </c>
      <c r="T358" s="155">
        <f ca="1"/>
        <v>3.103314110086286E-2</v>
      </c>
      <c r="U358" s="155">
        <f ca="1"/>
        <v>4.9474956783197355E-2</v>
      </c>
      <c r="V358" s="138">
        <f ca="1"/>
        <v>7.6226644209581029E-2</v>
      </c>
      <c r="W358" s="137">
        <f ca="1"/>
        <v>0</v>
      </c>
      <c r="X358" s="155">
        <f ca="1"/>
        <v>1.0581182425244418E-3</v>
      </c>
      <c r="Y358" s="155">
        <f ca="1"/>
        <v>2.5712217083705413E-3</v>
      </c>
      <c r="Z358" s="155">
        <f ca="1"/>
        <v>6.8745581380773579E-3</v>
      </c>
      <c r="AA358" s="155">
        <f ca="1"/>
        <v>1.3376262529325555E-2</v>
      </c>
      <c r="AB358" s="155">
        <f ca="1"/>
        <v>0</v>
      </c>
      <c r="AC358" s="155">
        <f ca="1"/>
        <v>3.1638556175766719E-2</v>
      </c>
      <c r="AD358" s="155">
        <f ca="1"/>
        <v>5.0324050301468026E-2</v>
      </c>
      <c r="AE358" s="138">
        <f ca="1"/>
        <v>7.738063950704277E-2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1.571825135223559E-2</v>
      </c>
      <c r="S362" s="133">
        <f ca="1"/>
        <v>0</v>
      </c>
      <c r="T362" s="133">
        <f ca="1"/>
        <v>3.9281830848861055E-2</v>
      </c>
      <c r="U362" s="133">
        <f ca="1"/>
        <v>7.6082836963757838E-2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1.6210269211869965E-2</v>
      </c>
      <c r="AB362" s="133">
        <f ca="1"/>
        <v>0</v>
      </c>
      <c r="AC362" s="133">
        <f ca="1"/>
        <v>4.0082095833089304E-2</v>
      </c>
      <c r="AD362" s="133">
        <f ca="1"/>
        <v>7.7160111788094676E-2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1.4970915933151585E-2</v>
      </c>
      <c r="S363" s="155">
        <f ca="1"/>
        <v>0</v>
      </c>
      <c r="T363" s="155">
        <f ca="1"/>
        <v>4.2560782812355646E-2</v>
      </c>
      <c r="U363" s="155">
        <f ca="1"/>
        <v>8.5193521282461604E-2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1.5463307367047596E-2</v>
      </c>
      <c r="AB363" s="155">
        <f ca="1"/>
        <v>0</v>
      </c>
      <c r="AC363" s="155">
        <f ca="1"/>
        <v>4.3358316474861325E-2</v>
      </c>
      <c r="AD363" s="155">
        <f ca="1"/>
        <v>8.6260173173027588E-2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1.5470883688254999E-2</v>
      </c>
      <c r="S364" s="155">
        <f ca="1"/>
        <v>0</v>
      </c>
      <c r="T364" s="155">
        <f ca="1"/>
        <v>4.4318374376674186E-2</v>
      </c>
      <c r="U364" s="155">
        <f ca="1"/>
        <v>8.2306459622429107E-2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1.5963025200772307E-2</v>
      </c>
      <c r="AB364" s="155">
        <f ca="1"/>
        <v>0</v>
      </c>
      <c r="AC364" s="155">
        <f ca="1"/>
        <v>4.5114443989655029E-2</v>
      </c>
      <c r="AD364" s="155">
        <f ca="1"/>
        <v>8.3376477787550307E-2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4.911268560513038E-2</v>
      </c>
      <c r="S365" s="155">
        <f ca="1"/>
        <v>0</v>
      </c>
      <c r="T365" s="155">
        <f ca="1"/>
        <v>0.12114433100905297</v>
      </c>
      <c r="U365" s="155">
        <f ca="1"/>
        <v>0.21200018140802046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4.9588010421269368E-2</v>
      </c>
      <c r="AB365" s="155">
        <f ca="1"/>
        <v>0</v>
      </c>
      <c r="AC365" s="155">
        <f ca="1"/>
        <v>0.12190336762334686</v>
      </c>
      <c r="AD365" s="155">
        <f ca="1"/>
        <v>0.21296855168952777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8">
        <f ca="1">AX365/AG366</f>
        <v>14.640061764529777</v>
      </c>
      <c r="AX365" s="573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2.4148077518677535E-2</v>
      </c>
      <c r="S366" s="155">
        <f ca="1"/>
        <v>0</v>
      </c>
      <c r="T366" s="155">
        <f ca="1"/>
        <v>8.596839716837279E-2</v>
      </c>
      <c r="U366" s="155">
        <f ca="1"/>
        <v>0.18342145046309355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2.4635881518765168E-2</v>
      </c>
      <c r="AB366" s="155">
        <f ca="1"/>
        <v>0</v>
      </c>
      <c r="AC366" s="155">
        <f ca="1"/>
        <v>8.6758383333472189E-2</v>
      </c>
      <c r="AD366" s="155">
        <f ca="1"/>
        <v>0.18443314657332255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8">
        <f ca="1">AX366/AG367</f>
        <v>13.956070813439366</v>
      </c>
      <c r="AX366" s="572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3.4387925952519383E-2</v>
      </c>
      <c r="S367" s="155">
        <f ca="1"/>
        <v>0</v>
      </c>
      <c r="T367" s="155">
        <f ca="1"/>
        <v>0.11749638153370434</v>
      </c>
      <c r="U367" s="155">
        <f ca="1"/>
        <v>0.23375411903640275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3.4870611308124078E-2</v>
      </c>
      <c r="AB367" s="155">
        <f ca="1"/>
        <v>0</v>
      </c>
      <c r="AC367" s="155">
        <f ca="1"/>
        <v>0.11826385951777418</v>
      </c>
      <c r="AD367" s="155">
        <f ca="1"/>
        <v>0.23471436735685758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8">
        <f ca="1">AX367/AG368</f>
        <v>17.13745523167152</v>
      </c>
      <c r="AX367" s="571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1.1195543672951724E-2</v>
      </c>
      <c r="S368" s="155">
        <f ca="1"/>
        <v>0</v>
      </c>
      <c r="T368" s="155">
        <f ca="1"/>
        <v>2.6714069905026006E-2</v>
      </c>
      <c r="U368" s="155">
        <f ca="1"/>
        <v>5.2985745003686135E-2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1.1689822321197307E-2</v>
      </c>
      <c r="AB368" s="155">
        <f ca="1"/>
        <v>0</v>
      </c>
      <c r="AC368" s="155">
        <f ca="1"/>
        <v>2.7524803660779029E-2</v>
      </c>
      <c r="AD368" s="155">
        <f ca="1"/>
        <v>5.4113953911479662E-2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1.0282491515692826E-2</v>
      </c>
      <c r="S369" s="155">
        <f ca="1"/>
        <v>0</v>
      </c>
      <c r="T369" s="155">
        <f ca="1"/>
        <v>2.9496243700949498E-2</v>
      </c>
      <c r="U369" s="155">
        <f ca="1"/>
        <v>6.6026492717001561E-2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1.0777226575853449E-2</v>
      </c>
      <c r="AB369" s="155">
        <f ca="1"/>
        <v>0</v>
      </c>
      <c r="AC369" s="155">
        <f ca="1"/>
        <v>3.0304659944292545E-2</v>
      </c>
      <c r="AD369" s="155">
        <f ca="1"/>
        <v>6.7138619308929948E-2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1.1327361240644152E-2</v>
      </c>
      <c r="S370" s="155">
        <f ca="1"/>
        <v>0</v>
      </c>
      <c r="T370" s="155">
        <f ca="1"/>
        <v>3.6869212151293351E-2</v>
      </c>
      <c r="U370" s="155">
        <f ca="1"/>
        <v>7.6258779843225377E-2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1.1821573996573465E-2</v>
      </c>
      <c r="AB370" s="155">
        <f ca="1"/>
        <v>0</v>
      </c>
      <c r="AC370" s="155">
        <f ca="1"/>
        <v>3.7671486813593336E-2</v>
      </c>
      <c r="AD370" s="155">
        <f ca="1"/>
        <v>7.735814528104179E-2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3.837266739846279E-2</v>
      </c>
      <c r="S371" s="155">
        <f ca="1"/>
        <v>0</v>
      </c>
      <c r="T371" s="155">
        <f ca="1"/>
        <v>9.5315243392806281E-2</v>
      </c>
      <c r="U371" s="155">
        <f ca="1"/>
        <v>0.17028053016927536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3.8853360881386134E-2</v>
      </c>
      <c r="AB371" s="155">
        <f ca="1"/>
        <v>0</v>
      </c>
      <c r="AC371" s="155">
        <f ca="1"/>
        <v>9.6093690009597554E-2</v>
      </c>
      <c r="AD371" s="155">
        <f ca="1"/>
        <v>0.17129233254389475</v>
      </c>
      <c r="AE371" s="138">
        <f ca="1"/>
        <v>0</v>
      </c>
      <c r="AG371" s="135"/>
      <c r="AH371" s="518" t="s">
        <v>55</v>
      </c>
      <c r="AI371" s="518" t="s">
        <v>57</v>
      </c>
      <c r="AJ371" s="518" t="s">
        <v>59</v>
      </c>
      <c r="AK371" s="135"/>
      <c r="AL371" s="518" t="s">
        <v>55</v>
      </c>
      <c r="AM371" s="518" t="s">
        <v>57</v>
      </c>
      <c r="AN371" s="518" t="s">
        <v>59</v>
      </c>
      <c r="AP371" s="518" t="s">
        <v>55</v>
      </c>
      <c r="AQ371" s="518" t="s">
        <v>57</v>
      </c>
      <c r="AR371" s="518" t="s">
        <v>59</v>
      </c>
      <c r="AT371" s="518" t="s">
        <v>55</v>
      </c>
      <c r="AU371" s="518" t="s">
        <v>57</v>
      </c>
      <c r="AV371" s="518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1.4435323705142666E-2</v>
      </c>
      <c r="S372" s="155">
        <f ca="1"/>
        <v>0</v>
      </c>
      <c r="T372" s="155">
        <f ca="1"/>
        <v>4.3273075107998493E-2</v>
      </c>
      <c r="U372" s="155">
        <f ca="1"/>
        <v>8.7913788979436247E-2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1.492798286820074E-2</v>
      </c>
      <c r="AB372" s="155">
        <f ca="1"/>
        <v>0</v>
      </c>
      <c r="AC372" s="155">
        <f ca="1"/>
        <v>4.4070015440796251E-2</v>
      </c>
      <c r="AD372" s="155">
        <f ca="1"/>
        <v>8.8977269074924092E-2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8">
        <f t="shared" ref="AP372:AP403" ca="1" si="11">AH372*$AR$365</f>
        <v>6.3544596147126122E-4</v>
      </c>
      <c r="AQ372" s="518">
        <f t="shared" ref="AQ372:AQ403" ca="1" si="12">AI372*$AR$366</f>
        <v>1.2920103645678934E-3</v>
      </c>
      <c r="AR372" s="518">
        <f t="shared" ref="AR372:AR403" ca="1" si="13">AJ372*$AR$367</f>
        <v>2.5469303047225894E-3</v>
      </c>
      <c r="AT372" s="518">
        <f ca="1">AH372*$AV$365</f>
        <v>4.5237790852397007E-2</v>
      </c>
      <c r="AU372" s="518">
        <f ca="1">AI372*$AV$366</f>
        <v>6.4128145387753882E-2</v>
      </c>
      <c r="AV372" s="518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1.1231034699575093E-2</v>
      </c>
      <c r="S373" s="155">
        <f ca="1"/>
        <v>0</v>
      </c>
      <c r="T373" s="155">
        <f ca="1"/>
        <v>2.891679858839824E-2</v>
      </c>
      <c r="U373" s="155">
        <f ca="1"/>
        <v>5.9880810381029992E-2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1.1725295606745623E-2</v>
      </c>
      <c r="AB373" s="155">
        <f ca="1"/>
        <v>0</v>
      </c>
      <c r="AC373" s="155">
        <f ca="1"/>
        <v>2.972569750158538E-2</v>
      </c>
      <c r="AD373" s="155">
        <f ca="1"/>
        <v>6.1000734458857786E-2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8">
        <f t="shared" ca="1" si="11"/>
        <v>6.0501036202215228E-4</v>
      </c>
      <c r="AQ373" s="518">
        <f t="shared" ca="1" si="12"/>
        <v>1.3926718902513113E-3</v>
      </c>
      <c r="AR373" s="518">
        <f t="shared" ca="1" si="13"/>
        <v>2.8425129382504007E-3</v>
      </c>
      <c r="AT373" s="518">
        <f t="shared" ref="AT373:AT436" ca="1" si="14">AH373*$AV$365</f>
        <v>4.3071061711246611E-2</v>
      </c>
      <c r="AU373" s="518">
        <f t="shared" ref="AU373:AU436" ca="1" si="15">AI373*$AV$366</f>
        <v>6.9124418738965174E-2</v>
      </c>
      <c r="AV373" s="518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2.7221986813110388E-2</v>
      </c>
      <c r="S374" s="155">
        <f ca="1"/>
        <v>0</v>
      </c>
      <c r="T374" s="155">
        <f ca="1"/>
        <v>7.4799303052221711E-2</v>
      </c>
      <c r="U374" s="155">
        <f ca="1"/>
        <v>0.14739612634186172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2.7708254242673425E-2</v>
      </c>
      <c r="AB374" s="155">
        <f ca="1"/>
        <v>0</v>
      </c>
      <c r="AC374" s="155">
        <f ca="1"/>
        <v>7.5594346733672713E-2</v>
      </c>
      <c r="AD374" s="155">
        <f ca="1"/>
        <v>0.14843634135433825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8">
        <f t="shared" ca="1" si="11"/>
        <v>6.2536931030229945E-4</v>
      </c>
      <c r="AQ374" s="518">
        <f t="shared" ca="1" si="12"/>
        <v>1.4505944441361833E-3</v>
      </c>
      <c r="AR374" s="518">
        <f t="shared" ca="1" si="13"/>
        <v>2.7602498315114194E-3</v>
      </c>
      <c r="AT374" s="518">
        <f t="shared" ca="1" si="14"/>
        <v>4.4520427825935051E-2</v>
      </c>
      <c r="AU374" s="518">
        <f t="shared" ca="1" si="15"/>
        <v>7.1999369326533696E-2</v>
      </c>
      <c r="AV374" s="518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1.4783996039465563E-2</v>
      </c>
      <c r="S375" s="155">
        <f ca="1"/>
        <v>0</v>
      </c>
      <c r="T375" s="155">
        <f ca="1"/>
        <v>0.38881958864409805</v>
      </c>
      <c r="U375" s="155">
        <f ca="1"/>
        <v>3.6995530088217099E-2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1.5276480910028312E-2</v>
      </c>
      <c r="AB375" s="155">
        <f ca="1"/>
        <v>0</v>
      </c>
      <c r="AC375" s="155">
        <f ca="1"/>
        <v>0.38943580073131634</v>
      </c>
      <c r="AD375" s="155">
        <f ca="1"/>
        <v>3.8001316564463927E-2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8">
        <f t="shared" ca="1" si="11"/>
        <v>2.0202657364057183E-3</v>
      </c>
      <c r="AQ375" s="518">
        <f t="shared" ca="1" si="12"/>
        <v>4.1217801815453207E-3</v>
      </c>
      <c r="AR375" s="518">
        <f t="shared" ca="1" si="13"/>
        <v>7.5536888011500224E-3</v>
      </c>
      <c r="AT375" s="518">
        <f t="shared" ca="1" si="14"/>
        <v>0.14382396677474052</v>
      </c>
      <c r="AU375" s="518">
        <f t="shared" ca="1" si="15"/>
        <v>0.20458204205420766</v>
      </c>
      <c r="AV375" s="518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2.609847153359901E-2</v>
      </c>
      <c r="S376" s="155">
        <f ca="1"/>
        <v>0</v>
      </c>
      <c r="T376" s="155">
        <f ca="1"/>
        <v>8.2981831963084174E-2</v>
      </c>
      <c r="U376" s="155">
        <f ca="1"/>
        <v>0.15039959333014963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2.6585300580466931E-2</v>
      </c>
      <c r="AB376" s="155">
        <f ca="1"/>
        <v>0</v>
      </c>
      <c r="AC376" s="155">
        <f ca="1"/>
        <v>8.3772680752264628E-2</v>
      </c>
      <c r="AD376" s="155">
        <f ca="1"/>
        <v>0.15143534957936666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8">
        <f t="shared" ca="1" si="11"/>
        <v>9.8031420658042153E-4</v>
      </c>
      <c r="AQ376" s="518">
        <f t="shared" ca="1" si="12"/>
        <v>2.8280827523011688E-3</v>
      </c>
      <c r="AR376" s="518">
        <f t="shared" ca="1" si="13"/>
        <v>6.2511896111161463E-3</v>
      </c>
      <c r="AT376" s="518">
        <f t="shared" ca="1" si="14"/>
        <v>6.9789174431513459E-2</v>
      </c>
      <c r="AU376" s="518">
        <f t="shared" ca="1" si="15"/>
        <v>0.14037016024157314</v>
      </c>
      <c r="AV376" s="518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2.5908598743932809E-2</v>
      </c>
      <c r="S377" s="155">
        <f ca="1"/>
        <v>0</v>
      </c>
      <c r="T377" s="155">
        <f ca="1"/>
        <v>9.2449258471939078E-2</v>
      </c>
      <c r="U377" s="155">
        <f ca="1"/>
        <v>0.18891870958124524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2.6395522703445806E-2</v>
      </c>
      <c r="AB377" s="155">
        <f ca="1"/>
        <v>0</v>
      </c>
      <c r="AC377" s="155">
        <f ca="1"/>
        <v>9.3234763582891289E-2</v>
      </c>
      <c r="AD377" s="155">
        <f ca="1"/>
        <v>0.18992347003411725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8">
        <f t="shared" ca="1" si="11"/>
        <v>1.4031222637923674E-3</v>
      </c>
      <c r="AQ377" s="518">
        <f t="shared" ca="1" si="12"/>
        <v>3.9151147587036667E-3</v>
      </c>
      <c r="AR377" s="518">
        <f t="shared" ca="1" si="13"/>
        <v>8.1670328469833128E-3</v>
      </c>
      <c r="AT377" s="518">
        <f t="shared" ca="1" si="14"/>
        <v>9.9889141419386679E-2</v>
      </c>
      <c r="AU377" s="518">
        <f t="shared" ca="1" si="15"/>
        <v>0.19432433000632973</v>
      </c>
      <c r="AV377" s="518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7.7978882212288436E-3</v>
      </c>
      <c r="S378" s="155">
        <f ca="1"/>
        <v>0</v>
      </c>
      <c r="T378" s="155">
        <f ca="1"/>
        <v>2.1532964933980159E-2</v>
      </c>
      <c r="U378" s="155">
        <f ca="1"/>
        <v>4.4539609612282316E-2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8.2938652725687012E-3</v>
      </c>
      <c r="AB378" s="155">
        <f ca="1"/>
        <v>0</v>
      </c>
      <c r="AC378" s="155">
        <f ca="1"/>
        <v>2.234801447871515E-2</v>
      </c>
      <c r="AD378" s="155">
        <f ca="1"/>
        <v>4.5678858874922845E-2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8">
        <f t="shared" ca="1" si="11"/>
        <v>4.5159848912326527E-4</v>
      </c>
      <c r="AQ378" s="518">
        <f t="shared" ca="1" si="12"/>
        <v>8.7643009931624011E-4</v>
      </c>
      <c r="AR378" s="518">
        <f t="shared" ca="1" si="13"/>
        <v>1.7585755318073484E-3</v>
      </c>
      <c r="AT378" s="518">
        <f t="shared" ca="1" si="14"/>
        <v>3.214957563490739E-2</v>
      </c>
      <c r="AU378" s="518">
        <f t="shared" ca="1" si="15"/>
        <v>4.3501072725490503E-2</v>
      </c>
      <c r="AV378" s="518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2.5688701405347736E-2</v>
      </c>
      <c r="S379" s="155">
        <f ca="1"/>
        <v>0</v>
      </c>
      <c r="T379" s="155">
        <f ca="1"/>
        <v>7.5120864737866944E-2</v>
      </c>
      <c r="U379" s="155">
        <f ca="1"/>
        <v>0.15414370411342959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2.6175735285968282E-2</v>
      </c>
      <c r="AB379" s="155">
        <f ca="1"/>
        <v>0</v>
      </c>
      <c r="AC379" s="155">
        <f ca="1"/>
        <v>7.5916394634597317E-2</v>
      </c>
      <c r="AD379" s="155">
        <f ca="1"/>
        <v>0.15517960450359647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8">
        <f t="shared" ca="1" si="11"/>
        <v>4.1458221952299764E-4</v>
      </c>
      <c r="AQ379" s="518">
        <f t="shared" ca="1" si="12"/>
        <v>9.6022097823707415E-4</v>
      </c>
      <c r="AR379" s="518">
        <f t="shared" ca="1" si="13"/>
        <v>2.1706975665487173E-3</v>
      </c>
      <c r="AT379" s="518">
        <f t="shared" ca="1" si="14"/>
        <v>2.951436451729203E-2</v>
      </c>
      <c r="AU379" s="518">
        <f t="shared" ca="1" si="15"/>
        <v>4.7659981827895437E-2</v>
      </c>
      <c r="AV379" s="518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2.0582642037712207E-2</v>
      </c>
      <c r="S380" s="155">
        <f ca="1"/>
        <v>0</v>
      </c>
      <c r="T380" s="155">
        <f ca="1"/>
        <v>6.1304947770947971E-2</v>
      </c>
      <c r="U380" s="155">
        <f ca="1"/>
        <v>0.1280126795070714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2.1072228309928054E-2</v>
      </c>
      <c r="AB380" s="155">
        <f ca="1"/>
        <v>0</v>
      </c>
      <c r="AC380" s="155">
        <f ca="1"/>
        <v>6.2086867802512269E-2</v>
      </c>
      <c r="AD380" s="155">
        <f ca="1"/>
        <v>0.12907750148339292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8">
        <f t="shared" ca="1" si="11"/>
        <v>4.569452836210817E-4</v>
      </c>
      <c r="AQ380" s="518">
        <f t="shared" ca="1" si="12"/>
        <v>1.1969723878053368E-3</v>
      </c>
      <c r="AR380" s="518">
        <f t="shared" ca="1" si="13"/>
        <v>2.5223320228055408E-3</v>
      </c>
      <c r="AT380" s="518">
        <f t="shared" ca="1" si="14"/>
        <v>3.2530217240785163E-2</v>
      </c>
      <c r="AU380" s="518">
        <f t="shared" ca="1" si="15"/>
        <v>5.9410993452811388E-2</v>
      </c>
      <c r="AV380" s="518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6.0871551450855099E-3</v>
      </c>
      <c r="S381" s="155">
        <f ca="1"/>
        <v>0</v>
      </c>
      <c r="T381" s="155">
        <f ca="1"/>
        <v>1.6517700005465596E-2</v>
      </c>
      <c r="U381" s="155">
        <f ca="1"/>
        <v>3.5873381114598701E-2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6.5839873491034817E-3</v>
      </c>
      <c r="AB381" s="155">
        <f ca="1"/>
        <v>0</v>
      </c>
      <c r="AC381" s="155">
        <f ca="1"/>
        <v>1.7336927196728524E-2</v>
      </c>
      <c r="AD381" s="155">
        <f ca="1"/>
        <v>3.7022796902169697E-2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8">
        <f t="shared" ca="1" si="11"/>
        <v>1.5696954769935719E-3</v>
      </c>
      <c r="AQ381" s="518">
        <f t="shared" ca="1" si="12"/>
        <v>3.2073911270132666E-3</v>
      </c>
      <c r="AR381" s="518">
        <f t="shared" ca="1" si="13"/>
        <v>5.9515744723560313E-3</v>
      </c>
      <c r="AT381" s="518">
        <f t="shared" ca="1" si="14"/>
        <v>0.11174759144865579</v>
      </c>
      <c r="AU381" s="518">
        <f t="shared" ca="1" si="15"/>
        <v>0.15919689976890286</v>
      </c>
      <c r="AV381" s="518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6.1584930666902515E-3</v>
      </c>
      <c r="S382" s="155">
        <f ca="1"/>
        <v>0</v>
      </c>
      <c r="T382" s="155">
        <f ca="1"/>
        <v>1.7102631286957881E-2</v>
      </c>
      <c r="U382" s="155">
        <f ca="1"/>
        <v>3.7736736923941527E-2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6.6552896106646386E-3</v>
      </c>
      <c r="AB382" s="155">
        <f ca="1"/>
        <v>0</v>
      </c>
      <c r="AC382" s="155">
        <f ca="1"/>
        <v>1.7921371238563633E-2</v>
      </c>
      <c r="AD382" s="155">
        <f ca="1"/>
        <v>3.8884130110366733E-2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8">
        <f t="shared" ca="1" si="11"/>
        <v>5.8321189214643912E-4</v>
      </c>
      <c r="AQ382" s="518">
        <f t="shared" ca="1" si="12"/>
        <v>1.4129166663664121E-3</v>
      </c>
      <c r="AR382" s="518">
        <f t="shared" ca="1" si="13"/>
        <v>2.9284052996984555E-3</v>
      </c>
      <c r="AT382" s="518">
        <f t="shared" ca="1" si="14"/>
        <v>4.1519215164206445E-2</v>
      </c>
      <c r="AU382" s="518">
        <f t="shared" ca="1" si="15"/>
        <v>7.0129255837532808E-2</v>
      </c>
      <c r="AV382" s="518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5.7522592288345109E-2</v>
      </c>
      <c r="S383" s="155">
        <f ca="1"/>
        <v>0</v>
      </c>
      <c r="T383" s="155">
        <f ca="1"/>
        <v>0.14178400908408884</v>
      </c>
      <c r="U383" s="155">
        <f ca="1"/>
        <v>0.23249043827902771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5.7993713202138752E-2</v>
      </c>
      <c r="AB383" s="155">
        <f ca="1"/>
        <v>0</v>
      </c>
      <c r="AC383" s="155">
        <f ca="1"/>
        <v>0.14252764341846846</v>
      </c>
      <c r="AD383" s="155">
        <f ca="1"/>
        <v>0.23343355414271694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8">
        <f t="shared" ca="1" si="11"/>
        <v>4.5303801071883121E-4</v>
      </c>
      <c r="AQ383" s="518">
        <f t="shared" ca="1" si="12"/>
        <v>9.4588092848887765E-4</v>
      </c>
      <c r="AR383" s="518">
        <f t="shared" ca="1" si="13"/>
        <v>1.9811698206304751E-3</v>
      </c>
      <c r="AT383" s="518">
        <f t="shared" ca="1" si="14"/>
        <v>3.2252056067259102E-2</v>
      </c>
      <c r="AU383" s="518">
        <f t="shared" ca="1" si="15"/>
        <v>4.6948222216410027E-2</v>
      </c>
      <c r="AV383" s="518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1.7770588650920516E-2</v>
      </c>
      <c r="S384" s="155">
        <f ca="1"/>
        <v>0</v>
      </c>
      <c r="T384" s="155">
        <f ca="1"/>
        <v>5.7616519584056447E-2</v>
      </c>
      <c r="U384" s="155">
        <f ca="1"/>
        <v>0.12552634158260412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1.8261580598418981E-2</v>
      </c>
      <c r="AB384" s="155">
        <f ca="1"/>
        <v>0</v>
      </c>
      <c r="AC384" s="155">
        <f ca="1"/>
        <v>5.8401512025463953E-2</v>
      </c>
      <c r="AD384" s="155">
        <f ca="1"/>
        <v>0.12659549268034409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8">
        <f t="shared" ca="1" si="11"/>
        <v>1.1067864610480025E-3</v>
      </c>
      <c r="AQ384" s="518">
        <f t="shared" ca="1" si="12"/>
        <v>2.4819533162221533E-3</v>
      </c>
      <c r="AR384" s="518">
        <f t="shared" ca="1" si="13"/>
        <v>5.0370022856697063E-3</v>
      </c>
      <c r="AT384" s="518">
        <f t="shared" ca="1" si="14"/>
        <v>7.8792812416699262E-2</v>
      </c>
      <c r="AU384" s="518">
        <f t="shared" ca="1" si="15"/>
        <v>0.12319023707022927</v>
      </c>
      <c r="AV384" s="518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1.4051140147874119E-2</v>
      </c>
      <c r="S385" s="155">
        <f ca="1"/>
        <v>0</v>
      </c>
      <c r="T385" s="155">
        <f ca="1"/>
        <v>4.1391102063504825E-2</v>
      </c>
      <c r="U385" s="155">
        <f ca="1"/>
        <v>8.3853492967588927E-2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1.4543991354720176E-2</v>
      </c>
      <c r="AB385" s="155">
        <f ca="1"/>
        <v>0</v>
      </c>
      <c r="AC385" s="155">
        <f ca="1"/>
        <v>4.2189610053879112E-2</v>
      </c>
      <c r="AD385" s="155">
        <f ca="1"/>
        <v>8.4921707312929251E-2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8">
        <f t="shared" ca="1" si="11"/>
        <v>5.9740146215987505E-4</v>
      </c>
      <c r="AQ385" s="518">
        <f t="shared" ca="1" si="12"/>
        <v>1.324064593416803E-2</v>
      </c>
      <c r="AR385" s="518">
        <f t="shared" ca="1" si="13"/>
        <v>2.6707282153542924E-3</v>
      </c>
      <c r="AT385" s="518">
        <f t="shared" ca="1" si="14"/>
        <v>4.2529379425959003E-2</v>
      </c>
      <c r="AU385" s="518">
        <f t="shared" ca="1" si="15"/>
        <v>0.65719137460485977</v>
      </c>
      <c r="AV385" s="518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4.0450653263220282E-2</v>
      </c>
      <c r="S386" s="155">
        <f ca="1"/>
        <v>0</v>
      </c>
      <c r="T386" s="155">
        <f ca="1"/>
        <v>0.1043977391630887</v>
      </c>
      <c r="U386" s="155">
        <f ca="1"/>
        <v>0.17293702953390599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4.093030801292763E-2</v>
      </c>
      <c r="AB386" s="155">
        <f ca="1"/>
        <v>0</v>
      </c>
      <c r="AC386" s="155">
        <f ca="1"/>
        <v>0.10517009250976117</v>
      </c>
      <c r="AD386" s="155">
        <f ca="1"/>
        <v>0.17394292582327964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8">
        <f t="shared" ca="1" si="11"/>
        <v>1.060516124047668E-3</v>
      </c>
      <c r="AQ386" s="518">
        <f t="shared" ca="1" si="12"/>
        <v>2.7411989214738614E-3</v>
      </c>
      <c r="AR386" s="518">
        <f t="shared" ca="1" si="13"/>
        <v>5.1640262004872513E-3</v>
      </c>
      <c r="AT386" s="518">
        <f t="shared" ca="1" si="14"/>
        <v>7.5498798519680069E-2</v>
      </c>
      <c r="AU386" s="518">
        <f t="shared" ca="1" si="15"/>
        <v>0.13605773436022039</v>
      </c>
      <c r="AV386" s="518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1.7443098465884987E-2</v>
      </c>
      <c r="S387" s="155">
        <f ca="1"/>
        <v>0</v>
      </c>
      <c r="T387" s="155">
        <f ca="1"/>
        <v>4.8407190068208372E-2</v>
      </c>
      <c r="U387" s="155">
        <f ca="1"/>
        <v>9.6897320905869888E-2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1.7934254117476067E-2</v>
      </c>
      <c r="AB387" s="155">
        <f ca="1"/>
        <v>0</v>
      </c>
      <c r="AC387" s="155">
        <f ca="1"/>
        <v>4.9199853754049783E-2</v>
      </c>
      <c r="AD387" s="155">
        <f ca="1"/>
        <v>9.7990091479999819E-2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8">
        <f t="shared" ca="1" si="11"/>
        <v>1.0527015782431672E-3</v>
      </c>
      <c r="AQ387" s="518">
        <f t="shared" ca="1" si="12"/>
        <v>3.0476823376608042E-3</v>
      </c>
      <c r="AR387" s="518">
        <f t="shared" ca="1" si="13"/>
        <v>6.4753969020321942E-3</v>
      </c>
      <c r="AT387" s="518">
        <f t="shared" ca="1" si="14"/>
        <v>7.4942476172627934E-2</v>
      </c>
      <c r="AU387" s="518">
        <f t="shared" ca="1" si="15"/>
        <v>0.15126985154686928</v>
      </c>
      <c r="AV387" s="518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1.0556493253935262E-2</v>
      </c>
      <c r="S388" s="155">
        <f ca="1"/>
        <v>0</v>
      </c>
      <c r="T388" s="155">
        <f ca="1"/>
        <v>2.8406006058533828E-2</v>
      </c>
      <c r="U388" s="155">
        <f ca="1"/>
        <v>5.3545468409208596E-2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1.1051091347473396E-2</v>
      </c>
      <c r="AB388" s="155">
        <f ca="1"/>
        <v>0</v>
      </c>
      <c r="AC388" s="155">
        <f ca="1"/>
        <v>2.9215330454809396E-2</v>
      </c>
      <c r="AD388" s="155">
        <f ca="1"/>
        <v>5.4673565793244339E-2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8">
        <f t="shared" ca="1" si="11"/>
        <v>3.1402135377560386E-4</v>
      </c>
      <c r="AQ388" s="518">
        <f t="shared" ca="1" si="12"/>
        <v>7.0013184064723715E-4</v>
      </c>
      <c r="AR388" s="518">
        <f t="shared" ca="1" si="13"/>
        <v>1.4637993993259974E-3</v>
      </c>
      <c r="AT388" s="518">
        <f t="shared" ca="1" si="14"/>
        <v>2.235537431443697E-2</v>
      </c>
      <c r="AU388" s="518">
        <f t="shared" ca="1" si="15"/>
        <v>3.4750616325464022E-2</v>
      </c>
      <c r="AV388" s="518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1.2052052459693319E-2</v>
      </c>
      <c r="S389" s="155">
        <f ca="1"/>
        <v>0</v>
      </c>
      <c r="T389" s="155">
        <f ca="1"/>
        <v>2.957752632686117E-2</v>
      </c>
      <c r="U389" s="155">
        <f ca="1"/>
        <v>5.6392610114391895E-2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1.2545902960489852E-2</v>
      </c>
      <c r="AB389" s="155">
        <f ca="1"/>
        <v>0</v>
      </c>
      <c r="AC389" s="155">
        <f ca="1"/>
        <v>3.0385874862924989E-2</v>
      </c>
      <c r="AD389" s="155">
        <f ca="1"/>
        <v>5.7516682852203904E-2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8">
        <f t="shared" ca="1" si="11"/>
        <v>1.0436531567853237E-3</v>
      </c>
      <c r="AQ389" s="518">
        <f t="shared" ca="1" si="12"/>
        <v>2.4847650906825837E-3</v>
      </c>
      <c r="AR389" s="518">
        <f t="shared" ca="1" si="13"/>
        <v>5.2495153114120756E-3</v>
      </c>
      <c r="AT389" s="518">
        <f t="shared" ca="1" si="14"/>
        <v>7.4298313454988621E-2</v>
      </c>
      <c r="AU389" s="518">
        <f t="shared" ca="1" si="15"/>
        <v>0.12332979777836367</v>
      </c>
      <c r="AV389" s="518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1.5102244452374403E-2</v>
      </c>
      <c r="S390" s="155">
        <f ca="1"/>
        <v>0</v>
      </c>
      <c r="T390" s="155">
        <f ca="1"/>
        <v>4.1336183682987415E-2</v>
      </c>
      <c r="U390" s="155">
        <f ca="1"/>
        <v>8.6068192695541224E-2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1.5594570238423699E-2</v>
      </c>
      <c r="AB390" s="155">
        <f ca="1"/>
        <v>0</v>
      </c>
      <c r="AC390" s="155">
        <f ca="1"/>
        <v>4.2134737419619039E-2</v>
      </c>
      <c r="AD390" s="155">
        <f ca="1"/>
        <v>8.7133824731192466E-2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8">
        <f t="shared" ca="1" si="11"/>
        <v>8.3409994165936413E-4</v>
      </c>
      <c r="AQ390" s="518">
        <f t="shared" ca="1" si="12"/>
        <v>2.015198755790662E-3</v>
      </c>
      <c r="AR390" s="518">
        <f t="shared" ca="1" si="13"/>
        <v>4.3127643459480829E-3</v>
      </c>
      <c r="AT390" s="518">
        <f t="shared" ca="1" si="14"/>
        <v>5.9380090516932771E-2</v>
      </c>
      <c r="AU390" s="518">
        <f t="shared" ca="1" si="15"/>
        <v>0.10002315951991993</v>
      </c>
      <c r="AV390" s="518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2.6103467703523897E-2</v>
      </c>
      <c r="S391" s="155">
        <f ca="1"/>
        <v>0</v>
      </c>
      <c r="T391" s="155">
        <f ca="1"/>
        <v>6.9386841670634025E-2</v>
      </c>
      <c r="U391" s="155">
        <f ca="1"/>
        <v>0.12296325524255824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2.6590294252881286E-2</v>
      </c>
      <c r="AB391" s="155">
        <f ca="1"/>
        <v>0</v>
      </c>
      <c r="AC391" s="155">
        <f ca="1"/>
        <v>7.0162029596065878E-2</v>
      </c>
      <c r="AD391" s="155">
        <f ca="1"/>
        <v>0.12402645564616599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8">
        <f t="shared" ca="1" si="11"/>
        <v>2.4492431718843756E-4</v>
      </c>
      <c r="AQ391" s="518">
        <f t="shared" ca="1" si="12"/>
        <v>5.3648656705017198E-4</v>
      </c>
      <c r="AR391" s="518">
        <f t="shared" ca="1" si="13"/>
        <v>1.1722492710304888E-3</v>
      </c>
      <c r="AT391" s="518">
        <f t="shared" ca="1" si="14"/>
        <v>1.7436313561554964E-2</v>
      </c>
      <c r="AU391" s="518">
        <f t="shared" ca="1" si="15"/>
        <v>2.6628183112042309E-2</v>
      </c>
      <c r="AV391" s="518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2.9739105962074297E-2</v>
      </c>
      <c r="S392" s="155">
        <f ca="1"/>
        <v>0</v>
      </c>
      <c r="T392" s="155">
        <f ca="1"/>
        <v>8.6702942456460708E-2</v>
      </c>
      <c r="U392" s="155">
        <f ca="1"/>
        <v>0.17413490393926701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3.022411514669443E-2</v>
      </c>
      <c r="AB392" s="155">
        <f ca="1"/>
        <v>0</v>
      </c>
      <c r="AC392" s="155">
        <f ca="1"/>
        <v>8.7490074147353769E-2</v>
      </c>
      <c r="AD392" s="155">
        <f ca="1"/>
        <v>0.17515062943402282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8">
        <f t="shared" ca="1" si="11"/>
        <v>2.478033603795695E-4</v>
      </c>
      <c r="AQ392" s="518">
        <f t="shared" ca="1" si="12"/>
        <v>5.5504427848901449E-4</v>
      </c>
      <c r="AR392" s="518">
        <f t="shared" ca="1" si="13"/>
        <v>1.2319303484685734E-3</v>
      </c>
      <c r="AT392" s="518">
        <f t="shared" ca="1" si="14"/>
        <v>1.7641274426258381E-2</v>
      </c>
      <c r="AU392" s="518">
        <f t="shared" ca="1" si="15"/>
        <v>2.7549283785729309E-2</v>
      </c>
      <c r="AV392" s="518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2.5138748393448096E-2</v>
      </c>
      <c r="S393" s="155">
        <f ca="1"/>
        <v>0</v>
      </c>
      <c r="T393" s="155">
        <f ca="1"/>
        <v>6.9043677192892949E-2</v>
      </c>
      <c r="U393" s="155">
        <f ca="1"/>
        <v>0.13285401497567606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2.562605718194888E-2</v>
      </c>
      <c r="AB393" s="155">
        <f ca="1"/>
        <v>0</v>
      </c>
      <c r="AC393" s="155">
        <f ca="1"/>
        <v>6.981915096960023E-2</v>
      </c>
      <c r="AD393" s="155">
        <f ca="1"/>
        <v>0.13391070578733733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8">
        <f t="shared" ca="1" si="11"/>
        <v>2.3766501542794062E-3</v>
      </c>
      <c r="AQ393" s="518">
        <f t="shared" ca="1" si="12"/>
        <v>4.8657757037752769E-3</v>
      </c>
      <c r="AR393" s="518">
        <f t="shared" ca="1" si="13"/>
        <v>8.4291456870830093E-3</v>
      </c>
      <c r="AT393" s="518">
        <f t="shared" ca="1" si="14"/>
        <v>0.16919519381267062</v>
      </c>
      <c r="AU393" s="518">
        <f t="shared" ca="1" si="15"/>
        <v>0.24150980542656825</v>
      </c>
      <c r="AV393" s="518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3.400134385367537E-2</v>
      </c>
      <c r="S394" s="155">
        <f ca="1"/>
        <v>0</v>
      </c>
      <c r="T394" s="155">
        <f ca="1"/>
        <v>0.10094976535658673</v>
      </c>
      <c r="U394" s="155">
        <f ca="1"/>
        <v>0.1965518601192926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3.4484222452022539E-2</v>
      </c>
      <c r="AB394" s="155">
        <f ca="1"/>
        <v>0</v>
      </c>
      <c r="AC394" s="155">
        <f ca="1"/>
        <v>0.10172688891850423</v>
      </c>
      <c r="AD394" s="155">
        <f ca="1"/>
        <v>0.197544711816663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8">
        <f t="shared" ca="1" si="11"/>
        <v>7.1914385995631091E-4</v>
      </c>
      <c r="AQ394" s="518">
        <f t="shared" ca="1" si="12"/>
        <v>1.8841700659345928E-3</v>
      </c>
      <c r="AR394" s="518">
        <f t="shared" ca="1" si="13"/>
        <v>4.2018704520597498E-3</v>
      </c>
      <c r="AT394" s="518">
        <f t="shared" ca="1" si="14"/>
        <v>5.1196295990560636E-2</v>
      </c>
      <c r="AU394" s="518">
        <f t="shared" ca="1" si="15"/>
        <v>9.3519630520857197E-2</v>
      </c>
      <c r="AV394" s="518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9.8815040896624851E-3</v>
      </c>
      <c r="S395" s="155">
        <f ca="1"/>
        <v>0</v>
      </c>
      <c r="T395" s="155">
        <f ca="1"/>
        <v>2.6740900382562272E-2</v>
      </c>
      <c r="U395" s="155">
        <f ca="1"/>
        <v>5.6283375045487416E-2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1.0376439593376641E-2</v>
      </c>
      <c r="AB395" s="155">
        <f ca="1"/>
        <v>0</v>
      </c>
      <c r="AC395" s="155">
        <f ca="1"/>
        <v>2.755161178892318E-2</v>
      </c>
      <c r="AD395" s="155">
        <f ca="1"/>
        <v>5.7408151322876244E-2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8">
        <f t="shared" ca="1" si="11"/>
        <v>5.6758280053743719E-4</v>
      </c>
      <c r="AQ395" s="518">
        <f t="shared" ca="1" si="12"/>
        <v>1.3516199831290234E-3</v>
      </c>
      <c r="AR395" s="518">
        <f t="shared" ca="1" si="13"/>
        <v>2.7913001218001525E-3</v>
      </c>
      <c r="AT395" s="518">
        <f t="shared" ca="1" si="14"/>
        <v>4.0406570470102182E-2</v>
      </c>
      <c r="AU395" s="518">
        <f t="shared" ca="1" si="15"/>
        <v>6.7086832400203023E-2</v>
      </c>
      <c r="AV395" s="518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2.4308251791463231E-2</v>
      </c>
      <c r="S396" s="155">
        <f ca="1"/>
        <v>0</v>
      </c>
      <c r="T396" s="155">
        <f ca="1"/>
        <v>7.4556704014125064E-2</v>
      </c>
      <c r="U396" s="155">
        <f ca="1"/>
        <v>0.14337079385034834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2.4795975724387742E-2</v>
      </c>
      <c r="AB396" s="155">
        <f ca="1"/>
        <v>0</v>
      </c>
      <c r="AC396" s="155">
        <f ca="1"/>
        <v>7.5353160226272919E-2</v>
      </c>
      <c r="AD396" s="155">
        <f ca="1"/>
        <v>0.14441529638213102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8">
        <f t="shared" ca="1" si="11"/>
        <v>1.6564780646119771E-3</v>
      </c>
      <c r="AQ396" s="518">
        <f t="shared" ca="1" si="12"/>
        <v>3.5172486725527263E-3</v>
      </c>
      <c r="AR396" s="518">
        <f t="shared" ca="1" si="13"/>
        <v>6.0959381596724796E-3</v>
      </c>
      <c r="AT396" s="518">
        <f t="shared" ca="1" si="14"/>
        <v>0.11792569751328735</v>
      </c>
      <c r="AU396" s="518">
        <f t="shared" ca="1" si="15"/>
        <v>0.17457648980531301</v>
      </c>
      <c r="AV396" s="518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2.1787570743982743E-2</v>
      </c>
      <c r="S397" s="155">
        <f ca="1"/>
        <v>0</v>
      </c>
      <c r="T397" s="155">
        <f ca="1"/>
        <v>5.7816839085411798E-2</v>
      </c>
      <c r="U397" s="155">
        <f ca="1"/>
        <v>0.11941178701908262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2.2276554702467477E-2</v>
      </c>
      <c r="AB397" s="155">
        <f ca="1"/>
        <v>0</v>
      </c>
      <c r="AC397" s="155">
        <f ca="1"/>
        <v>5.8601664663438524E-2</v>
      </c>
      <c r="AD397" s="155">
        <f ca="1"/>
        <v>0.12048326170094714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8">
        <f t="shared" ca="1" si="11"/>
        <v>7.0577687371176979E-4</v>
      </c>
      <c r="AQ397" s="518">
        <f t="shared" ca="1" si="12"/>
        <v>1.5892149250354153E-3</v>
      </c>
      <c r="AR397" s="518">
        <f t="shared" ca="1" si="13"/>
        <v>3.2485862151433158E-3</v>
      </c>
      <c r="AT397" s="518">
        <f t="shared" ca="1" si="14"/>
        <v>5.0244691975866201E-2</v>
      </c>
      <c r="AU397" s="518">
        <f t="shared" ca="1" si="15"/>
        <v>7.8879712237559296E-2</v>
      </c>
      <c r="AV397" s="518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5.1775244357045058E-2</v>
      </c>
      <c r="S398" s="155">
        <f ca="1"/>
        <v>0</v>
      </c>
      <c r="T398" s="155">
        <f ca="1"/>
        <v>0.13714685673236404</v>
      </c>
      <c r="U398" s="155">
        <f ca="1"/>
        <v>0.21656664971892781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5.224923822658134E-2</v>
      </c>
      <c r="AB398" s="155">
        <f ca="1"/>
        <v>0</v>
      </c>
      <c r="AC398" s="155">
        <f ca="1"/>
        <v>0.13789560795117362</v>
      </c>
      <c r="AD398" s="155">
        <f ca="1"/>
        <v>0.2175252072941628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8">
        <f t="shared" ca="1" si="11"/>
        <v>4.2568710040307784E-4</v>
      </c>
      <c r="AQ398" s="518">
        <f t="shared" ca="1" si="12"/>
        <v>9.2704203960399228E-4</v>
      </c>
      <c r="AR398" s="518">
        <f t="shared" ca="1" si="13"/>
        <v>1.7787380579688634E-3</v>
      </c>
      <c r="AT398" s="518">
        <f t="shared" ca="1" si="14"/>
        <v>3.0304927852576637E-2</v>
      </c>
      <c r="AU398" s="518">
        <f t="shared" ca="1" si="15"/>
        <v>4.6013165471909589E-2</v>
      </c>
      <c r="AV398" s="518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1.2887592946732251E-2</v>
      </c>
      <c r="S399" s="155">
        <f ca="1"/>
        <v>0</v>
      </c>
      <c r="T399" s="155">
        <f ca="1"/>
        <v>3.410434679355312E-2</v>
      </c>
      <c r="U399" s="155">
        <f ca="1"/>
        <v>6.9097385947745615E-2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1.3381025781825429E-2</v>
      </c>
      <c r="AB399" s="155">
        <f ca="1"/>
        <v>0</v>
      </c>
      <c r="AC399" s="155">
        <f ca="1"/>
        <v>3.490892455062089E-2</v>
      </c>
      <c r="AD399" s="155">
        <f ca="1"/>
        <v>7.0205406599044062E-2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8">
        <f t="shared" ca="1" si="11"/>
        <v>4.8635265335907209E-4</v>
      </c>
      <c r="AQ399" s="518">
        <f t="shared" ca="1" si="12"/>
        <v>9.7006218884858146E-4</v>
      </c>
      <c r="AR399" s="518">
        <f t="shared" ca="1" si="13"/>
        <v>1.878340937206748E-3</v>
      </c>
      <c r="AT399" s="518">
        <f t="shared" ca="1" si="14"/>
        <v>3.4623746073112922E-2</v>
      </c>
      <c r="AU399" s="518">
        <f t="shared" ca="1" si="15"/>
        <v>4.8148444306365813E-2</v>
      </c>
      <c r="AV399" s="518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2.0024876859674801E-2</v>
      </c>
      <c r="S400" s="155">
        <f ca="1"/>
        <v>0</v>
      </c>
      <c r="T400" s="155">
        <f ca="1"/>
        <v>5.7624312774941955E-2</v>
      </c>
      <c r="U400" s="155">
        <f ca="1"/>
        <v>0.11688935596329852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2.0514741944728354E-2</v>
      </c>
      <c r="AB400" s="155">
        <f ca="1"/>
        <v>0</v>
      </c>
      <c r="AC400" s="155">
        <f ca="1"/>
        <v>5.8409298724735881E-2</v>
      </c>
      <c r="AD400" s="155">
        <f ca="1"/>
        <v>0.11796358978653598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8">
        <f t="shared" ca="1" si="11"/>
        <v>6.1035715651996871E-4</v>
      </c>
      <c r="AQ400" s="518">
        <f t="shared" ca="1" si="12"/>
        <v>1.3544317575894542E-3</v>
      </c>
      <c r="AR400" s="518">
        <f t="shared" ca="1" si="13"/>
        <v>2.8663047191209885E-3</v>
      </c>
      <c r="AT400" s="518">
        <f t="shared" ca="1" si="14"/>
        <v>4.3451703317124384E-2</v>
      </c>
      <c r="AU400" s="518">
        <f t="shared" ca="1" si="15"/>
        <v>6.7226393108337432E-2</v>
      </c>
      <c r="AV400" s="518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8.8707208162558393E-3</v>
      </c>
      <c r="S401" s="155">
        <f ca="1"/>
        <v>0</v>
      </c>
      <c r="T401" s="155">
        <f ca="1"/>
        <v>2.5618151902847996E-2</v>
      </c>
      <c r="U401" s="155">
        <f ca="1"/>
        <v>5.0669706794922886E-2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9.3661615853779523E-3</v>
      </c>
      <c r="AB401" s="155">
        <f ca="1"/>
        <v>0</v>
      </c>
      <c r="AC401" s="155">
        <f ca="1"/>
        <v>2.6429798543231242E-2</v>
      </c>
      <c r="AD401" s="155">
        <f ca="1"/>
        <v>5.1801716623089855E-2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8">
        <f t="shared" ca="1" si="11"/>
        <v>1.0607217699898917E-3</v>
      </c>
      <c r="AQ401" s="518">
        <f t="shared" ca="1" si="12"/>
        <v>2.3011562184164611E-3</v>
      </c>
      <c r="AR401" s="518">
        <f t="shared" ca="1" si="13"/>
        <v>4.2139679677566586E-3</v>
      </c>
      <c r="AT401" s="518">
        <f t="shared" ca="1" si="14"/>
        <v>7.5513438581444589E-2</v>
      </c>
      <c r="AU401" s="518">
        <f t="shared" ca="1" si="15"/>
        <v>0.11421648353718777</v>
      </c>
      <c r="AV401" s="518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1.4728418620302386E-2</v>
      </c>
      <c r="S402" s="155">
        <f ca="1"/>
        <v>0</v>
      </c>
      <c r="T402" s="155">
        <f ca="1"/>
        <v>4.3365781598874831E-2</v>
      </c>
      <c r="U402" s="155">
        <f ca="1"/>
        <v>9.1885715991103067E-2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1.5220931272586835E-2</v>
      </c>
      <c r="AB402" s="155">
        <f ca="1"/>
        <v>0</v>
      </c>
      <c r="AC402" s="155">
        <f ca="1"/>
        <v>4.4162644708445331E-2</v>
      </c>
      <c r="AD402" s="155">
        <f ca="1"/>
        <v>9.298503120657553E-2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8">
        <f t="shared" ca="1" si="11"/>
        <v>1.2106376618709756E-3</v>
      </c>
      <c r="AQ402" s="518">
        <f t="shared" ca="1" si="12"/>
        <v>2.8806629347112225E-3</v>
      </c>
      <c r="AR402" s="518">
        <f t="shared" ca="1" si="13"/>
        <v>5.9838345142144561E-3</v>
      </c>
      <c r="AT402" s="518">
        <f t="shared" ca="1" si="14"/>
        <v>8.6186043607786797E-2</v>
      </c>
      <c r="AU402" s="518">
        <f t="shared" ca="1" si="15"/>
        <v>0.14297994548368631</v>
      </c>
      <c r="AV402" s="518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6.6933683589706083E-3</v>
      </c>
      <c r="S403" s="155">
        <f ca="1"/>
        <v>0</v>
      </c>
      <c r="T403" s="155">
        <f ca="1"/>
        <v>1.9337462497871716E-2</v>
      </c>
      <c r="U403" s="155">
        <f ca="1"/>
        <v>4.1383666892775173E-2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7.1898975321612602E-3</v>
      </c>
      <c r="AB403" s="155">
        <f ca="1"/>
        <v>0</v>
      </c>
      <c r="AC403" s="155">
        <f ca="1"/>
        <v>2.0154340865831899E-2</v>
      </c>
      <c r="AD403" s="155">
        <f ca="1"/>
        <v>4.2526877213872272E-2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8">
        <f t="shared" ca="1" si="11"/>
        <v>1.0210321031407159E-3</v>
      </c>
      <c r="AQ403" s="518">
        <f t="shared" ca="1" si="12"/>
        <v>2.2854102814380494E-3</v>
      </c>
      <c r="AR403" s="518">
        <f t="shared" ca="1" si="13"/>
        <v>4.5272936243066038E-3</v>
      </c>
      <c r="AT403" s="518">
        <f t="shared" ca="1" si="14"/>
        <v>7.2687906660890339E-2</v>
      </c>
      <c r="AU403" s="518">
        <f t="shared" ca="1" si="15"/>
        <v>0.11343494357163517</v>
      </c>
      <c r="AV403" s="518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1.1089063158589929E-2</v>
      </c>
      <c r="S404" s="155">
        <f ca="1"/>
        <v>0</v>
      </c>
      <c r="T404" s="155">
        <f ca="1"/>
        <v>3.0498224560282283E-2</v>
      </c>
      <c r="U404" s="155">
        <f ca="1"/>
        <v>5.8476973857102266E-2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1.1583395033776256E-2</v>
      </c>
      <c r="AB404" s="155">
        <f ca="1"/>
        <v>0</v>
      </c>
      <c r="AC404" s="155">
        <f ca="1"/>
        <v>3.1305806167435501E-2</v>
      </c>
      <c r="AD404" s="155">
        <f ca="1"/>
        <v>5.9599113945547733E-2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8">
        <f t="shared" ref="AP404:AP435" ca="1" si="20">AH404*$AR$365</f>
        <v>1.387081880298918E-3</v>
      </c>
      <c r="AQ404" s="518">
        <f t="shared" ref="AQ404:AQ435" ca="1" si="21">AI404*$AR$366</f>
        <v>3.3685058035959436E-3</v>
      </c>
      <c r="AR404" s="518">
        <f t="shared" ref="AR404:AR435" ca="1" si="22">AJ404*$AR$367</f>
        <v>6.8250151056728665E-3</v>
      </c>
      <c r="AT404" s="518">
        <f t="shared" ca="1" si="14"/>
        <v>9.8747216601753354E-2</v>
      </c>
      <c r="AU404" s="518">
        <f t="shared" ca="1" si="15"/>
        <v>0.16719372834500359</v>
      </c>
      <c r="AV404" s="518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8.6775927136204523E-3</v>
      </c>
      <c r="S405" s="155">
        <f ca="1"/>
        <v>0</v>
      </c>
      <c r="T405" s="155">
        <f ca="1"/>
        <v>0.22665745380000901</v>
      </c>
      <c r="U405" s="155">
        <f ca="1"/>
        <v>2.55509846526083E-2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9.1731300225591506E-3</v>
      </c>
      <c r="AB405" s="155">
        <f ca="1"/>
        <v>0</v>
      </c>
      <c r="AC405" s="155">
        <f ca="1"/>
        <v>0.22737251333046216</v>
      </c>
      <c r="AD405" s="155">
        <f ca="1"/>
        <v>2.6631590850849429E-2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8">
        <f t="shared" ca="1" si="20"/>
        <v>3.9833619008732457E-4</v>
      </c>
      <c r="AQ405" s="518">
        <f t="shared" ca="1" si="21"/>
        <v>8.7193126017955113E-4</v>
      </c>
      <c r="AR405" s="518">
        <f t="shared" ca="1" si="22"/>
        <v>1.8553556573826209E-3</v>
      </c>
      <c r="AT405" s="518">
        <f t="shared" ca="1" si="14"/>
        <v>2.8357799637894178E-2</v>
      </c>
      <c r="AU405" s="518">
        <f t="shared" ca="1" si="15"/>
        <v>4.3277775592475476E-2</v>
      </c>
      <c r="AV405" s="518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8.6644922805887092E-2</v>
      </c>
      <c r="S406" s="155">
        <f ca="1"/>
        <v>0</v>
      </c>
      <c r="T406" s="155">
        <f ca="1"/>
        <v>0.20004359197211086</v>
      </c>
      <c r="U406" s="155">
        <f ca="1"/>
        <v>0.32102440985764269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8.710148619410818E-2</v>
      </c>
      <c r="AB406" s="155">
        <f ca="1"/>
        <v>0</v>
      </c>
      <c r="AC406" s="155">
        <f ca="1"/>
        <v>0.20074163293080483</v>
      </c>
      <c r="AD406" s="155">
        <f ca="1"/>
        <v>0.32187273343650491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8">
        <f t="shared" ca="1" si="20"/>
        <v>9.8689487673158023E-4</v>
      </c>
      <c r="AQ406" s="518">
        <f t="shared" ca="1" si="21"/>
        <v>2.4597402979847512E-3</v>
      </c>
      <c r="AR406" s="518">
        <f t="shared" ca="1" si="22"/>
        <v>4.8873963415512643E-3</v>
      </c>
      <c r="AT406" s="518">
        <f t="shared" ca="1" si="14"/>
        <v>7.0257656407978403E-2</v>
      </c>
      <c r="AU406" s="518">
        <f t="shared" ca="1" si="15"/>
        <v>0.12208770747596759</v>
      </c>
      <c r="AV406" s="518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9.3279833476120899E-3</v>
      </c>
      <c r="S407" s="155">
        <f ca="1"/>
        <v>0</v>
      </c>
      <c r="T407" s="155">
        <f ca="1"/>
        <v>2.6543968987190691E-2</v>
      </c>
      <c r="U407" s="155">
        <f ca="1"/>
        <v>5.3226339423702251E-2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9.8231955425721607E-3</v>
      </c>
      <c r="AB407" s="155">
        <f ca="1"/>
        <v>0</v>
      </c>
      <c r="AC407" s="155">
        <f ca="1"/>
        <v>2.7354844434691716E-2</v>
      </c>
      <c r="AD407" s="155">
        <f ca="1"/>
        <v>5.4355177028454271E-2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8">
        <f t="shared" ca="1" si="20"/>
        <v>8.8345496779305445E-4</v>
      </c>
      <c r="AQ407" s="518">
        <f t="shared" ca="1" si="21"/>
        <v>1.9091948586324257E-3</v>
      </c>
      <c r="AR407" s="518">
        <f t="shared" ca="1" si="22"/>
        <v>4.0284727270707204E-3</v>
      </c>
      <c r="AT407" s="518">
        <f t="shared" ca="1" si="14"/>
        <v>6.2893705340419923E-2</v>
      </c>
      <c r="AU407" s="518">
        <f t="shared" ca="1" si="15"/>
        <v>9.4761720823253293E-2</v>
      </c>
      <c r="AV407" s="518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6.8359543637374065E-3</v>
      </c>
      <c r="S408" s="155">
        <f ca="1"/>
        <v>0</v>
      </c>
      <c r="T408" s="155">
        <f ca="1"/>
        <v>1.7566898012529641E-2</v>
      </c>
      <c r="U408" s="155">
        <f ca="1"/>
        <v>3.4825357643277211E-2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7.3324122617500764E-3</v>
      </c>
      <c r="AB408" s="155">
        <f ca="1"/>
        <v>0</v>
      </c>
      <c r="AC408" s="155">
        <f ca="1"/>
        <v>1.838525123631618E-2</v>
      </c>
      <c r="AD408" s="155">
        <f ca="1"/>
        <v>3.5975469722823505E-2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8">
        <f t="shared" ca="1" si="20"/>
        <v>2.1327540668020875E-3</v>
      </c>
      <c r="AQ408" s="518">
        <f t="shared" ca="1" si="21"/>
        <v>4.6734503306818187E-3</v>
      </c>
      <c r="AR408" s="518">
        <f t="shared" ca="1" si="22"/>
        <v>7.8129788875871079E-3</v>
      </c>
      <c r="AT408" s="518">
        <f t="shared" ca="1" si="14"/>
        <v>0.15183208055993833</v>
      </c>
      <c r="AU408" s="518">
        <f t="shared" ca="1" si="15"/>
        <v>0.23196385299017572</v>
      </c>
      <c r="AV408" s="518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2.3121358211725784E-2</v>
      </c>
      <c r="S409" s="155">
        <f ca="1"/>
        <v>0</v>
      </c>
      <c r="T409" s="155">
        <f ca="1"/>
        <v>6.4166805294819218E-2</v>
      </c>
      <c r="U409" s="155">
        <f ca="1"/>
        <v>0.13087292283583429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2.3609675443117428E-2</v>
      </c>
      <c r="AB409" s="155">
        <f ca="1"/>
        <v>0</v>
      </c>
      <c r="AC409" s="155">
        <f ca="1"/>
        <v>6.4946341438600674E-2</v>
      </c>
      <c r="AD409" s="155">
        <f ca="1"/>
        <v>0.13193353916573425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8">
        <f t="shared" ca="1" si="20"/>
        <v>5.2028423382598416E-4</v>
      </c>
      <c r="AQ409" s="518">
        <f t="shared" ca="1" si="21"/>
        <v>1.1162744607909763E-3</v>
      </c>
      <c r="AR409" s="518">
        <f t="shared" ca="1" si="22"/>
        <v>2.2953019782268806E-3</v>
      </c>
      <c r="AT409" s="518">
        <f t="shared" ca="1" si="14"/>
        <v>3.7039356264260338E-2</v>
      </c>
      <c r="AU409" s="518">
        <f t="shared" ca="1" si="15"/>
        <v>5.5405601129354276E-2</v>
      </c>
      <c r="AV409" s="518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1.3540355332049892E-2</v>
      </c>
      <c r="S410" s="155">
        <f ca="1"/>
        <v>0</v>
      </c>
      <c r="T410" s="155">
        <f ca="1"/>
        <v>3.6438621636152302E-2</v>
      </c>
      <c r="U410" s="155">
        <f ca="1"/>
        <v>6.8312867023341717E-2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1.4033461867443697E-2</v>
      </c>
      <c r="AB410" s="155">
        <f ca="1"/>
        <v>0</v>
      </c>
      <c r="AC410" s="155">
        <f ca="1"/>
        <v>3.7241254974461069E-2</v>
      </c>
      <c r="AD410" s="155">
        <f ca="1"/>
        <v>6.9422360099638869E-2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8">
        <f t="shared" ca="1" si="20"/>
        <v>8.1127324207253243E-4</v>
      </c>
      <c r="AQ410" s="518">
        <f t="shared" ca="1" si="21"/>
        <v>1.8948548088842292E-3</v>
      </c>
      <c r="AR410" s="518">
        <f t="shared" ca="1" si="22"/>
        <v>3.9369348582974414E-3</v>
      </c>
      <c r="AT410" s="518">
        <f t="shared" ca="1" si="14"/>
        <v>5.7755043661069969E-2</v>
      </c>
      <c r="AU410" s="518">
        <f t="shared" ca="1" si="15"/>
        <v>9.4049961211767896E-2</v>
      </c>
      <c r="AV410" s="518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9.5209880749163034E-3</v>
      </c>
      <c r="S411" s="155">
        <f ca="1"/>
        <v>0</v>
      </c>
      <c r="T411" s="155">
        <f ca="1"/>
        <v>0.25831888396213432</v>
      </c>
      <c r="U411" s="155">
        <f ca="1"/>
        <v>2.6364151897432686E-2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1.0016103791610664E-2</v>
      </c>
      <c r="AB411" s="155">
        <f ca="1"/>
        <v>0</v>
      </c>
      <c r="AC411" s="155">
        <f ca="1"/>
        <v>0.25901502612357363</v>
      </c>
      <c r="AD411" s="155">
        <f ca="1"/>
        <v>2.7431678041743401E-2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8">
        <f t="shared" ca="1" si="20"/>
        <v>3.5741264758480646E-4</v>
      </c>
      <c r="AQ411" s="518">
        <f t="shared" ca="1" si="21"/>
        <v>8.3256641773352168E-4</v>
      </c>
      <c r="AR411" s="518">
        <f t="shared" ca="1" si="22"/>
        <v>1.6722799198360635E-3</v>
      </c>
      <c r="AT411" s="518">
        <f t="shared" ca="1" si="14"/>
        <v>2.5444427346752754E-2</v>
      </c>
      <c r="AU411" s="518">
        <f t="shared" ca="1" si="15"/>
        <v>4.1323925678593963E-2</v>
      </c>
      <c r="AV411" s="518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1.603620687727636E-2</v>
      </c>
      <c r="S412" s="155">
        <f ca="1"/>
        <v>0</v>
      </c>
      <c r="T412" s="155">
        <f ca="1"/>
        <v>4.2095305217100365E-2</v>
      </c>
      <c r="U412" s="155">
        <f ca="1"/>
        <v>8.2256866645431859E-2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1.6528065798808722E-2</v>
      </c>
      <c r="AB412" s="155">
        <f ca="1"/>
        <v>0</v>
      </c>
      <c r="AC412" s="155">
        <f ca="1"/>
        <v>4.2893226615961066E-2</v>
      </c>
      <c r="AD412" s="155">
        <f ca="1"/>
        <v>8.3326942635323475E-2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8">
        <f t="shared" ca="1" si="20"/>
        <v>5.9513935679541424E-4</v>
      </c>
      <c r="AQ412" s="518">
        <f t="shared" ca="1" si="21"/>
        <v>1.4171343280570583E-3</v>
      </c>
      <c r="AR412" s="518">
        <f t="shared" ca="1" si="22"/>
        <v>3.0566389660856915E-3</v>
      </c>
      <c r="AT412" s="518">
        <f t="shared" ca="1" si="14"/>
        <v>4.2368338746549175E-2</v>
      </c>
      <c r="AU412" s="518">
        <f t="shared" ca="1" si="15"/>
        <v>7.0338596899734401E-2</v>
      </c>
      <c r="AV412" s="518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3.4273949251770186E-2</v>
      </c>
      <c r="S413" s="155">
        <f ca="1"/>
        <v>0</v>
      </c>
      <c r="T413" s="155">
        <f ca="1"/>
        <v>9.8871556480575551E-2</v>
      </c>
      <c r="U413" s="155">
        <f ca="1"/>
        <v>0.17744958471389949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3.4756691581534715E-2</v>
      </c>
      <c r="AB413" s="155">
        <f ca="1"/>
        <v>0</v>
      </c>
      <c r="AC413" s="155">
        <f ca="1"/>
        <v>9.9649751234042072E-2</v>
      </c>
      <c r="AD413" s="155">
        <f ca="1"/>
        <v>0.17845681168615002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8">
        <f t="shared" ca="1" si="20"/>
        <v>2.6939618431305894E-4</v>
      </c>
      <c r="AQ413" s="518">
        <f t="shared" ca="1" si="21"/>
        <v>6.2702570467603966E-4</v>
      </c>
      <c r="AR413" s="518">
        <f t="shared" ca="1" si="22"/>
        <v>1.354115257007355E-3</v>
      </c>
      <c r="AT413" s="518">
        <f t="shared" ca="1" si="14"/>
        <v>1.9178480911534009E-2</v>
      </c>
      <c r="AU413" s="518">
        <f t="shared" ca="1" si="15"/>
        <v>3.112203791396979E-2</v>
      </c>
      <c r="AV413" s="518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9.2263872062403607E-3</v>
      </c>
      <c r="S414" s="155">
        <f ca="1"/>
        <v>0</v>
      </c>
      <c r="T414" s="155">
        <f ca="1"/>
        <v>2.6261717912271054E-2</v>
      </c>
      <c r="U414" s="155">
        <f ca="1"/>
        <v>5.2143977032461986E-2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9.7216501865152738E-3</v>
      </c>
      <c r="AB414" s="155">
        <f ca="1"/>
        <v>0</v>
      </c>
      <c r="AC414" s="155">
        <f ca="1"/>
        <v>2.7072828470992572E-2</v>
      </c>
      <c r="AD414" s="155">
        <f ca="1"/>
        <v>5.3274133786958555E-2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8">
        <f t="shared" ca="1" si="20"/>
        <v>4.4727992433656733E-4</v>
      </c>
      <c r="AQ414" s="518">
        <f t="shared" ca="1" si="21"/>
        <v>9.9508698154641452E-4</v>
      </c>
      <c r="AR414" s="518">
        <f t="shared" ca="1" si="22"/>
        <v>1.9420545198771358E-3</v>
      </c>
      <c r="AT414" s="518">
        <f t="shared" ca="1" si="14"/>
        <v>3.1842134337852261E-2</v>
      </c>
      <c r="AU414" s="518">
        <f t="shared" ca="1" si="15"/>
        <v>4.9390534608761916E-2</v>
      </c>
      <c r="AV414" s="518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9.9830348380933742E-3</v>
      </c>
      <c r="S415" s="155">
        <f ca="1"/>
        <v>0</v>
      </c>
      <c r="T415" s="155">
        <f ca="1"/>
        <v>2.3147029545219522E-2</v>
      </c>
      <c r="U415" s="155">
        <f ca="1"/>
        <v>4.598018921954905E-2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1.0477919589181761E-2</v>
      </c>
      <c r="AB415" s="155">
        <f ca="1"/>
        <v>0</v>
      </c>
      <c r="AC415" s="155">
        <f ca="1"/>
        <v>2.3960734596389144E-2</v>
      </c>
      <c r="AD415" s="155">
        <f ca="1"/>
        <v>4.7116821701871481E-2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8">
        <f t="shared" ca="1" si="20"/>
        <v>3.4959810178030549E-4</v>
      </c>
      <c r="AQ415" s="518">
        <f t="shared" ca="1" si="21"/>
        <v>7.4118374776952489E-3</v>
      </c>
      <c r="AR415" s="518">
        <f t="shared" ca="1" si="22"/>
        <v>1.5763062953072517E-3</v>
      </c>
      <c r="AT415" s="518">
        <f t="shared" ca="1" si="14"/>
        <v>2.4888104999700619E-2</v>
      </c>
      <c r="AU415" s="518">
        <f t="shared" ca="1" si="15"/>
        <v>0.36788202664226172</v>
      </c>
      <c r="AV415" s="518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1.2016590090098922E-2</v>
      </c>
      <c r="S416" s="155">
        <f ca="1"/>
        <v>0</v>
      </c>
      <c r="T416" s="155">
        <f ca="1"/>
        <v>4.1749061458466907E-2</v>
      </c>
      <c r="U416" s="155">
        <f ca="1"/>
        <v>9.2983868833319328E-2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1.2510458317767204E-2</v>
      </c>
      <c r="AB416" s="155">
        <f ca="1"/>
        <v>0</v>
      </c>
      <c r="AC416" s="155">
        <f ca="1"/>
        <v>4.2547271273621567E-2</v>
      </c>
      <c r="AD416" s="155">
        <f ca="1"/>
        <v>9.4084259858180364E-2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8">
        <f t="shared" ca="1" si="20"/>
        <v>3.6358202585151777E-3</v>
      </c>
      <c r="AQ416" s="518">
        <f t="shared" ca="1" si="21"/>
        <v>7.0792045590263005E-3</v>
      </c>
      <c r="AR416" s="518">
        <f t="shared" ca="1" si="22"/>
        <v>1.2191473068821729E-2</v>
      </c>
      <c r="AT416" s="518">
        <f t="shared" ca="1" si="14"/>
        <v>0.25883629199688646</v>
      </c>
      <c r="AU416" s="518">
        <f t="shared" ca="1" si="15"/>
        <v>0.35137199486996296</v>
      </c>
      <c r="AV416" s="518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1.1682169754799743E-2</v>
      </c>
      <c r="S417" s="155">
        <f ca="1"/>
        <v>0</v>
      </c>
      <c r="T417" s="155">
        <f ca="1"/>
        <v>3.1714356390015297E-2</v>
      </c>
      <c r="U417" s="155">
        <f ca="1"/>
        <v>6.1572685050928055E-2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1.2176205150723263E-2</v>
      </c>
      <c r="AB417" s="155">
        <f ca="1"/>
        <v>0</v>
      </c>
      <c r="AC417" s="155">
        <f ca="1"/>
        <v>3.2520924976075838E-2</v>
      </c>
      <c r="AD417" s="155">
        <f ca="1"/>
        <v>6.2690834355253466E-2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8">
        <f t="shared" ca="1" si="20"/>
        <v>3.7592078238494027E-4</v>
      </c>
      <c r="AQ417" s="518">
        <f t="shared" ca="1" si="21"/>
        <v>8.6349593679825901E-4</v>
      </c>
      <c r="AR417" s="518">
        <f t="shared" ca="1" si="22"/>
        <v>1.756962529714427E-3</v>
      </c>
      <c r="AT417" s="518">
        <f t="shared" ca="1" si="14"/>
        <v>2.6762032905560434E-2</v>
      </c>
      <c r="AU417" s="518">
        <f t="shared" ca="1" si="15"/>
        <v>4.285909346807229E-2</v>
      </c>
      <c r="AV417" s="518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8.1590149798709266E-3</v>
      </c>
      <c r="S418" s="155">
        <f ca="1"/>
        <v>0</v>
      </c>
      <c r="T418" s="155">
        <f ca="1"/>
        <v>2.2716109995556844E-2</v>
      </c>
      <c r="U418" s="155">
        <f ca="1"/>
        <v>4.6665348441617738E-2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8.6548115129276848E-3</v>
      </c>
      <c r="AB418" s="155">
        <f ca="1"/>
        <v>0</v>
      </c>
      <c r="AC418" s="155">
        <f ca="1"/>
        <v>2.3530173996788584E-2</v>
      </c>
      <c r="AD418" s="155">
        <f ca="1"/>
        <v>4.7802082389245437E-2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8">
        <f t="shared" ca="1" si="20"/>
        <v>2.7515427069532282E-4</v>
      </c>
      <c r="AQ418" s="518">
        <f t="shared" ca="1" si="21"/>
        <v>5.7219610269764148E-4</v>
      </c>
      <c r="AR418" s="518">
        <f t="shared" ca="1" si="22"/>
        <v>1.1464412375437494E-3</v>
      </c>
      <c r="AT418" s="518">
        <f t="shared" ca="1" si="14"/>
        <v>1.9588402640940843E-2</v>
      </c>
      <c r="AU418" s="518">
        <f t="shared" ca="1" si="15"/>
        <v>2.8400604105349107E-2</v>
      </c>
      <c r="AV418" s="518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2.0597712506619681E-2</v>
      </c>
      <c r="S419" s="155">
        <f ca="1"/>
        <v>0</v>
      </c>
      <c r="T419" s="155">
        <f ca="1"/>
        <v>5.942263805545922E-2</v>
      </c>
      <c r="U419" s="155">
        <f ca="1"/>
        <v>0.12105959040606029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2.1087291245453055E-2</v>
      </c>
      <c r="AB419" s="155">
        <f ca="1"/>
        <v>0</v>
      </c>
      <c r="AC419" s="155">
        <f ca="1"/>
        <v>6.0206126025076356E-2</v>
      </c>
      <c r="AD419" s="155">
        <f ca="1"/>
        <v>0.12212998376966755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8">
        <f t="shared" ca="1" si="20"/>
        <v>9.3815678842456109E-4</v>
      </c>
      <c r="AQ419" s="518">
        <f t="shared" ca="1" si="21"/>
        <v>2.1189532333805538E-3</v>
      </c>
      <c r="AR419" s="518">
        <f t="shared" ca="1" si="22"/>
        <v>4.4313199997777922E-3</v>
      </c>
      <c r="AT419" s="518">
        <f t="shared" ca="1" si="14"/>
        <v>6.678796176978484E-2</v>
      </c>
      <c r="AU419" s="518">
        <f t="shared" ca="1" si="15"/>
        <v>0.10517294965007906</v>
      </c>
      <c r="AV419" s="518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1.5839389019406847E-2</v>
      </c>
      <c r="S420" s="155">
        <f ca="1"/>
        <v>0</v>
      </c>
      <c r="T420" s="155">
        <f ca="1"/>
        <v>4.4568692789254571E-2</v>
      </c>
      <c r="U420" s="155">
        <f ca="1"/>
        <v>9.3561899166012874E-2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1.6331346325329399E-2</v>
      </c>
      <c r="AB420" s="155">
        <f ca="1"/>
        <v>0</v>
      </c>
      <c r="AC420" s="155">
        <f ca="1"/>
        <v>4.5364553890423265E-2</v>
      </c>
      <c r="AD420" s="155">
        <f ca="1"/>
        <v>9.4659072965184166E-2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8">
        <f t="shared" ca="1" si="20"/>
        <v>5.4681256037284257E-4</v>
      </c>
      <c r="AQ420" s="518">
        <f t="shared" ca="1" si="21"/>
        <v>1.1927547261146906E-3</v>
      </c>
      <c r="AR420" s="518">
        <f t="shared" ca="1" si="22"/>
        <v>2.2819947109602805E-3</v>
      </c>
      <c r="AT420" s="518">
        <f t="shared" ca="1" si="14"/>
        <v>3.8927924231884674E-2</v>
      </c>
      <c r="AU420" s="518">
        <f t="shared" ca="1" si="15"/>
        <v>5.9201652390609795E-2</v>
      </c>
      <c r="AV420" s="518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9.409252958115677E-3</v>
      </c>
      <c r="S421" s="155">
        <f ca="1"/>
        <v>0</v>
      </c>
      <c r="T421" s="155">
        <f ca="1"/>
        <v>2.2359894684803927E-2</v>
      </c>
      <c r="U421" s="155">
        <f ca="1"/>
        <v>4.3896912264036136E-2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9.9044245284497512E-3</v>
      </c>
      <c r="AB421" s="155">
        <f ca="1"/>
        <v>0</v>
      </c>
      <c r="AC421" s="155">
        <f ca="1"/>
        <v>2.3174255408460076E-2</v>
      </c>
      <c r="AD421" s="155">
        <f ca="1"/>
        <v>4.5036120456125261E-2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8">
        <f t="shared" ca="1" si="20"/>
        <v>3.8373532818944124E-4</v>
      </c>
      <c r="AQ421" s="518">
        <f t="shared" ca="1" si="21"/>
        <v>8.5084295172632093E-3</v>
      </c>
      <c r="AR421" s="518">
        <f t="shared" ca="1" si="22"/>
        <v>1.7279284920418453E-3</v>
      </c>
      <c r="AT421" s="518">
        <f t="shared" ca="1" si="14"/>
        <v>2.7318355252612565E-2</v>
      </c>
      <c r="AU421" s="518">
        <f t="shared" ca="1" si="15"/>
        <v>0.4223107028146752</v>
      </c>
      <c r="AV421" s="518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1.4960813035328258E-2</v>
      </c>
      <c r="S422" s="155">
        <f ca="1"/>
        <v>0</v>
      </c>
      <c r="T422" s="155">
        <f ca="1"/>
        <v>4.4202701268878597E-2</v>
      </c>
      <c r="U422" s="155">
        <f ca="1"/>
        <v>9.0655911300503544E-2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1.5453209519391775E-2</v>
      </c>
      <c r="AB422" s="155">
        <f ca="1"/>
        <v>0</v>
      </c>
      <c r="AC422" s="155">
        <f ca="1"/>
        <v>4.4998867235938267E-2</v>
      </c>
      <c r="AD422" s="155">
        <f ca="1"/>
        <v>9.1755734838664726E-2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8">
        <f t="shared" ca="1" si="20"/>
        <v>6.4840165583135488E-4</v>
      </c>
      <c r="AQ422" s="518">
        <f t="shared" ca="1" si="21"/>
        <v>1.382549502193761E-3</v>
      </c>
      <c r="AR422" s="518">
        <f t="shared" ca="1" si="22"/>
        <v>2.7533945726165043E-3</v>
      </c>
      <c r="AT422" s="518">
        <f t="shared" ca="1" si="14"/>
        <v>4.6160114743562387E-2</v>
      </c>
      <c r="AU422" s="518">
        <f t="shared" ca="1" si="15"/>
        <v>6.862200018968137E-2</v>
      </c>
      <c r="AV422" s="518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1.8309457464459777E-2</v>
      </c>
      <c r="S423" s="155">
        <f ca="1"/>
        <v>0</v>
      </c>
      <c r="T423" s="155">
        <f ca="1"/>
        <v>5.4058047985924396E-2</v>
      </c>
      <c r="U423" s="155">
        <f ca="1"/>
        <v>0.10880802756610719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1.8800180044885373E-2</v>
      </c>
      <c r="AB423" s="155">
        <f ca="1"/>
        <v>0</v>
      </c>
      <c r="AC423" s="155">
        <f ca="1"/>
        <v>5.4846004585050512E-2</v>
      </c>
      <c r="AD423" s="155">
        <f ca="1"/>
        <v>0.10989003765770322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8">
        <f t="shared" ca="1" si="20"/>
        <v>1.398392407121222E-3</v>
      </c>
      <c r="AQ423" s="518">
        <f t="shared" ca="1" si="21"/>
        <v>3.3018667488837368E-3</v>
      </c>
      <c r="AR423" s="518">
        <f t="shared" ca="1" si="22"/>
        <v>6.1798142685043833E-3</v>
      </c>
      <c r="AT423" s="518">
        <f t="shared" ca="1" si="14"/>
        <v>9.9552419998802474E-2</v>
      </c>
      <c r="AU423" s="518">
        <f t="shared" ca="1" si="15"/>
        <v>0.16388613956221848</v>
      </c>
      <c r="AV423" s="518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1.2345835922598747E-2</v>
      </c>
      <c r="S424" s="155">
        <f ca="1"/>
        <v>0</v>
      </c>
      <c r="T424" s="155">
        <f ca="1"/>
        <v>3.4292259222349464E-2</v>
      </c>
      <c r="U424" s="155">
        <f ca="1"/>
        <v>7.3169696611155244E-2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1.2839539568425429E-2</v>
      </c>
      <c r="AB424" s="155">
        <f ca="1"/>
        <v>0</v>
      </c>
      <c r="AC424" s="155">
        <f ca="1"/>
        <v>3.5096680450959705E-2</v>
      </c>
      <c r="AD424" s="155">
        <f ca="1"/>
        <v>7.4272121192398233E-2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8">
        <f t="shared" ca="1" si="20"/>
        <v>3.7180786354046612E-4</v>
      </c>
      <c r="AQ424" s="518">
        <f t="shared" ca="1" si="21"/>
        <v>8.5421708107883787E-4</v>
      </c>
      <c r="AR424" s="518">
        <f t="shared" ca="1" si="22"/>
        <v>1.7218797341933909E-3</v>
      </c>
      <c r="AT424" s="518">
        <f t="shared" ca="1" si="14"/>
        <v>2.6469231670269835E-2</v>
      </c>
      <c r="AU424" s="518">
        <f t="shared" ca="1" si="15"/>
        <v>4.2398543131228796E-2</v>
      </c>
      <c r="AV424" s="518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2.0899074760983849E-2</v>
      </c>
      <c r="S425" s="155">
        <f ca="1"/>
        <v>0</v>
      </c>
      <c r="T425" s="155">
        <f ca="1"/>
        <v>5.2286721318265506E-2</v>
      </c>
      <c r="U425" s="155">
        <f ca="1"/>
        <v>0.10123132308089478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2.1388502856329539E-2</v>
      </c>
      <c r="AB425" s="155">
        <f ca="1"/>
        <v>0</v>
      </c>
      <c r="AC425" s="155">
        <f ca="1"/>
        <v>5.3076153408121884E-2</v>
      </c>
      <c r="AD425" s="155">
        <f ca="1"/>
        <v>0.10231803106172388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8">
        <f t="shared" ca="1" si="20"/>
        <v>4.0244910893179878E-4</v>
      </c>
      <c r="AQ425" s="518">
        <f t="shared" ca="1" si="21"/>
        <v>7.5946028176232419E-4</v>
      </c>
      <c r="AR425" s="518">
        <f t="shared" ca="1" si="22"/>
        <v>1.5234804767640822E-3</v>
      </c>
      <c r="AT425" s="518">
        <f t="shared" ca="1" si="14"/>
        <v>2.8650600873184773E-2</v>
      </c>
      <c r="AU425" s="518">
        <f t="shared" ca="1" si="15"/>
        <v>3.7695347267099728E-2</v>
      </c>
      <c r="AV425" s="518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2.0868942574342686E-2</v>
      </c>
      <c r="S426" s="155">
        <f ca="1"/>
        <v>0</v>
      </c>
      <c r="T426" s="155">
        <f ca="1"/>
        <v>5.6208908410417924E-2</v>
      </c>
      <c r="U426" s="155">
        <f ca="1"/>
        <v>0.1124702772147812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2.13583857320786E-2</v>
      </c>
      <c r="AB426" s="155">
        <f ca="1"/>
        <v>0</v>
      </c>
      <c r="AC426" s="155">
        <f ca="1"/>
        <v>5.6995073372535843E-2</v>
      </c>
      <c r="AD426" s="155">
        <f ca="1"/>
        <v>0.1135477021997543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8">
        <f t="shared" ca="1" si="20"/>
        <v>4.849131317635061E-4</v>
      </c>
      <c r="AQ426" s="518">
        <f t="shared" ca="1" si="21"/>
        <v>1.3541505801434111E-3</v>
      </c>
      <c r="AR426" s="518">
        <f t="shared" ca="1" si="22"/>
        <v>3.0715592354452126E-3</v>
      </c>
      <c r="AT426" s="518">
        <f t="shared" ca="1" si="14"/>
        <v>3.452126564076121E-2</v>
      </c>
      <c r="AU426" s="518">
        <f t="shared" ca="1" si="15"/>
        <v>6.7212437037523984E-2</v>
      </c>
      <c r="AV426" s="518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1.6903768664002783E-2</v>
      </c>
      <c r="S427" s="155">
        <f ca="1"/>
        <v>0</v>
      </c>
      <c r="T427" s="155">
        <f ca="1"/>
        <v>5.3279726015319051E-2</v>
      </c>
      <c r="U427" s="155">
        <f ca="1"/>
        <v>0.11163706246454319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1.7395193913109619E-2</v>
      </c>
      <c r="AB427" s="155">
        <f ca="1"/>
        <v>0</v>
      </c>
      <c r="AC427" s="155">
        <f ca="1"/>
        <v>5.4068330945978182E-2</v>
      </c>
      <c r="AD427" s="155">
        <f ca="1"/>
        <v>0.11271798263368404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8">
        <f t="shared" ca="1" si="20"/>
        <v>4.7134049957674135E-4</v>
      </c>
      <c r="AQ427" s="518">
        <f t="shared" ca="1" si="21"/>
        <v>1.0358577112226592E-3</v>
      </c>
      <c r="AR427" s="518">
        <f t="shared" ca="1" si="22"/>
        <v>2.0456899043473239E-3</v>
      </c>
      <c r="AT427" s="518">
        <f t="shared" ca="1" si="14"/>
        <v>3.3555021564302255E-2</v>
      </c>
      <c r="AU427" s="518">
        <f t="shared" ca="1" si="15"/>
        <v>5.1414164876710626E-2</v>
      </c>
      <c r="AV427" s="518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1.3687042618419909E-2</v>
      </c>
      <c r="S428" s="155">
        <f ca="1"/>
        <v>0</v>
      </c>
      <c r="T428" s="155">
        <f ca="1"/>
        <v>3.8411040894322235E-2</v>
      </c>
      <c r="U428" s="155">
        <f ca="1"/>
        <v>7.2023700109172917E-2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1.4180075828589378E-2</v>
      </c>
      <c r="AB428" s="155">
        <f ca="1"/>
        <v>0</v>
      </c>
      <c r="AC428" s="155">
        <f ca="1"/>
        <v>3.9212031234547973E-2</v>
      </c>
      <c r="AD428" s="155">
        <f ca="1"/>
        <v>7.3128620889503004E-2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8">
        <f t="shared" ca="1" si="20"/>
        <v>3.2862221567348719E-4</v>
      </c>
      <c r="AQ428" s="518">
        <f t="shared" ca="1" si="21"/>
        <v>7.3865315075513725E-4</v>
      </c>
      <c r="AR428" s="518">
        <f t="shared" ca="1" si="22"/>
        <v>1.5351747419377608E-3</v>
      </c>
      <c r="AT428" s="518">
        <f t="shared" ca="1" si="14"/>
        <v>2.3394818699718586E-2</v>
      </c>
      <c r="AU428" s="518">
        <f t="shared" ca="1" si="15"/>
        <v>3.6662598026905212E-2</v>
      </c>
      <c r="AV428" s="518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1.7644643411343974E-2</v>
      </c>
      <c r="S429" s="155">
        <f ca="1"/>
        <v>0</v>
      </c>
      <c r="T429" s="155">
        <f ca="1"/>
        <v>4.792809111495866E-2</v>
      </c>
      <c r="U429" s="155">
        <f ca="1"/>
        <v>9.3276102072710421E-2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1.8135698315666526E-2</v>
      </c>
      <c r="AB429" s="155">
        <f ca="1"/>
        <v>0</v>
      </c>
      <c r="AC429" s="155">
        <f ca="1"/>
        <v>4.8721153883666712E-2</v>
      </c>
      <c r="AD429" s="155">
        <f ca="1"/>
        <v>9.4333329784243469E-2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8">
        <f t="shared" ca="1" si="20"/>
        <v>8.3471687948603543E-4</v>
      </c>
      <c r="AQ429" s="518">
        <f t="shared" ca="1" si="21"/>
        <v>1.9550267823374456E-3</v>
      </c>
      <c r="AR429" s="518">
        <f t="shared" ca="1" si="22"/>
        <v>4.0812985456138897E-3</v>
      </c>
      <c r="AT429" s="518">
        <f t="shared" ca="1" si="14"/>
        <v>5.9424010702226367E-2</v>
      </c>
      <c r="AU429" s="518">
        <f t="shared" ca="1" si="15"/>
        <v>9.7036560365843919E-2</v>
      </c>
      <c r="AV429" s="518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9.1095391028241934E-3</v>
      </c>
      <c r="S430" s="155">
        <f ca="1"/>
        <v>0</v>
      </c>
      <c r="T430" s="155">
        <f ca="1"/>
        <v>2.3751274880757789E-2</v>
      </c>
      <c r="U430" s="155">
        <f ca="1"/>
        <v>4.5899637688837203E-2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9.6048604926457504E-3</v>
      </c>
      <c r="AB430" s="155">
        <f ca="1"/>
        <v>0</v>
      </c>
      <c r="AC430" s="155">
        <f ca="1"/>
        <v>2.4564476603899266E-2</v>
      </c>
      <c r="AD430" s="155">
        <f ca="1"/>
        <v>4.7036847165912943E-2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8">
        <f t="shared" ca="1" si="20"/>
        <v>6.4038146408463019E-4</v>
      </c>
      <c r="AQ430" s="518">
        <f t="shared" ca="1" si="21"/>
        <v>1.4601544773016474E-3</v>
      </c>
      <c r="AR430" s="518">
        <f t="shared" ca="1" si="22"/>
        <v>3.1199492982328489E-3</v>
      </c>
      <c r="AT430" s="518">
        <f t="shared" ca="1" si="14"/>
        <v>4.5589152334745725E-2</v>
      </c>
      <c r="AU430" s="518">
        <f t="shared" ca="1" si="15"/>
        <v>7.2473875734190618E-2</v>
      </c>
      <c r="AV430" s="518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1.3201376070192783E-2</v>
      </c>
      <c r="S431" s="155">
        <f ca="1"/>
        <v>0</v>
      </c>
      <c r="T431" s="155">
        <f ca="1"/>
        <v>3.9525766419731267E-2</v>
      </c>
      <c r="U431" s="155">
        <f ca="1"/>
        <v>7.8317557049080611E-2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1.3694652052903211E-2</v>
      </c>
      <c r="AB431" s="155">
        <f ca="1"/>
        <v>0</v>
      </c>
      <c r="AC431" s="155">
        <f ca="1"/>
        <v>4.0325828209005099E-2</v>
      </c>
      <c r="AD431" s="155">
        <f ca="1"/>
        <v>7.9413989720870881E-2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8">
        <f t="shared" ca="1" si="20"/>
        <v>3.7921111746051962E-4</v>
      </c>
      <c r="AQ431" s="518">
        <f t="shared" ca="1" si="21"/>
        <v>7.3246724694218989E-4</v>
      </c>
      <c r="AR431" s="518">
        <f t="shared" ca="1" si="22"/>
        <v>1.4537181362452398E-3</v>
      </c>
      <c r="AT431" s="518">
        <f t="shared" ca="1" si="14"/>
        <v>2.6996273893792909E-2</v>
      </c>
      <c r="AU431" s="518">
        <f t="shared" ca="1" si="15"/>
        <v>3.6355564469009553E-2</v>
      </c>
      <c r="AV431" s="518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1.1758184039736719E-2</v>
      </c>
      <c r="S432" s="155">
        <f ca="1"/>
        <v>0</v>
      </c>
      <c r="T432" s="155">
        <f ca="1"/>
        <v>3.3630635690250155E-2</v>
      </c>
      <c r="U432" s="155">
        <f ca="1"/>
        <v>7.0339260739678222E-2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1.2252181438094589E-2</v>
      </c>
      <c r="AB432" s="155">
        <f ca="1"/>
        <v>0</v>
      </c>
      <c r="AC432" s="155">
        <f ca="1"/>
        <v>3.4435608042091226E-2</v>
      </c>
      <c r="AD432" s="155">
        <f ca="1"/>
        <v>7.1445907635089845E-2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8">
        <f t="shared" ca="1" si="20"/>
        <v>6.0459907013770482E-4</v>
      </c>
      <c r="AQ432" s="518">
        <f t="shared" ca="1" si="21"/>
        <v>1.4446897177692788E-3</v>
      </c>
      <c r="AR432" s="518">
        <f t="shared" ca="1" si="22"/>
        <v>3.0219594210878853E-3</v>
      </c>
      <c r="AT432" s="518">
        <f t="shared" ca="1" si="14"/>
        <v>4.3041781587717542E-2</v>
      </c>
      <c r="AU432" s="518">
        <f t="shared" ca="1" si="15"/>
        <v>7.1706291839451472E-2</v>
      </c>
      <c r="AV432" s="518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1.9049305469705624E-2</v>
      </c>
      <c r="S433" s="155">
        <f ca="1"/>
        <v>0</v>
      </c>
      <c r="T433" s="155">
        <f ca="1"/>
        <v>4.9603411135849096E-2</v>
      </c>
      <c r="U433" s="155">
        <f ca="1"/>
        <v>9.6087202194237054E-2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1.9539658218603706E-2</v>
      </c>
      <c r="AB433" s="155">
        <f ca="1"/>
        <v>0</v>
      </c>
      <c r="AC433" s="155">
        <f ca="1"/>
        <v>5.0395078386037406E-2</v>
      </c>
      <c r="AD433" s="155">
        <f ca="1"/>
        <v>9.717937570544033E-2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8">
        <f t="shared" ca="1" si="20"/>
        <v>7.411479757742477E-4</v>
      </c>
      <c r="AQ433" s="518">
        <f t="shared" ca="1" si="21"/>
        <v>1.7731049747475812E-3</v>
      </c>
      <c r="AR433" s="518">
        <f t="shared" ca="1" si="22"/>
        <v>3.6546594920362297E-3</v>
      </c>
      <c r="AT433" s="518">
        <f t="shared" ca="1" si="14"/>
        <v>5.2762782599365315E-2</v>
      </c>
      <c r="AU433" s="518">
        <f t="shared" ca="1" si="15"/>
        <v>8.800698254954864E-2</v>
      </c>
      <c r="AV433" s="518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1.522850584702351E-2</v>
      </c>
      <c r="S434" s="155">
        <f ca="1"/>
        <v>0</v>
      </c>
      <c r="T434" s="155">
        <f ca="1"/>
        <v>4.0413695321848131E-2</v>
      </c>
      <c r="U434" s="155">
        <f ca="1"/>
        <v>8.012448583643994E-2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1.5720768518206585E-2</v>
      </c>
      <c r="AB434" s="155">
        <f ca="1"/>
        <v>0</v>
      </c>
      <c r="AC434" s="155">
        <f ca="1"/>
        <v>4.1213017478597291E-2</v>
      </c>
      <c r="AD434" s="155">
        <f ca="1"/>
        <v>8.119704815330786E-2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8">
        <f t="shared" ca="1" si="20"/>
        <v>4.9828011800804716E-4</v>
      </c>
      <c r="AQ434" s="518">
        <f t="shared" ca="1" si="21"/>
        <v>1.1199297675895364E-3</v>
      </c>
      <c r="AR434" s="518">
        <f t="shared" ca="1" si="22"/>
        <v>2.4211161414747348E-3</v>
      </c>
      <c r="AT434" s="518">
        <f t="shared" ca="1" si="14"/>
        <v>3.5472869655455645E-2</v>
      </c>
      <c r="AU434" s="518">
        <f t="shared" ca="1" si="15"/>
        <v>5.5587030049929001E-2</v>
      </c>
      <c r="AV434" s="518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2.0311335211416814E-2</v>
      </c>
      <c r="S435" s="155">
        <f ca="1"/>
        <v>0</v>
      </c>
      <c r="T435" s="155">
        <f ca="1"/>
        <v>5.1630105949496685E-2</v>
      </c>
      <c r="U435" s="155">
        <f ca="1"/>
        <v>0.10016886238676737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2.080105710310054E-2</v>
      </c>
      <c r="AB435" s="155">
        <f ca="1"/>
        <v>0</v>
      </c>
      <c r="AC435" s="155">
        <f ca="1"/>
        <v>5.2420084990863924E-2</v>
      </c>
      <c r="AD435" s="155">
        <f ca="1"/>
        <v>0.10125683420283704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8">
        <f t="shared" ca="1" si="20"/>
        <v>8.4705563601945801E-4</v>
      </c>
      <c r="AQ435" s="518">
        <f t="shared" ca="1" si="21"/>
        <v>1.7283977608267334E-3</v>
      </c>
      <c r="AR435" s="518">
        <f t="shared" ca="1" si="22"/>
        <v>3.4195644369929635E-3</v>
      </c>
      <c r="AT435" s="518">
        <f t="shared" ca="1" si="14"/>
        <v>6.0302414408098158E-2</v>
      </c>
      <c r="AU435" s="518">
        <f t="shared" ca="1" si="15"/>
        <v>8.5787967290211778E-2</v>
      </c>
      <c r="AV435" s="518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9.8865808677753853E-3</v>
      </c>
      <c r="S436" s="155">
        <f ca="1"/>
        <v>0</v>
      </c>
      <c r="T436" s="155">
        <f ca="1"/>
        <v>2.709807562361366E-2</v>
      </c>
      <c r="U436" s="155">
        <f ca="1"/>
        <v>5.760272826040469E-2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1.0381513833805256E-2</v>
      </c>
      <c r="AB436" s="155">
        <f ca="1"/>
        <v>0</v>
      </c>
      <c r="AC436" s="155">
        <f ca="1"/>
        <v>2.7908489507876499E-2</v>
      </c>
      <c r="AD436" s="155">
        <f ca="1"/>
        <v>5.8725879719844665E-2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8">
        <f t="shared" ref="AP436:AP466" ca="1" si="26">AH436*$AR$365</f>
        <v>8.4582176036611574E-4</v>
      </c>
      <c r="AQ436" s="518">
        <f t="shared" ref="AQ436:AQ466" ca="1" si="27">AI436*$AR$366</f>
        <v>1.8535217243158982E-3</v>
      </c>
      <c r="AR436" s="518">
        <f t="shared" ref="AR436:AR466" ca="1" si="28">AJ436*$AR$367</f>
        <v>3.7941841730739145E-3</v>
      </c>
      <c r="AT436" s="518">
        <f t="shared" ca="1" si="14"/>
        <v>6.021457403751098E-2</v>
      </c>
      <c r="AU436" s="518">
        <f t="shared" ca="1" si="15"/>
        <v>9.1998418802192297E-2</v>
      </c>
      <c r="AV436" s="518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9.0079211495631695E-3</v>
      </c>
      <c r="S437" s="155">
        <f ca="1"/>
        <v>0</v>
      </c>
      <c r="T437" s="155">
        <f ca="1"/>
        <v>2.5725859673687457E-2</v>
      </c>
      <c r="U437" s="155">
        <f ca="1"/>
        <v>5.1805351989650084E-2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9.5032933356029581E-3</v>
      </c>
      <c r="AB437" s="155">
        <f ca="1"/>
        <v>0</v>
      </c>
      <c r="AC437" s="155">
        <f ca="1"/>
        <v>2.6537416594943908E-2</v>
      </c>
      <c r="AD437" s="155">
        <f ca="1"/>
        <v>5.2935950865684145E-2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8">
        <f t="shared" ca="1" si="26"/>
        <v>6.8377275789383279E-4</v>
      </c>
      <c r="AQ437" s="518">
        <f t="shared" ca="1" si="27"/>
        <v>1.7418942782368007E-3</v>
      </c>
      <c r="AR437" s="518">
        <f t="shared" ca="1" si="28"/>
        <v>3.7345030956358297E-3</v>
      </c>
      <c r="AT437" s="518">
        <f t="shared" ref="AT437:AT466" ca="1" si="29">AH437*$AV$365</f>
        <v>4.8678205367061508E-2</v>
      </c>
      <c r="AU437" s="518">
        <f t="shared" ref="AU437:AU466" ca="1" si="30">AI437*$AV$366</f>
        <v>8.6457858689256872E-2</v>
      </c>
      <c r="AV437" s="518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1.2776227243667226E-2</v>
      </c>
      <c r="S438" s="155">
        <f ca="1"/>
        <v>0</v>
      </c>
      <c r="T438" s="155">
        <f ca="1"/>
        <v>3.6870485853777946E-2</v>
      </c>
      <c r="U438" s="155">
        <f ca="1"/>
        <v>7.1246233891953947E-2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1.3269715747612709E-2</v>
      </c>
      <c r="AB438" s="155">
        <f ca="1"/>
        <v>0</v>
      </c>
      <c r="AC438" s="155">
        <f ca="1"/>
        <v>3.7672759455175786E-2</v>
      </c>
      <c r="AD438" s="155">
        <f ca="1"/>
        <v>7.2352204359416472E-2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8">
        <f t="shared" ca="1" si="26"/>
        <v>5.5277629269733007E-4</v>
      </c>
      <c r="AQ438" s="518">
        <f t="shared" ca="1" si="27"/>
        <v>1.2557384740283378E-3</v>
      </c>
      <c r="AR438" s="518">
        <f t="shared" ca="1" si="28"/>
        <v>2.4061958721152137E-3</v>
      </c>
      <c r="AT438" s="518">
        <f t="shared" ca="1" si="29"/>
        <v>3.9352486023056042E-2</v>
      </c>
      <c r="AU438" s="518">
        <f t="shared" ca="1" si="30"/>
        <v>6.2327812252820212E-2</v>
      </c>
      <c r="AV438" s="518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1.092171410137377E-2</v>
      </c>
      <c r="S439" s="155">
        <f ca="1"/>
        <v>0</v>
      </c>
      <c r="T439" s="155">
        <f ca="1"/>
        <v>2.8680165506819288E-2</v>
      </c>
      <c r="U439" s="155">
        <f ca="1"/>
        <v>5.8376427687340748E-2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1.1416129630178018E-2</v>
      </c>
      <c r="AB439" s="155">
        <f ca="1"/>
        <v>0</v>
      </c>
      <c r="AC439" s="155">
        <f ca="1"/>
        <v>2.9489261532048783E-2</v>
      </c>
      <c r="AD439" s="155">
        <f ca="1"/>
        <v>5.9498409492536042E-2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8">
        <f t="shared" ca="1" si="26"/>
        <v>7.140027114007181E-4</v>
      </c>
      <c r="AQ439" s="518">
        <f t="shared" ca="1" si="27"/>
        <v>1.5748748752872188E-3</v>
      </c>
      <c r="AR439" s="518">
        <f t="shared" ca="1" si="28"/>
        <v>3.1320468139297577E-3</v>
      </c>
      <c r="AT439" s="518">
        <f t="shared" ca="1" si="29"/>
        <v>5.0830294446447384E-2</v>
      </c>
      <c r="AU439" s="518">
        <f t="shared" ca="1" si="30"/>
        <v>7.8167952626073886E-2</v>
      </c>
      <c r="AV439" s="518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1.9190167643808875E-2</v>
      </c>
      <c r="S440" s="155">
        <f ca="1"/>
        <v>0</v>
      </c>
      <c r="T440" s="155">
        <f ca="1"/>
        <v>6.3073301808176607E-2</v>
      </c>
      <c r="U440" s="155">
        <f ca="1"/>
        <v>0.12268780029838977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1.9680449979129322E-2</v>
      </c>
      <c r="AB440" s="155">
        <f ca="1"/>
        <v>0</v>
      </c>
      <c r="AC440" s="155">
        <f ca="1"/>
        <v>6.3853748825246859E-2</v>
      </c>
      <c r="AD440" s="155">
        <f ca="1"/>
        <v>0.12375660729919757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8">
        <f t="shared" ca="1" si="26"/>
        <v>3.6707800686932077E-4</v>
      </c>
      <c r="AQ440" s="518">
        <f t="shared" ca="1" si="27"/>
        <v>7.7492504129469302E-4</v>
      </c>
      <c r="AR440" s="518">
        <f t="shared" ca="1" si="28"/>
        <v>1.5190447210085489E-3</v>
      </c>
      <c r="AT440" s="518">
        <f t="shared" ca="1" si="29"/>
        <v>2.6132510249685652E-2</v>
      </c>
      <c r="AU440" s="518">
        <f t="shared" ca="1" si="30"/>
        <v>3.8462931161838895E-2</v>
      </c>
      <c r="AV440" s="518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1.0896355780596889E-2</v>
      </c>
      <c r="S441" s="155">
        <f ca="1"/>
        <v>0</v>
      </c>
      <c r="T441" s="155">
        <f ca="1"/>
        <v>2.7593152692754308E-2</v>
      </c>
      <c r="U441" s="155">
        <f ca="1"/>
        <v>5.6080056112959742E-2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1.1390783985407826E-2</v>
      </c>
      <c r="AB441" s="155">
        <f ca="1"/>
        <v>0</v>
      </c>
      <c r="AC441" s="155">
        <f ca="1"/>
        <v>2.8403154184665547E-2</v>
      </c>
      <c r="AD441" s="155">
        <f ca="1"/>
        <v>5.7204748024134999E-2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8">
        <f t="shared" ca="1" si="26"/>
        <v>5.3303428224385409E-4</v>
      </c>
      <c r="AQ441" s="518">
        <f t="shared" ca="1" si="27"/>
        <v>1.2889174126614197E-3</v>
      </c>
      <c r="AR441" s="518">
        <f t="shared" ca="1" si="28"/>
        <v>2.6058048811142135E-3</v>
      </c>
      <c r="AT441" s="518">
        <f t="shared" ca="1" si="29"/>
        <v>3.7947040093661184E-2</v>
      </c>
      <c r="AU441" s="518">
        <f t="shared" ca="1" si="30"/>
        <v>6.3974628608806053E-2</v>
      </c>
      <c r="AV441" s="518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2.5258763695743314E-2</v>
      </c>
      <c r="S442" s="155">
        <f ca="1"/>
        <v>0</v>
      </c>
      <c r="T442" s="155">
        <f ca="1"/>
        <v>8.6157260420572701E-2</v>
      </c>
      <c r="U442" s="155">
        <f ca="1"/>
        <v>0.17386899155835034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2.5746012491590475E-2</v>
      </c>
      <c r="AB442" s="155">
        <f ca="1"/>
        <v>0</v>
      </c>
      <c r="AC442" s="155">
        <f ca="1"/>
        <v>8.6946655148192109E-2</v>
      </c>
      <c r="AD442" s="155">
        <f ca="1"/>
        <v>0.17488705955421524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8">
        <f t="shared" ca="1" si="26"/>
        <v>4.7442518871009697E-4</v>
      </c>
      <c r="AQ442" s="518">
        <f t="shared" ca="1" si="27"/>
        <v>1.0965920395679617E-3</v>
      </c>
      <c r="AR442" s="518">
        <f t="shared" ca="1" si="28"/>
        <v>2.3271587695620748E-3</v>
      </c>
      <c r="AT442" s="518">
        <f t="shared" ca="1" si="29"/>
        <v>3.3774622490770199E-2</v>
      </c>
      <c r="AU442" s="518">
        <f t="shared" ca="1" si="30"/>
        <v>5.4428676172413523E-2</v>
      </c>
      <c r="AV442" s="518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1.3848879862522145E-2</v>
      </c>
      <c r="S443" s="155">
        <f ca="1"/>
        <v>0</v>
      </c>
      <c r="T443" s="155">
        <f ca="1"/>
        <v>3.9766664284548225E-2</v>
      </c>
      <c r="U443" s="155">
        <f ca="1"/>
        <v>8.4009799411378094E-2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1.4341832174226798E-2</v>
      </c>
      <c r="AB443" s="155">
        <f ca="1"/>
        <v>0</v>
      </c>
      <c r="AC443" s="155">
        <f ca="1"/>
        <v>4.0566525409228671E-2</v>
      </c>
      <c r="AD443" s="155">
        <f ca="1"/>
        <v>8.5077831505497303E-2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8">
        <f t="shared" ca="1" si="26"/>
        <v>7.713779292811329E-4</v>
      </c>
      <c r="AQ443" s="518">
        <f t="shared" ca="1" si="27"/>
        <v>1.634484493848349E-3</v>
      </c>
      <c r="AR443" s="518">
        <f t="shared" ca="1" si="28"/>
        <v>3.2356821983999455E-3</v>
      </c>
      <c r="AT443" s="518">
        <f t="shared" ca="1" si="29"/>
        <v>5.4914871678751198E-2</v>
      </c>
      <c r="AU443" s="518">
        <f t="shared" ca="1" si="30"/>
        <v>8.1126639638523027E-2</v>
      </c>
      <c r="AV443" s="518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8.946945507064985E-3</v>
      </c>
      <c r="S444" s="155">
        <f ca="1"/>
        <v>0</v>
      </c>
      <c r="T444" s="155">
        <f ca="1"/>
        <v>2.6861690955661155E-2</v>
      </c>
      <c r="U444" s="155">
        <f ca="1"/>
        <v>5.7081731904999988E-2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9.4423481733196812E-3</v>
      </c>
      <c r="AB444" s="155">
        <f ca="1"/>
        <v>0</v>
      </c>
      <c r="AC444" s="155">
        <f ca="1"/>
        <v>2.7672301745119032E-2</v>
      </c>
      <c r="AD444" s="155">
        <f ca="1"/>
        <v>5.8205981869314471E-2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8">
        <f t="shared" ca="1" si="26"/>
        <v>6.1549830507556141E-4</v>
      </c>
      <c r="AQ444" s="518">
        <f t="shared" ca="1" si="27"/>
        <v>1.3257516580930612E-3</v>
      </c>
      <c r="AR444" s="518">
        <f t="shared" ca="1" si="28"/>
        <v>2.6759704721562865E-3</v>
      </c>
      <c r="AT444" s="518">
        <f t="shared" ca="1" si="29"/>
        <v>4.3817704861237622E-2</v>
      </c>
      <c r="AU444" s="518">
        <f t="shared" ca="1" si="30"/>
        <v>6.5802873885366611E-2</v>
      </c>
      <c r="AV444" s="518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1.5809105958884295E-2</v>
      </c>
      <c r="S445" s="155">
        <f ca="1"/>
        <v>0</v>
      </c>
      <c r="T445" s="155">
        <f ca="1"/>
        <v>4.6556755342152201E-2</v>
      </c>
      <c r="U445" s="155">
        <f ca="1"/>
        <v>9.7675868048296643E-2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1.6301078402495839E-2</v>
      </c>
      <c r="AB445" s="155">
        <f ca="1"/>
        <v>0</v>
      </c>
      <c r="AC445" s="155">
        <f ca="1"/>
        <v>4.7350960414649812E-2</v>
      </c>
      <c r="AD445" s="155">
        <f ca="1"/>
        <v>9.8769474908218191E-2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8">
        <f t="shared" ca="1" si="26"/>
        <v>8.2299506077928403E-4</v>
      </c>
      <c r="AQ445" s="518">
        <f t="shared" ca="1" si="27"/>
        <v>1.7047788553591159E-3</v>
      </c>
      <c r="AR445" s="518">
        <f t="shared" ca="1" si="28"/>
        <v>3.3800458857163942E-3</v>
      </c>
      <c r="AT445" s="518">
        <f t="shared" ca="1" si="29"/>
        <v>5.8589527181648178E-2</v>
      </c>
      <c r="AU445" s="518">
        <f t="shared" ca="1" si="30"/>
        <v>8.461565734188288E-2</v>
      </c>
      <c r="AV445" s="518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1.2680037946802392E-2</v>
      </c>
      <c r="S446" s="155">
        <f ca="1"/>
        <v>0</v>
      </c>
      <c r="T446" s="155">
        <f ca="1"/>
        <v>3.9151917308877127E-2</v>
      </c>
      <c r="U446" s="155">
        <f ca="1"/>
        <v>8.3729018159732105E-2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1.3173574533382415E-2</v>
      </c>
      <c r="AB446" s="155">
        <f ca="1"/>
        <v>0</v>
      </c>
      <c r="AC446" s="155">
        <f ca="1"/>
        <v>3.9952290509273403E-2</v>
      </c>
      <c r="AD446" s="155">
        <f ca="1"/>
        <v>8.4797377640999594E-2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8">
        <f t="shared" ca="1" si="26"/>
        <v>3.985418360295483E-4</v>
      </c>
      <c r="AQ446" s="518">
        <f t="shared" ca="1" si="27"/>
        <v>8.8317835802127385E-4</v>
      </c>
      <c r="AR446" s="518">
        <f t="shared" ca="1" si="28"/>
        <v>1.8976969623218027E-3</v>
      </c>
      <c r="AT446" s="518">
        <f t="shared" ca="1" si="29"/>
        <v>2.8372439699658709E-2</v>
      </c>
      <c r="AU446" s="518">
        <f t="shared" ca="1" si="30"/>
        <v>4.383601842501305E-2</v>
      </c>
      <c r="AV446" s="518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4.7815211694430704E-2</v>
      </c>
      <c r="S447" s="155">
        <f ca="1"/>
        <v>0</v>
      </c>
      <c r="T447" s="155">
        <f ca="1"/>
        <v>0.13151608609971832</v>
      </c>
      <c r="U447" s="155">
        <f ca="1"/>
        <v>0.22259287125456051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4.8291185085334476E-2</v>
      </c>
      <c r="AB447" s="155">
        <f ca="1"/>
        <v>0</v>
      </c>
      <c r="AC447" s="155">
        <f ca="1"/>
        <v>0.13226975764238935</v>
      </c>
      <c r="AD447" s="155">
        <f ca="1"/>
        <v>0.22355070609779171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8">
        <f t="shared" ca="1" si="26"/>
        <v>3.6296508802484661E-4</v>
      </c>
      <c r="AQ447" s="518">
        <f t="shared" ca="1" si="27"/>
        <v>8.3650290197812471E-4</v>
      </c>
      <c r="AR447" s="518">
        <f t="shared" ca="1" si="28"/>
        <v>1.7085724669267911E-3</v>
      </c>
      <c r="AT447" s="518">
        <f t="shared" ca="1" si="29"/>
        <v>2.5839709014395057E-2</v>
      </c>
      <c r="AU447" s="518">
        <f t="shared" ca="1" si="30"/>
        <v>4.1519310669982115E-2</v>
      </c>
      <c r="AV447" s="518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4.0314992485659396E-3</v>
      </c>
      <c r="S448" s="155">
        <f ca="1"/>
        <v>0</v>
      </c>
      <c r="T448" s="155">
        <f ca="1"/>
        <v>1.1877577451344545E-2</v>
      </c>
      <c r="U448" s="155">
        <f ca="1"/>
        <v>3.2194588191543194E-2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4.5293590236826775E-3</v>
      </c>
      <c r="AB448" s="155">
        <f ca="1"/>
        <v>0</v>
      </c>
      <c r="AC448" s="155">
        <f ca="1"/>
        <v>1.270066980069029E-2</v>
      </c>
      <c r="AD448" s="155">
        <f ca="1"/>
        <v>3.3348917526721089E-2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8">
        <f t="shared" ca="1" si="26"/>
        <v>5.1576002309706244E-4</v>
      </c>
      <c r="AQ448" s="518">
        <f t="shared" ca="1" si="27"/>
        <v>1.2031582916182842E-3</v>
      </c>
      <c r="AR448" s="518">
        <f t="shared" ca="1" si="28"/>
        <v>2.3719195776406381E-3</v>
      </c>
      <c r="AT448" s="518">
        <f t="shared" ca="1" si="29"/>
        <v>3.6717274905440682E-2</v>
      </c>
      <c r="AU448" s="518">
        <f t="shared" ca="1" si="30"/>
        <v>5.9718027010707046E-2</v>
      </c>
      <c r="AV448" s="518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9.4955948075587937E-3</v>
      </c>
      <c r="S449" s="155">
        <f ca="1"/>
        <v>0</v>
      </c>
      <c r="T449" s="155">
        <f ca="1"/>
        <v>2.652232691478762E-2</v>
      </c>
      <c r="U449" s="155">
        <f ca="1"/>
        <v>5.4473539200878052E-2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9.9907232177292027E-3</v>
      </c>
      <c r="AB449" s="155">
        <f ca="1"/>
        <v>0</v>
      </c>
      <c r="AC449" s="155">
        <f ca="1"/>
        <v>2.7333220389782364E-2</v>
      </c>
      <c r="AD449" s="155">
        <f ca="1"/>
        <v>5.5600752136875209E-2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8">
        <f t="shared" ca="1" si="26"/>
        <v>4.404936082431849E-4</v>
      </c>
      <c r="AQ449" s="518">
        <f t="shared" ca="1" si="27"/>
        <v>9.3716442766154267E-4</v>
      </c>
      <c r="AR449" s="518">
        <f t="shared" ca="1" si="28"/>
        <v>1.9319732567963785E-3</v>
      </c>
      <c r="AT449" s="518">
        <f t="shared" ca="1" si="29"/>
        <v>3.1359012299622784E-2</v>
      </c>
      <c r="AU449" s="518">
        <f t="shared" ca="1" si="30"/>
        <v>4.6515584021193407E-2</v>
      </c>
      <c r="AV449" s="518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1.9678002987654541E-2</v>
      </c>
      <c r="S450" s="155">
        <f ca="1"/>
        <v>0</v>
      </c>
      <c r="T450" s="155">
        <f ca="1"/>
        <v>5.7278653862048778E-2</v>
      </c>
      <c r="U450" s="155">
        <f ca="1"/>
        <v>0.12087183459093842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2.0168041466294473E-2</v>
      </c>
      <c r="AB450" s="155">
        <f ca="1"/>
        <v>0</v>
      </c>
      <c r="AC450" s="155">
        <f ca="1"/>
        <v>5.8063927740946264E-2</v>
      </c>
      <c r="AD450" s="155">
        <f ca="1"/>
        <v>0.12194348317584069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8">
        <f t="shared" ca="1" si="26"/>
        <v>7.7713601566339679E-4</v>
      </c>
      <c r="AQ450" s="518">
        <f t="shared" ca="1" si="27"/>
        <v>2.0652483411863279E-3</v>
      </c>
      <c r="AR450" s="518">
        <f t="shared" ca="1" si="28"/>
        <v>4.1405763725287439E-3</v>
      </c>
      <c r="AT450" s="518">
        <f t="shared" ca="1" si="29"/>
        <v>5.5324793408158025E-2</v>
      </c>
      <c r="AU450" s="518">
        <f t="shared" ca="1" si="30"/>
        <v>0.10250734012471215</v>
      </c>
      <c r="AV450" s="518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6.6831828807619731E-3</v>
      </c>
      <c r="S451" s="155">
        <f ca="1"/>
        <v>0</v>
      </c>
      <c r="T451" s="155">
        <f ca="1"/>
        <v>2.0039546296283905E-2</v>
      </c>
      <c r="U451" s="155">
        <f ca="1"/>
        <v>4.5025012886893534E-2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7.1797171454006659E-3</v>
      </c>
      <c r="AB451" s="155">
        <f ca="1"/>
        <v>0</v>
      </c>
      <c r="AC451" s="155">
        <f ca="1"/>
        <v>2.0855839838148871E-2</v>
      </c>
      <c r="AD451" s="155">
        <f ca="1"/>
        <v>4.6164124262850881E-2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8">
        <f t="shared" ca="1" si="26"/>
        <v>4.3946537853206642E-4</v>
      </c>
      <c r="AQ451" s="518">
        <f t="shared" ca="1" si="27"/>
        <v>9.0286077924428847E-4</v>
      </c>
      <c r="AR451" s="518">
        <f t="shared" ca="1" si="28"/>
        <v>1.8565654089523116E-3</v>
      </c>
      <c r="AT451" s="518">
        <f t="shared" ca="1" si="29"/>
        <v>3.1285811990800133E-2</v>
      </c>
      <c r="AU451" s="518">
        <f t="shared" ca="1" si="30"/>
        <v>4.4812943381953803E-2</v>
      </c>
      <c r="AV451" s="518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7.9047137003007695E-3</v>
      </c>
      <c r="S452" s="155">
        <f ca="1"/>
        <v>0</v>
      </c>
      <c r="T452" s="155">
        <f ca="1"/>
        <v>2.2192326843826771E-2</v>
      </c>
      <c r="U452" s="155">
        <f ca="1"/>
        <v>4.398693564428191E-2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8.4006373522564903E-3</v>
      </c>
      <c r="AB452" s="155">
        <f ca="1"/>
        <v>0</v>
      </c>
      <c r="AC452" s="155">
        <f ca="1"/>
        <v>2.3006827149230413E-2</v>
      </c>
      <c r="AD452" s="155">
        <f ca="1"/>
        <v>4.5126796796436164E-2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8">
        <f t="shared" ca="1" si="26"/>
        <v>1.0259676057540849E-3</v>
      </c>
      <c r="AQ452" s="518">
        <f t="shared" ca="1" si="27"/>
        <v>2.8398922050349778E-3</v>
      </c>
      <c r="AR452" s="518">
        <f t="shared" ca="1" si="28"/>
        <v>5.9439127124146559E-3</v>
      </c>
      <c r="AT452" s="518">
        <f t="shared" ca="1" si="29"/>
        <v>7.3039268143239064E-2</v>
      </c>
      <c r="AU452" s="518">
        <f t="shared" ca="1" si="30"/>
        <v>0.14095631521573759</v>
      </c>
      <c r="AV452" s="518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8.1996972911849708E-3</v>
      </c>
      <c r="S453" s="155">
        <f ca="1"/>
        <v>0</v>
      </c>
      <c r="T453" s="155">
        <f ca="1"/>
        <v>2.3078582228140299E-2</v>
      </c>
      <c r="U453" s="155">
        <f ca="1"/>
        <v>4.8804195255252703E-2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8.6954734881197204E-3</v>
      </c>
      <c r="AB453" s="155">
        <f ca="1"/>
        <v>0</v>
      </c>
      <c r="AC453" s="155">
        <f ca="1"/>
        <v>2.3892344295017853E-2</v>
      </c>
      <c r="AD453" s="155">
        <f ca="1"/>
        <v>4.9938437745791431E-2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8">
        <f t="shared" ca="1" si="26"/>
        <v>5.5935696284848888E-4</v>
      </c>
      <c r="AQ453" s="518">
        <f t="shared" ca="1" si="27"/>
        <v>1.299320978165013E-3</v>
      </c>
      <c r="AR453" s="518">
        <f t="shared" ca="1" si="28"/>
        <v>2.7892838691840013E-3</v>
      </c>
      <c r="AT453" s="518">
        <f t="shared" ca="1" si="29"/>
        <v>3.9820967999520999E-2</v>
      </c>
      <c r="AU453" s="518">
        <f t="shared" ca="1" si="30"/>
        <v>6.4491003228903318E-2</v>
      </c>
      <c r="AV453" s="518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1.5430491402296465E-2</v>
      </c>
      <c r="S454" s="155">
        <f ca="1"/>
        <v>0</v>
      </c>
      <c r="T454" s="155">
        <f ca="1"/>
        <v>4.779579460447192E-2</v>
      </c>
      <c r="U454" s="155">
        <f ca="1"/>
        <v>0.10259911800501442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1.5922653105955309E-2</v>
      </c>
      <c r="AB454" s="155">
        <f ca="1"/>
        <v>0</v>
      </c>
      <c r="AC454" s="155">
        <f ca="1"/>
        <v>4.8588967574291209E-2</v>
      </c>
      <c r="AD454" s="155">
        <f ca="1"/>
        <v>0.10368898381555602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8">
        <f t="shared" ca="1" si="26"/>
        <v>3.6049733671816213E-4</v>
      </c>
      <c r="AQ454" s="518">
        <f t="shared" ca="1" si="27"/>
        <v>8.7193126017955113E-4</v>
      </c>
      <c r="AR454" s="518">
        <f t="shared" ca="1" si="28"/>
        <v>1.8763246845905966E-3</v>
      </c>
      <c r="AT454" s="518">
        <f t="shared" ca="1" si="29"/>
        <v>2.5664028273220701E-2</v>
      </c>
      <c r="AU454" s="518">
        <f t="shared" ca="1" si="30"/>
        <v>4.3277775592475476E-2</v>
      </c>
      <c r="AV454" s="518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1.899396139718823E-2</v>
      </c>
      <c r="S455" s="155">
        <f ca="1"/>
        <v>0</v>
      </c>
      <c r="T455" s="155">
        <f ca="1"/>
        <v>5.6761453685412966E-2</v>
      </c>
      <c r="U455" s="155">
        <f ca="1"/>
        <v>0.11123535115524641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1.9484341811160988E-2</v>
      </c>
      <c r="AB455" s="155">
        <f ca="1"/>
        <v>0</v>
      </c>
      <c r="AC455" s="155">
        <f ca="1"/>
        <v>5.7547158384908981E-2</v>
      </c>
      <c r="AD455" s="155">
        <f ca="1"/>
        <v>0.11231443573752153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8">
        <f t="shared" ca="1" si="26"/>
        <v>6.3914758843128803E-4</v>
      </c>
      <c r="AQ455" s="518">
        <f t="shared" ca="1" si="27"/>
        <v>1.5231382252152944E-3</v>
      </c>
      <c r="AR455" s="518">
        <f t="shared" ca="1" si="28"/>
        <v>3.2578609771776123E-3</v>
      </c>
      <c r="AT455" s="518">
        <f t="shared" ca="1" si="29"/>
        <v>4.5501311964158547E-2</v>
      </c>
      <c r="AU455" s="518">
        <f t="shared" ca="1" si="30"/>
        <v>7.560003559640105E-2</v>
      </c>
      <c r="AV455" s="518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1.9532179937228555E-2</v>
      </c>
      <c r="S456" s="155">
        <f ca="1"/>
        <v>0</v>
      </c>
      <c r="T456" s="155">
        <f ca="1"/>
        <v>5.5248463228356859E-2</v>
      </c>
      <c r="U456" s="155">
        <f ca="1"/>
        <v>0.10693214979808041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2.0022291309193085E-2</v>
      </c>
      <c r="AB456" s="155">
        <f ca="1"/>
        <v>0</v>
      </c>
      <c r="AC456" s="155">
        <f ca="1"/>
        <v>5.6035428228017659E-2</v>
      </c>
      <c r="AD456" s="155">
        <f ca="1"/>
        <v>0.10801452680798795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8">
        <f t="shared" ca="1" si="26"/>
        <v>5.1185275019481201E-4</v>
      </c>
      <c r="AQ456" s="518">
        <f t="shared" ca="1" si="27"/>
        <v>1.2748585403592663E-3</v>
      </c>
      <c r="AR456" s="518">
        <f t="shared" ca="1" si="28"/>
        <v>2.7723473472083282E-3</v>
      </c>
      <c r="AT456" s="518">
        <f t="shared" ca="1" si="29"/>
        <v>3.6439113731914614E-2</v>
      </c>
      <c r="AU456" s="518">
        <f t="shared" ca="1" si="30"/>
        <v>6.3276825068134077E-2</v>
      </c>
      <c r="AV456" s="518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8">
        <f t="shared" ca="1" si="26"/>
        <v>1.9655639157742121E-3</v>
      </c>
      <c r="AQ457" s="518">
        <f t="shared" ca="1" si="27"/>
        <v>4.4603178265811734E-3</v>
      </c>
      <c r="AR457" s="518">
        <f t="shared" ca="1" si="28"/>
        <v>7.9601653285661673E-3</v>
      </c>
      <c r="AT457" s="518">
        <f t="shared" ca="1" si="29"/>
        <v>0.13992971034537563</v>
      </c>
      <c r="AU457" s="518">
        <f t="shared" ca="1" si="30"/>
        <v>0.22138515131358866</v>
      </c>
      <c r="AV457" s="518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8">
        <f t="shared" ca="1" si="26"/>
        <v>1.6204900247228279E-4</v>
      </c>
      <c r="AQ458" s="518">
        <f t="shared" ca="1" si="27"/>
        <v>3.8380721384878656E-4</v>
      </c>
      <c r="AR458" s="518">
        <f t="shared" ca="1" si="28"/>
        <v>1.0355473436554164E-3</v>
      </c>
      <c r="AT458" s="518">
        <f t="shared" ca="1" si="29"/>
        <v>1.1536368670449463E-2</v>
      </c>
      <c r="AU458" s="518">
        <f t="shared" ca="1" si="30"/>
        <v>1.9050036660344733E-2</v>
      </c>
      <c r="AV458" s="518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8">
        <f t="shared" ca="1" si="26"/>
        <v>3.827070984783227E-4</v>
      </c>
      <c r="AQ459" s="518">
        <f t="shared" ca="1" si="27"/>
        <v>8.6349593679825901E-4</v>
      </c>
      <c r="AR459" s="518">
        <f t="shared" ca="1" si="28"/>
        <v>1.7964810809909966E-3</v>
      </c>
      <c r="AT459" s="518">
        <f t="shared" ca="1" si="29"/>
        <v>2.7245154943789915E-2</v>
      </c>
      <c r="AU459" s="518">
        <f t="shared" ca="1" si="30"/>
        <v>4.285909346807229E-2</v>
      </c>
      <c r="AV459" s="518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8">
        <f t="shared" ca="1" si="26"/>
        <v>7.970836720590966E-4</v>
      </c>
      <c r="AQ460" s="518">
        <f t="shared" ca="1" si="27"/>
        <v>1.8822018238122912E-3</v>
      </c>
      <c r="AR460" s="518">
        <f t="shared" ca="1" si="28"/>
        <v>4.0615392699756047E-3</v>
      </c>
      <c r="AT460" s="518">
        <f t="shared" ca="1" si="29"/>
        <v>5.6744879399317417E-2</v>
      </c>
      <c r="AU460" s="518">
        <f t="shared" ca="1" si="30"/>
        <v>9.3421938025163118E-2</v>
      </c>
      <c r="AV460" s="518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8">
        <f t="shared" ca="1" si="26"/>
        <v>2.6898489242861153E-4</v>
      </c>
      <c r="AQ461" s="518">
        <f t="shared" ca="1" si="27"/>
        <v>6.4895754546739892E-4</v>
      </c>
      <c r="AR461" s="518">
        <f t="shared" ca="1" si="28"/>
        <v>1.4690416561279913E-3</v>
      </c>
      <c r="AT461" s="518">
        <f t="shared" ca="1" si="29"/>
        <v>1.9149200788004948E-2</v>
      </c>
      <c r="AU461" s="518">
        <f t="shared" ca="1" si="30"/>
        <v>3.221061143741806E-2</v>
      </c>
      <c r="AV461" s="518">
        <f t="shared" ca="1" si="31"/>
        <v>6.2431749408979345E-2</v>
      </c>
    </row>
    <row r="462" spans="1:48" ht="10.5" customHeight="1" thickBot="1">
      <c r="A462" s="327"/>
      <c r="B462" s="74"/>
      <c r="C462" s="511"/>
      <c r="D462" s="75"/>
      <c r="E462" s="512"/>
      <c r="F462" s="513"/>
      <c r="G462" s="513"/>
      <c r="H462" s="513"/>
      <c r="I462" s="513"/>
      <c r="J462" s="513"/>
      <c r="K462" s="513"/>
      <c r="L462" s="513"/>
      <c r="M462" s="513"/>
      <c r="N462" s="514"/>
      <c r="O462" s="515"/>
      <c r="P462" s="515"/>
      <c r="Q462" s="515"/>
      <c r="R462" s="515"/>
      <c r="S462" s="515"/>
      <c r="T462" s="515"/>
      <c r="U462" s="515"/>
      <c r="V462" s="516"/>
      <c r="W462" s="514"/>
      <c r="X462" s="515"/>
      <c r="Y462" s="515"/>
      <c r="Z462" s="515"/>
      <c r="AA462" s="515"/>
      <c r="AB462" s="515"/>
      <c r="AC462" s="515"/>
      <c r="AD462" s="515"/>
      <c r="AE462" s="516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8">
        <f t="shared" ca="1" si="26"/>
        <v>3.1833991856230169E-4</v>
      </c>
      <c r="AQ462" s="518">
        <f t="shared" ca="1" si="27"/>
        <v>7.2122014910046717E-4</v>
      </c>
      <c r="AR462" s="518">
        <f t="shared" ca="1" si="28"/>
        <v>1.4492823804897065E-3</v>
      </c>
      <c r="AT462" s="518">
        <f t="shared" ca="1" si="29"/>
        <v>2.2662815611492092E-2</v>
      </c>
      <c r="AU462" s="518">
        <f t="shared" ca="1" si="30"/>
        <v>3.5797321636471972E-2</v>
      </c>
      <c r="AV462" s="518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8">
        <f t="shared" ca="1" si="26"/>
        <v>3.3026738321127687E-4</v>
      </c>
      <c r="AQ463" s="518">
        <f t="shared" ca="1" si="27"/>
        <v>7.5018142604290293E-4</v>
      </c>
      <c r="AR463" s="518">
        <f t="shared" ca="1" si="28"/>
        <v>1.6029208298404519E-3</v>
      </c>
      <c r="AT463" s="518">
        <f t="shared" ca="1" si="29"/>
        <v>2.3511939193834822E-2</v>
      </c>
      <c r="AU463" s="518">
        <f t="shared" ca="1" si="30"/>
        <v>3.7234796930256227E-2</v>
      </c>
      <c r="AV463" s="518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8">
        <f t="shared" ca="1" si="26"/>
        <v>6.2372414276450983E-4</v>
      </c>
      <c r="AQ464" s="518">
        <f t="shared" ca="1" si="27"/>
        <v>1.5608160029850656E-3</v>
      </c>
      <c r="AR464" s="518">
        <f t="shared" ca="1" si="28"/>
        <v>3.4171449338535821E-3</v>
      </c>
      <c r="AT464" s="518">
        <f t="shared" ca="1" si="29"/>
        <v>4.4403307331818818E-2</v>
      </c>
      <c r="AU464" s="518">
        <f t="shared" ca="1" si="30"/>
        <v>7.7470149085401924E-2</v>
      </c>
      <c r="AV464" s="518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8">
        <f t="shared" ca="1" si="26"/>
        <v>7.691158239166721E-4</v>
      </c>
      <c r="AQ465" s="518">
        <f t="shared" ca="1" si="27"/>
        <v>1.8625194025892763E-3</v>
      </c>
      <c r="AR465" s="518">
        <f t="shared" ca="1" si="28"/>
        <v>3.7466006113327389E-3</v>
      </c>
      <c r="AT465" s="518">
        <f t="shared" ca="1" si="29"/>
        <v>5.4753830999341363E-2</v>
      </c>
      <c r="AU465" s="518">
        <f t="shared" ca="1" si="30"/>
        <v>9.2445013068222351E-2</v>
      </c>
      <c r="AV465" s="518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8">
        <f t="shared" ca="1" si="26"/>
        <v>7.911199397346091E-4</v>
      </c>
      <c r="AQ466" s="518">
        <f t="shared" ca="1" si="27"/>
        <v>1.8166874788842565E-3</v>
      </c>
      <c r="AR466" s="518">
        <f t="shared" ca="1" si="28"/>
        <v>3.6058661787253632E-3</v>
      </c>
      <c r="AT466" s="518">
        <f t="shared" ca="1" si="29"/>
        <v>5.6320317608146056E-2</v>
      </c>
      <c r="AU466" s="518">
        <f t="shared" ca="1" si="30"/>
        <v>9.0170173525631739E-2</v>
      </c>
      <c r="AV466" s="518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abSelected="1" topLeftCell="A20" zoomScale="115" zoomScaleNormal="115" workbookViewId="0">
      <selection activeCell="T15" sqref="T15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1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customWidth="1"/>
    <col min="17" max="18" width="19.28515625" style="220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4"/>
      <c r="O2" s="474"/>
      <c r="P2" s="474"/>
    </row>
    <row r="3" spans="1:32">
      <c r="N3" s="474"/>
      <c r="O3" s="474"/>
      <c r="P3" s="474"/>
    </row>
    <row r="4" spans="1:32" ht="12" thickBot="1">
      <c r="N4" s="475"/>
      <c r="O4" s="474"/>
      <c r="P4" s="474"/>
    </row>
    <row r="5" spans="1:32" ht="12" thickBot="1">
      <c r="B5" s="262" t="s">
        <v>47</v>
      </c>
      <c r="C5" s="222">
        <v>45412</v>
      </c>
      <c r="D5" s="221">
        <f ca="1">[0]!Parameter_Date</f>
        <v>45261</v>
      </c>
      <c r="H5" s="261" t="s">
        <v>423</v>
      </c>
      <c r="I5" s="140" t="b">
        <v>1</v>
      </c>
      <c r="K5" s="261" t="s">
        <v>508</v>
      </c>
      <c r="L5" s="140" t="b">
        <v>1</v>
      </c>
      <c r="N5" s="474"/>
      <c r="O5" s="474"/>
      <c r="P5" s="474"/>
    </row>
    <row r="6" spans="1:32" ht="12" thickBot="1">
      <c r="B6" s="262" t="s">
        <v>432</v>
      </c>
      <c r="C6" s="222">
        <v>46376</v>
      </c>
      <c r="F6" s="396"/>
      <c r="K6" s="261" t="s">
        <v>509</v>
      </c>
      <c r="L6" s="140" t="b">
        <v>1</v>
      </c>
      <c r="N6" s="474"/>
      <c r="O6" s="474"/>
      <c r="P6" s="474"/>
    </row>
    <row r="7" spans="1:32" customFormat="1" ht="15.75" thickBot="1">
      <c r="A7" s="220"/>
      <c r="B7" s="262" t="s">
        <v>457</v>
      </c>
      <c r="C7" s="223">
        <v>46376</v>
      </c>
      <c r="D7" s="472" cm="1">
        <f t="array" aca="1" ref="D7" ca="1">GetConvertDate([0]!CDSRollDate,C6)</f>
        <v>46376</v>
      </c>
      <c r="E7" s="471"/>
      <c r="F7" s="221"/>
      <c r="G7" s="221"/>
      <c r="I7" s="389"/>
      <c r="J7" s="388"/>
      <c r="K7" s="388"/>
      <c r="L7" s="388"/>
      <c r="M7" s="388"/>
      <c r="N7" s="388"/>
      <c r="O7" s="388"/>
      <c r="P7" s="388"/>
      <c r="Q7" s="388"/>
      <c r="R7" s="388"/>
      <c r="S7" s="436"/>
      <c r="T7" s="79"/>
      <c r="U7" s="79"/>
      <c r="V7" s="79"/>
      <c r="W7" s="426"/>
      <c r="X7" s="79"/>
      <c r="Y7" s="79"/>
      <c r="Z7" s="79"/>
      <c r="AA7" s="79"/>
      <c r="AB7" s="79"/>
      <c r="AC7" s="79"/>
    </row>
    <row r="8" spans="1:32" customFormat="1" ht="15">
      <c r="A8" s="220"/>
      <c r="B8" s="263" t="s">
        <v>82</v>
      </c>
      <c r="C8" s="224" t="s">
        <v>66</v>
      </c>
      <c r="D8" s="221"/>
      <c r="E8" s="221"/>
      <c r="F8" s="221"/>
      <c r="G8" s="221"/>
      <c r="H8" s="304" t="s">
        <v>435</v>
      </c>
      <c r="I8" s="390" cm="1">
        <f t="array" aca="1" ref="I8:R109" ca="1">IF(NOT($I$5),"",GETCDO(C6,C19:C20,C21:C22,G39:G338,C8,C17,C39:C338,D39:D338,C12,C13,C14,C15,C9,C10,E39:E338,F39:F338,C24,C25,C27,L5,L6,C29:C31,C36,C33,,C34,))</f>
        <v>0.36264739123010797</v>
      </c>
      <c r="J8" s="391">
        <f ca="1"/>
        <v>0.120882463743369</v>
      </c>
      <c r="K8" s="400" t="str">
        <f ca="1"/>
        <v/>
      </c>
      <c r="L8" s="400">
        <f ca="1"/>
        <v>0</v>
      </c>
      <c r="M8" s="401">
        <f ca="1"/>
        <v>0</v>
      </c>
      <c r="N8" s="401">
        <f ca="1"/>
        <v>0</v>
      </c>
      <c r="O8" s="401" t="str">
        <f ca="1"/>
        <v/>
      </c>
      <c r="P8" s="401" t="str">
        <f ca="1"/>
        <v/>
      </c>
      <c r="Q8" s="401" t="str">
        <f ca="1"/>
        <v/>
      </c>
      <c r="R8" s="440" t="str">
        <f ca="1"/>
        <v/>
      </c>
      <c r="S8" s="436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3" t="s">
        <v>437</v>
      </c>
      <c r="C9" s="225">
        <v>-0.05</v>
      </c>
      <c r="D9" s="472"/>
      <c r="E9" s="221"/>
      <c r="F9" s="221"/>
      <c r="G9" s="221"/>
      <c r="H9" s="378" t="s">
        <v>436</v>
      </c>
      <c r="I9" s="392">
        <f ca="1"/>
        <v>0.43625707581671203</v>
      </c>
      <c r="J9" s="393">
        <f ca="1"/>
        <v>0.14541902527223699</v>
      </c>
      <c r="K9" s="402" t="str">
        <f ca="1"/>
        <v/>
      </c>
      <c r="L9" s="402">
        <f ca="1"/>
        <v>0</v>
      </c>
      <c r="M9" s="324">
        <f ca="1"/>
        <v>0</v>
      </c>
      <c r="N9" s="653">
        <f ca="1"/>
        <v>0</v>
      </c>
      <c r="O9" s="324" t="str">
        <f ca="1"/>
        <v/>
      </c>
      <c r="P9" s="324" t="str">
        <f ca="1"/>
        <v/>
      </c>
      <c r="Q9" s="324" t="str">
        <f ca="1"/>
        <v/>
      </c>
      <c r="R9" s="441" t="str">
        <f ca="1"/>
        <v/>
      </c>
      <c r="S9" s="436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4" t="s">
        <v>439</v>
      </c>
      <c r="C10" s="226">
        <v>0.1</v>
      </c>
      <c r="D10" s="221"/>
      <c r="E10" s="220"/>
      <c r="F10" s="221"/>
      <c r="G10" s="221"/>
      <c r="H10" s="378" t="s">
        <v>438</v>
      </c>
      <c r="I10" s="394">
        <f ca="1"/>
        <v>7.3609684586604301E-2</v>
      </c>
      <c r="J10" s="393">
        <f ca="1"/>
        <v>2.45365615288681E-2</v>
      </c>
      <c r="K10" s="402" t="str">
        <f ca="1"/>
        <v/>
      </c>
      <c r="L10" s="402">
        <f ca="1"/>
        <v>0</v>
      </c>
      <c r="M10" s="324">
        <f ca="1"/>
        <v>0</v>
      </c>
      <c r="N10" s="653">
        <f ca="1"/>
        <v>0</v>
      </c>
      <c r="O10" s="324" t="str">
        <f ca="1"/>
        <v/>
      </c>
      <c r="P10" s="324" t="str">
        <f ca="1"/>
        <v/>
      </c>
      <c r="Q10" s="324" t="str">
        <f ca="1"/>
        <v/>
      </c>
      <c r="R10" s="441" t="str">
        <f ca="1"/>
        <v/>
      </c>
      <c r="S10" s="436"/>
      <c r="T10" s="79"/>
      <c r="U10" s="79"/>
      <c r="V10" s="79"/>
      <c r="W10" s="79"/>
      <c r="X10" s="79"/>
      <c r="Y10" s="467" t="s">
        <v>434</v>
      </c>
      <c r="Z10" s="424">
        <f ca="1">C29</f>
        <v>0</v>
      </c>
      <c r="AA10" s="79"/>
      <c r="AB10" s="467" t="s">
        <v>504</v>
      </c>
      <c r="AC10" s="424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8" t="s">
        <v>440</v>
      </c>
      <c r="I11" s="395">
        <f ca="1"/>
        <v>5.9266260719191201E-2</v>
      </c>
      <c r="J11" s="395">
        <f ca="1"/>
        <v>5.9266260719191201E-2</v>
      </c>
      <c r="K11" s="402" t="str">
        <f ca="1"/>
        <v/>
      </c>
      <c r="L11" s="402">
        <f ca="1"/>
        <v>0</v>
      </c>
      <c r="M11" s="324">
        <f ca="1"/>
        <v>0</v>
      </c>
      <c r="N11" s="653">
        <f ca="1"/>
        <v>0</v>
      </c>
      <c r="O11" s="324" t="str">
        <f ca="1"/>
        <v/>
      </c>
      <c r="P11" s="324" t="str">
        <f ca="1"/>
        <v/>
      </c>
      <c r="Q11" s="324" t="str">
        <f ca="1"/>
        <v/>
      </c>
      <c r="R11" s="441" t="str">
        <f ca="1"/>
        <v/>
      </c>
      <c r="S11" s="436"/>
      <c r="T11" s="79"/>
      <c r="U11" s="79"/>
      <c r="V11" s="79"/>
      <c r="W11" s="79"/>
      <c r="X11" s="79"/>
      <c r="Y11" s="467" t="s">
        <v>505</v>
      </c>
      <c r="Z11" s="425">
        <f ca="1">SUM(Z15:Z314)</f>
        <v>-0.10358173453973163</v>
      </c>
      <c r="AA11" s="79"/>
      <c r="AB11" s="467" t="s">
        <v>505</v>
      </c>
      <c r="AC11" s="425">
        <f ca="1">SUM(AC15:AC314)</f>
        <v>-6.1239823719559635E-3</v>
      </c>
    </row>
    <row r="12" spans="1:32" customFormat="1" ht="15.75" thickBot="1">
      <c r="A12" s="220"/>
      <c r="B12" s="262" t="s">
        <v>434</v>
      </c>
      <c r="C12" s="227">
        <v>0.01</v>
      </c>
      <c r="D12" s="221"/>
      <c r="E12" s="221"/>
      <c r="F12" s="221"/>
      <c r="G12" s="221"/>
      <c r="H12" s="378" t="s">
        <v>497</v>
      </c>
      <c r="I12" s="396">
        <f ca="1"/>
        <v>2.4536561528868099</v>
      </c>
      <c r="J12" s="396">
        <f ca="1"/>
        <v>2.4536561528868099</v>
      </c>
      <c r="K12" s="402" t="str">
        <f ca="1"/>
        <v/>
      </c>
      <c r="L12" s="402">
        <f ca="1"/>
        <v>0</v>
      </c>
      <c r="M12" s="324">
        <f ca="1"/>
        <v>0</v>
      </c>
      <c r="N12" s="653">
        <f ca="1"/>
        <v>0</v>
      </c>
      <c r="O12" s="324" t="str">
        <f ca="1"/>
        <v/>
      </c>
      <c r="P12" s="324" t="str">
        <f ca="1"/>
        <v/>
      </c>
      <c r="Q12" s="324" t="str">
        <f ca="1"/>
        <v/>
      </c>
      <c r="R12" s="441" t="str">
        <f ca="1"/>
        <v/>
      </c>
      <c r="S12" s="437"/>
      <c r="T12" s="275" t="s">
        <v>423</v>
      </c>
      <c r="U12" s="430" t="b">
        <v>1</v>
      </c>
      <c r="V12" s="79"/>
      <c r="W12" s="79"/>
      <c r="X12" s="79"/>
      <c r="Y12" s="467" t="s">
        <v>498</v>
      </c>
      <c r="Z12" s="409">
        <f ca="1">$J$8+Z11</f>
        <v>1.7300729203637372E-2</v>
      </c>
      <c r="AA12" s="79"/>
      <c r="AB12" s="467" t="s">
        <v>498</v>
      </c>
      <c r="AC12" s="409">
        <f ca="1">$J$8+AC11</f>
        <v>0.11475848137141303</v>
      </c>
    </row>
    <row r="13" spans="1:32" customFormat="1" ht="15.75" thickBot="1">
      <c r="A13" s="220"/>
      <c r="B13" s="263" t="s">
        <v>458</v>
      </c>
      <c r="C13" s="224" t="s">
        <v>459</v>
      </c>
      <c r="D13" s="221"/>
      <c r="E13" s="221" t="s">
        <v>75</v>
      </c>
      <c r="F13" s="221"/>
      <c r="G13" s="221"/>
      <c r="H13" s="378" t="s">
        <v>443</v>
      </c>
      <c r="I13" s="397" t="str">
        <f ca="1"/>
        <v>00:00:06.2175472</v>
      </c>
      <c r="J13" s="397" t="str">
        <f ca="1"/>
        <v>00:00:06.2175472</v>
      </c>
      <c r="K13" s="403" t="str">
        <f ca="1"/>
        <v>Leverage=</v>
      </c>
      <c r="L13" s="404">
        <f ca="1"/>
        <v>9.6144590638541203</v>
      </c>
      <c r="M13" s="324">
        <f ca="1"/>
        <v>0</v>
      </c>
      <c r="N13" s="653">
        <f ca="1"/>
        <v>0</v>
      </c>
      <c r="O13" s="324" t="str">
        <f ca="1"/>
        <v/>
      </c>
      <c r="P13" s="447" t="str">
        <f ca="1"/>
        <v>Leverage=</v>
      </c>
      <c r="Q13" s="446">
        <f ca="1"/>
        <v>48.882186563591802</v>
      </c>
      <c r="R13" s="441" t="str">
        <f ca="1"/>
        <v/>
      </c>
      <c r="S13" s="437"/>
      <c r="T13" s="279" t="s">
        <v>499</v>
      </c>
      <c r="U13" s="410">
        <f ca="1">L13</f>
        <v>9.6144590638541203</v>
      </c>
      <c r="V13" s="411"/>
      <c r="W13" s="79"/>
      <c r="X13" s="79"/>
      <c r="Y13" s="467" t="s">
        <v>500</v>
      </c>
      <c r="Z13" s="412">
        <f ca="1">Z12*(C20-C21)</f>
        <v>5.1902187610912115E-2</v>
      </c>
      <c r="AA13" s="79"/>
      <c r="AB13" s="467" t="s">
        <v>500</v>
      </c>
      <c r="AC13" s="413">
        <f ca="1">AC12*(C20-C21)</f>
        <v>0.3442754441142391</v>
      </c>
      <c r="AD13" s="220"/>
    </row>
    <row r="14" spans="1:32" customFormat="1" ht="15">
      <c r="A14" s="220"/>
      <c r="B14" s="263" t="s">
        <v>461</v>
      </c>
      <c r="C14" s="224" t="s">
        <v>445</v>
      </c>
      <c r="D14" s="221"/>
      <c r="E14" s="221"/>
      <c r="F14" s="221"/>
      <c r="G14" s="221"/>
      <c r="H14" s="378" t="s">
        <v>460</v>
      </c>
      <c r="I14" s="398" t="str">
        <f ca="1"/>
        <v>dPV</v>
      </c>
      <c r="J14" s="399" t="str">
        <f ca="1"/>
        <v>dHedge</v>
      </c>
      <c r="K14" s="399" t="str">
        <f ca="1"/>
        <v>delta not. (Hedge Crncy)</v>
      </c>
      <c r="L14" s="398" t="str">
        <f ca="1"/>
        <v>delta not. (Product CCY)</v>
      </c>
      <c r="M14" s="398" t="str">
        <f ca="1"/>
        <v>dPV(dBeta)</v>
      </c>
      <c r="N14" s="654" t="str">
        <f ca="1"/>
        <v>Name</v>
      </c>
      <c r="O14" s="398" t="str">
        <f ca="1"/>
        <v>Jump to Default</v>
      </c>
      <c r="P14" s="398" t="str">
        <f ca="1"/>
        <v>dHedge JTD</v>
      </c>
      <c r="Q14" s="398" t="str">
        <f ca="1"/>
        <v>delta not. (Hedge Crncy)</v>
      </c>
      <c r="R14" s="442" t="str">
        <f ca="1"/>
        <v>delta not. (Product CCY)</v>
      </c>
      <c r="S14" s="150"/>
      <c r="T14" s="465" t="s">
        <v>501</v>
      </c>
      <c r="U14" s="398" t="s">
        <v>436</v>
      </c>
      <c r="V14" s="398" t="s">
        <v>438</v>
      </c>
      <c r="W14" s="398" t="s">
        <v>440</v>
      </c>
      <c r="X14" s="398" t="s">
        <v>441</v>
      </c>
      <c r="Y14" s="398" t="s">
        <v>506</v>
      </c>
      <c r="Z14" s="398" t="s">
        <v>502</v>
      </c>
      <c r="AA14" s="398" t="s">
        <v>503</v>
      </c>
      <c r="AB14" s="398" t="s">
        <v>507</v>
      </c>
      <c r="AC14" s="398" t="s">
        <v>502</v>
      </c>
      <c r="AD14" s="220"/>
      <c r="AE14" s="220"/>
    </row>
    <row r="15" spans="1:32" customFormat="1" ht="15.75" thickBot="1">
      <c r="A15" s="220"/>
      <c r="B15" s="264" t="s">
        <v>462</v>
      </c>
      <c r="C15" s="566"/>
      <c r="D15" s="221"/>
      <c r="E15" s="221"/>
      <c r="F15" s="221"/>
      <c r="G15" s="221"/>
      <c r="H15" s="378">
        <v>1</v>
      </c>
      <c r="I15" s="405">
        <f ca="1"/>
        <v>8.4568963098952105E-5</v>
      </c>
      <c r="J15" s="405">
        <f ca="1"/>
        <v>2.82613254658421E-4</v>
      </c>
      <c r="K15" s="405">
        <f ca="1"/>
        <v>0.29923919598592802</v>
      </c>
      <c r="L15" s="405">
        <f ca="1"/>
        <v>0.29923919598592802</v>
      </c>
      <c r="M15" s="405">
        <f ca="1"/>
        <v>-1.08102510152288E-4</v>
      </c>
      <c r="N15" s="655" t="str">
        <f ca="1"/>
        <v>AIRBUS SE</v>
      </c>
      <c r="O15" s="405">
        <f ca="1"/>
        <v>1.18317354945548</v>
      </c>
      <c r="P15" s="405">
        <f ca="1"/>
        <v>0.76757252425327505</v>
      </c>
      <c r="Q15" s="405">
        <f ca="1"/>
        <v>1.5414485433888101</v>
      </c>
      <c r="R15" s="443">
        <f ca="1"/>
        <v>1.5414485433888101</v>
      </c>
      <c r="S15" s="434"/>
      <c r="T15" s="414" cm="1">
        <f t="array" aca="1" ref="T15:X15" ca="1">IF(AND($U$12,B39&lt;=$C$17,C39&lt;&gt;""),TRANSPOSE(INDEX(getcds(C39,$C$6,G39/10000,F39,D39,$C$13,$C$14,$C$15,$C$8,,,TRUE,TRUE,FALSE,$C$29:$C$31,$C$33),{1;2;3;4;5})),"")</f>
        <v>-1.8497393950815899E-2</v>
      </c>
      <c r="U15" s="415">
        <f ca="1"/>
        <v>9.3026487123236898E-3</v>
      </c>
      <c r="V15" s="415">
        <f ca="1"/>
        <v>2.7800042663139599E-2</v>
      </c>
      <c r="W15" s="416">
        <f ca="1"/>
        <v>3.3462713798846802E-3</v>
      </c>
      <c r="X15" s="417">
        <f ca="1"/>
        <v>2.7800042663139601</v>
      </c>
      <c r="Y15" s="418">
        <f ca="1">IF($U$12,IF(T15="","",$U$13*D39/$C$18),"")</f>
        <v>0.10120483225109589</v>
      </c>
      <c r="Z15" s="419">
        <f ca="1">IF($U$12,IF(Y15="","",Y15*($Z$10-W15)*X15),"")</f>
        <v>-9.4147300242159468E-4</v>
      </c>
      <c r="AA15" s="418">
        <f ca="1">IF($U$12,IF(OR(T15="",L15=""),"",L15/($C$20-$C$19)),"")</f>
        <v>9.9746398661976002E-2</v>
      </c>
      <c r="AB15" s="420">
        <f ca="1">IF($U$12,IF(W15="","",W15*$AC$10),"")</f>
        <v>3.178957810890446E-3</v>
      </c>
      <c r="AC15" s="419">
        <f ca="1">IF($U$12,IF(AA15="","",AA15*(AB15-W15)*X15),"")</f>
        <v>-4.6395285353587993E-5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8">
        <v>2</v>
      </c>
      <c r="I16" s="405">
        <f ca="1"/>
        <v>8.2591665003339798E-5</v>
      </c>
      <c r="J16" s="405">
        <f ca="1"/>
        <v>2.8282137928587901E-4</v>
      </c>
      <c r="K16" s="405">
        <f ca="1"/>
        <v>0.29202765792275998</v>
      </c>
      <c r="L16" s="405">
        <f ca="1"/>
        <v>0.29202765792275998</v>
      </c>
      <c r="M16" s="405">
        <f ca="1"/>
        <v>-1.02668063886664E-4</v>
      </c>
      <c r="N16" s="655" t="str">
        <f ca="1"/>
        <v>AKTIEBOLAGET VOLVO</v>
      </c>
      <c r="O16" s="405">
        <f ca="1"/>
        <v>1.18325670881845</v>
      </c>
      <c r="P16" s="405">
        <f ca="1"/>
        <v>0.76800178285171505</v>
      </c>
      <c r="Q16" s="405">
        <f ca="1"/>
        <v>1.5406952630042401</v>
      </c>
      <c r="R16" s="443">
        <f ca="1"/>
        <v>1.5406952630042401</v>
      </c>
      <c r="S16" s="435"/>
      <c r="T16" s="414" cm="1">
        <f t="array" aca="1" ref="T16:X16" ca="1">IF(AND($U$12,B40&lt;=$C$17,C40&lt;&gt;""),TRANSPOSE(INDEX(getcds(C40,$C$6,G40/10000,F40,D40,$C$13,$C$14,$C$15,$C$8,,,TRUE,TRUE,FALSE,$C$29:$C$31,$C$33),{1;2;3;4;5})),"")</f>
        <v>-1.8949245107068899E-2</v>
      </c>
      <c r="U16" s="415">
        <f ca="1"/>
        <v>8.8602733792831501E-3</v>
      </c>
      <c r="V16" s="415">
        <f ca="1"/>
        <v>2.7809518486351999E-2</v>
      </c>
      <c r="W16" s="416">
        <f ca="1"/>
        <v>3.1860578181644801E-3</v>
      </c>
      <c r="X16" s="417">
        <f ca="1"/>
        <v>2.7809518486351998</v>
      </c>
      <c r="Y16" s="418">
        <f ca="1">IF($U$12,IF(T16="","",$U$13*D40/$C$18),"")</f>
        <v>0.10120483225109589</v>
      </c>
      <c r="Z16" s="419">
        <f ca="1">IF($U$12,IF(Y16="","",Y16*($Z$10-W16)*X16),"")</f>
        <v>-8.9670248104920089E-4</v>
      </c>
      <c r="AA16" s="418">
        <f t="shared" ref="AA16:AA79" ca="1" si="0">IF($U$12,IF(OR(T16="",L16=""),"",L16/($C$20-$C$19)),"")</f>
        <v>9.7342552640919996E-2</v>
      </c>
      <c r="AB16" s="420">
        <f t="shared" ref="AB16:AB79" ca="1" si="1">IF($U$12,IF(W16="","",W16*$AC$10),"")</f>
        <v>3.0267549272562561E-3</v>
      </c>
      <c r="AC16" s="419">
        <f ca="1">IF($U$12,IF(AA16="","",AA16*(AB16-W16)*X16),"")</f>
        <v>-4.3124081391790567E-5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2" t="s">
        <v>463</v>
      </c>
      <c r="C17" s="228">
        <f ca="1">COUNTA(C39:C338)</f>
        <v>95</v>
      </c>
      <c r="D17" s="221"/>
      <c r="E17" s="573"/>
      <c r="F17" s="517"/>
      <c r="G17" s="221"/>
      <c r="H17" s="378">
        <v>3</v>
      </c>
      <c r="I17" s="405">
        <f ca="1"/>
        <v>8.3922038624670804E-5</v>
      </c>
      <c r="J17" s="405">
        <f ca="1"/>
        <v>2.8268214406381402E-4</v>
      </c>
      <c r="K17" s="405">
        <f ca="1"/>
        <v>0.29687774904426201</v>
      </c>
      <c r="L17" s="405">
        <f ca="1"/>
        <v>0.29687774904426201</v>
      </c>
      <c r="M17" s="405">
        <f ca="1"/>
        <v>-1.06308498899932E-4</v>
      </c>
      <c r="N17" s="655" t="str">
        <f ca="1"/>
        <v>AKZO NOBEL N.V.</v>
      </c>
      <c r="O17" s="405">
        <f ca="1"/>
        <v>1.1832013750099599</v>
      </c>
      <c r="P17" s="405">
        <f ca="1"/>
        <v>0.76771460972741101</v>
      </c>
      <c r="Q17" s="405">
        <f ca="1"/>
        <v>1.5411995030680401</v>
      </c>
      <c r="R17" s="443">
        <f ca="1"/>
        <v>1.5411995030680401</v>
      </c>
      <c r="S17" s="435"/>
      <c r="T17" s="414" cm="1">
        <f t="array" aca="1" ref="T17:X17" ca="1">IF(AND($U$12,B41&lt;=$C$17,C41&lt;&gt;""),TRANSPOSE(INDEX(getcds(C41,$C$6,G41/10000,F41,D41,$C$13,$C$14,$C$15,$C$8,,,TRUE,TRUE,FALSE,$C$29:$C$31,$C$33),{1;2;3;4;5})),"")</f>
        <v>-1.86469576078012E-2</v>
      </c>
      <c r="U17" s="415">
        <f ca="1"/>
        <v>9.1562218622686202E-3</v>
      </c>
      <c r="V17" s="415">
        <f ca="1"/>
        <v>2.78031794700698E-2</v>
      </c>
      <c r="W17" s="416">
        <f ca="1"/>
        <v>3.2932283417892302E-3</v>
      </c>
      <c r="X17" s="417">
        <f ca="1"/>
        <v>2.7803179470069801</v>
      </c>
      <c r="Y17" s="418">
        <f ca="1">IF($U$12,IF(T17="","",$U$13*D41/$C$18),"")</f>
        <v>0.10120483225109589</v>
      </c>
      <c r="Z17" s="419">
        <f t="shared" ref="Z17:Z79" ca="1" si="2">IF($U$12,IF(Y17="","",Y17*($Z$10-W17)*X17),"")</f>
        <v>-9.2665389762471386E-4</v>
      </c>
      <c r="AA17" s="418">
        <f t="shared" ca="1" si="0"/>
        <v>9.8959249681420669E-2</v>
      </c>
      <c r="AB17" s="420">
        <f t="shared" ca="1" si="1"/>
        <v>3.1285669246997687E-3</v>
      </c>
      <c r="AC17" s="419">
        <f t="shared" ref="AC17:AC79" ca="1" si="3">IF($U$12,IF(AA17="","",AA17*(AB17-W17)*X17),"")</f>
        <v>-4.5304642270336198E-5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3" t="s">
        <v>464</v>
      </c>
      <c r="C18" s="229">
        <f ca="1">SUM(OFFSET(D38,1,0,C17))</f>
        <v>100.00000000000011</v>
      </c>
      <c r="D18" s="221"/>
      <c r="E18" s="572"/>
      <c r="F18" s="221"/>
      <c r="G18" s="230"/>
      <c r="H18" s="378">
        <v>4</v>
      </c>
      <c r="I18" s="405">
        <f ca="1"/>
        <v>1.3618233799877601E-4</v>
      </c>
      <c r="J18" s="405">
        <f ca="1"/>
        <v>2.7331079781958999E-4</v>
      </c>
      <c r="K18" s="405">
        <f ca="1"/>
        <v>0.49826914664626099</v>
      </c>
      <c r="L18" s="405">
        <f ca="1"/>
        <v>0.49826914664626099</v>
      </c>
      <c r="M18" s="405">
        <f ca="1"/>
        <v>-2.9667989075185498E-4</v>
      </c>
      <c r="N18" s="655" t="str">
        <f ca="1"/>
        <v>ALSTOM</v>
      </c>
      <c r="O18" s="405">
        <f ca="1"/>
        <v>1.1772150671453401</v>
      </c>
      <c r="P18" s="405">
        <f ca="1"/>
        <v>0.74838107118776198</v>
      </c>
      <c r="Q18" s="405">
        <f ca="1"/>
        <v>1.57301555646908</v>
      </c>
      <c r="R18" s="443">
        <f ca="1"/>
        <v>1.57301555646908</v>
      </c>
      <c r="S18" s="435"/>
      <c r="T18" s="414" cm="1">
        <f t="array" aca="1" ref="T18:X18" ca="1">IF(AND($U$12,B42&lt;=$C$17,C42&lt;&gt;""),TRANSPOSE(INDEX(getcds(C42,$C$6,G42/10000,F42,D42,$C$13,$C$14,$C$15,$C$8,,,TRUE,TRUE,FALSE,$C$29:$C$31,$C$33),{1;2;3;4;5})),"")</f>
        <v>1.7041355918292001E-3</v>
      </c>
      <c r="U18" s="415">
        <f ca="1"/>
        <v>2.90778083865906E-2</v>
      </c>
      <c r="V18" s="415">
        <f ca="1"/>
        <v>2.7373672794761401E-2</v>
      </c>
      <c r="W18" s="416">
        <f ca="1"/>
        <v>1.06225454671744E-2</v>
      </c>
      <c r="X18" s="417">
        <f ca="1"/>
        <v>2.7373672794761399</v>
      </c>
      <c r="Y18" s="418">
        <f t="shared" ref="Y18:Y79" ca="1" si="5">IF($U$12,IF(T18="","",$U$13*D42/$C$18),"")</f>
        <v>0.10120483225109589</v>
      </c>
      <c r="Z18" s="419">
        <f t="shared" ca="1" si="2"/>
        <v>-2.9428147199944297E-3</v>
      </c>
      <c r="AA18" s="418">
        <f t="shared" ca="1" si="0"/>
        <v>0.16608971554875365</v>
      </c>
      <c r="AB18" s="420">
        <f t="shared" ca="1" si="1"/>
        <v>1.009141819381568E-2</v>
      </c>
      <c r="AC18" s="419">
        <f t="shared" ca="1" si="3"/>
        <v>-2.4147624618550155E-4</v>
      </c>
      <c r="AD18" s="220"/>
      <c r="AE18" s="220">
        <f t="shared" ca="1" si="4"/>
        <v>2.2514912477741966E-2</v>
      </c>
    </row>
    <row r="19" spans="1:31" customFormat="1" ht="15">
      <c r="A19" s="220"/>
      <c r="B19" s="263" t="s">
        <v>465</v>
      </c>
      <c r="C19" s="231">
        <v>0</v>
      </c>
      <c r="D19" s="221"/>
      <c r="E19" s="571"/>
      <c r="F19" s="221"/>
      <c r="G19" s="233"/>
      <c r="H19" s="378">
        <v>5</v>
      </c>
      <c r="I19" s="405">
        <f ca="1"/>
        <v>1.0309635051357399E-4</v>
      </c>
      <c r="J19" s="405">
        <f ca="1"/>
        <v>2.8026547525421698E-4</v>
      </c>
      <c r="K19" s="405">
        <f ca="1"/>
        <v>0.36785248136631798</v>
      </c>
      <c r="L19" s="405">
        <f ca="1"/>
        <v>0.36785248136631798</v>
      </c>
      <c r="M19" s="405">
        <f ca="1"/>
        <v>-1.6595881819388801E-4</v>
      </c>
      <c r="N19" s="655" t="str">
        <f ca="1"/>
        <v>ANGLO AMERICAN PLC</v>
      </c>
      <c r="O19" s="405">
        <f ca="1"/>
        <v>1.1820603149806801</v>
      </c>
      <c r="P19" s="405">
        <f ca="1"/>
        <v>0.76272987315087504</v>
      </c>
      <c r="Q19" s="405">
        <f ca="1"/>
        <v>1.5497758204979299</v>
      </c>
      <c r="R19" s="443">
        <f ca="1"/>
        <v>1.5497758204979299</v>
      </c>
      <c r="S19" s="435"/>
      <c r="T19" s="453" cm="1">
        <f t="array" aca="1" ref="T19:X19" ca="1">IF(AND($U$12,B43&lt;=$C$17,C43&lt;&gt;""),TRANSPOSE(INDEX(getcds(C43,$C$6,G43/10000,F43,D43,$C$13,$C$14,$C$15,$C$8,,,TRUE,TRUE,FALSE,$C$29:$C$31,$C$33),{1;2;3;4;5})),"")</f>
        <v>-1.3399866474604999E-2</v>
      </c>
      <c r="U19" s="415">
        <f ca="1"/>
        <v>1.42930930925527E-2</v>
      </c>
      <c r="V19" s="415">
        <f ca="1"/>
        <v>2.7692959567157699E-2</v>
      </c>
      <c r="W19" s="416">
        <f ca="1"/>
        <v>5.1612732318807699E-3</v>
      </c>
      <c r="X19" s="417">
        <f ca="1"/>
        <v>2.7692959567157698</v>
      </c>
      <c r="Y19" s="418">
        <f t="shared" ca="1" si="5"/>
        <v>0.10120483225109589</v>
      </c>
      <c r="Z19" s="419">
        <f t="shared" ca="1" si="2"/>
        <v>-1.4465300887810985E-3</v>
      </c>
      <c r="AA19" s="418">
        <f t="shared" ca="1" si="0"/>
        <v>0.12261749378877267</v>
      </c>
      <c r="AB19" s="420">
        <f t="shared" ca="1" si="1"/>
        <v>4.9032095702867314E-3</v>
      </c>
      <c r="AC19" s="419">
        <f t="shared" ca="1" si="3"/>
        <v>-8.7629162674921803E-5</v>
      </c>
      <c r="AD19" s="220"/>
      <c r="AE19" s="220">
        <f t="shared" ca="1" si="4"/>
        <v>1.1034181550254405E-2</v>
      </c>
    </row>
    <row r="20" spans="1:31" customFormat="1" ht="15">
      <c r="A20" s="220"/>
      <c r="B20" s="263" t="s">
        <v>466</v>
      </c>
      <c r="C20" s="231">
        <v>3</v>
      </c>
      <c r="D20" s="232"/>
      <c r="E20" s="405"/>
      <c r="F20" s="221"/>
      <c r="G20" s="233"/>
      <c r="H20" s="378">
        <v>6</v>
      </c>
      <c r="I20" s="405">
        <f ca="1"/>
        <v>1.19450496535598E-4</v>
      </c>
      <c r="J20" s="405">
        <f ca="1"/>
        <v>2.7741317498675502E-4</v>
      </c>
      <c r="K20" s="405">
        <f ca="1"/>
        <v>0.430586963078812</v>
      </c>
      <c r="L20" s="405">
        <f ca="1"/>
        <v>0.430586963078812</v>
      </c>
      <c r="M20" s="405">
        <f ca="1"/>
        <v>-2.2679072649302699E-4</v>
      </c>
      <c r="N20" s="655" t="str">
        <f ca="1"/>
        <v>ARCELORMITTAL</v>
      </c>
      <c r="O20" s="405">
        <f ca="1"/>
        <v>1.1803267031504401</v>
      </c>
      <c r="P20" s="405">
        <f ca="1"/>
        <v>0.75684572410639706</v>
      </c>
      <c r="Q20" s="405">
        <f ca="1"/>
        <v>1.5595340841015399</v>
      </c>
      <c r="R20" s="443">
        <f ca="1"/>
        <v>1.5595340841015399</v>
      </c>
      <c r="S20" s="435"/>
      <c r="T20" s="414" cm="1">
        <f t="array" aca="1" ref="T20:X20" ca="1">IF(AND($U$12,B44&lt;=$C$17,C44&lt;&gt;""),TRANSPOSE(INDEX(getcds(C44,$C$6,G44/10000,F44,D44,$C$13,$C$14,$C$15,$C$8,,,TRUE,TRUE,FALSE,$C$29:$C$31,$C$33),{1;2;3;4;5})),"")</f>
        <v>-7.2060253751551001E-3</v>
      </c>
      <c r="U20" s="415">
        <f ca="1"/>
        <v>2.0356366113396501E-2</v>
      </c>
      <c r="V20" s="415">
        <f ca="1"/>
        <v>2.7562391488551601E-2</v>
      </c>
      <c r="W20" s="416">
        <f ca="1"/>
        <v>7.3855587320323102E-3</v>
      </c>
      <c r="X20" s="417">
        <f ca="1"/>
        <v>2.7562391488551601</v>
      </c>
      <c r="Y20" s="418">
        <f t="shared" ca="1" si="5"/>
        <v>0.10120483225109589</v>
      </c>
      <c r="Z20" s="419">
        <f t="shared" ca="1" si="2"/>
        <v>-2.0601626177481889E-3</v>
      </c>
      <c r="AA20" s="418">
        <f t="shared" ca="1" si="0"/>
        <v>0.14352898769293734</v>
      </c>
      <c r="AB20" s="420">
        <f t="shared" ca="1" si="1"/>
        <v>7.0162807954306941E-3</v>
      </c>
      <c r="AC20" s="419">
        <f t="shared" ca="1" si="3"/>
        <v>-1.4608643106813108E-4</v>
      </c>
      <c r="AD20" s="220"/>
      <c r="AE20" s="220">
        <f t="shared" ca="1" si="4"/>
        <v>1.5734153358332083E-2</v>
      </c>
    </row>
    <row r="21" spans="1:31" customFormat="1" ht="15">
      <c r="A21" s="220"/>
      <c r="B21" s="263" t="s">
        <v>467</v>
      </c>
      <c r="C21" s="234">
        <v>0</v>
      </c>
      <c r="D21" s="221"/>
      <c r="E21" s="405"/>
      <c r="F21" s="221"/>
      <c r="G21" s="235"/>
      <c r="H21" s="378">
        <v>7</v>
      </c>
      <c r="I21" s="405">
        <f ca="1"/>
        <v>7.1394601804051201E-5</v>
      </c>
      <c r="J21" s="405">
        <f ca="1"/>
        <v>2.8387274236148501E-4</v>
      </c>
      <c r="K21" s="405">
        <f ca="1"/>
        <v>0.251502138634843</v>
      </c>
      <c r="L21" s="405">
        <f ca="1"/>
        <v>0.251502138634843</v>
      </c>
      <c r="M21" s="405">
        <f ca="1"/>
        <v>-7.46482911618074E-5</v>
      </c>
      <c r="N21" s="655" t="str">
        <f ca="1"/>
        <v>ASTRAZENECA PLC</v>
      </c>
      <c r="O21" s="405">
        <f ca="1"/>
        <v>1.18363369348861</v>
      </c>
      <c r="P21" s="405">
        <f ca="1"/>
        <v>0.77017015235816599</v>
      </c>
      <c r="Q21" s="405">
        <f ca="1"/>
        <v>1.5368470069431699</v>
      </c>
      <c r="R21" s="443">
        <f ca="1"/>
        <v>1.5368470069431699</v>
      </c>
      <c r="S21" s="435"/>
      <c r="T21" s="414" cm="1">
        <f t="array" aca="1" ref="T21:X21" ca="1">IF(AND($U$12,B45&lt;=$C$17,C45&lt;&gt;""),TRANSPOSE(INDEX(getcds(C45,$C$6,G45/10000,F45,D45,$C$13,$C$14,$C$15,$C$8,,,TRUE,TRUE,FALSE,$C$29:$C$31,$C$33),{1;2;3;4;5})),"")</f>
        <v>-2.1231739324384699E-2</v>
      </c>
      <c r="U21" s="415">
        <f ca="1"/>
        <v>6.6256056548415097E-3</v>
      </c>
      <c r="V21" s="415">
        <f ca="1"/>
        <v>2.7857344979226199E-2</v>
      </c>
      <c r="W21" s="416">
        <f ca="1"/>
        <v>2.37840528585275E-3</v>
      </c>
      <c r="X21" s="417">
        <f ca="1"/>
        <v>2.7857344979226202</v>
      </c>
      <c r="Y21" s="418">
        <f t="shared" ca="1" si="5"/>
        <v>0.10120483225109589</v>
      </c>
      <c r="Z21" s="419">
        <f t="shared" ca="1" si="2"/>
        <v>-6.7054330886014797E-4</v>
      </c>
      <c r="AA21" s="418">
        <f ca="1">IF($U$12,IF(OR(T21="",L21=""),"",L21/($C$20-$C$19)),"")</f>
        <v>8.3834046211614333E-2</v>
      </c>
      <c r="AB21" s="420">
        <f t="shared" ca="1" si="1"/>
        <v>2.2594850215601125E-3</v>
      </c>
      <c r="AC21" s="419">
        <f t="shared" ca="1" si="3"/>
        <v>-2.777256653239584E-5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4" t="s">
        <v>468</v>
      </c>
      <c r="C22" s="236">
        <v>0.6</v>
      </c>
      <c r="D22" s="221"/>
      <c r="E22" s="405"/>
      <c r="F22" s="570"/>
      <c r="G22" s="235"/>
      <c r="H22" s="378">
        <v>8</v>
      </c>
      <c r="I22" s="405">
        <f ca="1"/>
        <v>6.8317477805719405E-5</v>
      </c>
      <c r="J22" s="405">
        <f ca="1"/>
        <v>2.8412699935765598E-4</v>
      </c>
      <c r="K22" s="405">
        <f ca="1"/>
        <v>0.24044697603595999</v>
      </c>
      <c r="L22" s="405">
        <f ca="1"/>
        <v>0.24044697603595999</v>
      </c>
      <c r="M22" s="405">
        <f ca="1"/>
        <v>-6.7770591188780503E-5</v>
      </c>
      <c r="N22" s="655" t="str">
        <f ca="1"/>
        <v>BAE SYSTEMS PLC</v>
      </c>
      <c r="O22" s="405">
        <f ca="1"/>
        <v>1.1837134355780601</v>
      </c>
      <c r="P22" s="405">
        <f ca="1"/>
        <v>0.77069452274570804</v>
      </c>
      <c r="Q22" s="405">
        <f ca="1"/>
        <v>1.5359048243406701</v>
      </c>
      <c r="R22" s="443">
        <f ca="1"/>
        <v>1.5359048243406701</v>
      </c>
      <c r="S22" s="435"/>
      <c r="T22" s="414" cm="1">
        <f t="array" aca="1" ref="T22:X22" ca="1">IF(AND($U$12,B46&lt;=$C$17,C46&lt;&gt;""),TRANSPOSE(INDEX(getcds(C46,$C$6,G46/10000,F46,D46,$C$13,$C$14,$C$15,$C$8,,,TRUE,TRUE,FALSE,$C$29:$C$31,$C$33),{1;2;3;4;5})),"")</f>
        <v>-2.1783708153377102E-2</v>
      </c>
      <c r="U22" s="415">
        <f ca="1"/>
        <v>6.08519257439774E-3</v>
      </c>
      <c r="V22" s="415">
        <f ca="1"/>
        <v>2.7868900727774801E-2</v>
      </c>
      <c r="W22" s="416">
        <f ca="1"/>
        <v>2.1835064948697702E-3</v>
      </c>
      <c r="X22" s="417">
        <f ca="1"/>
        <v>2.7868900727774801</v>
      </c>
      <c r="Y22" s="418">
        <f t="shared" ca="1" si="5"/>
        <v>0.10120483225109589</v>
      </c>
      <c r="Z22" s="419">
        <f t="shared" ca="1" si="2"/>
        <v>-6.1585089370753499E-4</v>
      </c>
      <c r="AA22" s="418">
        <f t="shared" ca="1" si="0"/>
        <v>8.0148992011986664E-2</v>
      </c>
      <c r="AB22" s="420">
        <f t="shared" ca="1" si="1"/>
        <v>2.0743311701262816E-3</v>
      </c>
      <c r="AC22" s="419">
        <f t="shared" ca="1" si="3"/>
        <v>-2.4386102551840168E-5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5"/>
      <c r="F23" s="221"/>
      <c r="G23" s="221"/>
      <c r="H23" s="378">
        <v>9</v>
      </c>
      <c r="I23" s="405">
        <f ca="1"/>
        <v>7.1825227617665694E-5</v>
      </c>
      <c r="J23" s="405">
        <f ca="1"/>
        <v>2.8383603491485799E-4</v>
      </c>
      <c r="K23" s="405">
        <f ca="1"/>
        <v>0.25305182845867702</v>
      </c>
      <c r="L23" s="405">
        <f ca="1"/>
        <v>0.25305182845867702</v>
      </c>
      <c r="M23" s="405">
        <f ca="1"/>
        <v>-7.5639077112270601E-5</v>
      </c>
      <c r="N23" s="655" t="str">
        <f ca="1"/>
        <v>BASF SE</v>
      </c>
      <c r="O23" s="405">
        <f ca="1"/>
        <v>1.1836217985138799</v>
      </c>
      <c r="P23" s="405">
        <f ca="1"/>
        <v>0.77009444767477397</v>
      </c>
      <c r="Q23" s="405">
        <f ca="1"/>
        <v>1.53698264165871</v>
      </c>
      <c r="R23" s="443">
        <f ca="1"/>
        <v>1.53698264165871</v>
      </c>
      <c r="S23" s="435"/>
      <c r="T23" s="414" cm="1">
        <f t="array" aca="1" ref="T23:X23" ca="1">IF(AND($U$12,B47&lt;=$C$17,C47&lt;&gt;""),TRANSPOSE(INDEX(getcds(C47,$C$6,G47/10000,F47,D47,$C$13,$C$14,$C$15,$C$8,,,TRUE,TRUE,FALSE,$C$29:$C$31,$C$33),{1;2;3;4;5})),"")</f>
        <v>-2.11520501839727E-2</v>
      </c>
      <c r="U23" s="415">
        <f ca="1"/>
        <v>6.7036261416386399E-3</v>
      </c>
      <c r="V23" s="415">
        <f ca="1"/>
        <v>2.7855676325611301E-2</v>
      </c>
      <c r="W23" s="416">
        <f ca="1"/>
        <v>2.40655658950027E-3</v>
      </c>
      <c r="X23" s="417">
        <f ca="1"/>
        <v>2.78556763256113</v>
      </c>
      <c r="Y23" s="418">
        <f t="shared" ca="1" si="5"/>
        <v>0.10120483225109589</v>
      </c>
      <c r="Z23" s="419">
        <f t="shared" ca="1" si="2"/>
        <v>-6.7843935913860121E-4</v>
      </c>
      <c r="AA23" s="418">
        <f t="shared" ca="1" si="0"/>
        <v>8.4350609486225678E-2</v>
      </c>
      <c r="AB23" s="420">
        <f t="shared" ca="1" si="1"/>
        <v>2.2862287600252562E-3</v>
      </c>
      <c r="AC23" s="419">
        <f t="shared" ca="1" si="3"/>
        <v>-2.8272747540750861E-5</v>
      </c>
      <c r="AD23" s="220"/>
      <c r="AE23" s="220">
        <f t="shared" ca="1" si="4"/>
        <v>5.1673342898428181E-3</v>
      </c>
    </row>
    <row r="24" spans="1:31" customFormat="1" ht="15">
      <c r="A24" s="237"/>
      <c r="B24" s="265" t="s">
        <v>447</v>
      </c>
      <c r="C24" s="63" t="b">
        <v>1</v>
      </c>
      <c r="D24" s="221"/>
      <c r="E24" s="405"/>
      <c r="F24" s="221"/>
      <c r="G24" s="221"/>
      <c r="H24" s="378">
        <v>10</v>
      </c>
      <c r="I24" s="405">
        <f ca="1"/>
        <v>1.2461508272710399E-4</v>
      </c>
      <c r="J24" s="405">
        <f ca="1"/>
        <v>2.7630310488038101E-4</v>
      </c>
      <c r="K24" s="405">
        <f ca="1"/>
        <v>0.45100862250915802</v>
      </c>
      <c r="L24" s="405">
        <f ca="1"/>
        <v>0.45100862250915802</v>
      </c>
      <c r="M24" s="405">
        <f ca="1"/>
        <v>-2.4766554249309601E-4</v>
      </c>
      <c r="N24" s="655" t="str">
        <f ca="1"/>
        <v>BAYER AKTIENGESELLSCHAFT</v>
      </c>
      <c r="O24" s="405">
        <f ca="1"/>
        <v>1.1795522352472201</v>
      </c>
      <c r="P24" s="405">
        <f ca="1"/>
        <v>0.75455545209274999</v>
      </c>
      <c r="Q24" s="405">
        <f ca="1"/>
        <v>1.5632412859462399</v>
      </c>
      <c r="R24" s="443">
        <f ca="1"/>
        <v>1.5632412859462399</v>
      </c>
      <c r="S24" s="435"/>
      <c r="T24" s="414" cm="1">
        <f t="array" aca="1" ref="T24:X24" ca="1">IF(AND($U$12,B48&lt;=$C$17,C48&lt;&gt;""),TRANSPOSE(INDEX(getcds(C48,$C$6,G48/10000,F48,D48,$C$13,$C$14,$C$15,$C$8,,,TRUE,TRUE,FALSE,$C$29:$C$31,$C$33),{1;2;3;4;5})),"")</f>
        <v>-4.7952127292102001E-3</v>
      </c>
      <c r="U24" s="415">
        <f ca="1"/>
        <v>2.2716221665181301E-2</v>
      </c>
      <c r="V24" s="415">
        <f ca="1"/>
        <v>2.75114343943915E-2</v>
      </c>
      <c r="W24" s="416">
        <f ca="1"/>
        <v>8.2570110084162797E-3</v>
      </c>
      <c r="X24" s="417">
        <f ca="1"/>
        <v>2.7511434394391499</v>
      </c>
      <c r="Y24" s="418">
        <f t="shared" ca="1" si="5"/>
        <v>0.10120483225109589</v>
      </c>
      <c r="Z24" s="419">
        <f t="shared" ca="1" si="2"/>
        <v>-2.2989914030033822E-3</v>
      </c>
      <c r="AA24" s="418">
        <f t="shared" ca="1" si="0"/>
        <v>0.15033620750305268</v>
      </c>
      <c r="AB24" s="420">
        <f t="shared" ca="1" si="1"/>
        <v>7.8441604579954655E-3</v>
      </c>
      <c r="AC24" s="419">
        <f t="shared" ca="1" si="3"/>
        <v>-1.7075353069710182E-4</v>
      </c>
      <c r="AD24" s="220"/>
      <c r="AE24" s="220">
        <f t="shared" ca="1" si="4"/>
        <v>1.7566465666323531E-2</v>
      </c>
    </row>
    <row r="25" spans="1:31" customFormat="1" ht="15.75" thickBot="1">
      <c r="A25" s="237"/>
      <c r="B25" s="428" t="s">
        <v>448</v>
      </c>
      <c r="C25" s="429" t="b">
        <v>1</v>
      </c>
      <c r="D25" s="221"/>
      <c r="E25" s="405"/>
      <c r="F25" s="221"/>
      <c r="G25" s="221"/>
      <c r="H25" s="378">
        <v>11</v>
      </c>
      <c r="I25" s="405">
        <f ca="1"/>
        <v>8.1131203313513696E-5</v>
      </c>
      <c r="J25" s="405">
        <f ca="1"/>
        <v>2.8297053432631199E-4</v>
      </c>
      <c r="K25" s="405">
        <f ca="1"/>
        <v>0.28671254944147601</v>
      </c>
      <c r="L25" s="405">
        <f ca="1"/>
        <v>0.28671254944147601</v>
      </c>
      <c r="M25" s="405">
        <f ca="1"/>
        <v>-9.8747526585278903E-5</v>
      </c>
      <c r="N25" s="655" t="str">
        <f ca="1"/>
        <v>BAYERISCHE MOTOREN WERKE AKTIENGESELLSCHAFT</v>
      </c>
      <c r="O25" s="405">
        <f ca="1"/>
        <v>1.18331462507583</v>
      </c>
      <c r="P25" s="405">
        <f ca="1"/>
        <v>0.768309413216818</v>
      </c>
      <c r="Q25" s="405">
        <f ca="1"/>
        <v>1.5401537514963299</v>
      </c>
      <c r="R25" s="443">
        <f ca="1"/>
        <v>1.5401537514963299</v>
      </c>
      <c r="S25" s="435"/>
      <c r="T25" s="414" cm="1">
        <f t="array" aca="1" ref="T25:X25" ca="1">IF(AND($U$12,B49&lt;=$C$17,C49&lt;&gt;""),TRANSPOSE(INDEX(getcds(C49,$C$6,G49/10000,F49,D49,$C$13,$C$14,$C$15,$C$8,,,TRUE,TRUE,FALSE,$C$29:$C$31,$C$33),{1;2;3;4;5})),"")</f>
        <v>-1.9273066544019099E-2</v>
      </c>
      <c r="U25" s="415">
        <f ca="1"/>
        <v>8.5432412286933698E-3</v>
      </c>
      <c r="V25" s="415">
        <f ca="1"/>
        <v>2.78163077727125E-2</v>
      </c>
      <c r="W25" s="416">
        <f ca="1"/>
        <v>3.07130669479944E-3</v>
      </c>
      <c r="X25" s="417">
        <f ca="1"/>
        <v>2.7816307772712499</v>
      </c>
      <c r="Y25" s="418">
        <f t="shared" ca="1" si="5"/>
        <v>0.10120483225109589</v>
      </c>
      <c r="Z25" s="419">
        <f t="shared" ca="1" si="2"/>
        <v>-8.6461729543055776E-4</v>
      </c>
      <c r="AA25" s="418">
        <f t="shared" ca="1" si="0"/>
        <v>9.557084981382534E-2</v>
      </c>
      <c r="AB25" s="420">
        <f t="shared" ca="1" si="1"/>
        <v>2.9177413600594677E-3</v>
      </c>
      <c r="AC25" s="419">
        <f t="shared" ca="1" si="3"/>
        <v>-4.0824241219536771E-5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5"/>
      <c r="F26" s="221"/>
      <c r="G26" s="221"/>
      <c r="H26" s="378">
        <v>12</v>
      </c>
      <c r="I26" s="405">
        <f ca="1"/>
        <v>7.1510869660098599E-5</v>
      </c>
      <c r="J26" s="405">
        <f ca="1"/>
        <v>2.8386285912909199E-4</v>
      </c>
      <c r="K26" s="405">
        <f ca="1"/>
        <v>0.25192048681359103</v>
      </c>
      <c r="L26" s="405">
        <f ca="1"/>
        <v>0.25192048681359103</v>
      </c>
      <c r="M26" s="405">
        <f ca="1"/>
        <v>-7.4915115968920905E-5</v>
      </c>
      <c r="N26" s="655" t="str">
        <f ca="1"/>
        <v>BOUYGUES</v>
      </c>
      <c r="O26" s="405">
        <f ca="1"/>
        <v>1.1836305002346601</v>
      </c>
      <c r="P26" s="405">
        <f ca="1"/>
        <v>0.77014976939212099</v>
      </c>
      <c r="Q26" s="405">
        <f ca="1"/>
        <v>1.53688353522315</v>
      </c>
      <c r="R26" s="443">
        <f ca="1"/>
        <v>1.53688353522315</v>
      </c>
      <c r="S26" s="435"/>
      <c r="T26" s="414" cm="1">
        <f t="array" aca="1" ref="T26:X26" ca="1">IF(AND($U$12,B50&lt;=$C$17,C50&lt;&gt;""),TRANSPOSE(INDEX(getcds(C50,$C$6,G50/10000,F50,D50,$C$13,$C$14,$C$15,$C$8,,,TRUE,TRUE,FALSE,$C$29:$C$31,$C$33),{1;2;3;4;5})),"")</f>
        <v>-2.1210283570653299E-2</v>
      </c>
      <c r="U26" s="415">
        <f ca="1"/>
        <v>6.6466121430162001E-3</v>
      </c>
      <c r="V26" s="415">
        <f ca="1"/>
        <v>2.7856895713669502E-2</v>
      </c>
      <c r="W26" s="416">
        <f ca="1"/>
        <v>2.3859845014082802E-3</v>
      </c>
      <c r="X26" s="417">
        <f ca="1"/>
        <v>2.7856895713669498</v>
      </c>
      <c r="Y26" s="418">
        <f t="shared" ca="1" si="5"/>
        <v>0.10120483225109589</v>
      </c>
      <c r="Z26" s="419">
        <f t="shared" ca="1" si="2"/>
        <v>-6.7266926697205328E-4</v>
      </c>
      <c r="AA26" s="418">
        <f t="shared" ca="1" si="0"/>
        <v>8.3973495604530338E-2</v>
      </c>
      <c r="AB26" s="420">
        <f t="shared" ca="1" si="1"/>
        <v>2.2666852763378663E-3</v>
      </c>
      <c r="AC26" s="419">
        <f t="shared" ca="1" si="3"/>
        <v>-2.7906962778829494E-5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3" t="s">
        <v>449</v>
      </c>
      <c r="C27" s="178" t="b">
        <v>1</v>
      </c>
      <c r="D27" s="221"/>
      <c r="E27" s="405"/>
      <c r="F27" s="221"/>
      <c r="G27" s="221"/>
      <c r="H27" s="378">
        <v>13</v>
      </c>
      <c r="I27" s="405">
        <f ca="1"/>
        <v>1.0856066061281301E-4</v>
      </c>
      <c r="J27" s="405">
        <f ca="1"/>
        <v>2.7940928862094501E-4</v>
      </c>
      <c r="K27" s="405">
        <f ca="1"/>
        <v>0.38853633373688501</v>
      </c>
      <c r="L27" s="405">
        <f ca="1"/>
        <v>0.38853633373688501</v>
      </c>
      <c r="M27" s="405">
        <f ca="1"/>
        <v>-1.8532740685950599E-4</v>
      </c>
      <c r="N27" s="655" t="str">
        <f ca="1"/>
        <v>CNH INDUSTRIAL N.V</v>
      </c>
      <c r="O27" s="405">
        <f ca="1"/>
        <v>1.1815808895267701</v>
      </c>
      <c r="P27" s="405">
        <f ca="1"/>
        <v>0.76096370234218202</v>
      </c>
      <c r="Q27" s="405">
        <f ca="1"/>
        <v>1.55274277326233</v>
      </c>
      <c r="R27" s="443">
        <f ca="1"/>
        <v>1.55274277326233</v>
      </c>
      <c r="S27" s="435"/>
      <c r="T27" s="414" cm="1">
        <f t="array" aca="1" ref="T27:X27" ca="1">IF(AND($U$12,B51&lt;=$C$17,C51&lt;&gt;""),TRANSPOSE(INDEX(getcds(C51,$C$6,G51/10000,F51,D51,$C$13,$C$14,$C$15,$C$8,,,TRUE,TRUE,FALSE,$C$29:$C$31,$C$33),{1;2;3;4;5})),"")</f>
        <v>-1.154073930756E-2</v>
      </c>
      <c r="U27" s="415">
        <f ca="1"/>
        <v>1.6113081994127601E-2</v>
      </c>
      <c r="V27" s="415">
        <f ca="1"/>
        <v>2.7653821301687601E-2</v>
      </c>
      <c r="W27" s="416">
        <f ca="1"/>
        <v>5.82671082536585E-3</v>
      </c>
      <c r="X27" s="417">
        <f ca="1"/>
        <v>2.76538213016876</v>
      </c>
      <c r="Y27" s="418">
        <f t="shared" ca="1" si="5"/>
        <v>0.10120483225109589</v>
      </c>
      <c r="Z27" s="419">
        <f t="shared" ca="1" si="2"/>
        <v>-1.6307217602638362E-3</v>
      </c>
      <c r="AA27" s="418">
        <f t="shared" ca="1" si="0"/>
        <v>0.12951211124562834</v>
      </c>
      <c r="AB27" s="420">
        <f t="shared" ca="1" si="1"/>
        <v>5.5353752840975575E-3</v>
      </c>
      <c r="AC27" s="419">
        <f t="shared" ca="1" si="3"/>
        <v>-1.0434196338666915E-4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3" t="s">
        <v>450</v>
      </c>
      <c r="C28" s="238"/>
      <c r="D28" s="221"/>
      <c r="E28" s="405"/>
      <c r="F28" s="221"/>
      <c r="G28" s="221"/>
      <c r="H28" s="378">
        <v>14</v>
      </c>
      <c r="I28" s="405">
        <f ca="1"/>
        <v>8.2086206751934597E-5</v>
      </c>
      <c r="J28" s="405">
        <f ca="1"/>
        <v>2.82873434083878E-4</v>
      </c>
      <c r="K28" s="405">
        <f ca="1"/>
        <v>0.29018704784979699</v>
      </c>
      <c r="L28" s="405">
        <f ca="1"/>
        <v>0.29018704784979699</v>
      </c>
      <c r="M28" s="405">
        <f ca="1"/>
        <v>-1.0130219239825199E-4</v>
      </c>
      <c r="N28" s="655" t="str">
        <f ca="1"/>
        <v>COMPAGNIE DE SAINT-GOBAIN</v>
      </c>
      <c r="O28" s="405">
        <f ca="1"/>
        <v>1.1832770822407701</v>
      </c>
      <c r="P28" s="405">
        <f ca="1"/>
        <v>0.76810914538979302</v>
      </c>
      <c r="Q28" s="405">
        <f ca="1"/>
        <v>1.5405064362829499</v>
      </c>
      <c r="R28" s="443">
        <f ca="1"/>
        <v>1.5405064362829499</v>
      </c>
      <c r="S28" s="435"/>
      <c r="T28" s="414" cm="1">
        <f t="array" aca="1" ref="T28:X28" ca="1">IF(AND($U$12,B52&lt;=$C$17,C52&lt;&gt;""),TRANSPOSE(INDEX(getcds(C52,$C$6,G52/10000,F52,D52,$C$13,$C$14,$C$15,$C$8,,,TRUE,TRUE,FALSE,$C$29:$C$31,$C$33),{1;2;3;4;5})),"")</f>
        <v>-1.9062258305045199E-2</v>
      </c>
      <c r="U28" s="415">
        <f ca="1"/>
        <v>8.7496297848134799E-3</v>
      </c>
      <c r="V28" s="415">
        <f ca="1"/>
        <v>2.78118880898587E-2</v>
      </c>
      <c r="W28" s="416">
        <f ca="1"/>
        <v>3.14600352070449E-3</v>
      </c>
      <c r="X28" s="417">
        <f ca="1"/>
        <v>2.7811888089858701</v>
      </c>
      <c r="Y28" s="418">
        <f t="shared" ca="1" si="5"/>
        <v>0.10120483225109589</v>
      </c>
      <c r="Z28" s="419">
        <f t="shared" ca="1" si="2"/>
        <v>-8.8550481463123992E-4</v>
      </c>
      <c r="AA28" s="418">
        <f t="shared" ca="1" si="0"/>
        <v>9.6729015949932329E-2</v>
      </c>
      <c r="AB28" s="420">
        <f t="shared" ca="1" si="1"/>
        <v>2.9887033446692655E-3</v>
      </c>
      <c r="AC28" s="419">
        <f t="shared" ca="1" si="3"/>
        <v>-4.2317153950561299E-5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3" t="s">
        <v>469</v>
      </c>
      <c r="C29" s="239"/>
      <c r="D29" s="221"/>
      <c r="E29" s="405"/>
      <c r="F29" s="221"/>
      <c r="G29" s="221"/>
      <c r="H29" s="378">
        <v>15</v>
      </c>
      <c r="I29" s="405">
        <f ca="1"/>
        <v>1.0662699603424899E-4</v>
      </c>
      <c r="J29" s="405">
        <f ca="1"/>
        <v>2.7972223002224598E-4</v>
      </c>
      <c r="K29" s="405">
        <f ca="1"/>
        <v>0.38118885304814398</v>
      </c>
      <c r="L29" s="405">
        <f ca="1"/>
        <v>0.38118885304814398</v>
      </c>
      <c r="M29" s="405">
        <f ca="1"/>
        <v>-1.7835881026045201E-4</v>
      </c>
      <c r="N29" s="655" t="str">
        <f ca="1"/>
        <v>CONTINENTAL AKTIENGESELLSCHAFT</v>
      </c>
      <c r="O29" s="405">
        <f ca="1"/>
        <v>1.18176038118156</v>
      </c>
      <c r="P29" s="405">
        <f ca="1"/>
        <v>0.761609258126561</v>
      </c>
      <c r="Q29" s="405">
        <f ca="1"/>
        <v>1.5516623105245699</v>
      </c>
      <c r="R29" s="443">
        <f ca="1"/>
        <v>1.5516623105245699</v>
      </c>
      <c r="S29" s="435"/>
      <c r="T29" s="414" cm="1">
        <f t="array" aca="1" ref="T29:X29" ca="1">IF(AND($U$12,B53&lt;=$C$17,C53&lt;&gt;""),TRANSPOSE(INDEX(getcds(C53,$C$6,G53/10000,F53,D53,$C$13,$C$14,$C$15,$C$8,,,TRUE,TRUE,FALSE,$C$29:$C$31,$C$33),{1;2;3;4;5})),"")</f>
        <v>-1.22202717121692E-2</v>
      </c>
      <c r="U29" s="415">
        <f ca="1"/>
        <v>1.5447860297997801E-2</v>
      </c>
      <c r="V29" s="415">
        <f ca="1"/>
        <v>2.7668132010167001E-2</v>
      </c>
      <c r="W29" s="416">
        <f ca="1"/>
        <v>5.5832682496676196E-3</v>
      </c>
      <c r="X29" s="417">
        <f ca="1"/>
        <v>2.7668132010167099</v>
      </c>
      <c r="Y29" s="418">
        <f t="shared" ca="1" si="5"/>
        <v>0.10120483225109589</v>
      </c>
      <c r="Z29" s="419">
        <f t="shared" ca="1" si="2"/>
        <v>-1.5633981100972344E-3</v>
      </c>
      <c r="AA29" s="418">
        <f t="shared" ca="1" si="0"/>
        <v>0.127062951016048</v>
      </c>
      <c r="AB29" s="420">
        <f t="shared" ca="1" si="1"/>
        <v>5.3041048371842382E-3</v>
      </c>
      <c r="AC29" s="419">
        <f t="shared" ca="1" si="3"/>
        <v>-9.8142535817362711E-5</v>
      </c>
      <c r="AD29" s="220"/>
      <c r="AE29" s="220">
        <f t="shared" ca="1" si="4"/>
        <v>1.1928414881360988E-2</v>
      </c>
    </row>
    <row r="30" spans="1:31" customFormat="1" ht="15">
      <c r="A30" s="220"/>
      <c r="B30" s="263" t="s">
        <v>447</v>
      </c>
      <c r="C30" s="63" t="b">
        <v>1</v>
      </c>
      <c r="D30" s="221"/>
      <c r="E30" s="221"/>
      <c r="F30" s="221"/>
      <c r="G30" s="221"/>
      <c r="H30" s="378">
        <v>16</v>
      </c>
      <c r="I30" s="405">
        <f ca="1"/>
        <v>1.0629321784568501E-4</v>
      </c>
      <c r="J30" s="405">
        <f ca="1"/>
        <v>2.7977511619885101E-4</v>
      </c>
      <c r="K30" s="405">
        <f ca="1"/>
        <v>0.37992377338568201</v>
      </c>
      <c r="L30" s="405">
        <f ca="1"/>
        <v>0.37992377338568201</v>
      </c>
      <c r="M30" s="405">
        <f ca="1"/>
        <v>-1.77168521948219E-4</v>
      </c>
      <c r="N30" s="655" t="str">
        <f ca="1"/>
        <v>GLENCORE INTERNATIONAL AG</v>
      </c>
      <c r="O30" s="405">
        <f ca="1"/>
        <v>1.1817902349907601</v>
      </c>
      <c r="P30" s="405">
        <f ca="1"/>
        <v>0.76171835408673505</v>
      </c>
      <c r="Q30" s="405">
        <f ca="1"/>
        <v>1.55147926874845</v>
      </c>
      <c r="R30" s="443">
        <f ca="1"/>
        <v>1.55147926874845</v>
      </c>
      <c r="S30" s="435"/>
      <c r="T30" s="414" cm="1">
        <f t="array" aca="1" ref="T30:X30" ca="1">IF(AND($U$12,B54&lt;=$C$17,C54&lt;&gt;""),TRANSPOSE(INDEX(getcds(C54,$C$6,G54/10000,F54,D54,$C$13,$C$14,$C$15,$C$8,,,TRUE,TRUE,FALSE,$C$29:$C$31,$C$33),{1;2;3;4;5})),"")</f>
        <v>-1.23351095649841E-2</v>
      </c>
      <c r="U30" s="415">
        <f ca="1"/>
        <v>1.5335440294396799E-2</v>
      </c>
      <c r="V30" s="415">
        <f ca="1"/>
        <v>2.7670549859380899E-2</v>
      </c>
      <c r="W30" s="416">
        <f ca="1"/>
        <v>5.5421523505423901E-3</v>
      </c>
      <c r="X30" s="417">
        <f ca="1"/>
        <v>2.7670549859380902</v>
      </c>
      <c r="Y30" s="418">
        <f t="shared" ca="1" si="5"/>
        <v>0.10120483225109589</v>
      </c>
      <c r="Z30" s="419">
        <f t="shared" ca="1" si="2"/>
        <v>-1.5520206624911272E-3</v>
      </c>
      <c r="AA30" s="418">
        <f t="shared" ca="1" si="0"/>
        <v>0.12664125779522734</v>
      </c>
      <c r="AB30" s="420">
        <f t="shared" ca="1" si="1"/>
        <v>5.26504473301527E-3</v>
      </c>
      <c r="AC30" s="419">
        <f t="shared" ca="1" si="3"/>
        <v>-9.7104972386301481E-5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4" t="s">
        <v>448</v>
      </c>
      <c r="C31" s="429" t="b">
        <v>1</v>
      </c>
      <c r="D31" s="221"/>
      <c r="E31" s="221"/>
      <c r="F31" s="221"/>
      <c r="G31" s="221"/>
      <c r="H31" s="378">
        <v>17</v>
      </c>
      <c r="I31" s="405">
        <f ca="1"/>
        <v>5.89580995909577E-5</v>
      </c>
      <c r="J31" s="405">
        <f ca="1"/>
        <v>2.8481886732025299E-4</v>
      </c>
      <c r="K31" s="405">
        <f ca="1"/>
        <v>0.207002085731437</v>
      </c>
      <c r="L31" s="405">
        <f ca="1"/>
        <v>0.207002085731437</v>
      </c>
      <c r="M31" s="405">
        <f ca="1"/>
        <v>-4.9023676481727597E-5</v>
      </c>
      <c r="N31" s="655" t="str">
        <f ca="1"/>
        <v>GSK PLC</v>
      </c>
      <c r="O31" s="405">
        <f ca="1"/>
        <v>1.1839059050708101</v>
      </c>
      <c r="P31" s="405">
        <f ca="1"/>
        <v>0.77212136935243203</v>
      </c>
      <c r="Q31" s="405">
        <f ca="1"/>
        <v>1.5333158128543101</v>
      </c>
      <c r="R31" s="443">
        <f ca="1"/>
        <v>1.5333158128543101</v>
      </c>
      <c r="S31" s="435"/>
      <c r="T31" s="414" cm="1">
        <f t="array" aca="1" ref="T31:X31" ca="1">IF(AND($U$12,B55&lt;=$C$17,C55&lt;&gt;""),TRANSPOSE(INDEX(getcds(C55,$C$6,G55/10000,F55,D55,$C$13,$C$14,$C$15,$C$8,,,TRUE,TRUE,FALSE,$C$29:$C$31,$C$33),{1;2;3;4;5})),"")</f>
        <v>-2.3285651949928699E-2</v>
      </c>
      <c r="U31" s="415">
        <f ca="1"/>
        <v>4.6146731045806797E-3</v>
      </c>
      <c r="V31" s="415">
        <f ca="1"/>
        <v>2.7900325054509401E-2</v>
      </c>
      <c r="W31" s="416">
        <f ca="1"/>
        <v>1.65398542689553E-3</v>
      </c>
      <c r="X31" s="417">
        <f ca="1"/>
        <v>2.7900325054509398</v>
      </c>
      <c r="Y31" s="418">
        <f t="shared" ca="1" si="5"/>
        <v>0.10120483225109589</v>
      </c>
      <c r="Z31" s="419">
        <f t="shared" ca="1" si="2"/>
        <v>-4.6702721744273131E-4</v>
      </c>
      <c r="AA31" s="418">
        <f t="shared" ca="1" si="0"/>
        <v>6.9000695243812332E-2</v>
      </c>
      <c r="AB31" s="420">
        <f t="shared" ca="1" si="1"/>
        <v>1.5712861555507533E-3</v>
      </c>
      <c r="AC31" s="419">
        <f t="shared" ca="1" si="3"/>
        <v>-1.5920782626949453E-5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8">
        <v>18</v>
      </c>
      <c r="I32" s="405">
        <f ca="1"/>
        <v>1.0590406034914201E-4</v>
      </c>
      <c r="J32" s="405">
        <f ca="1"/>
        <v>2.7983636502865698E-4</v>
      </c>
      <c r="K32" s="405">
        <f ca="1"/>
        <v>0.37844995713225799</v>
      </c>
      <c r="L32" s="405">
        <f ca="1"/>
        <v>0.37844995713225799</v>
      </c>
      <c r="M32" s="405">
        <f ca="1"/>
        <v>-1.75785461916695E-4</v>
      </c>
      <c r="N32" s="655" t="str">
        <f ca="1"/>
        <v>HEIDELBERG MATERIALS AG</v>
      </c>
      <c r="O32" s="405">
        <f ca="1"/>
        <v>1.1818246346024399</v>
      </c>
      <c r="P32" s="405">
        <f ca="1"/>
        <v>0.76184470056759201</v>
      </c>
      <c r="Q32" s="405">
        <f ca="1"/>
        <v>1.55126712008622</v>
      </c>
      <c r="R32" s="443">
        <f ca="1"/>
        <v>1.55126712008622</v>
      </c>
      <c r="S32" s="435"/>
      <c r="T32" s="414" cm="1">
        <f t="array" aca="1" ref="T32:X32" ca="1">IF(AND($U$12,B56&lt;=$C$17,C56&lt;&gt;""),TRANSPOSE(INDEX(getcds(C56,$C$6,G56/10000,F56,D56,$C$13,$C$14,$C$15,$C$8,,,TRUE,TRUE,FALSE,$C$29:$C$31,$C$33),{1;2;3;4;5})),"")</f>
        <v>-1.24681058606236E-2</v>
      </c>
      <c r="U32" s="415">
        <f ca="1"/>
        <v>1.5205243949486301E-2</v>
      </c>
      <c r="V32" s="415">
        <f ca="1"/>
        <v>2.7673349810109899E-2</v>
      </c>
      <c r="W32" s="416">
        <f ca="1"/>
        <v>5.4945440482710899E-3</v>
      </c>
      <c r="X32" s="417">
        <f ca="1"/>
        <v>2.7673349810109902</v>
      </c>
      <c r="Y32" s="418">
        <f t="shared" ca="1" si="5"/>
        <v>0.10120483225109589</v>
      </c>
      <c r="Z32" s="419">
        <f t="shared" ca="1" si="2"/>
        <v>-1.5388441632447542E-3</v>
      </c>
      <c r="AA32" s="418">
        <f t="shared" ca="1" si="0"/>
        <v>0.12614998571075267</v>
      </c>
      <c r="AB32" s="420">
        <f t="shared" ca="1" si="1"/>
        <v>5.2198168458575354E-3</v>
      </c>
      <c r="AC32" s="419">
        <f t="shared" ca="1" si="3"/>
        <v>-9.5907065347810403E-5</v>
      </c>
      <c r="AD32" s="220"/>
      <c r="AE32" s="220">
        <f t="shared" ca="1" si="4"/>
        <v>1.1740502045878629E-2</v>
      </c>
    </row>
    <row r="33" spans="1:31" customFormat="1" ht="15">
      <c r="A33" s="220"/>
      <c r="B33" s="262" t="s">
        <v>451</v>
      </c>
      <c r="C33" s="240" t="s">
        <v>452</v>
      </c>
      <c r="D33" s="241"/>
      <c r="E33" s="241"/>
      <c r="F33" s="241"/>
      <c r="G33" s="221"/>
      <c r="H33" s="378">
        <v>19</v>
      </c>
      <c r="I33" s="405">
        <f ca="1"/>
        <v>9.5990083467743006E-5</v>
      </c>
      <c r="J33" s="405">
        <f ca="1"/>
        <v>2.8125851713653601E-4</v>
      </c>
      <c r="K33" s="405">
        <f ca="1"/>
        <v>0.34128773928344702</v>
      </c>
      <c r="L33" s="405">
        <f ca="1"/>
        <v>0.34128773928344702</v>
      </c>
      <c r="M33" s="405">
        <f ca="1"/>
        <v>-1.42308955231602E-4</v>
      </c>
      <c r="N33" s="655" t="str">
        <f ca="1"/>
        <v>HOLCIM AG</v>
      </c>
      <c r="O33" s="405">
        <f ca="1"/>
        <v>1.1825688063441999</v>
      </c>
      <c r="P33" s="405">
        <f ca="1"/>
        <v>0.76477824893355095</v>
      </c>
      <c r="Q33" s="405">
        <f ca="1"/>
        <v>1.54628980098903</v>
      </c>
      <c r="R33" s="443">
        <f ca="1"/>
        <v>1.54628980098903</v>
      </c>
      <c r="S33" s="435"/>
      <c r="T33" s="414" cm="1">
        <f t="array" aca="1" ref="T33:X33" ca="1">IF(AND($U$12,B57&lt;=$C$17,C57&lt;&gt;""),TRANSPOSE(INDEX(getcds(C57,$C$6,G57/10000,F57,D57,$C$13,$C$14,$C$15,$C$8,,,TRUE,TRUE,FALSE,$C$29:$C$31,$C$33),{1;2;3;4;5})),"")</f>
        <v>-1.5556051509001301E-2</v>
      </c>
      <c r="U33" s="415">
        <f ca="1"/>
        <v>1.21822437281074E-2</v>
      </c>
      <c r="V33" s="415">
        <f ca="1"/>
        <v>2.77382952371087E-2</v>
      </c>
      <c r="W33" s="416">
        <f ca="1"/>
        <v>4.3918501926570302E-3</v>
      </c>
      <c r="X33" s="417">
        <f ca="1"/>
        <v>2.7738295237108699</v>
      </c>
      <c r="Y33" s="418">
        <f t="shared" ca="1" si="5"/>
        <v>0.10120483225109589</v>
      </c>
      <c r="Z33" s="419">
        <f t="shared" ca="1" si="2"/>
        <v>-1.2329019329450686E-3</v>
      </c>
      <c r="AA33" s="418">
        <f t="shared" ca="1" si="0"/>
        <v>0.11376257976114901</v>
      </c>
      <c r="AB33" s="420">
        <f t="shared" ca="1" si="1"/>
        <v>4.1722576830241784E-3</v>
      </c>
      <c r="AC33" s="419">
        <f t="shared" ca="1" si="3"/>
        <v>-6.9294173689428513E-5</v>
      </c>
      <c r="AD33" s="220"/>
      <c r="AE33" s="220">
        <f t="shared" ca="1" si="4"/>
        <v>9.4006488933574359E-3</v>
      </c>
    </row>
    <row r="34" spans="1:31" customFormat="1" ht="15">
      <c r="A34" s="220"/>
      <c r="B34" s="263" t="s">
        <v>470</v>
      </c>
      <c r="C34" s="242">
        <v>0.01</v>
      </c>
      <c r="D34" s="241"/>
      <c r="E34" s="241"/>
      <c r="F34" s="241"/>
      <c r="G34" s="221"/>
      <c r="H34" s="378">
        <v>20</v>
      </c>
      <c r="I34" s="405">
        <f ca="1"/>
        <v>5.1412523836094099E-5</v>
      </c>
      <c r="J34" s="405">
        <f ca="1"/>
        <v>2.85295226494285E-4</v>
      </c>
      <c r="K34" s="405">
        <f ca="1"/>
        <v>0.180208146024217</v>
      </c>
      <c r="L34" s="405">
        <f ca="1"/>
        <v>0.180208146024217</v>
      </c>
      <c r="M34" s="405">
        <f ca="1"/>
        <v>-3.62660364782652E-5</v>
      </c>
      <c r="N34" s="655" t="str">
        <f ca="1"/>
        <v>DSM B.V</v>
      </c>
      <c r="O34" s="405">
        <f ca="1"/>
        <v>1.18401599746104</v>
      </c>
      <c r="P34" s="405">
        <f ca="1"/>
        <v>0.77310373906911301</v>
      </c>
      <c r="Q34" s="405">
        <f ca="1"/>
        <v>1.5315098577672199</v>
      </c>
      <c r="R34" s="443">
        <f ca="1"/>
        <v>1.5315098577672199</v>
      </c>
      <c r="S34" s="435"/>
      <c r="T34" s="414" cm="1">
        <f t="array" aca="1" ref="T34:X34" ca="1">IF(AND($U$12,B58&lt;=$C$17,C58&lt;&gt;""),TRANSPOSE(INDEX(getcds(C58,$C$6,G58/10000,F58,D58,$C$13,$C$14,$C$15,$C$8,,,TRUE,TRUE,FALSE,$C$29:$C$31,$C$33),{1;2;3;4;5})),"")</f>
        <v>-2.4319725335908701E-2</v>
      </c>
      <c r="U34" s="415">
        <f ca="1"/>
        <v>3.6022184075318298E-3</v>
      </c>
      <c r="V34" s="415">
        <f ca="1"/>
        <v>2.7921943743440501E-2</v>
      </c>
      <c r="W34" s="416">
        <f ca="1"/>
        <v>1.2901030245711599E-3</v>
      </c>
      <c r="X34" s="417">
        <f ca="1"/>
        <v>2.7921943743440498</v>
      </c>
      <c r="Y34" s="418">
        <f t="shared" ca="1" si="5"/>
        <v>0.10120483225109589</v>
      </c>
      <c r="Z34" s="419">
        <f t="shared" ca="1" si="2"/>
        <v>-3.6456190966606926E-4</v>
      </c>
      <c r="AA34" s="418">
        <f t="shared" ca="1" si="0"/>
        <v>6.0069382008072332E-2</v>
      </c>
      <c r="AB34" s="420">
        <f t="shared" ca="1" si="1"/>
        <v>1.2255978733426019E-3</v>
      </c>
      <c r="AC34" s="419">
        <f t="shared" ca="1" si="3"/>
        <v>-1.0819151679926986E-5</v>
      </c>
      <c r="AD34" s="220"/>
      <c r="AE34" s="220">
        <f t="shared" ca="1" si="4"/>
        <v>2.7749806048590273E-3</v>
      </c>
    </row>
    <row r="35" spans="1:31" customFormat="1" ht="15">
      <c r="A35" s="220"/>
      <c r="B35" s="263" t="s">
        <v>471</v>
      </c>
      <c r="C35" s="242">
        <v>1</v>
      </c>
      <c r="D35" s="221"/>
      <c r="E35" s="221"/>
      <c r="F35" s="221"/>
      <c r="G35" s="221"/>
      <c r="H35" s="378">
        <v>21</v>
      </c>
      <c r="I35" s="405">
        <f ca="1"/>
        <v>5.1750036929361103E-5</v>
      </c>
      <c r="J35" s="405">
        <f ca="1"/>
        <v>2.8527536246507898E-4</v>
      </c>
      <c r="K35" s="405">
        <f ca="1"/>
        <v>0.18140380747284399</v>
      </c>
      <c r="L35" s="405">
        <f ca="1"/>
        <v>0.18140380747284399</v>
      </c>
      <c r="M35" s="405">
        <f ca="1"/>
        <v>-3.6792295998180301E-5</v>
      </c>
      <c r="N35" s="655" t="str">
        <f ca="1"/>
        <v>L'AIR LIQUIDE SOCIETE ANONYME POUR L'ETUDE ET L'EXPLOITATION DES PROCEDES GEORGES CLAUDE</v>
      </c>
      <c r="O35" s="405">
        <f ca="1"/>
        <v>1.18401179700381</v>
      </c>
      <c r="P35" s="405">
        <f ca="1"/>
        <v>0.77306277506174204</v>
      </c>
      <c r="Q35" s="405">
        <f ca="1"/>
        <v>1.53158557778086</v>
      </c>
      <c r="R35" s="443">
        <f ca="1"/>
        <v>1.53158557778086</v>
      </c>
      <c r="S35" s="435"/>
      <c r="T35" s="414" cm="1">
        <f t="array" aca="1" ref="T35:X35" ca="1">IF(AND($U$12,B59&lt;=$C$17,C59&lt;&gt;""),TRANSPOSE(INDEX(getcds(C59,$C$6,G59/10000,F59,D59,$C$13,$C$14,$C$15,$C$8,,,TRUE,TRUE,FALSE,$C$29:$C$31,$C$33),{1;2;3;4;5})),"")</f>
        <v>-2.4276605328149101E-2</v>
      </c>
      <c r="U35" s="415">
        <f ca="1"/>
        <v>3.6444372045104602E-3</v>
      </c>
      <c r="V35" s="415">
        <f ca="1"/>
        <v>2.7921042532659601E-2</v>
      </c>
      <c r="W35" s="416">
        <f ca="1"/>
        <v>1.3052654463913799E-3</v>
      </c>
      <c r="X35" s="417">
        <f ca="1"/>
        <v>2.7921042532659599</v>
      </c>
      <c r="Y35" s="418">
        <f t="shared" ca="1" si="5"/>
        <v>0.10120483225109589</v>
      </c>
      <c r="Z35" s="419">
        <f t="shared" ca="1" si="2"/>
        <v>-3.6883465593213436E-4</v>
      </c>
      <c r="AA35" s="418">
        <f t="shared" ca="1" si="0"/>
        <v>6.0467935824281331E-2</v>
      </c>
      <c r="AB35" s="420">
        <f t="shared" ca="1" si="1"/>
        <v>1.2400021740718108E-3</v>
      </c>
      <c r="AC35" s="419">
        <f t="shared" ca="1" si="3"/>
        <v>-1.1018579749898117E-5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4" t="s">
        <v>472</v>
      </c>
      <c r="C36" s="243"/>
      <c r="D36" s="221"/>
      <c r="E36" s="221"/>
      <c r="F36" s="221"/>
      <c r="G36" s="221"/>
      <c r="H36" s="378">
        <v>22</v>
      </c>
      <c r="I36" s="405">
        <f ca="1"/>
        <v>1.4338745550263E-4</v>
      </c>
      <c r="J36" s="405">
        <f ca="1"/>
        <v>2.7096732866243998E-4</v>
      </c>
      <c r="K36" s="405">
        <f ca="1"/>
        <v>0.52916879762008595</v>
      </c>
      <c r="L36" s="405">
        <f ca="1"/>
        <v>0.52916879762008595</v>
      </c>
      <c r="M36" s="405">
        <f ca="1"/>
        <v>-3.2828430432798602E-4</v>
      </c>
      <c r="N36" s="655" t="str">
        <f ca="1"/>
        <v>LANXESS AKTIENGESELLSCHAFT</v>
      </c>
      <c r="O36" s="405">
        <f ca="1"/>
        <v>1.17515154081051</v>
      </c>
      <c r="P36" s="405">
        <f ca="1"/>
        <v>0.74354477216763304</v>
      </c>
      <c r="Q36" s="405">
        <f ca="1"/>
        <v>1.5804717951074101</v>
      </c>
      <c r="R36" s="443">
        <f ca="1"/>
        <v>1.5804717951074101</v>
      </c>
      <c r="S36" s="435"/>
      <c r="T36" s="414" cm="1">
        <f t="array" aca="1" ref="T36:X36" ca="1">IF(AND($U$12,B60&lt;=$C$17,C60&lt;&gt;""),TRANSPOSE(INDEX(getcds(C60,$C$6,G60/10000,F60,D60,$C$13,$C$14,$C$15,$C$8,,,TRUE,TRUE,FALSE,$C$29:$C$31,$C$33),{1;2;3;4;5})),"")</f>
        <v>6.7949766656489998E-3</v>
      </c>
      <c r="U36" s="415">
        <f ca="1"/>
        <v>3.4060345499848203E-2</v>
      </c>
      <c r="V36" s="415">
        <f ca="1"/>
        <v>2.7265368834199201E-2</v>
      </c>
      <c r="W36" s="416">
        <f ca="1"/>
        <v>1.24921638533369E-2</v>
      </c>
      <c r="X36" s="417">
        <f ca="1"/>
        <v>2.7265368834199202</v>
      </c>
      <c r="Y36" s="418">
        <f t="shared" ca="1" si="5"/>
        <v>0.10120483225109589</v>
      </c>
      <c r="Z36" s="419">
        <f t="shared" ca="1" si="2"/>
        <v>-3.4470715527265034E-3</v>
      </c>
      <c r="AA36" s="418">
        <f t="shared" ca="1" si="0"/>
        <v>0.17638959920669531</v>
      </c>
      <c r="AB36" s="420">
        <f t="shared" ca="1" si="1"/>
        <v>1.1867555660670055E-2</v>
      </c>
      <c r="AC36" s="419">
        <f t="shared" ca="1" si="3"/>
        <v>-3.0039453457798924E-4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8">
        <v>23</v>
      </c>
      <c r="I37" s="405">
        <f ca="1"/>
        <v>8.9670581664997906E-5</v>
      </c>
      <c r="J37" s="405">
        <f ca="1"/>
        <v>2.8204168912206097E-4</v>
      </c>
      <c r="K37" s="405">
        <f ca="1"/>
        <v>0.31793378469730599</v>
      </c>
      <c r="L37" s="405">
        <f ca="1"/>
        <v>0.31793378469730599</v>
      </c>
      <c r="M37" s="405">
        <f ca="1"/>
        <v>-1.22792299260652E-4</v>
      </c>
      <c r="N37" s="655" t="str">
        <f ca="1"/>
        <v>LEONARDO SOCIETA' PER AZIONI</v>
      </c>
      <c r="O37" s="405">
        <f ca="1"/>
        <v>1.1829315171175301</v>
      </c>
      <c r="P37" s="405">
        <f ca="1"/>
        <v>0.76639364109724994</v>
      </c>
      <c r="Q37" s="405">
        <f ca="1"/>
        <v>1.54350382581975</v>
      </c>
      <c r="R37" s="443">
        <f ca="1"/>
        <v>1.54350382581975</v>
      </c>
      <c r="S37" s="435"/>
      <c r="T37" s="414" cm="1">
        <f t="array" aca="1" ref="T37:X37" ca="1">IF(AND($U$12,B61&lt;=$C$17,C61&lt;&gt;""),TRANSPOSE(INDEX(getcds(C61,$C$6,G61/10000,F61,D61,$C$13,$C$14,$C$15,$C$8,,,TRUE,TRUE,FALSE,$C$29:$C$31,$C$33),{1;2;3;4;5})),"")</f>
        <v>-1.7256464312894799E-2</v>
      </c>
      <c r="U37" s="415">
        <f ca="1"/>
        <v>1.0517541178259799E-2</v>
      </c>
      <c r="V37" s="415">
        <f ca="1"/>
        <v>2.7774005491154601E-2</v>
      </c>
      <c r="W37" s="416">
        <f ca="1"/>
        <v>3.7868290843426902E-3</v>
      </c>
      <c r="X37" s="417">
        <f ca="1"/>
        <v>2.7774005491154599</v>
      </c>
      <c r="Y37" s="418">
        <f t="shared" ca="1" si="5"/>
        <v>0.10120483225109589</v>
      </c>
      <c r="Z37" s="419">
        <f t="shared" ca="1" si="2"/>
        <v>-1.0644259906397746E-3</v>
      </c>
      <c r="AA37" s="418">
        <f t="shared" ca="1" si="0"/>
        <v>0.10597792823243533</v>
      </c>
      <c r="AB37" s="420">
        <f t="shared" ca="1" si="1"/>
        <v>3.5974876301255554E-3</v>
      </c>
      <c r="AC37" s="419">
        <f t="shared" ca="1" si="3"/>
        <v>-5.573136120856501E-5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6" t="s">
        <v>460</v>
      </c>
      <c r="C38" s="244" t="s">
        <v>80</v>
      </c>
      <c r="D38" s="244" t="s">
        <v>473</v>
      </c>
      <c r="E38" s="244" t="s">
        <v>474</v>
      </c>
      <c r="F38" s="244" t="s">
        <v>85</v>
      </c>
      <c r="G38" s="244" t="s">
        <v>434</v>
      </c>
      <c r="H38" s="378">
        <v>24</v>
      </c>
      <c r="I38" s="405">
        <f ca="1"/>
        <v>8.0060072580192605E-5</v>
      </c>
      <c r="J38" s="405">
        <f ca="1"/>
        <v>2.83077523408215E-4</v>
      </c>
      <c r="K38" s="405">
        <f ca="1"/>
        <v>0.28282030878425202</v>
      </c>
      <c r="L38" s="405">
        <f ca="1"/>
        <v>0.28282030878425202</v>
      </c>
      <c r="M38" s="405">
        <f ca="1"/>
        <v>-9.5922696903707506E-5</v>
      </c>
      <c r="N38" s="655" t="str">
        <f ca="1"/>
        <v>MERCEDES-BENZ GROUP AG</v>
      </c>
      <c r="O38" s="405">
        <f ca="1"/>
        <v>1.1833552907331899</v>
      </c>
      <c r="P38" s="405">
        <f ca="1"/>
        <v>0.76853007525081096</v>
      </c>
      <c r="Q38" s="405">
        <f ca="1"/>
        <v>1.5397644527405101</v>
      </c>
      <c r="R38" s="443">
        <f ca="1"/>
        <v>1.5397644527405101</v>
      </c>
      <c r="S38" s="435"/>
      <c r="T38" s="414" cm="1">
        <f t="array" aca="1" ref="T38:X38" ca="1">IF(AND($U$12,B62&lt;=$C$17,C62&lt;&gt;""),TRANSPOSE(INDEX(getcds(C62,$C$6,G62/10000,F62,D62,$C$13,$C$14,$C$15,$C$8,,,TRUE,TRUE,FALSE,$C$29:$C$31,$C$33),{1;2;3;4;5})),"")</f>
        <v>-1.9505342369274901E-2</v>
      </c>
      <c r="U38" s="415">
        <f ca="1"/>
        <v>8.3158345038368206E-3</v>
      </c>
      <c r="V38" s="415">
        <f ca="1"/>
        <v>2.7821176873111701E-2</v>
      </c>
      <c r="W38" s="416">
        <f ca="1"/>
        <v>2.9890304575410798E-3</v>
      </c>
      <c r="X38" s="417">
        <f ca="1"/>
        <v>2.7821176873111702</v>
      </c>
      <c r="Y38" s="418">
        <f t="shared" ca="1" si="5"/>
        <v>0.10120483225109589</v>
      </c>
      <c r="Z38" s="419">
        <f t="shared" ca="1" si="2"/>
        <v>-8.416026359886824E-4</v>
      </c>
      <c r="AA38" s="418">
        <f t="shared" ca="1" si="0"/>
        <v>9.4273436261417334E-2</v>
      </c>
      <c r="AB38" s="420">
        <f t="shared" ca="1" si="1"/>
        <v>2.8395789346640256E-3</v>
      </c>
      <c r="AC38" s="419">
        <f t="shared" ca="1" si="3"/>
        <v>-3.9198114702897923E-5</v>
      </c>
      <c r="AD38" s="220"/>
      <c r="AE38" s="220">
        <f t="shared" ca="1" si="4"/>
        <v>6.4121210767193026E-3</v>
      </c>
    </row>
    <row r="39" spans="1:31" customFormat="1" ht="15">
      <c r="A39" s="220"/>
      <c r="B39" s="267">
        <v>1</v>
      </c>
      <c r="C39" s="62" t="s">
        <v>510</v>
      </c>
      <c r="D39" s="245">
        <f ca="1">100/95</f>
        <v>1.0526315789473684</v>
      </c>
      <c r="E39" s="239"/>
      <c r="F39" s="225">
        <v>0.4</v>
      </c>
      <c r="G39" s="427">
        <v>100</v>
      </c>
      <c r="H39" s="378">
        <v>25</v>
      </c>
      <c r="I39" s="405">
        <f ca="1"/>
        <v>1.2710639648248799E-4</v>
      </c>
      <c r="J39" s="405">
        <f ca="1"/>
        <v>2.7572419133521599E-4</v>
      </c>
      <c r="K39" s="405">
        <f ca="1"/>
        <v>0.46099109355245699</v>
      </c>
      <c r="L39" s="405">
        <f ca="1"/>
        <v>0.46099109355245699</v>
      </c>
      <c r="M39" s="405">
        <f ca="1"/>
        <v>-2.5796837973191E-4</v>
      </c>
      <c r="N39" s="655" t="str">
        <f ca="1"/>
        <v>POSTNL N.V.</v>
      </c>
      <c r="O39" s="405">
        <f ca="1"/>
        <v>1.17912777636681</v>
      </c>
      <c r="P39" s="405">
        <f ca="1"/>
        <v>0.75336099348552599</v>
      </c>
      <c r="Q39" s="405">
        <f ca="1"/>
        <v>1.56515639456115</v>
      </c>
      <c r="R39" s="443">
        <f ca="1"/>
        <v>1.56515639456115</v>
      </c>
      <c r="S39" s="435"/>
      <c r="T39" s="414" cm="1">
        <f t="array" aca="1" ref="T39:X39" ca="1">IF(AND($U$12,B63&lt;=$C$17,C63&lt;&gt;""),TRANSPOSE(INDEX(getcds(C63,$C$6,G63/10000,F63,D63,$C$13,$C$14,$C$15,$C$8,,,TRUE,TRUE,FALSE,$C$29:$C$31,$C$33),{1;2;3;4;5})),"")</f>
        <v>-3.5378878795011E-3</v>
      </c>
      <c r="U39" s="415">
        <f ca="1"/>
        <v>2.39469399969977E-2</v>
      </c>
      <c r="V39" s="415">
        <f ca="1"/>
        <v>2.74848278764988E-2</v>
      </c>
      <c r="W39" s="416">
        <f ca="1"/>
        <v>8.7127851426254503E-3</v>
      </c>
      <c r="X39" s="417">
        <f ca="1"/>
        <v>2.7484827876498801</v>
      </c>
      <c r="Y39" s="418">
        <f t="shared" ca="1" si="5"/>
        <v>0.10120483225109589</v>
      </c>
      <c r="Z39" s="419">
        <f t="shared" ca="1" si="2"/>
        <v>-2.4235460453232065E-3</v>
      </c>
      <c r="AA39" s="418">
        <f t="shared" ca="1" si="0"/>
        <v>0.15366369785081899</v>
      </c>
      <c r="AB39" s="420">
        <f t="shared" ca="1" si="1"/>
        <v>8.2771458854941776E-3</v>
      </c>
      <c r="AC39" s="419">
        <f t="shared" ca="1" si="3"/>
        <v>-1.8398876760751705E-4</v>
      </c>
      <c r="AD39" s="220"/>
      <c r="AE39" s="220">
        <f t="shared" ca="1" si="4"/>
        <v>1.8522789330206995E-2</v>
      </c>
    </row>
    <row r="40" spans="1:31" customFormat="1" ht="15">
      <c r="A40" s="220"/>
      <c r="B40" s="268">
        <v>2</v>
      </c>
      <c r="C40" s="68" t="s">
        <v>511</v>
      </c>
      <c r="D40" s="247">
        <f t="shared" ref="D40:D103" ca="1" si="6">100/95</f>
        <v>1.0526315789473684</v>
      </c>
      <c r="E40" s="239"/>
      <c r="F40" s="225">
        <v>0.4</v>
      </c>
      <c r="G40" s="427">
        <v>100</v>
      </c>
      <c r="H40" s="378">
        <v>26</v>
      </c>
      <c r="I40" s="405">
        <f ca="1"/>
        <v>8.88865662217242E-5</v>
      </c>
      <c r="J40" s="405">
        <f ca="1"/>
        <v>2.8213289464938099E-4</v>
      </c>
      <c r="K40" s="405">
        <f ca="1"/>
        <v>0.31505211872648697</v>
      </c>
      <c r="L40" s="405">
        <f ca="1"/>
        <v>0.31505211872648697</v>
      </c>
      <c r="M40" s="405">
        <f ca="1"/>
        <v>-1.2047242430166099E-4</v>
      </c>
      <c r="N40" s="655" t="str">
        <f ca="1"/>
        <v>RENTOKIL INITIAL PLC</v>
      </c>
      <c r="O40" s="405">
        <f ca="1"/>
        <v>1.18297145335161</v>
      </c>
      <c r="P40" s="405">
        <f ca="1"/>
        <v>0.76658175971476505</v>
      </c>
      <c r="Q40" s="405">
        <f ca="1"/>
        <v>1.5431771475906</v>
      </c>
      <c r="R40" s="443">
        <f ca="1"/>
        <v>1.5431771475906</v>
      </c>
      <c r="S40" s="435"/>
      <c r="T40" s="414" cm="1">
        <f t="array" aca="1" ref="T40:X40" ca="1">IF(AND($U$12,B64&lt;=$C$17,C64&lt;&gt;""),TRANSPOSE(INDEX(getcds(C64,$C$6,G64/10000,F64,D64,$C$13,$C$14,$C$15,$C$8,,,TRUE,TRUE,FALSE,$C$29:$C$31,$C$33),{1;2;3;4;5})),"")</f>
        <v>-1.74544839102793E-2</v>
      </c>
      <c r="U40" s="415">
        <f ca="1"/>
        <v>1.03236777539024E-2</v>
      </c>
      <c r="V40" s="415">
        <f ca="1"/>
        <v>2.7778161664181698E-2</v>
      </c>
      <c r="W40" s="416">
        <f ca="1"/>
        <v>3.7164726300856002E-3</v>
      </c>
      <c r="X40" s="417">
        <f ca="1"/>
        <v>2.77781616641817</v>
      </c>
      <c r="Y40" s="418">
        <f t="shared" ca="1" si="5"/>
        <v>0.10120483225109589</v>
      </c>
      <c r="Z40" s="419">
        <f t="shared" ca="1" si="2"/>
        <v>-1.0448060752980663E-3</v>
      </c>
      <c r="AA40" s="418">
        <f t="shared" ca="1" si="0"/>
        <v>0.105017372908829</v>
      </c>
      <c r="AB40" s="420">
        <f t="shared" ca="1" si="1"/>
        <v>3.53064899858132E-3</v>
      </c>
      <c r="AC40" s="419">
        <f t="shared" ca="1" si="3"/>
        <v>-5.4208275823607755E-5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8">
        <v>3</v>
      </c>
      <c r="C41" s="68" t="s">
        <v>529</v>
      </c>
      <c r="D41" s="247">
        <f t="shared" ca="1" si="6"/>
        <v>1.0526315789473684</v>
      </c>
      <c r="E41" s="239"/>
      <c r="F41" s="225">
        <v>0.4</v>
      </c>
      <c r="G41" s="427">
        <v>100</v>
      </c>
      <c r="H41" s="378">
        <v>27</v>
      </c>
      <c r="I41" s="405">
        <f ca="1"/>
        <v>6.9258798263853693E-5</v>
      </c>
      <c r="J41" s="405">
        <f ca="1"/>
        <v>2.8405069864901E-4</v>
      </c>
      <c r="K41" s="405">
        <f ca="1"/>
        <v>0.24382548113157099</v>
      </c>
      <c r="L41" s="405">
        <f ca="1"/>
        <v>0.24382548113157099</v>
      </c>
      <c r="M41" s="405">
        <f ca="1"/>
        <v>-6.9836902654840603E-5</v>
      </c>
      <c r="N41" s="655" t="str">
        <f ca="1"/>
        <v>SANOFI</v>
      </c>
      <c r="O41" s="405">
        <f ca="1"/>
        <v>1.18368999629898</v>
      </c>
      <c r="P41" s="405">
        <f ca="1"/>
        <v>0.77053716371157299</v>
      </c>
      <c r="Q41" s="405">
        <f ca="1"/>
        <v>1.5361880672923101</v>
      </c>
      <c r="R41" s="443">
        <f ca="1"/>
        <v>1.5361880672923101</v>
      </c>
      <c r="S41" s="435"/>
      <c r="T41" s="414" cm="1">
        <f t="array" aca="1" ref="T41:X41" ca="1">IF(AND($U$12,B65&lt;=$C$17,C65&lt;&gt;""),TRANSPOSE(INDEX(getcds(C65,$C$6,G65/10000,F65,D65,$C$13,$C$14,$C$15,$C$8,,,TRUE,TRUE,FALSE,$C$29:$C$31,$C$33),{1;2;3;4;5})),"")</f>
        <v>-2.1618067064813399E-2</v>
      </c>
      <c r="U41" s="415">
        <f ca="1"/>
        <v>6.24736629018534E-3</v>
      </c>
      <c r="V41" s="415">
        <f ca="1"/>
        <v>2.7865433354998699E-2</v>
      </c>
      <c r="W41" s="416">
        <f ca="1"/>
        <v>2.2419770798449202E-3</v>
      </c>
      <c r="X41" s="417">
        <f ca="1"/>
        <v>2.7865433354998701</v>
      </c>
      <c r="Y41" s="418">
        <f t="shared" ca="1" si="5"/>
        <v>0.10120483225109589</v>
      </c>
      <c r="Z41" s="419">
        <f t="shared" ca="1" si="2"/>
        <v>-6.3226365740935687E-4</v>
      </c>
      <c r="AA41" s="418">
        <f t="shared" ca="1" si="0"/>
        <v>8.1275160377190334E-2</v>
      </c>
      <c r="AB41" s="420">
        <f t="shared" ca="1" si="1"/>
        <v>2.1298782258526742E-3</v>
      </c>
      <c r="AC41" s="419">
        <f t="shared" ca="1" si="3"/>
        <v>-2.5387784858493233E-5</v>
      </c>
      <c r="AD41" s="220"/>
      <c r="AE41" s="220">
        <f t="shared" ca="1" si="4"/>
        <v>4.8152010248986611E-3</v>
      </c>
    </row>
    <row r="42" spans="1:31" customFormat="1" ht="15">
      <c r="A42" s="220"/>
      <c r="B42" s="268">
        <v>4</v>
      </c>
      <c r="C42" s="68" t="s">
        <v>611</v>
      </c>
      <c r="D42" s="247">
        <f t="shared" ca="1" si="6"/>
        <v>1.0526315789473684</v>
      </c>
      <c r="E42" s="239"/>
      <c r="F42" s="225">
        <v>0.4</v>
      </c>
      <c r="G42" s="427">
        <v>100</v>
      </c>
      <c r="H42" s="378">
        <v>28</v>
      </c>
      <c r="I42" s="405">
        <f ca="1"/>
        <v>7.4135650116970993E-5</v>
      </c>
      <c r="J42" s="405">
        <f ca="1"/>
        <v>2.8363422765363298E-4</v>
      </c>
      <c r="K42" s="405">
        <f ca="1"/>
        <v>0.26137765787387102</v>
      </c>
      <c r="L42" s="405">
        <f ca="1"/>
        <v>0.26137765787387102</v>
      </c>
      <c r="M42" s="405">
        <f ca="1"/>
        <v>-8.1073588053011099E-5</v>
      </c>
      <c r="N42" s="655" t="str">
        <f ca="1"/>
        <v>SIEMENS AKTIENGESELLSCHAFT</v>
      </c>
      <c r="O42" s="405">
        <f ca="1"/>
        <v>1.1835547144812799</v>
      </c>
      <c r="P42" s="405">
        <f ca="1"/>
        <v>0.76967824190185596</v>
      </c>
      <c r="Q42" s="405">
        <f ca="1"/>
        <v>1.53772661100143</v>
      </c>
      <c r="R42" s="443">
        <f ca="1"/>
        <v>1.53772661100143</v>
      </c>
      <c r="S42" s="435"/>
      <c r="T42" s="414" cm="1">
        <f t="array" aca="1" ref="T42:X42" ca="1">IF(AND($U$12,B66&lt;=$C$17,C66&lt;&gt;""),TRANSPOSE(INDEX(getcds(C66,$C$6,G66/10000,F66,D66,$C$13,$C$14,$C$15,$C$8,,,TRUE,TRUE,FALSE,$C$29:$C$31,$C$33),{1;2;3;4;5})),"")</f>
        <v>-2.0713938844059199E-2</v>
      </c>
      <c r="U42" s="415">
        <f ca="1"/>
        <v>7.1325621860883204E-3</v>
      </c>
      <c r="V42" s="415">
        <f ca="1"/>
        <v>2.7846501030147498E-2</v>
      </c>
      <c r="W42" s="416">
        <f ca="1"/>
        <v>2.5613854244619099E-3</v>
      </c>
      <c r="X42" s="417">
        <f ca="1"/>
        <v>2.7846501030147501</v>
      </c>
      <c r="Y42" s="418">
        <f t="shared" ca="1" si="5"/>
        <v>0.10120483225109589</v>
      </c>
      <c r="Z42" s="419">
        <f t="shared" ca="1" si="2"/>
        <v>-7.2184975956357999E-4</v>
      </c>
      <c r="AA42" s="418">
        <f t="shared" ca="1" si="0"/>
        <v>8.7125885957957006E-2</v>
      </c>
      <c r="AB42" s="420">
        <f t="shared" ca="1" si="1"/>
        <v>2.433316153238814E-3</v>
      </c>
      <c r="AC42" s="419">
        <f t="shared" ca="1" si="3"/>
        <v>-3.1071539980658523E-5</v>
      </c>
      <c r="AD42" s="220"/>
      <c r="AE42" s="220">
        <f t="shared" ca="1" si="4"/>
        <v>5.4984378813148728E-3</v>
      </c>
    </row>
    <row r="43" spans="1:31" customFormat="1" ht="15">
      <c r="A43" s="220"/>
      <c r="B43" s="268">
        <v>5</v>
      </c>
      <c r="C43" s="68" t="s">
        <v>512</v>
      </c>
      <c r="D43" s="247">
        <f t="shared" ca="1" si="6"/>
        <v>1.0526315789473684</v>
      </c>
      <c r="E43" s="239"/>
      <c r="F43" s="225">
        <v>0.4</v>
      </c>
      <c r="G43" s="427">
        <v>100</v>
      </c>
      <c r="H43" s="378">
        <v>29</v>
      </c>
      <c r="I43" s="405">
        <f ca="1"/>
        <v>8.2944135708260504E-5</v>
      </c>
      <c r="J43" s="405">
        <f ca="1"/>
        <v>2.8278480591734703E-4</v>
      </c>
      <c r="K43" s="405">
        <f ca="1"/>
        <v>0.29331185400570498</v>
      </c>
      <c r="L43" s="405">
        <f ca="1"/>
        <v>0.29331185400570498</v>
      </c>
      <c r="M43" s="405">
        <f ca="1"/>
        <v>-1.03626154799686E-4</v>
      </c>
      <c r="N43" s="655" t="str">
        <f ca="1"/>
        <v>SMURFIT KAPPA ACQUISITIONS UNLIMITED COMPANY</v>
      </c>
      <c r="O43" s="405">
        <f ca="1"/>
        <v>1.18324229208563</v>
      </c>
      <c r="P43" s="405">
        <f ca="1"/>
        <v>0.767926350369175</v>
      </c>
      <c r="Q43" s="405">
        <f ca="1"/>
        <v>1.54082783006052</v>
      </c>
      <c r="R43" s="443">
        <f ca="1"/>
        <v>1.54082783006052</v>
      </c>
      <c r="S43" s="435"/>
      <c r="T43" s="414" cm="1">
        <f t="array" aca="1" ref="T43:X43" ca="1">IF(AND($U$12,B67&lt;=$C$17,C67&lt;&gt;""),TRANSPOSE(INDEX(getcds(C67,$C$6,G67/10000,F67,D67,$C$13,$C$14,$C$15,$C$8,,,TRUE,TRUE,FALSE,$C$29:$C$31,$C$33),{1;2;3;4;5})),"")</f>
        <v>-1.88698424938686E-2</v>
      </c>
      <c r="U43" s="415">
        <f ca="1"/>
        <v>8.9380110207379192E-3</v>
      </c>
      <c r="V43" s="415">
        <f ca="1"/>
        <v>2.78078535146065E-2</v>
      </c>
      <c r="W43" s="416">
        <f ca="1"/>
        <v>3.2142038636829998E-3</v>
      </c>
      <c r="X43" s="417">
        <f ca="1"/>
        <v>2.7807853514606502</v>
      </c>
      <c r="Y43" s="418">
        <f t="shared" ca="1" si="5"/>
        <v>0.10120483225109589</v>
      </c>
      <c r="Z43" s="419">
        <f t="shared" ca="1" si="2"/>
        <v>-9.0456990601222654E-4</v>
      </c>
      <c r="AA43" s="418">
        <f t="shared" ca="1" si="0"/>
        <v>9.7770618001901663E-2</v>
      </c>
      <c r="AB43" s="420">
        <f t="shared" ca="1" si="1"/>
        <v>3.0534936704988496E-3</v>
      </c>
      <c r="AC43" s="419">
        <f t="shared" ca="1" si="3"/>
        <v>-4.3693743060267732E-5</v>
      </c>
      <c r="AD43" s="220"/>
      <c r="AE43" s="220">
        <f t="shared" ca="1" si="4"/>
        <v>6.8927180689868474E-3</v>
      </c>
    </row>
    <row r="44" spans="1:31" customFormat="1" ht="15">
      <c r="A44" s="220"/>
      <c r="B44" s="268">
        <v>6</v>
      </c>
      <c r="C44" s="68" t="s">
        <v>513</v>
      </c>
      <c r="D44" s="247">
        <f t="shared" ca="1" si="6"/>
        <v>1.0526315789473684</v>
      </c>
      <c r="E44" s="239"/>
      <c r="F44" s="225">
        <v>0.4</v>
      </c>
      <c r="G44" s="427">
        <v>100</v>
      </c>
      <c r="H44" s="378">
        <v>30</v>
      </c>
      <c r="I44" s="405">
        <f ca="1"/>
        <v>1.06635750950703E-4</v>
      </c>
      <c r="J44" s="405">
        <f ca="1"/>
        <v>2.7972083838432801E-4</v>
      </c>
      <c r="K44" s="405">
        <f ca="1"/>
        <v>0.38122204826294998</v>
      </c>
      <c r="L44" s="405">
        <f ca="1"/>
        <v>0.38122204826294998</v>
      </c>
      <c r="M44" s="405">
        <f ca="1"/>
        <v>-1.7839008142133599E-4</v>
      </c>
      <c r="N44" s="655" t="str">
        <f ca="1"/>
        <v>SOLVAY</v>
      </c>
      <c r="O44" s="405">
        <f ca="1"/>
        <v>1.18175959374476</v>
      </c>
      <c r="P44" s="405">
        <f ca="1"/>
        <v>0.76160638744875397</v>
      </c>
      <c r="Q44" s="405">
        <f ca="1"/>
        <v>1.5516671251976299</v>
      </c>
      <c r="R44" s="443">
        <f ca="1"/>
        <v>1.5516671251976299</v>
      </c>
      <c r="S44" s="435"/>
      <c r="T44" s="414" cm="1">
        <f t="array" aca="1" ref="T44:X44" ca="1">IF(AND($U$12,B68&lt;=$C$17,C68&lt;&gt;""),TRANSPOSE(INDEX(getcds(C68,$C$6,G68/10000,F68,D68,$C$13,$C$14,$C$15,$C$8,,,TRUE,TRUE,FALSE,$C$29:$C$31,$C$33),{1;2;3;4;5})),"")</f>
        <v>-1.2217249946057E-2</v>
      </c>
      <c r="U44" s="415">
        <f ca="1"/>
        <v>1.54508184401295E-2</v>
      </c>
      <c r="V44" s="415">
        <f ca="1"/>
        <v>2.76680683861865E-2</v>
      </c>
      <c r="W44" s="416">
        <f ca="1"/>
        <v>5.5843502424778599E-3</v>
      </c>
      <c r="X44" s="417">
        <f ca="1"/>
        <v>2.76680683861865</v>
      </c>
      <c r="Y44" s="418">
        <f t="shared" ca="1" si="5"/>
        <v>0.10120483225109589</v>
      </c>
      <c r="Z44" s="419">
        <f t="shared" ca="1" si="2"/>
        <v>-1.563697488375441E-3</v>
      </c>
      <c r="AA44" s="418">
        <f t="shared" ca="1" si="0"/>
        <v>0.12707401608764998</v>
      </c>
      <c r="AB44" s="420">
        <f t="shared" ca="1" si="1"/>
        <v>5.3051327303539663E-3</v>
      </c>
      <c r="AC44" s="419">
        <f t="shared" ca="1" si="3"/>
        <v>-9.8169877551418727E-5</v>
      </c>
      <c r="AD44" s="220"/>
      <c r="AE44" s="220">
        <f t="shared" ca="1" si="4"/>
        <v>1.1930706155046307E-2</v>
      </c>
    </row>
    <row r="45" spans="1:31" customFormat="1" ht="15">
      <c r="A45" s="220"/>
      <c r="B45" s="268">
        <v>7</v>
      </c>
      <c r="C45" s="68" t="s">
        <v>514</v>
      </c>
      <c r="D45" s="247">
        <f t="shared" ca="1" si="6"/>
        <v>1.0526315789473684</v>
      </c>
      <c r="E45" s="239"/>
      <c r="F45" s="225">
        <v>0.4</v>
      </c>
      <c r="G45" s="427">
        <v>100</v>
      </c>
      <c r="H45" s="378">
        <v>31</v>
      </c>
      <c r="I45" s="405">
        <f ca="1"/>
        <v>1.12652879130742E-4</v>
      </c>
      <c r="J45" s="405">
        <f ca="1"/>
        <v>2.7870815615284799E-4</v>
      </c>
      <c r="K45" s="405">
        <f ca="1"/>
        <v>0.404196564197287</v>
      </c>
      <c r="L45" s="405">
        <f ca="1"/>
        <v>0.404196564197287</v>
      </c>
      <c r="M45" s="405">
        <f ca="1"/>
        <v>-2.0047708688425799E-4</v>
      </c>
      <c r="N45" s="655" t="str">
        <f ca="1"/>
        <v>STELLANTIS N.V.</v>
      </c>
      <c r="O45" s="405">
        <f ca="1"/>
        <v>1.1811614813985101</v>
      </c>
      <c r="P45" s="405">
        <f ca="1"/>
        <v>0.75951731982489401</v>
      </c>
      <c r="Q45" s="405">
        <f ca="1"/>
        <v>1.5551475266829</v>
      </c>
      <c r="R45" s="443">
        <f ca="1"/>
        <v>1.5551475266829</v>
      </c>
      <c r="S45" s="435"/>
      <c r="T45" s="414" cm="1">
        <f t="array" aca="1" ref="T45:X45" ca="1">IF(AND($U$12,B69&lt;=$C$17,C69&lt;&gt;""),TRANSPOSE(INDEX(getcds(C69,$C$6,G69/10000,F69,D69,$C$13,$C$14,$C$15,$C$8,,,TRUE,TRUE,FALSE,$C$29:$C$31,$C$33),{1;2;3;4;5})),"")</f>
        <v>-1.0018231394625E-2</v>
      </c>
      <c r="U45" s="415">
        <f ca="1"/>
        <v>1.7603504538467901E-2</v>
      </c>
      <c r="V45" s="415">
        <f ca="1"/>
        <v>2.76217359330929E-2</v>
      </c>
      <c r="W45" s="416">
        <f ca="1"/>
        <v>6.3730623524561204E-3</v>
      </c>
      <c r="X45" s="417">
        <f ca="1"/>
        <v>2.7621735933092899</v>
      </c>
      <c r="Y45" s="418">
        <f t="shared" ca="1" si="5"/>
        <v>0.10120483225109589</v>
      </c>
      <c r="Z45" s="419">
        <f t="shared" ca="1" si="2"/>
        <v>-1.7815597238470468E-3</v>
      </c>
      <c r="AA45" s="418">
        <f t="shared" ca="1" si="0"/>
        <v>0.13473218806576234</v>
      </c>
      <c r="AB45" s="420">
        <f t="shared" ca="1" si="1"/>
        <v>6.0544092348333144E-3</v>
      </c>
      <c r="AC45" s="419">
        <f t="shared" ca="1" si="3"/>
        <v>-1.1858793420466772E-4</v>
      </c>
      <c r="AD45" s="220"/>
      <c r="AE45" s="220">
        <f t="shared" ca="1" si="4"/>
        <v>1.3598828991641493E-2</v>
      </c>
    </row>
    <row r="46" spans="1:31" customFormat="1" ht="15">
      <c r="A46" s="220"/>
      <c r="B46" s="268">
        <v>8</v>
      </c>
      <c r="C46" s="68" t="s">
        <v>515</v>
      </c>
      <c r="D46" s="247">
        <f t="shared" ca="1" si="6"/>
        <v>1.0526315789473684</v>
      </c>
      <c r="E46" s="239"/>
      <c r="F46" s="225">
        <v>0.4</v>
      </c>
      <c r="G46" s="427">
        <v>100</v>
      </c>
      <c r="H46" s="378">
        <v>32</v>
      </c>
      <c r="I46" s="405">
        <f ca="1"/>
        <v>1.04918358884025E-4</v>
      </c>
      <c r="J46" s="405">
        <f ca="1"/>
        <v>2.7998954475896701E-4</v>
      </c>
      <c r="K46" s="405">
        <f ca="1"/>
        <v>0.37472241677576001</v>
      </c>
      <c r="L46" s="405">
        <f ca="1"/>
        <v>0.37472241677576001</v>
      </c>
      <c r="M46" s="405">
        <f ca="1"/>
        <v>-1.7230512051151999E-4</v>
      </c>
      <c r="N46" s="655" t="str">
        <f ca="1"/>
        <v>STORA ENSO OYJ</v>
      </c>
      <c r="O46" s="405">
        <f ca="1"/>
        <v>1.1819098397337999</v>
      </c>
      <c r="P46" s="405">
        <f ca="1"/>
        <v>0.76216068346514998</v>
      </c>
      <c r="Q46" s="405">
        <f ca="1"/>
        <v>1.5507357770808501</v>
      </c>
      <c r="R46" s="443">
        <f ca="1"/>
        <v>1.5507357770808501</v>
      </c>
      <c r="S46" s="435"/>
      <c r="T46" s="414" cm="1">
        <f t="array" aca="1" ref="T46:X46" ca="1">IF(AND($U$12,B70&lt;=$C$17,C70&lt;&gt;""),TRANSPOSE(INDEX(getcds(C70,$C$6,G70/10000,F70,D70,$C$13,$C$14,$C$15,$C$8,,,TRUE,TRUE,FALSE,$C$29:$C$31,$C$33),{1;2;3;4;5})),"")</f>
        <v>-1.28007194370001E-2</v>
      </c>
      <c r="U46" s="415">
        <f ca="1"/>
        <v>1.48796318275631E-2</v>
      </c>
      <c r="V46" s="415">
        <f ca="1"/>
        <v>2.76803512645632E-2</v>
      </c>
      <c r="W46" s="416">
        <f ca="1"/>
        <v>5.3755213166720899E-3</v>
      </c>
      <c r="X46" s="417">
        <f ca="1"/>
        <v>2.7680351264563199</v>
      </c>
      <c r="Y46" s="418">
        <f t="shared" ca="1" si="5"/>
        <v>0.10120483225109589</v>
      </c>
      <c r="Z46" s="419">
        <f t="shared" ca="1" si="2"/>
        <v>-1.505890643066588E-3</v>
      </c>
      <c r="AA46" s="418">
        <f t="shared" ca="1" si="0"/>
        <v>0.12490747225858667</v>
      </c>
      <c r="AB46" s="420">
        <f t="shared" ca="1" si="1"/>
        <v>5.1067452508384847E-3</v>
      </c>
      <c r="AC46" s="419">
        <f t="shared" ca="1" si="3"/>
        <v>-9.2928859985966109E-5</v>
      </c>
      <c r="AD46" s="220"/>
      <c r="AE46" s="220">
        <f t="shared" ca="1" si="4"/>
        <v>1.1488335708370656E-2</v>
      </c>
    </row>
    <row r="47" spans="1:31" customFormat="1" ht="15">
      <c r="A47" s="220"/>
      <c r="B47" s="268">
        <v>9</v>
      </c>
      <c r="C47" s="68" t="s">
        <v>530</v>
      </c>
      <c r="D47" s="247">
        <f t="shared" ca="1" si="6"/>
        <v>1.0526315789473684</v>
      </c>
      <c r="E47" s="239"/>
      <c r="F47" s="225">
        <v>0.4</v>
      </c>
      <c r="G47" s="427">
        <v>100</v>
      </c>
      <c r="H47" s="378">
        <v>33</v>
      </c>
      <c r="I47" s="405">
        <f ca="1"/>
        <v>1.18918960750239E-4</v>
      </c>
      <c r="J47" s="405">
        <f ca="1"/>
        <v>2.7752086539759702E-4</v>
      </c>
      <c r="K47" s="405">
        <f ca="1"/>
        <v>0.42850457597077202</v>
      </c>
      <c r="L47" s="405">
        <f ca="1"/>
        <v>0.42850457597077202</v>
      </c>
      <c r="M47" s="405">
        <f ca="1"/>
        <v>-2.24683930410099E-4</v>
      </c>
      <c r="N47" s="655" t="str">
        <f ca="1"/>
        <v>UNIBAIL-RODAMCO-WESTFIELD SE</v>
      </c>
      <c r="O47" s="405">
        <f ca="1"/>
        <v>1.18039899998521</v>
      </c>
      <c r="P47" s="405">
        <f ca="1"/>
        <v>0.75706790093642795</v>
      </c>
      <c r="Q47" s="405">
        <f ca="1"/>
        <v>1.5591719032403299</v>
      </c>
      <c r="R47" s="443">
        <f ca="1"/>
        <v>1.5591719032403299</v>
      </c>
      <c r="S47" s="435"/>
      <c r="T47" s="414" cm="1">
        <f t="array" aca="1" ref="T47:X47" ca="1">IF(AND($U$12,B71&lt;=$C$17,C71&lt;&gt;""),TRANSPOSE(INDEX(getcds(C71,$C$6,G71/10000,F71,D71,$C$13,$C$14,$C$15,$C$8,,,TRUE,TRUE,FALSE,$C$29:$C$31,$C$33),{1;2;3;4;5})),"")</f>
        <v>-7.4398957225555997E-3</v>
      </c>
      <c r="U47" s="415">
        <f ca="1"/>
        <v>2.01274349717642E-2</v>
      </c>
      <c r="V47" s="415">
        <f ca="1"/>
        <v>2.7567330694319801E-2</v>
      </c>
      <c r="W47" s="416">
        <f ca="1"/>
        <v>7.3011911073100197E-3</v>
      </c>
      <c r="X47" s="417">
        <f ca="1"/>
        <v>2.7567330694319798</v>
      </c>
      <c r="Y47" s="418">
        <f t="shared" ca="1" si="5"/>
        <v>0.10120483225109589</v>
      </c>
      <c r="Z47" s="419">
        <f t="shared" ca="1" si="2"/>
        <v>-2.0369936799622393E-3</v>
      </c>
      <c r="AA47" s="418">
        <f t="shared" ca="1" si="0"/>
        <v>0.142834858656924</v>
      </c>
      <c r="AB47" s="420">
        <f t="shared" ca="1" si="1"/>
        <v>6.9361315519445186E-3</v>
      </c>
      <c r="AC47" s="419">
        <f t="shared" ca="1" si="3"/>
        <v>-1.4374496646591862E-4</v>
      </c>
      <c r="AD47" s="220"/>
      <c r="AE47" s="220">
        <f t="shared" ca="1" si="4"/>
        <v>1.5556486156789014E-2</v>
      </c>
    </row>
    <row r="48" spans="1:31" customFormat="1" ht="15">
      <c r="A48" s="220"/>
      <c r="B48" s="268">
        <v>10</v>
      </c>
      <c r="C48" s="68" t="s">
        <v>531</v>
      </c>
      <c r="D48" s="247">
        <f t="shared" ca="1" si="6"/>
        <v>1.0526315789473684</v>
      </c>
      <c r="E48" s="239"/>
      <c r="F48" s="225">
        <v>0.4</v>
      </c>
      <c r="G48" s="427">
        <v>100</v>
      </c>
      <c r="H48" s="378">
        <v>34</v>
      </c>
      <c r="I48" s="405">
        <f ca="1"/>
        <v>6.6910594605906797E-5</v>
      </c>
      <c r="J48" s="405">
        <f ca="1"/>
        <v>2.8423866091534998E-4</v>
      </c>
      <c r="K48" s="405">
        <f ca="1"/>
        <v>0.23540286317994499</v>
      </c>
      <c r="L48" s="405">
        <f ca="1"/>
        <v>0.23540286317994499</v>
      </c>
      <c r="M48" s="405">
        <f ca="1"/>
        <v>-6.4744104788680895E-5</v>
      </c>
      <c r="N48" s="655" t="str">
        <f ca="1"/>
        <v>VINCI</v>
      </c>
      <c r="O48" s="405">
        <f ca="1"/>
        <v>1.18374696670665</v>
      </c>
      <c r="P48" s="405">
        <f ca="1"/>
        <v>0.77092480722911605</v>
      </c>
      <c r="Q48" s="405">
        <f ca="1"/>
        <v>1.5354895258349699</v>
      </c>
      <c r="R48" s="443">
        <f ca="1"/>
        <v>1.5354895258349699</v>
      </c>
      <c r="S48" s="435"/>
      <c r="T48" s="414" cm="1">
        <f t="array" aca="1" ref="T48:X48" ca="1">IF(AND($U$12,B72&lt;=$C$17,C72&lt;&gt;""),TRANSPOSE(INDEX(getcds(C72,$C$6,G72/10000,F72,D72,$C$13,$C$14,$C$15,$C$8,,,TRUE,TRUE,FALSE,$C$29:$C$31,$C$33),{1;2;3;4;5})),"")</f>
        <v>-2.2026112872754099E-2</v>
      </c>
      <c r="U48" s="415">
        <f ca="1"/>
        <v>5.8478614946294903E-3</v>
      </c>
      <c r="V48" s="415">
        <f ca="1"/>
        <v>2.7873974367383599E-2</v>
      </c>
      <c r="W48" s="416">
        <f ca="1"/>
        <v>2.09796472420966E-3</v>
      </c>
      <c r="X48" s="417">
        <f ca="1"/>
        <v>2.78739743673836</v>
      </c>
      <c r="Y48" s="418">
        <f t="shared" ca="1" si="5"/>
        <v>0.10120483225109589</v>
      </c>
      <c r="Z48" s="419">
        <f t="shared" ca="1" si="2"/>
        <v>-5.9183184159162215E-4</v>
      </c>
      <c r="AA48" s="418">
        <f t="shared" ca="1" si="0"/>
        <v>7.846762105998166E-2</v>
      </c>
      <c r="AB48" s="420">
        <f t="shared" ca="1" si="1"/>
        <v>1.993066487999177E-3</v>
      </c>
      <c r="AC48" s="419">
        <f t="shared" ca="1" si="3"/>
        <v>-2.2943388988592307E-5</v>
      </c>
      <c r="AD48" s="220"/>
      <c r="AE48" s="220">
        <f t="shared" ca="1" si="4"/>
        <v>4.5069228051163417E-3</v>
      </c>
    </row>
    <row r="49" spans="1:31" customFormat="1" ht="15">
      <c r="A49" s="220"/>
      <c r="B49" s="268">
        <v>11</v>
      </c>
      <c r="C49" s="68" t="s">
        <v>532</v>
      </c>
      <c r="D49" s="247">
        <f t="shared" ca="1" si="6"/>
        <v>1.0526315789473684</v>
      </c>
      <c r="E49" s="239"/>
      <c r="F49" s="225">
        <v>0.4</v>
      </c>
      <c r="G49" s="427">
        <v>100</v>
      </c>
      <c r="H49" s="378">
        <v>35</v>
      </c>
      <c r="I49" s="405">
        <f ca="1"/>
        <v>1.0339509164508199E-4</v>
      </c>
      <c r="J49" s="405">
        <f ca="1"/>
        <v>2.8022086234459701E-4</v>
      </c>
      <c r="K49" s="405">
        <f ca="1"/>
        <v>0.368977137462141</v>
      </c>
      <c r="L49" s="405">
        <f ca="1"/>
        <v>0.368977137462141</v>
      </c>
      <c r="M49" s="405">
        <f ca="1"/>
        <v>-1.66991595726926E-4</v>
      </c>
      <c r="N49" s="655" t="str">
        <f ca="1"/>
        <v>VOLKSWAGEN AKTIENGESELLSCHAFT</v>
      </c>
      <c r="O49" s="405">
        <f ca="1"/>
        <v>1.18203625033403</v>
      </c>
      <c r="P49" s="405">
        <f ca="1"/>
        <v>0.76263784624860798</v>
      </c>
      <c r="Q49" s="405">
        <f ca="1"/>
        <v>1.5499312762255799</v>
      </c>
      <c r="R49" s="443">
        <f ca="1"/>
        <v>1.5499312762255799</v>
      </c>
      <c r="S49" s="435"/>
      <c r="T49" s="414" cm="1">
        <f t="array" aca="1" ref="T49:X49" ca="1">IF(AND($U$12,B73&lt;=$C$17,C73&lt;&gt;""),TRANSPOSE(INDEX(getcds(C73,$C$6,G73/10000,F73,D73,$C$13,$C$14,$C$15,$C$8,,,TRUE,TRUE,FALSE,$C$29:$C$31,$C$33),{1;2;3;4;5})),"")</f>
        <v>-1.3302996051165901E-2</v>
      </c>
      <c r="U49" s="415">
        <f ca="1"/>
        <v>1.43879253150188E-2</v>
      </c>
      <c r="V49" s="415">
        <f ca="1"/>
        <v>2.7690921366184701E-2</v>
      </c>
      <c r="W49" s="416">
        <f ca="1"/>
        <v>5.1958998130661399E-3</v>
      </c>
      <c r="X49" s="417">
        <f ca="1"/>
        <v>2.76909213661847</v>
      </c>
      <c r="Y49" s="418">
        <f t="shared" ca="1" si="5"/>
        <v>0.10120483225109589</v>
      </c>
      <c r="Z49" s="419">
        <f t="shared" ca="1" si="2"/>
        <v>-1.4561275679477763E-3</v>
      </c>
      <c r="AA49" s="418">
        <f t="shared" ca="1" si="0"/>
        <v>0.122992379154047</v>
      </c>
      <c r="AB49" s="420">
        <f t="shared" ca="1" si="1"/>
        <v>4.9361048224128325E-3</v>
      </c>
      <c r="AC49" s="419">
        <f t="shared" ca="1" si="3"/>
        <v>-8.8480258279245491E-5</v>
      </c>
      <c r="AD49" s="220"/>
      <c r="AE49" s="220">
        <f t="shared" ca="1" si="4"/>
        <v>1.1107602406648749E-2</v>
      </c>
    </row>
    <row r="50" spans="1:31" customFormat="1" ht="15">
      <c r="A50" s="220"/>
      <c r="B50" s="268">
        <v>12</v>
      </c>
      <c r="C50" s="68" t="s">
        <v>516</v>
      </c>
      <c r="D50" s="247">
        <f t="shared" ca="1" si="6"/>
        <v>1.0526315789473684</v>
      </c>
      <c r="E50" s="239"/>
      <c r="F50" s="225">
        <v>0.4</v>
      </c>
      <c r="G50" s="427">
        <v>100</v>
      </c>
      <c r="H50" s="378">
        <v>36</v>
      </c>
      <c r="I50" s="405">
        <f ca="1"/>
        <v>9.8494709858165707E-5</v>
      </c>
      <c r="J50" s="405">
        <f ca="1"/>
        <v>2.80922927630191E-4</v>
      </c>
      <c r="K50" s="405">
        <f ca="1"/>
        <v>0.350611146940007</v>
      </c>
      <c r="L50" s="405">
        <f ca="1"/>
        <v>0.350611146940007</v>
      </c>
      <c r="M50" s="405">
        <f ca="1"/>
        <v>-1.5044157705894001E-4</v>
      </c>
      <c r="N50" s="655" t="str">
        <f ca="1"/>
        <v>WENDEL</v>
      </c>
      <c r="O50" s="405">
        <f ca="1"/>
        <v>1.1824028774396</v>
      </c>
      <c r="P50" s="405">
        <f ca="1"/>
        <v>0.76408603141350895</v>
      </c>
      <c r="Q50" s="405">
        <f ca="1"/>
        <v>1.5474734896700499</v>
      </c>
      <c r="R50" s="443">
        <f ca="1"/>
        <v>1.5474734896700499</v>
      </c>
      <c r="S50" s="435"/>
      <c r="T50" s="414" cm="1">
        <f t="array" aca="1" ref="T50:X50" ca="1">IF(AND($U$12,B74&lt;=$C$17,C74&lt;&gt;""),TRANSPOSE(INDEX(getcds(C74,$C$6,G74/10000,F74,D74,$C$13,$C$14,$C$15,$C$8,,,TRUE,TRUE,FALSE,$C$29:$C$31,$C$33),{1;2;3;4;5})),"")</f>
        <v>-1.48274014879042E-2</v>
      </c>
      <c r="U50" s="415">
        <f ca="1"/>
        <v>1.2895579986948E-2</v>
      </c>
      <c r="V50" s="415">
        <f ca="1"/>
        <v>2.77229814748522E-2</v>
      </c>
      <c r="W50" s="416">
        <f ca="1"/>
        <v>4.6515848227383898E-3</v>
      </c>
      <c r="X50" s="417">
        <f ca="1"/>
        <v>2.7722981474852202</v>
      </c>
      <c r="Y50" s="418">
        <f t="shared" ca="1" si="5"/>
        <v>0.10120483225109589</v>
      </c>
      <c r="Z50" s="419">
        <f t="shared" ca="1" si="2"/>
        <v>-1.3050950093596622E-3</v>
      </c>
      <c r="AA50" s="418">
        <f t="shared" ca="1" si="0"/>
        <v>0.11687038231333567</v>
      </c>
      <c r="AB50" s="420">
        <f t="shared" ca="1" si="1"/>
        <v>4.4190055816014703E-3</v>
      </c>
      <c r="AC50" s="419">
        <f t="shared" ca="1" si="3"/>
        <v>-7.5355568161340701E-5</v>
      </c>
      <c r="AD50" s="220"/>
      <c r="AE50" s="220">
        <f t="shared" ca="1" si="4"/>
        <v>9.9525264281402764E-3</v>
      </c>
    </row>
    <row r="51" spans="1:31" customFormat="1" ht="15">
      <c r="A51" s="220"/>
      <c r="B51" s="268">
        <v>13</v>
      </c>
      <c r="C51" s="68" t="s">
        <v>612</v>
      </c>
      <c r="D51" s="247">
        <f t="shared" ca="1" si="6"/>
        <v>1.0526315789473684</v>
      </c>
      <c r="E51" s="239"/>
      <c r="F51" s="225">
        <v>0.4</v>
      </c>
      <c r="G51" s="427">
        <v>100</v>
      </c>
      <c r="H51" s="378">
        <v>37</v>
      </c>
      <c r="I51" s="405">
        <f ca="1"/>
        <v>1.38615023059432E-4</v>
      </c>
      <c r="J51" s="405">
        <f ca="1"/>
        <v>2.7256889496936202E-4</v>
      </c>
      <c r="K51" s="405">
        <f ca="1"/>
        <v>0.50855040915440097</v>
      </c>
      <c r="L51" s="405">
        <f ca="1"/>
        <v>0.50855040915440097</v>
      </c>
      <c r="M51" s="405">
        <f ca="1"/>
        <v>-3.0729312613303201E-4</v>
      </c>
      <c r="N51" s="655" t="str">
        <f ca="1"/>
        <v>AKTIEBOLAGET ELECTROLUX</v>
      </c>
      <c r="O51" s="405">
        <f ca="1"/>
        <v>1.1765829151459799</v>
      </c>
      <c r="P51" s="405">
        <f ca="1"/>
        <v>0.74685005141524197</v>
      </c>
      <c r="Q51" s="405">
        <f ca="1"/>
        <v>1.5753937660128901</v>
      </c>
      <c r="R51" s="443">
        <f ca="1"/>
        <v>1.5753937660128901</v>
      </c>
      <c r="S51" s="435"/>
      <c r="T51" s="414" cm="1">
        <f t="array" aca="1" ref="T51:X51" ca="1">IF(AND($U$12,B75&lt;=$C$17,C75&lt;&gt;""),TRANSPOSE(INDEX(getcds(C75,$C$6,G75/10000,F75,D75,$C$13,$C$14,$C$15,$C$8,,,TRUE,TRUE,FALSE,$C$29:$C$31,$C$33),{1;2;3;4;5})),"")</f>
        <v>3.3157353523767998E-3</v>
      </c>
      <c r="U51" s="415">
        <f ca="1"/>
        <v>3.0655160545234601E-2</v>
      </c>
      <c r="V51" s="415">
        <f ca="1"/>
        <v>2.73394251928578E-2</v>
      </c>
      <c r="W51" s="416">
        <f ca="1"/>
        <v>1.12128036083374E-2</v>
      </c>
      <c r="X51" s="417">
        <f ca="1"/>
        <v>2.73394251928578</v>
      </c>
      <c r="Y51" s="418">
        <f t="shared" ca="1" si="5"/>
        <v>0.10120483225109589</v>
      </c>
      <c r="Z51" s="419">
        <f t="shared" ca="1" si="2"/>
        <v>-3.1024503806108845E-3</v>
      </c>
      <c r="AA51" s="418">
        <f t="shared" ca="1" si="0"/>
        <v>0.16951680305146699</v>
      </c>
      <c r="AB51" s="420">
        <f t="shared" ca="1" si="1"/>
        <v>1.065216342792053E-2</v>
      </c>
      <c r="AC51" s="419">
        <f t="shared" ca="1" si="3"/>
        <v>-2.5982824063288209E-4</v>
      </c>
      <c r="AD51" s="220"/>
      <c r="AE51" s="220">
        <f t="shared" ca="1" si="4"/>
        <v>2.3743884336878008E-2</v>
      </c>
    </row>
    <row r="52" spans="1:31" customFormat="1" ht="15">
      <c r="A52" s="220"/>
      <c r="B52" s="268">
        <v>14</v>
      </c>
      <c r="C52" s="68" t="s">
        <v>517</v>
      </c>
      <c r="D52" s="247">
        <f t="shared" ca="1" si="6"/>
        <v>1.0526315789473684</v>
      </c>
      <c r="E52" s="239"/>
      <c r="F52" s="225">
        <v>0.4</v>
      </c>
      <c r="G52" s="427">
        <v>100</v>
      </c>
      <c r="H52" s="378">
        <v>38</v>
      </c>
      <c r="I52" s="405">
        <f ca="1"/>
        <v>7.6687380255457906E-5</v>
      </c>
      <c r="J52" s="405">
        <f ca="1"/>
        <v>2.8340154917110097E-4</v>
      </c>
      <c r="K52" s="405">
        <f ca="1"/>
        <v>0.27059619285693698</v>
      </c>
      <c r="L52" s="405">
        <f ca="1"/>
        <v>0.27059619285693698</v>
      </c>
      <c r="M52" s="405">
        <f ca="1"/>
        <v>-8.7308190480486295E-5</v>
      </c>
      <c r="N52" s="655" t="str">
        <f ca="1"/>
        <v>ANHEUSER-BUSCH INBEV</v>
      </c>
      <c r="O52" s="405">
        <f ca="1"/>
        <v>1.1834738868991901</v>
      </c>
      <c r="P52" s="405">
        <f ca="1"/>
        <v>0.76919836163159205</v>
      </c>
      <c r="Q52" s="405">
        <f ca="1"/>
        <v>1.53858087319486</v>
      </c>
      <c r="R52" s="443">
        <f ca="1"/>
        <v>1.53858087319486</v>
      </c>
      <c r="S52" s="435"/>
      <c r="T52" s="414" cm="1">
        <f t="array" aca="1" ref="T52:X52" ca="1">IF(AND($U$12,B76&lt;=$C$17,C76&lt;&gt;""),TRANSPOSE(INDEX(getcds(C76,$C$6,G76/10000,F76,D76,$C$13,$C$14,$C$15,$C$8,,,TRUE,TRUE,FALSE,$C$29:$C$31,$C$33),{1;2;3;4;5})),"")</f>
        <v>-2.0208801717465402E-2</v>
      </c>
      <c r="U52" s="415">
        <f ca="1"/>
        <v>7.6271172645491301E-3</v>
      </c>
      <c r="V52" s="415">
        <f ca="1"/>
        <v>2.7835918982014499E-2</v>
      </c>
      <c r="W52" s="416">
        <f ca="1"/>
        <v>2.7400271101080602E-3</v>
      </c>
      <c r="X52" s="417">
        <f ca="1"/>
        <v>2.78359189820145</v>
      </c>
      <c r="Y52" s="418">
        <f t="shared" ca="1" si="5"/>
        <v>0.10120483225109589</v>
      </c>
      <c r="Z52" s="419">
        <f t="shared" ca="1" si="2"/>
        <v>-7.7190112331813193E-4</v>
      </c>
      <c r="AA52" s="418">
        <f t="shared" ca="1" si="0"/>
        <v>9.0198730952312331E-2</v>
      </c>
      <c r="AB52" s="420">
        <f t="shared" ca="1" si="1"/>
        <v>2.603025754602657E-3</v>
      </c>
      <c r="AC52" s="419">
        <f t="shared" ca="1" si="3"/>
        <v>-3.4397814904340211E-5</v>
      </c>
      <c r="AD52" s="220"/>
      <c r="AE52" s="220">
        <f t="shared" ca="1" si="4"/>
        <v>5.8802642682255039E-3</v>
      </c>
    </row>
    <row r="53" spans="1:31" customFormat="1" ht="15">
      <c r="A53" s="220"/>
      <c r="B53" s="268">
        <v>15</v>
      </c>
      <c r="C53" s="68" t="s">
        <v>518</v>
      </c>
      <c r="D53" s="247">
        <f t="shared" ca="1" si="6"/>
        <v>1.0526315789473684</v>
      </c>
      <c r="E53" s="239"/>
      <c r="F53" s="225">
        <v>0.4</v>
      </c>
      <c r="G53" s="427">
        <v>100</v>
      </c>
      <c r="H53" s="378">
        <v>39</v>
      </c>
      <c r="I53" s="405">
        <f ca="1"/>
        <v>9.4791644932430507E-5</v>
      </c>
      <c r="J53" s="405">
        <f ca="1"/>
        <v>2.8141386041092599E-4</v>
      </c>
      <c r="K53" s="405">
        <f ca="1"/>
        <v>0.33684071137794702</v>
      </c>
      <c r="L53" s="405">
        <f ca="1"/>
        <v>0.33684071137794702</v>
      </c>
      <c r="M53" s="405">
        <f ca="1"/>
        <v>-1.3849682299817099E-4</v>
      </c>
      <c r="N53" s="655" t="str">
        <f ca="1"/>
        <v>BRITISH AMERICAN TOBACCO P.L.C.</v>
      </c>
      <c r="O53" s="405">
        <f ca="1"/>
        <v>1.1826435142427301</v>
      </c>
      <c r="P53" s="405">
        <f ca="1"/>
        <v>0.76509866984271302</v>
      </c>
      <c r="Q53" s="405">
        <f ca="1"/>
        <v>1.5457398644881399</v>
      </c>
      <c r="R53" s="443">
        <f ca="1"/>
        <v>1.5457398644881399</v>
      </c>
      <c r="S53" s="435"/>
      <c r="T53" s="414" cm="1">
        <f t="array" aca="1" ref="T53:X53" ca="1">IF(AND($U$12,B77&lt;=$C$17,C77&lt;&gt;""),TRANSPOSE(INDEX(getcds(C77,$C$6,G77/10000,F77,D77,$C$13,$C$14,$C$15,$C$8,,,TRUE,TRUE,FALSE,$C$29:$C$31,$C$33),{1;2;3;4;5})),"")</f>
        <v>-1.58933366765396E-2</v>
      </c>
      <c r="U53" s="415">
        <f ca="1"/>
        <v>1.1852044830718901E-2</v>
      </c>
      <c r="V53" s="415">
        <f ca="1"/>
        <v>2.7745381507258499E-2</v>
      </c>
      <c r="W53" s="416">
        <f ca="1"/>
        <v>4.2717180975213199E-3</v>
      </c>
      <c r="X53" s="417">
        <f ca="1"/>
        <v>2.7745381507258502</v>
      </c>
      <c r="Y53" s="418">
        <f t="shared" ca="1" si="5"/>
        <v>0.10120483225109589</v>
      </c>
      <c r="Z53" s="419">
        <f t="shared" ca="1" si="2"/>
        <v>-1.1994842089253796E-3</v>
      </c>
      <c r="AA53" s="418">
        <f t="shared" ca="1" si="0"/>
        <v>0.11228023712598234</v>
      </c>
      <c r="AB53" s="420">
        <f t="shared" ca="1" si="1"/>
        <v>4.0581321926452538E-3</v>
      </c>
      <c r="AC53" s="419">
        <f t="shared" ca="1" si="3"/>
        <v>-6.6537520201044882E-5</v>
      </c>
      <c r="AD53" s="220"/>
      <c r="AE53" s="220">
        <f t="shared" ca="1" si="4"/>
        <v>9.1452418053781289E-3</v>
      </c>
    </row>
    <row r="54" spans="1:31" customFormat="1" ht="15">
      <c r="A54" s="220"/>
      <c r="B54" s="268">
        <v>16</v>
      </c>
      <c r="C54" s="68" t="s">
        <v>533</v>
      </c>
      <c r="D54" s="247">
        <f t="shared" ca="1" si="6"/>
        <v>1.0526315789473684</v>
      </c>
      <c r="E54" s="239"/>
      <c r="F54" s="225">
        <v>0.4</v>
      </c>
      <c r="G54" s="427">
        <v>100</v>
      </c>
      <c r="H54" s="378">
        <v>40</v>
      </c>
      <c r="I54" s="405">
        <f ca="1"/>
        <v>6.3196912411229696E-5</v>
      </c>
      <c r="J54" s="405">
        <f ca="1"/>
        <v>2.8452012727385098E-4</v>
      </c>
      <c r="K54" s="405">
        <f ca="1"/>
        <v>0.222117545836758</v>
      </c>
      <c r="L54" s="405">
        <f ca="1"/>
        <v>0.222117545836758</v>
      </c>
      <c r="M54" s="405">
        <f ca="1"/>
        <v>-5.7110238443505202E-5</v>
      </c>
      <c r="N54" s="655" t="str">
        <f ca="1"/>
        <v>CARLSBERG BREWERIES A/S</v>
      </c>
      <c r="O54" s="405">
        <f ca="1"/>
        <v>1.1838273354926101</v>
      </c>
      <c r="P54" s="405">
        <f ca="1"/>
        <v>0.77150528111454098</v>
      </c>
      <c r="Q54" s="405">
        <f ca="1"/>
        <v>1.5344384082276299</v>
      </c>
      <c r="R54" s="443">
        <f ca="1"/>
        <v>1.5344384082276299</v>
      </c>
      <c r="S54" s="435"/>
      <c r="T54" s="414" cm="1">
        <f t="array" aca="1" ref="T54:X54" ca="1">IF(AND($U$12,B78&lt;=$C$17,C78&lt;&gt;""),TRANSPOSE(INDEX(getcds(C78,$C$6,G78/10000,F78,D78,$C$13,$C$14,$C$15,$C$8,,,TRUE,TRUE,FALSE,$C$29:$C$31,$C$33),{1;2;3;4;5})),"")</f>
        <v>-2.26371380153065E-2</v>
      </c>
      <c r="U54" s="415">
        <f ca="1"/>
        <v>5.24962206449357E-3</v>
      </c>
      <c r="V54" s="415">
        <f ca="1"/>
        <v>2.7886760079800101E-2</v>
      </c>
      <c r="W54" s="416">
        <f ca="1"/>
        <v>1.8824782977554101E-3</v>
      </c>
      <c r="X54" s="417">
        <f ca="1"/>
        <v>2.7886760079800101</v>
      </c>
      <c r="Y54" s="418">
        <f t="shared" ca="1" si="5"/>
        <v>0.10120483225109589</v>
      </c>
      <c r="Z54" s="419">
        <f t="shared" ca="1" si="2"/>
        <v>-5.3128712041872271E-4</v>
      </c>
      <c r="AA54" s="418">
        <f t="shared" ca="1" si="0"/>
        <v>7.4039181945585994E-2</v>
      </c>
      <c r="AB54" s="420">
        <f t="shared" ca="1" si="1"/>
        <v>1.7883543828676395E-3</v>
      </c>
      <c r="AC54" s="419">
        <f t="shared" ca="1" si="3"/>
        <v>-1.9433886158930095E-5</v>
      </c>
      <c r="AD54" s="220"/>
      <c r="AE54" s="220">
        <f t="shared" ca="1" si="4"/>
        <v>4.0453824002200925E-3</v>
      </c>
    </row>
    <row r="55" spans="1:31" customFormat="1" ht="15">
      <c r="A55" s="220"/>
      <c r="B55" s="268">
        <v>17</v>
      </c>
      <c r="C55" s="68" t="s">
        <v>519</v>
      </c>
      <c r="D55" s="247">
        <f t="shared" ca="1" si="6"/>
        <v>1.0526315789473684</v>
      </c>
      <c r="E55" s="239"/>
      <c r="F55" s="225">
        <v>0.4</v>
      </c>
      <c r="G55" s="427">
        <v>100</v>
      </c>
      <c r="H55" s="378">
        <v>41</v>
      </c>
      <c r="I55" s="405">
        <f ca="1"/>
        <v>8.1935049273247396E-5</v>
      </c>
      <c r="J55" s="405">
        <f ca="1"/>
        <v>2.8288891161716502E-4</v>
      </c>
      <c r="K55" s="405">
        <f ca="1"/>
        <v>0.289636835904443</v>
      </c>
      <c r="L55" s="405">
        <f ca="1"/>
        <v>0.289636835904443</v>
      </c>
      <c r="M55" s="405">
        <f ca="1"/>
        <v>-1.0089557658469601E-4</v>
      </c>
      <c r="N55" s="655" t="str">
        <f ca="1"/>
        <v>CARREFOUR</v>
      </c>
      <c r="O55" s="405">
        <f ca="1"/>
        <v>1.18328310675666</v>
      </c>
      <c r="P55" s="405">
        <f ca="1"/>
        <v>0.768141067677936</v>
      </c>
      <c r="Q55" s="405">
        <f ca="1"/>
        <v>1.5404502591349301</v>
      </c>
      <c r="R55" s="443">
        <f ca="1"/>
        <v>1.5404502591349301</v>
      </c>
      <c r="S55" s="435"/>
      <c r="T55" s="414" cm="1">
        <f t="array" aca="1" ref="T55:X55" ca="1">IF(AND($U$12,B79&lt;=$C$17,C79&lt;&gt;""),TRANSPOSE(INDEX(getcds(C79,$C$6,G79/10000,F79,D79,$C$13,$C$14,$C$15,$C$8,,,TRUE,TRUE,FALSE,$C$29:$C$31,$C$33),{1;2;3;4;5})),"")</f>
        <v>-1.9095860713617199E-2</v>
      </c>
      <c r="U55" s="415">
        <f ca="1"/>
        <v>8.7167319029460705E-3</v>
      </c>
      <c r="V55" s="415">
        <f ca="1"/>
        <v>2.7812592616563301E-2</v>
      </c>
      <c r="W55" s="416">
        <f ca="1"/>
        <v>3.1340954161011899E-3</v>
      </c>
      <c r="X55" s="417">
        <f ca="1"/>
        <v>2.7812592616563299</v>
      </c>
      <c r="Y55" s="418">
        <f t="shared" ca="1" si="5"/>
        <v>0.10120483225109589</v>
      </c>
      <c r="Z55" s="419">
        <f t="shared" ca="1" si="2"/>
        <v>-8.8217539001543424E-4</v>
      </c>
      <c r="AA55" s="418">
        <f t="shared" ca="1" si="0"/>
        <v>9.6545611968147663E-2</v>
      </c>
      <c r="AB55" s="420">
        <f t="shared" ca="1" si="1"/>
        <v>2.9773906452961302E-3</v>
      </c>
      <c r="AC55" s="419">
        <f t="shared" ca="1" si="3"/>
        <v>-4.2078110796610343E-5</v>
      </c>
      <c r="AD55" s="220"/>
      <c r="AE55" s="220">
        <f t="shared" ca="1" si="4"/>
        <v>6.7217784840054185E-3</v>
      </c>
    </row>
    <row r="56" spans="1:31" customFormat="1" ht="15">
      <c r="A56" s="220"/>
      <c r="B56" s="268">
        <v>18</v>
      </c>
      <c r="C56" s="68" t="s">
        <v>534</v>
      </c>
      <c r="D56" s="247">
        <f t="shared" ca="1" si="6"/>
        <v>1.0526315789473684</v>
      </c>
      <c r="E56" s="239"/>
      <c r="F56" s="225">
        <v>0.4</v>
      </c>
      <c r="G56" s="427">
        <v>100</v>
      </c>
      <c r="H56" s="378">
        <v>42</v>
      </c>
      <c r="I56" s="405">
        <f ca="1"/>
        <v>5.4212509337374701E-5</v>
      </c>
      <c r="J56" s="405">
        <f ca="1"/>
        <v>2.8512642586978201E-4</v>
      </c>
      <c r="K56" s="405">
        <f ca="1"/>
        <v>0.19013498721487701</v>
      </c>
      <c r="L56" s="405">
        <f ca="1"/>
        <v>0.19013498721487701</v>
      </c>
      <c r="M56" s="405">
        <f ca="1"/>
        <v>-4.0757112175982E-5</v>
      </c>
      <c r="N56" s="655" t="str">
        <f ca="1"/>
        <v>COMPASS GROUP PLC</v>
      </c>
      <c r="O56" s="405">
        <f ca="1"/>
        <v>1.18397919921016</v>
      </c>
      <c r="P56" s="405">
        <f ca="1"/>
        <v>0.77275563357238497</v>
      </c>
      <c r="Q56" s="405">
        <f ca="1"/>
        <v>1.53215214198662</v>
      </c>
      <c r="R56" s="443">
        <f ca="1"/>
        <v>1.53215214198662</v>
      </c>
      <c r="S56" s="435"/>
      <c r="T56" s="414" cm="1">
        <f t="array" aca="1" ref="T56:X56" ca="1">IF(AND($U$12,B80&lt;=$C$17,C80&lt;&gt;""),TRANSPOSE(INDEX(getcds(C80,$C$6,G80/10000,F80,D80,$C$13,$C$14,$C$15,$C$8,,,TRUE,TRUE,FALSE,$C$29:$C$31,$C$33),{1;2;3;4;5})),"")</f>
        <v>-2.39532984972472E-2</v>
      </c>
      <c r="U56" s="415">
        <f ca="1"/>
        <v>3.9609861528224297E-3</v>
      </c>
      <c r="V56" s="415">
        <f ca="1"/>
        <v>2.79142846500696E-2</v>
      </c>
      <c r="W56" s="416">
        <f ca="1"/>
        <v>1.41898178745288E-3</v>
      </c>
      <c r="X56" s="417">
        <f ca="1"/>
        <v>2.7914284650069598</v>
      </c>
      <c r="Y56" s="418">
        <f t="shared" ca="1" si="5"/>
        <v>0.10120483225109589</v>
      </c>
      <c r="Z56" s="419">
        <f t="shared" ca="1" si="2"/>
        <v>-4.0087093914530721E-4</v>
      </c>
      <c r="AA56" s="418">
        <f t="shared" ca="1" si="0"/>
        <v>6.3378329071625675E-2</v>
      </c>
      <c r="AB56" s="420">
        <f t="shared" ca="1" si="1"/>
        <v>1.3480326980802359E-3</v>
      </c>
      <c r="AC56" s="419">
        <f t="shared" ca="1" si="3"/>
        <v>-1.2552034192086631E-5</v>
      </c>
      <c r="AD56" s="220"/>
      <c r="AE56" s="220">
        <f t="shared" ca="1" si="4"/>
        <v>3.0515750550505504E-3</v>
      </c>
    </row>
    <row r="57" spans="1:31" customFormat="1" ht="15">
      <c r="A57" s="220"/>
      <c r="B57" s="268">
        <v>19</v>
      </c>
      <c r="C57" s="68" t="s">
        <v>535</v>
      </c>
      <c r="D57" s="247">
        <f t="shared" ca="1" si="6"/>
        <v>1.0526315789473684</v>
      </c>
      <c r="E57" s="239"/>
      <c r="F57" s="225">
        <v>0.4</v>
      </c>
      <c r="G57" s="427">
        <v>100</v>
      </c>
      <c r="H57" s="378">
        <v>43</v>
      </c>
      <c r="I57" s="405">
        <f ca="1"/>
        <v>7.1044324072826496E-5</v>
      </c>
      <c r="J57" s="405">
        <f ca="1"/>
        <v>2.83902394096753E-4</v>
      </c>
      <c r="K57" s="405">
        <f ca="1"/>
        <v>0.25024207456529901</v>
      </c>
      <c r="L57" s="405">
        <f ca="1"/>
        <v>0.25024207456529901</v>
      </c>
      <c r="M57" s="405">
        <f ca="1"/>
        <v>-7.3847495482000101E-5</v>
      </c>
      <c r="N57" s="655" t="str">
        <f ca="1"/>
        <v>DANONE</v>
      </c>
      <c r="O57" s="405">
        <f ca="1"/>
        <v>1.1836432322791199</v>
      </c>
      <c r="P57" s="405">
        <f ca="1"/>
        <v>0.77023130539429796</v>
      </c>
      <c r="Q57" s="405">
        <f ca="1"/>
        <v>1.5367373722536299</v>
      </c>
      <c r="R57" s="443">
        <f ca="1"/>
        <v>1.5367373722536299</v>
      </c>
      <c r="S57" s="435"/>
      <c r="T57" s="414" cm="1">
        <f t="array" aca="1" ref="T57:X57" ca="1">IF(AND($U$12,B81&lt;=$C$17,C81&lt;&gt;""),TRANSPOSE(INDEX(getcds(C81,$C$6,G81/10000,F81,D81,$C$13,$C$14,$C$15,$C$8,,,TRUE,TRUE,FALSE,$C$29:$C$31,$C$33),{1;2;3;4;5})),"")</f>
        <v>-2.12961109413661E-2</v>
      </c>
      <c r="U57" s="415">
        <f ca="1"/>
        <v>6.5625818905058796E-3</v>
      </c>
      <c r="V57" s="415">
        <f ca="1"/>
        <v>2.7858692831871999E-2</v>
      </c>
      <c r="W57" s="416">
        <f ca="1"/>
        <v>2.3556675577390699E-3</v>
      </c>
      <c r="X57" s="417">
        <f ca="1"/>
        <v>2.7858692831871998</v>
      </c>
      <c r="Y57" s="418">
        <f t="shared" ca="1" si="5"/>
        <v>0.10120483225109589</v>
      </c>
      <c r="Z57" s="419">
        <f t="shared" ca="1" si="2"/>
        <v>-6.6416499936272774E-4</v>
      </c>
      <c r="AA57" s="418">
        <f t="shared" ca="1" si="0"/>
        <v>8.3414024855099675E-2</v>
      </c>
      <c r="AB57" s="420">
        <f t="shared" ca="1" si="1"/>
        <v>2.2378841798521162E-3</v>
      </c>
      <c r="AC57" s="419">
        <f t="shared" ca="1" si="3"/>
        <v>-2.7370568446414293E-5</v>
      </c>
      <c r="AD57" s="220"/>
      <c r="AE57" s="220">
        <f t="shared" ca="1" si="4"/>
        <v>5.0584720067240758E-3</v>
      </c>
    </row>
    <row r="58" spans="1:31" customFormat="1" ht="15">
      <c r="A58" s="220"/>
      <c r="B58" s="268">
        <v>20</v>
      </c>
      <c r="C58" s="68" t="s">
        <v>613</v>
      </c>
      <c r="D58" s="247">
        <f t="shared" ca="1" si="6"/>
        <v>1.0526315789473684</v>
      </c>
      <c r="E58" s="239"/>
      <c r="F58" s="225">
        <v>0.4</v>
      </c>
      <c r="G58" s="427">
        <v>100</v>
      </c>
      <c r="H58" s="378">
        <v>44</v>
      </c>
      <c r="I58" s="405">
        <f ca="1"/>
        <v>6.2457867211882493E-5</v>
      </c>
      <c r="J58" s="405">
        <f ca="1"/>
        <v>2.8457390586320502E-4</v>
      </c>
      <c r="K58" s="405">
        <f ca="1"/>
        <v>0.219478546433931</v>
      </c>
      <c r="L58" s="405">
        <f ca="1"/>
        <v>0.219478546433931</v>
      </c>
      <c r="M58" s="405">
        <f ca="1"/>
        <v>-5.5652346227976798E-5</v>
      </c>
      <c r="N58" s="655" t="str">
        <f ca="1"/>
        <v>DIAGEO PLC</v>
      </c>
      <c r="O58" s="405">
        <f ca="1"/>
        <v>1.18384199981036</v>
      </c>
      <c r="P58" s="405">
        <f ca="1"/>
        <v>0.77161618894365702</v>
      </c>
      <c r="Q58" s="405">
        <f ca="1"/>
        <v>1.5342368612445001</v>
      </c>
      <c r="R58" s="443">
        <f ca="1"/>
        <v>1.5342368612445001</v>
      </c>
      <c r="S58" s="435"/>
      <c r="T58" s="414" cm="1">
        <f t="array" aca="1" ref="T58:X58" ca="1">IF(AND($U$12,B82&lt;=$C$17,C82&lt;&gt;""),TRANSPOSE(INDEX(getcds(C82,$C$6,G82/10000,F82,D82,$C$13,$C$14,$C$15,$C$8,,,TRUE,TRUE,FALSE,$C$29:$C$31,$C$33),{1;2;3;4;5})),"")</f>
        <v>-2.2753883098586301E-2</v>
      </c>
      <c r="U58" s="415">
        <f ca="1"/>
        <v>5.1353193340261402E-3</v>
      </c>
      <c r="V58" s="415">
        <f ca="1"/>
        <v>2.7889202432612399E-2</v>
      </c>
      <c r="W58" s="416">
        <f ca="1"/>
        <v>1.84132886067087E-3</v>
      </c>
      <c r="X58" s="417">
        <f ca="1"/>
        <v>2.7889202432612401</v>
      </c>
      <c r="Y58" s="418">
        <f t="shared" ca="1" si="5"/>
        <v>0.10120483225109589</v>
      </c>
      <c r="Z58" s="419">
        <f t="shared" ca="1" si="2"/>
        <v>-5.1971913175592548E-4</v>
      </c>
      <c r="AA58" s="418">
        <f t="shared" ca="1" si="0"/>
        <v>7.3159515477977E-2</v>
      </c>
      <c r="AB58" s="420">
        <f t="shared" ca="1" si="1"/>
        <v>1.7492624176373263E-3</v>
      </c>
      <c r="AC58" s="419">
        <f t="shared" ca="1" si="3"/>
        <v>-1.878487371510205E-5</v>
      </c>
      <c r="AD58" s="220"/>
      <c r="AE58" s="220">
        <f t="shared" ca="1" si="4"/>
        <v>3.9572105798336759E-3</v>
      </c>
    </row>
    <row r="59" spans="1:31" customFormat="1" ht="15">
      <c r="A59" s="220"/>
      <c r="B59" s="268">
        <v>21</v>
      </c>
      <c r="C59" s="68" t="s">
        <v>520</v>
      </c>
      <c r="D59" s="247">
        <f t="shared" ca="1" si="6"/>
        <v>1.0526315789473684</v>
      </c>
      <c r="E59" s="239"/>
      <c r="F59" s="225">
        <v>0.4</v>
      </c>
      <c r="G59" s="427">
        <v>100</v>
      </c>
      <c r="H59" s="378">
        <v>45</v>
      </c>
      <c r="I59" s="405">
        <f ca="1"/>
        <v>1.6019920705229599E-4</v>
      </c>
      <c r="J59" s="405">
        <f ca="1"/>
        <v>2.6284971247598902E-4</v>
      </c>
      <c r="K59" s="405">
        <f ca="1"/>
        <v>0.60947073345925795</v>
      </c>
      <c r="L59" s="405">
        <f ca="1"/>
        <v>0.60947073345925795</v>
      </c>
      <c r="M59" s="405">
        <f ca="1"/>
        <v>-4.0049501383526503E-4</v>
      </c>
      <c r="N59" s="655" t="str">
        <f ca="1"/>
        <v>ELO</v>
      </c>
      <c r="O59" s="405">
        <f ca="1"/>
        <v>1.16664373884267</v>
      </c>
      <c r="P59" s="405">
        <f ca="1"/>
        <v>0.72678698653618801</v>
      </c>
      <c r="Q59" s="405">
        <f ca="1"/>
        <v>1.6052072484164901</v>
      </c>
      <c r="R59" s="443">
        <f ca="1"/>
        <v>1.6052072484164901</v>
      </c>
      <c r="S59" s="435"/>
      <c r="T59" s="414" cm="1">
        <f t="array" aca="1" ref="T59:X59" ca="1">IF(AND($U$12,B83&lt;=$C$17,C83&lt;&gt;""),TRANSPOSE(INDEX(getcds(C83,$C$6,G83/10000,F83,D83,$C$13,$C$14,$C$15,$C$8,,,TRUE,TRUE,FALSE,$C$29:$C$31,$C$33),{1;2;3;4;5})),"")</f>
        <v>2.4434751014538399E-2</v>
      </c>
      <c r="U59" s="415">
        <f ca="1"/>
        <v>5.1322079215840199E-2</v>
      </c>
      <c r="V59" s="415">
        <f ca="1"/>
        <v>2.68873282013018E-2</v>
      </c>
      <c r="W59" s="416">
        <f ca="1"/>
        <v>1.9087831573148001E-2</v>
      </c>
      <c r="X59" s="417">
        <f ca="1"/>
        <v>2.6887328201301801</v>
      </c>
      <c r="Y59" s="418">
        <f t="shared" ca="1" si="5"/>
        <v>0.10120483225109589</v>
      </c>
      <c r="Z59" s="419">
        <f t="shared" ca="1" si="2"/>
        <v>-5.1940424178165533E-3</v>
      </c>
      <c r="AA59" s="418">
        <f t="shared" ca="1" si="0"/>
        <v>0.20315691115308598</v>
      </c>
      <c r="AB59" s="420">
        <f t="shared" ca="1" si="1"/>
        <v>1.8133439994490599E-2</v>
      </c>
      <c r="AC59" s="419">
        <f t="shared" ca="1" si="3"/>
        <v>-5.2132175437220472E-4</v>
      </c>
      <c r="AD59" s="220"/>
      <c r="AE59" s="220">
        <f t="shared" ca="1" si="4"/>
        <v>3.9921411516586777E-2</v>
      </c>
    </row>
    <row r="60" spans="1:31" customFormat="1" ht="15">
      <c r="A60" s="220"/>
      <c r="B60" s="268">
        <v>22</v>
      </c>
      <c r="C60" s="68" t="s">
        <v>614</v>
      </c>
      <c r="D60" s="247">
        <f t="shared" ca="1" si="6"/>
        <v>1.0526315789473684</v>
      </c>
      <c r="E60" s="239"/>
      <c r="F60" s="225">
        <v>0.4</v>
      </c>
      <c r="G60" s="427">
        <v>100</v>
      </c>
      <c r="H60" s="378">
        <v>46</v>
      </c>
      <c r="I60" s="405">
        <f ca="1"/>
        <v>6.4907977831147901E-5</v>
      </c>
      <c r="J60" s="405">
        <f ca="1"/>
        <v>2.8439279683501698E-4</v>
      </c>
      <c r="K60" s="405">
        <f ca="1"/>
        <v>0.22823355075621901</v>
      </c>
      <c r="L60" s="405">
        <f ca="1"/>
        <v>0.22823355075621901</v>
      </c>
      <c r="M60" s="405">
        <f ca="1"/>
        <v>-6.0563623470926101E-5</v>
      </c>
      <c r="N60" s="655" t="str">
        <f ca="1"/>
        <v>HEINEKEN N.V.</v>
      </c>
      <c r="O60" s="405">
        <f ca="1"/>
        <v>1.1837917240617399</v>
      </c>
      <c r="P60" s="405">
        <f ca="1"/>
        <v>0.77124268601420198</v>
      </c>
      <c r="Q60" s="405">
        <f ca="1"/>
        <v>1.53491468448096</v>
      </c>
      <c r="R60" s="443">
        <f ca="1"/>
        <v>1.53491468448096</v>
      </c>
      <c r="S60" s="435"/>
      <c r="T60" s="414" cm="1">
        <f t="array" aca="1" ref="T60:X60" ca="1">IF(AND($U$12,B84&lt;=$C$17,C84&lt;&gt;""),TRANSPOSE(INDEX(getcds(C84,$C$6,G84/10000,F84,D84,$C$13,$C$14,$C$15,$C$8,,,TRUE,TRUE,FALSE,$C$29:$C$31,$C$33),{1;2;3;4;5})),"")</f>
        <v>-2.23607221202127E-2</v>
      </c>
      <c r="U60" s="415">
        <f ca="1"/>
        <v>5.5202545401290002E-3</v>
      </c>
      <c r="V60" s="415">
        <f ca="1"/>
        <v>2.78809766603417E-2</v>
      </c>
      <c r="W60" s="416">
        <f ca="1"/>
        <v>1.979935856401E-3</v>
      </c>
      <c r="X60" s="417">
        <f ca="1"/>
        <v>2.7880976660341701</v>
      </c>
      <c r="Y60" s="418">
        <f t="shared" ca="1" si="5"/>
        <v>0.10120483225109589</v>
      </c>
      <c r="Z60" s="419">
        <f t="shared" ca="1" si="2"/>
        <v>-5.5867643471710522E-4</v>
      </c>
      <c r="AA60" s="418">
        <f t="shared" ca="1" si="0"/>
        <v>7.6077850252073004E-2</v>
      </c>
      <c r="AB60" s="420">
        <f t="shared" ca="1" si="1"/>
        <v>1.8809390635809498E-3</v>
      </c>
      <c r="AC60" s="419">
        <f t="shared" ca="1" si="3"/>
        <v>-2.0998454912863013E-5</v>
      </c>
      <c r="AD60" s="220"/>
      <c r="AE60" s="220">
        <f t="shared" ca="1" si="4"/>
        <v>4.2541611656394997E-3</v>
      </c>
    </row>
    <row r="61" spans="1:31" customFormat="1" ht="15">
      <c r="A61" s="220"/>
      <c r="B61" s="268">
        <v>23</v>
      </c>
      <c r="C61" s="68" t="s">
        <v>536</v>
      </c>
      <c r="D61" s="247">
        <f t="shared" ca="1" si="6"/>
        <v>1.0526315789473684</v>
      </c>
      <c r="E61" s="239"/>
      <c r="F61" s="225">
        <v>0.4</v>
      </c>
      <c r="G61" s="427">
        <v>100</v>
      </c>
      <c r="H61" s="378">
        <v>47</v>
      </c>
      <c r="I61" s="405">
        <f ca="1"/>
        <v>5.4849691604692599E-5</v>
      </c>
      <c r="J61" s="405">
        <f ca="1"/>
        <v>2.8508672244124099E-4</v>
      </c>
      <c r="K61" s="405">
        <f ca="1"/>
        <v>0.192396514067742</v>
      </c>
      <c r="L61" s="405">
        <f ca="1"/>
        <v>0.192396514067742</v>
      </c>
      <c r="M61" s="405">
        <f ca="1"/>
        <v>-4.1819035998671397E-5</v>
      </c>
      <c r="N61" s="655" t="str">
        <f ca="1"/>
        <v>HENKEL AG &amp; CO. KGAA</v>
      </c>
      <c r="O61" s="405">
        <f ca="1"/>
        <v>1.18397018502471</v>
      </c>
      <c r="P61" s="405">
        <f ca="1"/>
        <v>0.77267375556163798</v>
      </c>
      <c r="Q61" s="405">
        <f ca="1"/>
        <v>1.5323028335084501</v>
      </c>
      <c r="R61" s="443">
        <f ca="1"/>
        <v>1.5323028335084501</v>
      </c>
      <c r="S61" s="435"/>
      <c r="T61" s="414" cm="1">
        <f t="array" aca="1" ref="T61:X61" ca="1">IF(AND($U$12,B85&lt;=$C$17,C85&lt;&gt;""),TRANSPOSE(INDEX(getcds(C85,$C$6,G85/10000,F85,D85,$C$13,$C$14,$C$15,$C$8,,,TRUE,TRUE,FALSE,$C$29:$C$31,$C$33),{1;2;3;4;5})),"")</f>
        <v>-2.3867111117513402E-2</v>
      </c>
      <c r="U61" s="415">
        <f ca="1"/>
        <v>4.04537178752838E-3</v>
      </c>
      <c r="V61" s="415">
        <f ca="1"/>
        <v>2.7912482905041801E-2</v>
      </c>
      <c r="W61" s="416">
        <f ca="1"/>
        <v>1.44930560326386E-3</v>
      </c>
      <c r="X61" s="417">
        <f ca="1"/>
        <v>2.7912482905041802</v>
      </c>
      <c r="Y61" s="418">
        <f t="shared" ca="1" si="5"/>
        <v>0.10120483225109589</v>
      </c>
      <c r="Z61" s="419">
        <f t="shared" ca="1" si="2"/>
        <v>-4.0941117315012552E-4</v>
      </c>
      <c r="AA61" s="418">
        <f t="shared" ca="1" si="0"/>
        <v>6.4132171355913994E-2</v>
      </c>
      <c r="AB61" s="420">
        <f t="shared" ca="1" si="1"/>
        <v>1.3768403231006669E-3</v>
      </c>
      <c r="AC61" s="419">
        <f t="shared" ca="1" si="3"/>
        <v>-1.2971923833807517E-5</v>
      </c>
      <c r="AD61" s="220"/>
      <c r="AE61" s="220">
        <f t="shared" ca="1" si="4"/>
        <v>3.1166384524504596E-3</v>
      </c>
    </row>
    <row r="62" spans="1:31" customFormat="1" ht="15">
      <c r="A62" s="220"/>
      <c r="B62" s="268">
        <v>24</v>
      </c>
      <c r="C62" s="68" t="s">
        <v>521</v>
      </c>
      <c r="D62" s="247">
        <f t="shared" ca="1" si="6"/>
        <v>1.0526315789473684</v>
      </c>
      <c r="E62" s="239"/>
      <c r="F62" s="225">
        <v>0.4</v>
      </c>
      <c r="G62" s="427">
        <v>100</v>
      </c>
      <c r="H62" s="378">
        <v>48</v>
      </c>
      <c r="I62" s="405">
        <f ca="1"/>
        <v>1.01141783645162E-4</v>
      </c>
      <c r="J62" s="405">
        <f ca="1"/>
        <v>2.8055144180207098E-4</v>
      </c>
      <c r="K62" s="405">
        <f ca="1"/>
        <v>0.360510653573891</v>
      </c>
      <c r="L62" s="405">
        <f ca="1"/>
        <v>0.360510653573891</v>
      </c>
      <c r="M62" s="405">
        <f ca="1"/>
        <v>-1.59277639082918E-4</v>
      </c>
      <c r="N62" s="655" t="str">
        <f ca="1"/>
        <v>IMPERIAL BRANDS PLC</v>
      </c>
      <c r="O62" s="405">
        <f ca="1"/>
        <v>1.18221211606629</v>
      </c>
      <c r="P62" s="405">
        <f ca="1"/>
        <v>0.763319756040716</v>
      </c>
      <c r="Q62" s="405">
        <f ca="1"/>
        <v>1.54877704488921</v>
      </c>
      <c r="R62" s="443">
        <f ca="1"/>
        <v>1.54877704488921</v>
      </c>
      <c r="S62" s="435"/>
      <c r="T62" s="414" cm="1">
        <f t="array" aca="1" ref="T62:X62" ca="1">IF(AND($U$12,B86&lt;=$C$17,C86&lt;&gt;""),TRANSPOSE(INDEX(getcds(C86,$C$6,G86/10000,F86,D86,$C$13,$C$14,$C$15,$C$8,,,TRUE,TRUE,FALSE,$C$29:$C$31,$C$33),{1;2;3;4;5})),"")</f>
        <v>-1.4020795832332801E-2</v>
      </c>
      <c r="U62" s="415">
        <f ca="1"/>
        <v>1.36852254965014E-2</v>
      </c>
      <c r="V62" s="415">
        <f ca="1"/>
        <v>2.77060213288342E-2</v>
      </c>
      <c r="W62" s="416">
        <f ca="1"/>
        <v>4.9394409013389703E-3</v>
      </c>
      <c r="X62" s="417">
        <f ca="1"/>
        <v>2.7706021328834201</v>
      </c>
      <c r="Y62" s="418">
        <f t="shared" ca="1" si="5"/>
        <v>0.10120483225109589</v>
      </c>
      <c r="Z62" s="419">
        <f t="shared" ca="1" si="2"/>
        <v>-1.38501095069184E-3</v>
      </c>
      <c r="AA62" s="418">
        <f t="shared" ca="1" si="0"/>
        <v>0.12017021785796367</v>
      </c>
      <c r="AB62" s="420">
        <f t="shared" ca="1" si="1"/>
        <v>4.6924688562720212E-3</v>
      </c>
      <c r="AC62" s="419">
        <f t="shared" ca="1" si="3"/>
        <v>-8.2227826467496542E-5</v>
      </c>
      <c r="AD62" s="220"/>
      <c r="AE62" s="220">
        <f t="shared" ca="1" si="4"/>
        <v>1.0563625905184244E-2</v>
      </c>
    </row>
    <row r="63" spans="1:31" customFormat="1" ht="15">
      <c r="A63" s="220"/>
      <c r="B63" s="268">
        <v>25</v>
      </c>
      <c r="C63" s="68" t="s">
        <v>537</v>
      </c>
      <c r="D63" s="247">
        <f t="shared" ca="1" si="6"/>
        <v>1.0526315789473684</v>
      </c>
      <c r="E63" s="239"/>
      <c r="F63" s="225">
        <v>0.4</v>
      </c>
      <c r="G63" s="427">
        <v>100</v>
      </c>
      <c r="H63" s="378">
        <v>49</v>
      </c>
      <c r="I63" s="405">
        <f ca="1"/>
        <v>7.8604049278308005E-5</v>
      </c>
      <c r="J63" s="405">
        <f ca="1"/>
        <v>2.83219767944281E-4</v>
      </c>
      <c r="K63" s="405">
        <f ca="1"/>
        <v>0.27753729850443198</v>
      </c>
      <c r="L63" s="405">
        <f ca="1"/>
        <v>0.27753729850443198</v>
      </c>
      <c r="M63" s="405">
        <f ca="1"/>
        <v>-9.2151538182756395E-5</v>
      </c>
      <c r="N63" s="655" t="str">
        <f ca="1"/>
        <v>KERING</v>
      </c>
      <c r="O63" s="405">
        <f ca="1"/>
        <v>1.1834082057294699</v>
      </c>
      <c r="P63" s="405">
        <f ca="1"/>
        <v>0.76882344876258701</v>
      </c>
      <c r="Q63" s="405">
        <f ca="1"/>
        <v>1.53924572362374</v>
      </c>
      <c r="R63" s="443">
        <f ca="1"/>
        <v>1.53924572362374</v>
      </c>
      <c r="S63" s="435"/>
      <c r="T63" s="414" cm="1">
        <f t="array" aca="1" ref="T63:X63" ca="1">IF(AND($U$12,B87&lt;=$C$17,C87&lt;&gt;""),TRANSPOSE(INDEX(getcds(C87,$C$6,G87/10000,F87,D87,$C$13,$C$14,$C$15,$C$8,,,TRUE,TRUE,FALSE,$C$29:$C$31,$C$33),{1;2;3;4;5})),"")</f>
        <v>-1.9814156592196399E-2</v>
      </c>
      <c r="U63" s="415">
        <f ca="1"/>
        <v>8.0134927536285993E-3</v>
      </c>
      <c r="V63" s="415">
        <f ca="1"/>
        <v>2.7827649345825E-2</v>
      </c>
      <c r="W63" s="416">
        <f ca="1"/>
        <v>2.8796872686017399E-3</v>
      </c>
      <c r="X63" s="417">
        <f ca="1"/>
        <v>2.7827649345825001</v>
      </c>
      <c r="Y63" s="418">
        <f t="shared" ca="1" si="5"/>
        <v>0.10120483225109589</v>
      </c>
      <c r="Z63" s="419">
        <f t="shared" ca="1" si="2"/>
        <v>-8.1100418987635286E-4</v>
      </c>
      <c r="AA63" s="418">
        <f t="shared" ca="1" si="0"/>
        <v>9.2512432834810657E-2</v>
      </c>
      <c r="AB63" s="420">
        <f t="shared" ca="1" si="1"/>
        <v>2.7357029051716529E-3</v>
      </c>
      <c r="AC63" s="419">
        <f t="shared" ca="1" si="3"/>
        <v>-3.7067385507115294E-5</v>
      </c>
      <c r="AD63" s="220"/>
      <c r="AE63" s="220">
        <f t="shared" ca="1" si="4"/>
        <v>6.1786218882621067E-3</v>
      </c>
    </row>
    <row r="64" spans="1:31" customFormat="1" ht="15">
      <c r="A64" s="220"/>
      <c r="B64" s="268">
        <v>26</v>
      </c>
      <c r="C64" s="68" t="s">
        <v>522</v>
      </c>
      <c r="D64" s="247">
        <f t="shared" ca="1" si="6"/>
        <v>1.0526315789473684</v>
      </c>
      <c r="E64" s="239"/>
      <c r="F64" s="225">
        <v>0.4</v>
      </c>
      <c r="G64" s="427">
        <v>100</v>
      </c>
      <c r="H64" s="378">
        <v>50</v>
      </c>
      <c r="I64" s="405">
        <f ca="1"/>
        <v>6.5614528161801497E-5</v>
      </c>
      <c r="J64" s="405">
        <f ca="1"/>
        <v>2.84339051999709E-4</v>
      </c>
      <c r="K64" s="405">
        <f ca="1"/>
        <v>0.23076157742084799</v>
      </c>
      <c r="L64" s="405">
        <f ca="1"/>
        <v>0.23076157742084799</v>
      </c>
      <c r="M64" s="405">
        <f ca="1"/>
        <v>-6.2021463278083601E-5</v>
      </c>
      <c r="N64" s="655" t="str">
        <f ca="1"/>
        <v>KONINKLIJKE AHOLD DELHAIZE N.V.</v>
      </c>
      <c r="O64" s="405">
        <f ca="1"/>
        <v>1.1837763211562</v>
      </c>
      <c r="P64" s="405">
        <f ca="1"/>
        <v>0.77113184685538505</v>
      </c>
      <c r="Q64" s="405">
        <f ca="1"/>
        <v>1.53511533207135</v>
      </c>
      <c r="R64" s="443">
        <f ca="1"/>
        <v>1.53511533207135</v>
      </c>
      <c r="S64" s="435"/>
      <c r="T64" s="414" cm="1">
        <f t="array" aca="1" ref="T64:X64" ca="1">IF(AND($U$12,B88&lt;=$C$17,C88&lt;&gt;""),TRANSPOSE(INDEX(getcds(C88,$C$6,G88/10000,F88,D88,$C$13,$C$14,$C$15,$C$8,,,TRUE,TRUE,FALSE,$C$29:$C$31,$C$33),{1;2;3;4;5})),"")</f>
        <v>-2.2244049321457699E-2</v>
      </c>
      <c r="U64" s="415">
        <f ca="1"/>
        <v>5.6344859150659196E-3</v>
      </c>
      <c r="V64" s="415">
        <f ca="1"/>
        <v>2.7878535236523599E-2</v>
      </c>
      <c r="W64" s="416">
        <f ca="1"/>
        <v>2.02108391537163E-3</v>
      </c>
      <c r="X64" s="417">
        <f ca="1"/>
        <v>2.7878535236523598</v>
      </c>
      <c r="Y64" s="418">
        <f t="shared" ca="1" si="5"/>
        <v>0.10120483225109589</v>
      </c>
      <c r="Z64" s="419">
        <f t="shared" ca="1" si="2"/>
        <v>-5.7023720185540763E-4</v>
      </c>
      <c r="AA64" s="418">
        <f t="shared" ca="1" si="0"/>
        <v>7.692052580694933E-2</v>
      </c>
      <c r="AB64" s="420">
        <f t="shared" ca="1" si="1"/>
        <v>1.9200297196030483E-3</v>
      </c>
      <c r="AC64" s="419">
        <f t="shared" ca="1" si="3"/>
        <v>-2.1670380961936006E-5</v>
      </c>
      <c r="AD64" s="220"/>
      <c r="AE64" s="220">
        <f t="shared" ca="1" si="4"/>
        <v>4.3422914220592043E-3</v>
      </c>
    </row>
    <row r="65" spans="1:31" customFormat="1" ht="15">
      <c r="A65" s="220"/>
      <c r="B65" s="268">
        <v>27</v>
      </c>
      <c r="C65" s="68" t="s">
        <v>523</v>
      </c>
      <c r="D65" s="247">
        <f t="shared" ca="1" si="6"/>
        <v>1.0526315789473684</v>
      </c>
      <c r="E65" s="239"/>
      <c r="F65" s="225">
        <v>0.4</v>
      </c>
      <c r="G65" s="427">
        <v>100</v>
      </c>
      <c r="H65" s="378">
        <v>51</v>
      </c>
      <c r="I65" s="405">
        <f ca="1"/>
        <v>8.53898549288301E-5</v>
      </c>
      <c r="J65" s="405">
        <f ca="1"/>
        <v>2.8252470679046901E-4</v>
      </c>
      <c r="K65" s="405">
        <f ca="1"/>
        <v>0.30223854012229301</v>
      </c>
      <c r="L65" s="405">
        <f ca="1"/>
        <v>0.30223854012229301</v>
      </c>
      <c r="M65" s="405">
        <f ca="1"/>
        <v>-1.10401306521772E-4</v>
      </c>
      <c r="N65" s="655" t="str">
        <f ca="1"/>
        <v>KONINKLIJKE PHILIPS N.V.</v>
      </c>
      <c r="O65" s="405">
        <f ca="1"/>
        <v>1.1831373519826001</v>
      </c>
      <c r="P65" s="405">
        <f ca="1"/>
        <v>0.76738989225126697</v>
      </c>
      <c r="Q65" s="405">
        <f ca="1"/>
        <v>1.54176822490021</v>
      </c>
      <c r="R65" s="443">
        <f ca="1"/>
        <v>1.54176822490021</v>
      </c>
      <c r="S65" s="435"/>
      <c r="T65" s="414" cm="1">
        <f t="array" aca="1" ref="T65:X65" ca="1">IF(AND($U$12,B89&lt;=$C$17,C89&lt;&gt;""),TRANSPOSE(INDEX(getcds(C89,$C$6,G89/10000,F89,D89,$C$13,$C$14,$C$15,$C$8,,,TRUE,TRUE,FALSE,$C$29:$C$31,$C$33),{1;2;3;4;5})),"")</f>
        <v>-1.8305149738175899E-2</v>
      </c>
      <c r="U65" s="415">
        <f ca="1"/>
        <v>9.4908605545564496E-3</v>
      </c>
      <c r="V65" s="415">
        <f ca="1"/>
        <v>2.77960102927323E-2</v>
      </c>
      <c r="W65" s="416">
        <f ca="1"/>
        <v>3.4144686430188798E-3</v>
      </c>
      <c r="X65" s="417">
        <f ca="1"/>
        <v>2.7796010292732301</v>
      </c>
      <c r="Y65" s="418">
        <f t="shared" ca="1" si="5"/>
        <v>0.10120483225109589</v>
      </c>
      <c r="Z65" s="419">
        <f t="shared" ca="1" si="2"/>
        <v>-9.605209503424282E-4</v>
      </c>
      <c r="AA65" s="418">
        <f t="shared" ca="1" si="0"/>
        <v>0.10074618004076434</v>
      </c>
      <c r="AB65" s="420">
        <f t="shared" ca="1" si="1"/>
        <v>3.2437452108679357E-3</v>
      </c>
      <c r="AC65" s="419">
        <f t="shared" ca="1" si="3"/>
        <v>-4.7808397308556674E-5</v>
      </c>
      <c r="AD65" s="220"/>
      <c r="AE65" s="220">
        <f t="shared" ca="1" si="4"/>
        <v>7.3198640940557239E-3</v>
      </c>
    </row>
    <row r="66" spans="1:31" customFormat="1" ht="15">
      <c r="A66" s="220"/>
      <c r="B66" s="268">
        <v>28</v>
      </c>
      <c r="C66" s="68" t="s">
        <v>524</v>
      </c>
      <c r="D66" s="247">
        <f t="shared" ca="1" si="6"/>
        <v>1.0526315789473684</v>
      </c>
      <c r="E66" s="239"/>
      <c r="F66" s="225">
        <v>0.4</v>
      </c>
      <c r="G66" s="427">
        <v>100</v>
      </c>
      <c r="H66" s="378">
        <v>52</v>
      </c>
      <c r="I66" s="405">
        <f ca="1"/>
        <v>1.1929437646832099E-4</v>
      </c>
      <c r="J66" s="405">
        <f ca="1"/>
        <v>2.7744492564374802E-4</v>
      </c>
      <c r="K66" s="405">
        <f ca="1"/>
        <v>0.42997498040926702</v>
      </c>
      <c r="L66" s="405">
        <f ca="1"/>
        <v>0.42997498040926702</v>
      </c>
      <c r="M66" s="405">
        <f ca="1"/>
        <v>-2.26171093959291E-4</v>
      </c>
      <c r="N66" s="655" t="str">
        <f ca="1"/>
        <v>LOUIS DREYFUS COMPANY B.V.</v>
      </c>
      <c r="O66" s="405">
        <f ca="1"/>
        <v>1.1803480717043</v>
      </c>
      <c r="P66" s="405">
        <f ca="1"/>
        <v>0.75691122918439602</v>
      </c>
      <c r="Q66" s="405">
        <f ca="1"/>
        <v>1.5594273491967801</v>
      </c>
      <c r="R66" s="443">
        <f ca="1"/>
        <v>1.5594273491967801</v>
      </c>
      <c r="S66" s="435"/>
      <c r="T66" s="414" cm="1">
        <f t="array" aca="1" ref="T66:X66" ca="1">IF(AND($U$12,B90&lt;=$C$17,C90&lt;&gt;""),TRANSPOSE(INDEX(getcds(C90,$C$6,G90/10000,F90,D90,$C$13,$C$14,$C$15,$C$8,,,TRUE,TRUE,FALSE,$C$29:$C$31,$C$33),{1;2;3;4;5})),"")</f>
        <v>-7.2749780888379002E-3</v>
      </c>
      <c r="U66" s="415">
        <f ca="1"/>
        <v>2.0288869715931999E-2</v>
      </c>
      <c r="V66" s="415">
        <f ca="1"/>
        <v>2.7563847804769899E-2</v>
      </c>
      <c r="W66" s="416">
        <f ca="1"/>
        <v>7.3606812298611804E-3</v>
      </c>
      <c r="X66" s="417">
        <f ca="1"/>
        <v>2.7563847804769899</v>
      </c>
      <c r="Y66" s="418">
        <f t="shared" ca="1" si="5"/>
        <v>0.10120483225109589</v>
      </c>
      <c r="Z66" s="419">
        <f t="shared" ca="1" si="2"/>
        <v>-2.0533316561652387E-3</v>
      </c>
      <c r="AA66" s="418">
        <f t="shared" ca="1" si="0"/>
        <v>0.14332499346975566</v>
      </c>
      <c r="AB66" s="420">
        <f t="shared" ca="1" si="1"/>
        <v>6.9926471683681209E-3</v>
      </c>
      <c r="AC66" s="419">
        <f t="shared" ca="1" si="3"/>
        <v>-1.4539510597723411E-4</v>
      </c>
      <c r="AD66" s="220"/>
      <c r="AE66" s="220">
        <f t="shared" ca="1" si="4"/>
        <v>1.5681769526762465E-2</v>
      </c>
    </row>
    <row r="67" spans="1:31" customFormat="1" ht="15">
      <c r="A67" s="220"/>
      <c r="B67" s="268">
        <v>29</v>
      </c>
      <c r="C67" s="68" t="s">
        <v>538</v>
      </c>
      <c r="D67" s="247">
        <f t="shared" ca="1" si="6"/>
        <v>1.0526315789473684</v>
      </c>
      <c r="E67" s="239"/>
      <c r="F67" s="225">
        <v>0.4</v>
      </c>
      <c r="G67" s="427">
        <v>100</v>
      </c>
      <c r="H67" s="378">
        <v>53</v>
      </c>
      <c r="I67" s="405">
        <f ca="1"/>
        <v>6.4532384941524699E-5</v>
      </c>
      <c r="J67" s="405">
        <f ca="1"/>
        <v>2.8442108758132401E-4</v>
      </c>
      <c r="K67" s="405">
        <f ca="1"/>
        <v>0.226890296673495</v>
      </c>
      <c r="L67" s="405">
        <f ca="1"/>
        <v>0.226890296673495</v>
      </c>
      <c r="M67" s="405">
        <f ca="1"/>
        <v>-5.9796233734452699E-5</v>
      </c>
      <c r="N67" s="655" t="str">
        <f ca="1"/>
        <v>LVMH MOET HENNESSY LOUIS VUITTON</v>
      </c>
      <c r="O67" s="405">
        <f ca="1"/>
        <v>1.18379974379655</v>
      </c>
      <c r="P67" s="405">
        <f ca="1"/>
        <v>0.77130103059885602</v>
      </c>
      <c r="Q67" s="405">
        <f ca="1"/>
        <v>1.5348089744900499</v>
      </c>
      <c r="R67" s="443">
        <f ca="1"/>
        <v>1.5348089744900499</v>
      </c>
      <c r="S67" s="435"/>
      <c r="T67" s="414" cm="1">
        <f t="array" aca="1" ref="T67:X67" ca="1">IF(AND($U$12,B91&lt;=$C$17,C91&lt;&gt;""),TRANSPOSE(INDEX(getcds(C91,$C$6,G91/10000,F91,D91,$C$13,$C$14,$C$15,$C$8,,,TRUE,TRUE,FALSE,$C$29:$C$31,$C$33),{1;2;3;4;5})),"")</f>
        <v>-2.2422137472479599E-2</v>
      </c>
      <c r="U67" s="415">
        <f ca="1"/>
        <v>5.4601242584977798E-3</v>
      </c>
      <c r="V67" s="415">
        <f ca="1"/>
        <v>2.7882261730977399E-2</v>
      </c>
      <c r="W67" s="416">
        <f ca="1"/>
        <v>1.9582788194085201E-3</v>
      </c>
      <c r="X67" s="417">
        <f ca="1"/>
        <v>2.78822617309774</v>
      </c>
      <c r="Y67" s="418">
        <f t="shared" ca="1" si="5"/>
        <v>0.10120483225109589</v>
      </c>
      <c r="Z67" s="419">
        <f t="shared" ca="1" si="2"/>
        <v>-5.52590959651407E-4</v>
      </c>
      <c r="AA67" s="418">
        <f t="shared" ca="1" si="0"/>
        <v>7.5630098891164996E-2</v>
      </c>
      <c r="AB67" s="420">
        <f t="shared" ca="1" si="1"/>
        <v>1.860364878438094E-3</v>
      </c>
      <c r="AC67" s="419">
        <f t="shared" ca="1" si="3"/>
        <v>-2.0647486881411833E-5</v>
      </c>
      <c r="AD67" s="220"/>
      <c r="AE67" s="220">
        <f t="shared" ca="1" si="4"/>
        <v>4.2077718657642605E-3</v>
      </c>
    </row>
    <row r="68" spans="1:31" customFormat="1" ht="15">
      <c r="A68" s="220"/>
      <c r="B68" s="268">
        <v>30</v>
      </c>
      <c r="C68" s="68" t="s">
        <v>539</v>
      </c>
      <c r="D68" s="247">
        <f t="shared" ca="1" si="6"/>
        <v>1.0526315789473684</v>
      </c>
      <c r="E68" s="239"/>
      <c r="F68" s="225">
        <v>0.4</v>
      </c>
      <c r="G68" s="427">
        <v>100</v>
      </c>
      <c r="H68" s="378">
        <v>54</v>
      </c>
      <c r="I68" s="405">
        <f ca="1"/>
        <v>6.7270198944198095E-5</v>
      </c>
      <c r="J68" s="405">
        <f ca="1"/>
        <v>2.8421038809708698E-4</v>
      </c>
      <c r="K68" s="405">
        <f ca="1"/>
        <v>0.236691555838622</v>
      </c>
      <c r="L68" s="405">
        <f ca="1"/>
        <v>0.236691555838622</v>
      </c>
      <c r="M68" s="405">
        <f ca="1"/>
        <v>-6.5510645134310205E-5</v>
      </c>
      <c r="N68" s="655" t="str">
        <f ca="1"/>
        <v>NESTLE S.A.</v>
      </c>
      <c r="O68" s="405">
        <f ca="1"/>
        <v>1.1837385638015301</v>
      </c>
      <c r="P68" s="405">
        <f ca="1"/>
        <v>0.77086649904192495</v>
      </c>
      <c r="Q68" s="405">
        <f ca="1"/>
        <v>1.53559476935727</v>
      </c>
      <c r="R68" s="443">
        <f ca="1"/>
        <v>1.53559476935727</v>
      </c>
      <c r="S68" s="435"/>
      <c r="T68" s="414" cm="1">
        <f t="array" aca="1" ref="T68:X68" ca="1">IF(AND($U$12,B92&lt;=$C$17,C92&lt;&gt;""),TRANSPOSE(INDEX(getcds(C92,$C$6,G92/10000,F92,D92,$C$13,$C$14,$C$15,$C$8,,,TRUE,TRUE,FALSE,$C$29:$C$31,$C$33),{1;2;3;4;5})),"")</f>
        <v>-2.1964735833605201E-2</v>
      </c>
      <c r="U68" s="415">
        <f ca="1"/>
        <v>5.9079539555303498E-3</v>
      </c>
      <c r="V68" s="415">
        <f ca="1"/>
        <v>2.78726897891356E-2</v>
      </c>
      <c r="W68" s="416">
        <f ca="1"/>
        <v>2.11962103414691E-3</v>
      </c>
      <c r="X68" s="417">
        <f ca="1"/>
        <v>2.7872689789135601</v>
      </c>
      <c r="Y68" s="418">
        <f t="shared" ca="1" si="5"/>
        <v>0.10120483225109589</v>
      </c>
      <c r="Z68" s="419">
        <f t="shared" ca="1" si="2"/>
        <v>-5.9791348901664873E-4</v>
      </c>
      <c r="AA68" s="418">
        <f t="shared" ca="1" si="0"/>
        <v>7.8897185279540663E-2</v>
      </c>
      <c r="AB68" s="420">
        <f t="shared" ca="1" si="1"/>
        <v>2.0136399824395644E-3</v>
      </c>
      <c r="AC68" s="419">
        <f t="shared" ca="1" si="3"/>
        <v>-2.3306046892623739E-5</v>
      </c>
      <c r="AD68" s="220"/>
      <c r="AE68" s="220">
        <f t="shared" ca="1" si="4"/>
        <v>4.5532900740234581E-3</v>
      </c>
    </row>
    <row r="69" spans="1:31" customFormat="1" ht="15">
      <c r="A69" s="220"/>
      <c r="B69" s="268">
        <v>31</v>
      </c>
      <c r="C69" s="68" t="s">
        <v>540</v>
      </c>
      <c r="D69" s="247">
        <f t="shared" ca="1" si="6"/>
        <v>1.0526315789473684</v>
      </c>
      <c r="E69" s="239"/>
      <c r="F69" s="225">
        <v>0.4</v>
      </c>
      <c r="G69" s="427">
        <v>100</v>
      </c>
      <c r="H69" s="378">
        <v>55</v>
      </c>
      <c r="I69" s="405">
        <f ca="1"/>
        <v>7.4024763534756804E-5</v>
      </c>
      <c r="J69" s="405">
        <f ca="1"/>
        <v>2.8364410309961798E-4</v>
      </c>
      <c r="K69" s="405">
        <f ca="1"/>
        <v>0.26097762204758002</v>
      </c>
      <c r="L69" s="405">
        <f ca="1"/>
        <v>0.26097762204758002</v>
      </c>
      <c r="M69" s="405">
        <f ca="1"/>
        <v>-8.08081927490067E-5</v>
      </c>
      <c r="N69" s="655" t="str">
        <f ca="1"/>
        <v>NEXT PLC</v>
      </c>
      <c r="O69" s="405">
        <f ca="1"/>
        <v>1.1835580631100799</v>
      </c>
      <c r="P69" s="405">
        <f ca="1"/>
        <v>0.76969860891756203</v>
      </c>
      <c r="Q69" s="405">
        <f ca="1"/>
        <v>1.5376902717474501</v>
      </c>
      <c r="R69" s="443">
        <f ca="1"/>
        <v>1.5376902717474501</v>
      </c>
      <c r="S69" s="435"/>
      <c r="T69" s="414" cm="1">
        <f t="array" aca="1" ref="T69:X69" ca="1">IF(AND($U$12,B93&lt;=$C$17,C93&lt;&gt;""),TRANSPOSE(INDEX(getcds(C93,$C$6,G93/10000,F93,D93,$C$13,$C$14,$C$15,$C$8,,,TRUE,TRUE,FALSE,$C$29:$C$31,$C$33),{1;2;3;4;5})),"")</f>
        <v>-2.0735377807960201E-2</v>
      </c>
      <c r="U69" s="415">
        <f ca="1"/>
        <v>7.1115722719823802E-3</v>
      </c>
      <c r="V69" s="415">
        <f ca="1"/>
        <v>2.78469500799426E-2</v>
      </c>
      <c r="W69" s="416">
        <f ca="1"/>
        <v>2.55380652156397E-3</v>
      </c>
      <c r="X69" s="417">
        <f ca="1"/>
        <v>2.7846950079942601</v>
      </c>
      <c r="Y69" s="418">
        <f t="shared" ca="1" si="5"/>
        <v>0.10120483225109589</v>
      </c>
      <c r="Z69" s="419">
        <f t="shared" ca="1" si="2"/>
        <v>-7.1972547882752098E-4</v>
      </c>
      <c r="AA69" s="418">
        <f t="shared" ca="1" si="0"/>
        <v>8.6992540682526667E-2</v>
      </c>
      <c r="AB69" s="420">
        <f t="shared" ca="1" si="1"/>
        <v>2.4261161954857715E-3</v>
      </c>
      <c r="AC69" s="419">
        <f t="shared" ca="1" si="3"/>
        <v>-3.0932687009357756E-5</v>
      </c>
      <c r="AD69" s="220"/>
      <c r="AE69" s="220">
        <f t="shared" ca="1" si="4"/>
        <v>5.4822340652318658E-3</v>
      </c>
    </row>
    <row r="70" spans="1:31" customFormat="1" ht="15">
      <c r="A70" s="220"/>
      <c r="B70" s="268">
        <v>32</v>
      </c>
      <c r="C70" s="68" t="s">
        <v>525</v>
      </c>
      <c r="D70" s="247">
        <f t="shared" ca="1" si="6"/>
        <v>1.0526315789473684</v>
      </c>
      <c r="E70" s="239"/>
      <c r="F70" s="225">
        <v>0.4</v>
      </c>
      <c r="G70" s="427">
        <v>100</v>
      </c>
      <c r="H70" s="378">
        <v>56</v>
      </c>
      <c r="I70" s="405">
        <f ca="1"/>
        <v>7.2968230545919998E-5</v>
      </c>
      <c r="J70" s="405">
        <f ca="1"/>
        <v>2.8373723041761999E-4</v>
      </c>
      <c r="K70" s="405">
        <f ca="1"/>
        <v>0.25716833296258401</v>
      </c>
      <c r="L70" s="405">
        <f ca="1"/>
        <v>0.25716833296258401</v>
      </c>
      <c r="M70" s="405">
        <f ca="1"/>
        <v>-7.8302609095066698E-5</v>
      </c>
      <c r="N70" s="655" t="str">
        <f ca="1"/>
        <v>PERNOD RICARD</v>
      </c>
      <c r="O70" s="405">
        <f ca="1"/>
        <v>1.1835893094037899</v>
      </c>
      <c r="P70" s="405">
        <f ca="1"/>
        <v>0.76989067464897998</v>
      </c>
      <c r="Q70" s="405">
        <f ca="1"/>
        <v>1.5373472473133001</v>
      </c>
      <c r="R70" s="443">
        <f ca="1"/>
        <v>1.5373472473133001</v>
      </c>
      <c r="S70" s="435"/>
      <c r="T70" s="414" cm="1">
        <f t="array" aca="1" ref="T70:X70" ca="1">IF(AND($U$12,B94&lt;=$C$17,C94&lt;&gt;""),TRANSPOSE(INDEX(getcds(C94,$C$6,G94/10000,F94,D94,$C$13,$C$14,$C$15,$C$8,,,TRUE,TRUE,FALSE,$C$29:$C$31,$C$33),{1;2;3;4;5})),"")</f>
        <v>-2.09375522620842E-2</v>
      </c>
      <c r="U70" s="415">
        <f ca="1"/>
        <v>6.9136321740697797E-3</v>
      </c>
      <c r="V70" s="415">
        <f ca="1"/>
        <v>2.7851184436153999E-2</v>
      </c>
      <c r="W70" s="416">
        <f ca="1"/>
        <v>2.4823476322590799E-3</v>
      </c>
      <c r="X70" s="417">
        <f ca="1"/>
        <v>2.7851184436154002</v>
      </c>
      <c r="Y70" s="418">
        <f t="shared" ca="1" si="5"/>
        <v>0.10120483225109589</v>
      </c>
      <c r="Z70" s="419">
        <f t="shared" ca="1" si="2"/>
        <v>-6.9969298442251163E-4</v>
      </c>
      <c r="AA70" s="418">
        <f t="shared" ca="1" si="0"/>
        <v>8.5722777654194671E-2</v>
      </c>
      <c r="AB70" s="420">
        <f t="shared" ca="1" si="1"/>
        <v>2.3582302506461256E-3</v>
      </c>
      <c r="AC70" s="419">
        <f t="shared" ca="1" si="3"/>
        <v>-2.9632787682033602E-5</v>
      </c>
      <c r="AD70" s="220"/>
      <c r="AE70" s="220">
        <f t="shared" ca="1" si="4"/>
        <v>5.3294347242950884E-3</v>
      </c>
    </row>
    <row r="71" spans="1:31" customFormat="1" ht="15">
      <c r="A71" s="220"/>
      <c r="B71" s="268">
        <v>33</v>
      </c>
      <c r="C71" s="68" t="s">
        <v>526</v>
      </c>
      <c r="D71" s="247">
        <f t="shared" ca="1" si="6"/>
        <v>1.0526315789473684</v>
      </c>
      <c r="E71" s="239"/>
      <c r="F71" s="225">
        <v>0.4</v>
      </c>
      <c r="G71" s="427">
        <v>100</v>
      </c>
      <c r="H71" s="378">
        <v>57</v>
      </c>
      <c r="I71" s="405">
        <f ca="1"/>
        <v>6.04222972777313E-5</v>
      </c>
      <c r="J71" s="405">
        <f ca="1"/>
        <v>2.8471830879478802E-4</v>
      </c>
      <c r="K71" s="405">
        <f ca="1"/>
        <v>0.21221781463053299</v>
      </c>
      <c r="L71" s="405">
        <f ca="1"/>
        <v>0.21221781463053299</v>
      </c>
      <c r="M71" s="405">
        <f ca="1"/>
        <v>-5.1741706982249E-5</v>
      </c>
      <c r="N71" s="655" t="str">
        <f ca="1"/>
        <v>SODEXO</v>
      </c>
      <c r="O71" s="405">
        <f ca="1"/>
        <v>1.18388025110801</v>
      </c>
      <c r="P71" s="405">
        <f ca="1"/>
        <v>0.77191398978799297</v>
      </c>
      <c r="Q71" s="405">
        <f ca="1"/>
        <v>1.53369451359881</v>
      </c>
      <c r="R71" s="443">
        <f ca="1"/>
        <v>1.53369451359881</v>
      </c>
      <c r="S71" s="435"/>
      <c r="T71" s="414" cm="1">
        <f t="array" aca="1" ref="T71:X71" ca="1">IF(AND($U$12,B95&lt;=$C$17,C95&lt;&gt;""),TRANSPOSE(INDEX(getcds(C95,$C$6,G95/10000,F95,D95,$C$13,$C$14,$C$15,$C$8,,,TRUE,TRUE,FALSE,$C$29:$C$31,$C$33),{1;2;3;4;5})),"")</f>
        <v>-2.3067357671571101E-2</v>
      </c>
      <c r="U71" s="415">
        <f ca="1"/>
        <v>4.8284019149595001E-3</v>
      </c>
      <c r="V71" s="415">
        <f ca="1"/>
        <v>2.7895759586530601E-2</v>
      </c>
      <c r="W71" s="416">
        <f ca="1"/>
        <v>1.7308730740893299E-3</v>
      </c>
      <c r="X71" s="417">
        <f ca="1"/>
        <v>2.7895759586530602</v>
      </c>
      <c r="Y71" s="418">
        <f t="shared" ca="1" si="5"/>
        <v>0.10120483225109589</v>
      </c>
      <c r="Z71" s="419">
        <f t="shared" ca="1" si="2"/>
        <v>-4.8865760584434754E-4</v>
      </c>
      <c r="AA71" s="418">
        <f t="shared" ca="1" si="0"/>
        <v>7.0739271543510993E-2</v>
      </c>
      <c r="AB71" s="420">
        <f t="shared" ca="1" si="1"/>
        <v>1.6443294203848634E-3</v>
      </c>
      <c r="AC71" s="419">
        <f t="shared" ca="1" si="3"/>
        <v>-1.7077881709176481E-5</v>
      </c>
      <c r="AD71" s="220"/>
      <c r="AE71" s="220">
        <f t="shared" ca="1" si="4"/>
        <v>3.720477792855087E-3</v>
      </c>
    </row>
    <row r="72" spans="1:31" customFormat="1" ht="15">
      <c r="A72" s="220"/>
      <c r="B72" s="268">
        <v>34</v>
      </c>
      <c r="C72" s="68" t="s">
        <v>527</v>
      </c>
      <c r="D72" s="247">
        <f t="shared" ca="1" si="6"/>
        <v>1.0526315789473684</v>
      </c>
      <c r="E72" s="239"/>
      <c r="F72" s="225">
        <v>0.4</v>
      </c>
      <c r="G72" s="427">
        <v>100</v>
      </c>
      <c r="H72" s="378">
        <v>58</v>
      </c>
      <c r="I72" s="405">
        <f ca="1"/>
        <v>9.6022112231297697E-5</v>
      </c>
      <c r="J72" s="405">
        <f ca="1"/>
        <v>2.8125431981990498E-4</v>
      </c>
      <c r="K72" s="405">
        <f ca="1"/>
        <v>0.34140671081170698</v>
      </c>
      <c r="L72" s="405">
        <f ca="1"/>
        <v>0.34140671081170698</v>
      </c>
      <c r="M72" s="405">
        <f ca="1"/>
        <v>-1.4241154249814201E-4</v>
      </c>
      <c r="N72" s="655" t="str">
        <f ca="1"/>
        <v>SUEDZUCKER AG</v>
      </c>
      <c r="O72" s="405">
        <f ca="1"/>
        <v>1.18256676918268</v>
      </c>
      <c r="P72" s="405">
        <f ca="1"/>
        <v>0.76476959128316901</v>
      </c>
      <c r="Q72" s="405">
        <f ca="1"/>
        <v>1.54630464215831</v>
      </c>
      <c r="R72" s="443">
        <f ca="1"/>
        <v>1.54630464215831</v>
      </c>
      <c r="S72" s="435"/>
      <c r="T72" s="414" cm="1">
        <f t="array" aca="1" ref="T72:X72" ca="1">IF(AND($U$12,B96&lt;=$C$17,C96&lt;&gt;""),TRANSPOSE(INDEX(getcds(C96,$C$6,G96/10000,F96,D96,$C$13,$C$14,$C$15,$C$8,,,TRUE,TRUE,FALSE,$C$29:$C$31,$C$33),{1;2;3;4;5})),"")</f>
        <v>-1.5546938192809501E-2</v>
      </c>
      <c r="U72" s="415">
        <f ca="1"/>
        <v>1.2191165555589301E-2</v>
      </c>
      <c r="V72" s="415">
        <f ca="1"/>
        <v>2.7738103748398801E-2</v>
      </c>
      <c r="W72" s="416">
        <f ca="1"/>
        <v>4.3950969634299498E-3</v>
      </c>
      <c r="X72" s="417">
        <f ca="1"/>
        <v>2.7738103748398801</v>
      </c>
      <c r="Y72" s="418">
        <f t="shared" ca="1" si="5"/>
        <v>0.10120483225109589</v>
      </c>
      <c r="Z72" s="419">
        <f t="shared" ca="1" si="2"/>
        <v>-1.233804864998748E-3</v>
      </c>
      <c r="AA72" s="418">
        <f t="shared" ca="1" si="0"/>
        <v>0.11380223693723567</v>
      </c>
      <c r="AB72" s="420">
        <f t="shared" ca="1" si="1"/>
        <v>4.1753421152584524E-3</v>
      </c>
      <c r="AC72" s="419">
        <f t="shared" ca="1" si="3"/>
        <v>-6.9369095554911673E-5</v>
      </c>
      <c r="AD72" s="220"/>
      <c r="AE72" s="220">
        <f t="shared" ca="1" si="4"/>
        <v>9.407550349583774E-3</v>
      </c>
    </row>
    <row r="73" spans="1:31" customFormat="1" ht="15">
      <c r="A73" s="220"/>
      <c r="B73" s="268">
        <v>35</v>
      </c>
      <c r="C73" s="68" t="s">
        <v>541</v>
      </c>
      <c r="D73" s="247">
        <f t="shared" ca="1" si="6"/>
        <v>1.0526315789473684</v>
      </c>
      <c r="E73" s="239"/>
      <c r="F73" s="225">
        <v>0.4</v>
      </c>
      <c r="G73" s="427">
        <v>100</v>
      </c>
      <c r="H73" s="378">
        <v>59</v>
      </c>
      <c r="I73" s="405">
        <f ca="1"/>
        <v>8.4883109377256201E-5</v>
      </c>
      <c r="J73" s="405">
        <f ca="1"/>
        <v>2.82579518921804E-4</v>
      </c>
      <c r="K73" s="405">
        <f ca="1"/>
        <v>0.30038662993387399</v>
      </c>
      <c r="L73" s="405">
        <f ca="1"/>
        <v>0.30038662993387399</v>
      </c>
      <c r="M73" s="405">
        <f ca="1"/>
        <v>-1.08979283284835E-4</v>
      </c>
      <c r="N73" s="655" t="str">
        <f ca="1"/>
        <v>TESCO PLC</v>
      </c>
      <c r="O73" s="405">
        <f ca="1"/>
        <v>1.1831598156860901</v>
      </c>
      <c r="P73" s="405">
        <f ca="1"/>
        <v>0.76750294361574101</v>
      </c>
      <c r="Q73" s="405">
        <f ca="1"/>
        <v>1.5415703946517401</v>
      </c>
      <c r="R73" s="443">
        <f ca="1"/>
        <v>1.5415703946517401</v>
      </c>
      <c r="S73" s="435"/>
      <c r="T73" s="414" cm="1">
        <f t="array" aca="1" ref="T73:X73" ca="1">IF(AND($U$12,B97&lt;=$C$17,C97&lt;&gt;""),TRANSPOSE(INDEX(getcds(C97,$C$6,G97/10000,F97,D97,$C$13,$C$14,$C$15,$C$8,,,TRUE,TRUE,FALSE,$C$29:$C$31,$C$33),{1;2;3;4;5})),"")</f>
        <v>-1.8424151174464401E-2</v>
      </c>
      <c r="U73" s="415">
        <f ca="1"/>
        <v>9.37435525909424E-3</v>
      </c>
      <c r="V73" s="415">
        <f ca="1"/>
        <v>2.7798506433558599E-2</v>
      </c>
      <c r="W73" s="416">
        <f ca="1"/>
        <v>3.3722514126792902E-3</v>
      </c>
      <c r="X73" s="417">
        <f ca="1"/>
        <v>2.7798506433558599</v>
      </c>
      <c r="Y73" s="418">
        <f t="shared" ca="1" si="5"/>
        <v>0.10120483225109589</v>
      </c>
      <c r="Z73" s="419">
        <f t="shared" ca="1" si="2"/>
        <v>-9.4873005145881036E-4</v>
      </c>
      <c r="AA73" s="418">
        <f t="shared" ca="1" si="0"/>
        <v>0.10012887664462466</v>
      </c>
      <c r="AB73" s="420">
        <f t="shared" ca="1" si="1"/>
        <v>3.2036388420453254E-3</v>
      </c>
      <c r="AC73" s="419">
        <f t="shared" ca="1" si="3"/>
        <v>-4.6932183068036835E-5</v>
      </c>
      <c r="AD73" s="220"/>
      <c r="AE73" s="220">
        <f t="shared" ca="1" si="4"/>
        <v>7.2298411976667986E-3</v>
      </c>
    </row>
    <row r="74" spans="1:31" customFormat="1" ht="15">
      <c r="A74" s="220"/>
      <c r="B74" s="268">
        <v>36</v>
      </c>
      <c r="C74" s="68" t="s">
        <v>528</v>
      </c>
      <c r="D74" s="247">
        <f t="shared" ca="1" si="6"/>
        <v>1.0526315789473684</v>
      </c>
      <c r="E74" s="239"/>
      <c r="F74" s="225">
        <v>0.4</v>
      </c>
      <c r="G74" s="427">
        <v>100</v>
      </c>
      <c r="H74" s="378">
        <v>60</v>
      </c>
      <c r="I74" s="405">
        <f ca="1"/>
        <v>6.5206592653235202E-5</v>
      </c>
      <c r="J74" s="405">
        <f ca="1"/>
        <v>2.8437016622586E-4</v>
      </c>
      <c r="K74" s="405">
        <f ca="1"/>
        <v>0.22930180587736201</v>
      </c>
      <c r="L74" s="405">
        <f ca="1"/>
        <v>0.22930180587736201</v>
      </c>
      <c r="M74" s="405">
        <f ca="1"/>
        <v>-6.1177489515806905E-5</v>
      </c>
      <c r="N74" s="655" t="str">
        <f ca="1"/>
        <v>UNILEVER PLC</v>
      </c>
      <c r="O74" s="405">
        <f ca="1"/>
        <v>1.18378526497479</v>
      </c>
      <c r="P74" s="405">
        <f ca="1"/>
        <v>0.77119601441107499</v>
      </c>
      <c r="Q74" s="405">
        <f ca="1"/>
        <v>1.5349991997544099</v>
      </c>
      <c r="R74" s="443">
        <f ca="1"/>
        <v>1.5349991997544099</v>
      </c>
      <c r="S74" s="435"/>
      <c r="T74" s="414" cm="1">
        <f t="array" aca="1" ref="T74:X74" ca="1">IF(AND($U$12,B98&lt;=$C$17,C98&lt;&gt;""),TRANSPOSE(INDEX(getcds(C98,$C$6,G98/10000,F98,D98,$C$13,$C$14,$C$15,$C$8,,,TRUE,TRUE,FALSE,$C$29:$C$31,$C$33),{1;2;3;4;5})),"")</f>
        <v>-2.2311594116920699E-2</v>
      </c>
      <c r="U74" s="415">
        <f ca="1"/>
        <v>5.5683545418985297E-3</v>
      </c>
      <c r="V74" s="415">
        <f ca="1"/>
        <v>2.7879948658819199E-2</v>
      </c>
      <c r="W74" s="416">
        <f ca="1"/>
        <v>1.9972614046177999E-3</v>
      </c>
      <c r="X74" s="417">
        <f ca="1"/>
        <v>2.7879948658819198</v>
      </c>
      <c r="Y74" s="418">
        <f t="shared" ca="1" si="5"/>
        <v>0.10120483225109589</v>
      </c>
      <c r="Z74" s="419">
        <f t="shared" ca="1" si="2"/>
        <v>-5.6354438732746938E-4</v>
      </c>
      <c r="AA74" s="418">
        <f t="shared" ca="1" si="0"/>
        <v>7.6433935292454E-2</v>
      </c>
      <c r="AB74" s="420">
        <f t="shared" ca="1" si="1"/>
        <v>1.8973983343869099E-3</v>
      </c>
      <c r="AC74" s="419">
        <f t="shared" ca="1" si="3"/>
        <v>-2.128056253704577E-5</v>
      </c>
      <c r="AD74" s="220"/>
      <c r="AE74" s="220">
        <f t="shared" ca="1" si="4"/>
        <v>4.2912701453375109E-3</v>
      </c>
    </row>
    <row r="75" spans="1:31" customFormat="1" ht="15">
      <c r="A75" s="220"/>
      <c r="B75" s="268">
        <v>37</v>
      </c>
      <c r="C75" s="68" t="s">
        <v>542</v>
      </c>
      <c r="D75" s="247">
        <f t="shared" ca="1" si="6"/>
        <v>1.0526315789473684</v>
      </c>
      <c r="E75" s="239"/>
      <c r="F75" s="225">
        <v>0.4</v>
      </c>
      <c r="G75" s="427">
        <v>100</v>
      </c>
      <c r="H75" s="378">
        <v>61</v>
      </c>
      <c r="I75" s="405">
        <f ca="1"/>
        <v>8.2564459535230294E-5</v>
      </c>
      <c r="J75" s="405">
        <f ca="1"/>
        <v>2.82824192804218E-4</v>
      </c>
      <c r="K75" s="405">
        <f ca="1"/>
        <v>0.29192856069560003</v>
      </c>
      <c r="L75" s="405">
        <f ca="1"/>
        <v>0.29192856069560003</v>
      </c>
      <c r="M75" s="405">
        <f ca="1"/>
        <v>-1.02594305828465E-4</v>
      </c>
      <c r="N75" s="655" t="str">
        <f ca="1"/>
        <v>BP P.L.C.</v>
      </c>
      <c r="O75" s="405">
        <f ca="1"/>
        <v>1.18325781437599</v>
      </c>
      <c r="P75" s="405">
        <f ca="1"/>
        <v>0.76800758574223305</v>
      </c>
      <c r="Q75" s="405">
        <f ca="1"/>
        <v>1.54068506137533</v>
      </c>
      <c r="R75" s="443">
        <f ca="1"/>
        <v>1.54068506137533</v>
      </c>
      <c r="S75" s="435"/>
      <c r="T75" s="414" cm="1">
        <f t="array" aca="1" ref="T75:X75" ca="1">IF(AND($U$12,B99&lt;=$C$17,C99&lt;&gt;""),TRANSPOSE(INDEX(getcds(C99,$C$6,G99/10000,F99,D99,$C$13,$C$14,$C$15,$C$8,,,TRUE,TRUE,FALSE,$C$29:$C$31,$C$33),{1;2;3;4;5})),"")</f>
        <v>-1.8955353412876502E-2</v>
      </c>
      <c r="U75" s="415">
        <f ca="1"/>
        <v>8.8542931535250998E-3</v>
      </c>
      <c r="V75" s="415">
        <f ca="1"/>
        <v>2.78096465664016E-2</v>
      </c>
      <c r="W75" s="416">
        <f ca="1"/>
        <v>3.1838927303098098E-3</v>
      </c>
      <c r="X75" s="417">
        <f ca="1"/>
        <v>2.78096465664016</v>
      </c>
      <c r="Y75" s="418">
        <f t="shared" ca="1" si="5"/>
        <v>0.10120483225109589</v>
      </c>
      <c r="Z75" s="419">
        <f t="shared" ca="1" si="2"/>
        <v>-8.9609725330453674E-4</v>
      </c>
      <c r="AA75" s="418">
        <f t="shared" ca="1" si="0"/>
        <v>9.7309520231866675E-2</v>
      </c>
      <c r="AB75" s="420">
        <f t="shared" ca="1" si="1"/>
        <v>3.0246980937943192E-3</v>
      </c>
      <c r="AC75" s="419">
        <f t="shared" ca="1" si="3"/>
        <v>-4.3080350938091596E-5</v>
      </c>
      <c r="AD75" s="220"/>
      <c r="AE75" s="220">
        <f t="shared" ca="1" si="4"/>
        <v>6.8280436839071494E-3</v>
      </c>
    </row>
    <row r="76" spans="1:31" customFormat="1" ht="15">
      <c r="A76" s="220"/>
      <c r="B76" s="268">
        <v>38</v>
      </c>
      <c r="C76" s="68" t="s">
        <v>543</v>
      </c>
      <c r="D76" s="247">
        <f t="shared" ca="1" si="6"/>
        <v>1.0526315789473684</v>
      </c>
      <c r="E76" s="239"/>
      <c r="F76" s="225">
        <v>0.4</v>
      </c>
      <c r="G76" s="427">
        <v>100</v>
      </c>
      <c r="H76" s="378">
        <v>62</v>
      </c>
      <c r="I76" s="405">
        <f ca="1"/>
        <v>9.0937532844510594E-5</v>
      </c>
      <c r="J76" s="405">
        <f ca="1"/>
        <v>2.8189161388697499E-4</v>
      </c>
      <c r="K76" s="405">
        <f ca="1"/>
        <v>0.32259751040686202</v>
      </c>
      <c r="L76" s="405">
        <f ca="1"/>
        <v>0.32259751040686202</v>
      </c>
      <c r="M76" s="405">
        <f ca="1"/>
        <v>-1.2658875228056999E-4</v>
      </c>
      <c r="N76" s="655" t="str">
        <f ca="1"/>
        <v>CENTRICA PLC</v>
      </c>
      <c r="O76" s="405">
        <f ca="1"/>
        <v>1.18286473940813</v>
      </c>
      <c r="P76" s="405">
        <f ca="1"/>
        <v>0.76608409715722503</v>
      </c>
      <c r="Q76" s="405">
        <f ca="1"/>
        <v>1.54404032637864</v>
      </c>
      <c r="R76" s="443">
        <f ca="1"/>
        <v>1.54404032637864</v>
      </c>
      <c r="S76" s="435"/>
      <c r="T76" s="414" cm="1">
        <f t="array" aca="1" ref="T76:X76" ca="1">IF(AND($U$12,B100&lt;=$C$17,C100&lt;&gt;""),TRANSPOSE(INDEX(getcds(C100,$C$6,G100/10000,F100,D100,$C$13,$C$14,$C$15,$C$8,,,TRUE,TRUE,FALSE,$C$29:$C$31,$C$33),{1;2;3;4;5})),"")</f>
        <v>-1.6930628586552601E-2</v>
      </c>
      <c r="U76" s="415">
        <f ca="1"/>
        <v>1.08365369387548E-2</v>
      </c>
      <c r="V76" s="415">
        <f ca="1"/>
        <v>2.7767165525307402E-2</v>
      </c>
      <c r="W76" s="416">
        <f ca="1"/>
        <v>3.90264426841777E-3</v>
      </c>
      <c r="X76" s="417">
        <f ca="1"/>
        <v>2.7767165525307398</v>
      </c>
      <c r="Y76" s="418">
        <f t="shared" ca="1" si="5"/>
        <v>0.10120483225109589</v>
      </c>
      <c r="Z76" s="419">
        <f t="shared" ca="1" si="2"/>
        <v>-1.0967099030694879E-3</v>
      </c>
      <c r="AA76" s="418">
        <f t="shared" ca="1" si="0"/>
        <v>0.107532503468954</v>
      </c>
      <c r="AB76" s="420">
        <f t="shared" ca="1" si="1"/>
        <v>3.7075120549968812E-3</v>
      </c>
      <c r="AC76" s="419">
        <f t="shared" ca="1" si="3"/>
        <v>-5.826399729790525E-5</v>
      </c>
      <c r="AD76" s="220"/>
      <c r="AE76" s="220">
        <f t="shared" ca="1" si="4"/>
        <v>8.3599640368187504E-3</v>
      </c>
    </row>
    <row r="77" spans="1:31" customFormat="1" ht="15">
      <c r="A77" s="220"/>
      <c r="B77" s="268">
        <v>39</v>
      </c>
      <c r="C77" s="68" t="s">
        <v>544</v>
      </c>
      <c r="D77" s="247">
        <f t="shared" ca="1" si="6"/>
        <v>1.0526315789473684</v>
      </c>
      <c r="E77" s="239"/>
      <c r="F77" s="225">
        <v>0.4</v>
      </c>
      <c r="G77" s="427">
        <v>100</v>
      </c>
      <c r="H77" s="378">
        <v>63</v>
      </c>
      <c r="I77" s="405">
        <f ca="1"/>
        <v>7.5046014749624603E-5</v>
      </c>
      <c r="J77" s="405">
        <f ca="1"/>
        <v>2.8355241617184298E-4</v>
      </c>
      <c r="K77" s="405">
        <f ca="1"/>
        <v>0.26466364054589497</v>
      </c>
      <c r="L77" s="405">
        <f ca="1"/>
        <v>0.26466364054589497</v>
      </c>
      <c r="M77" s="405">
        <f ca="1"/>
        <v>-8.3269871914610802E-5</v>
      </c>
      <c r="N77" s="655" t="str">
        <f ca="1"/>
        <v>E.ON SE</v>
      </c>
      <c r="O77" s="405">
        <f ca="1"/>
        <v>1.1835267152667699</v>
      </c>
      <c r="P77" s="405">
        <f ca="1"/>
        <v>0.76950951312242499</v>
      </c>
      <c r="Q77" s="405">
        <f ca="1"/>
        <v>1.5380273993811899</v>
      </c>
      <c r="R77" s="443">
        <f ca="1"/>
        <v>1.5380273993811899</v>
      </c>
      <c r="S77" s="435"/>
      <c r="T77" s="414" cm="1">
        <f t="array" aca="1" ref="T77:X77" ca="1">IF(AND($U$12,B101&lt;=$C$17,C101&lt;&gt;""),TRANSPOSE(INDEX(getcds(C101,$C$6,G101/10000,F101,D101,$C$13,$C$14,$C$15,$C$8,,,TRUE,TRUE,FALSE,$C$29:$C$31,$C$33),{1;2;3;4;5})),"")</f>
        <v>-2.0536329602552798E-2</v>
      </c>
      <c r="U77" s="415">
        <f ca="1"/>
        <v>7.3064510876668003E-3</v>
      </c>
      <c r="V77" s="415">
        <f ca="1"/>
        <v>2.7842780690219601E-2</v>
      </c>
      <c r="W77" s="416">
        <f ca="1"/>
        <v>2.6241815316360799E-3</v>
      </c>
      <c r="X77" s="417">
        <f ca="1"/>
        <v>2.7842780690219602</v>
      </c>
      <c r="Y77" s="418">
        <f t="shared" ca="1" si="5"/>
        <v>0.10120483225109589</v>
      </c>
      <c r="Z77" s="419">
        <f t="shared" ca="1" si="2"/>
        <v>-7.3944815667815501E-4</v>
      </c>
      <c r="AA77" s="418">
        <f t="shared" ca="1" si="0"/>
        <v>8.8221213515298325E-2</v>
      </c>
      <c r="AB77" s="420">
        <f t="shared" ca="1" si="1"/>
        <v>2.4929724550542759E-3</v>
      </c>
      <c r="AC77" s="419">
        <f t="shared" ca="1" si="3"/>
        <v>-3.2229199072206804E-5</v>
      </c>
      <c r="AD77" s="220"/>
      <c r="AE77" s="220">
        <f t="shared" ca="1" si="4"/>
        <v>5.6326820328653406E-3</v>
      </c>
    </row>
    <row r="78" spans="1:31" customFormat="1" ht="15">
      <c r="A78" s="220"/>
      <c r="B78" s="268">
        <v>40</v>
      </c>
      <c r="C78" s="68" t="s">
        <v>560</v>
      </c>
      <c r="D78" s="247">
        <f t="shared" ca="1" si="6"/>
        <v>1.0526315789473684</v>
      </c>
      <c r="E78" s="239"/>
      <c r="F78" s="225">
        <v>0.4</v>
      </c>
      <c r="G78" s="427">
        <v>100</v>
      </c>
      <c r="H78" s="378">
        <v>64</v>
      </c>
      <c r="I78" s="405">
        <f ca="1"/>
        <v>9.6658774954894196E-5</v>
      </c>
      <c r="J78" s="405">
        <f ca="1"/>
        <v>2.8117038676390798E-4</v>
      </c>
      <c r="K78" s="405">
        <f ca="1"/>
        <v>0.34377295584849898</v>
      </c>
      <c r="L78" s="405">
        <f ca="1"/>
        <v>0.34377295584849898</v>
      </c>
      <c r="M78" s="405">
        <f ca="1"/>
        <v>-1.4445836574329801E-4</v>
      </c>
      <c r="N78" s="655" t="str">
        <f ca="1"/>
        <v>EDP - ENERGIAS DE PORTUGAL S.A.</v>
      </c>
      <c r="O78" s="405">
        <f ca="1"/>
        <v>1.1825258281034401</v>
      </c>
      <c r="P78" s="405">
        <f ca="1"/>
        <v>0.76459646450388796</v>
      </c>
      <c r="Q78" s="405">
        <f ca="1"/>
        <v>1.5466012243082099</v>
      </c>
      <c r="R78" s="443">
        <f ca="1"/>
        <v>1.5466012243082099</v>
      </c>
      <c r="S78" s="435"/>
      <c r="T78" s="414" cm="1">
        <f t="array" aca="1" ref="T78:X78" ca="1">IF(AND($U$12,B102&lt;=$C$17,C102&lt;&gt;""),TRANSPOSE(INDEX(getcds(C102,$C$6,G102/10000,F102,D102,$C$13,$C$14,$C$15,$C$8,,,TRUE,TRUE,FALSE,$C$29:$C$31,$C$33),{1;2;3;4;5})),"")</f>
        <v>-1.53646994777765E-2</v>
      </c>
      <c r="U78" s="415">
        <f ca="1"/>
        <v>1.2369574851080501E-2</v>
      </c>
      <c r="V78" s="415">
        <f ca="1"/>
        <v>2.7734274328857E-2</v>
      </c>
      <c r="W78" s="416">
        <f ca="1"/>
        <v>4.4600319101229203E-3</v>
      </c>
      <c r="X78" s="417">
        <f ca="1"/>
        <v>2.7734274328857</v>
      </c>
      <c r="Y78" s="418">
        <f t="shared" ca="1" si="5"/>
        <v>0.10120483225109589</v>
      </c>
      <c r="Z78" s="419">
        <f t="shared" ca="1" si="2"/>
        <v>-1.2518607478209781E-3</v>
      </c>
      <c r="AA78" s="418">
        <f t="shared" ca="1" si="0"/>
        <v>0.114590985282833</v>
      </c>
      <c r="AB78" s="420">
        <f t="shared" ca="1" si="1"/>
        <v>4.2370303146167737E-3</v>
      </c>
      <c r="AC78" s="419">
        <f t="shared" ca="1" si="3"/>
        <v>-7.0872088485753604E-5</v>
      </c>
      <c r="AD78" s="220"/>
      <c r="AE78" s="220">
        <f t="shared" ca="1" si="4"/>
        <v>9.5455635873525815E-3</v>
      </c>
    </row>
    <row r="79" spans="1:31" customFormat="1" ht="15">
      <c r="A79" s="220"/>
      <c r="B79" s="268">
        <v>41</v>
      </c>
      <c r="C79" s="68" t="s">
        <v>545</v>
      </c>
      <c r="D79" s="247">
        <f t="shared" ca="1" si="6"/>
        <v>1.0526315789473684</v>
      </c>
      <c r="E79" s="239"/>
      <c r="F79" s="225">
        <v>0.4</v>
      </c>
      <c r="G79" s="427">
        <v>100</v>
      </c>
      <c r="H79" s="378">
        <v>65</v>
      </c>
      <c r="I79" s="405">
        <f ca="1"/>
        <v>9.6595441804956395E-5</v>
      </c>
      <c r="J79" s="405">
        <f ca="1"/>
        <v>2.81178778996699E-4</v>
      </c>
      <c r="K79" s="405">
        <f ca="1"/>
        <v>0.34353745382076101</v>
      </c>
      <c r="L79" s="405">
        <f ca="1"/>
        <v>0.34353745382076101</v>
      </c>
      <c r="M79" s="405">
        <f ca="1"/>
        <v>-1.4425410589062699E-4</v>
      </c>
      <c r="N79" s="655" t="str">
        <f ca="1"/>
        <v>ELECTRICITE DE FRANCE</v>
      </c>
      <c r="O79" s="405">
        <f ca="1"/>
        <v>1.18252993913049</v>
      </c>
      <c r="P79" s="405">
        <f ca="1"/>
        <v>0.76461377493388305</v>
      </c>
      <c r="Q79" s="405">
        <f ca="1"/>
        <v>1.54657158672396</v>
      </c>
      <c r="R79" s="443">
        <f ca="1"/>
        <v>1.54657158672396</v>
      </c>
      <c r="S79" s="435"/>
      <c r="T79" s="414" cm="1">
        <f t="array" aca="1" ref="T79:X79" ca="1">IF(AND($U$12,B103&lt;=$C$17,C103&lt;&gt;""),TRANSPOSE(INDEX(getcds(C103,$C$6,G103/10000,F103,D103,$C$13,$C$14,$C$15,$C$8,,,TRUE,TRUE,FALSE,$C$29:$C$31,$C$33),{1;2;3;4;5})),"")</f>
        <v>-1.53829209830347E-2</v>
      </c>
      <c r="U79" s="415">
        <f ca="1"/>
        <v>1.23517362573795E-2</v>
      </c>
      <c r="V79" s="415">
        <f ca="1"/>
        <v>2.7734657240414198E-2</v>
      </c>
      <c r="W79" s="416">
        <f ca="1"/>
        <v>4.4535384556261401E-3</v>
      </c>
      <c r="X79" s="417">
        <f ca="1"/>
        <v>2.77346572404142</v>
      </c>
      <c r="Y79" s="418">
        <f t="shared" ca="1" si="5"/>
        <v>0.10120483225109589</v>
      </c>
      <c r="Z79" s="419">
        <f t="shared" ca="1" si="2"/>
        <v>-1.250055395937867E-3</v>
      </c>
      <c r="AA79" s="418">
        <f t="shared" ca="1" si="0"/>
        <v>0.11451248460692033</v>
      </c>
      <c r="AB79" s="420">
        <f t="shared" ca="1" si="1"/>
        <v>4.2308615328448332E-3</v>
      </c>
      <c r="AC79" s="419">
        <f t="shared" ca="1" si="3"/>
        <v>-7.0721400402095217E-5</v>
      </c>
      <c r="AD79" s="220"/>
      <c r="AE79" s="220">
        <f t="shared" ca="1" si="4"/>
        <v>9.5317636251238472E-3</v>
      </c>
    </row>
    <row r="80" spans="1:31" customFormat="1" ht="15">
      <c r="A80" s="220"/>
      <c r="B80" s="268">
        <v>42</v>
      </c>
      <c r="C80" s="68" t="s">
        <v>546</v>
      </c>
      <c r="D80" s="247">
        <f t="shared" ca="1" si="6"/>
        <v>1.0526315789473684</v>
      </c>
      <c r="E80" s="239"/>
      <c r="F80" s="225">
        <v>0.4</v>
      </c>
      <c r="G80" s="427">
        <v>100</v>
      </c>
      <c r="H80" s="378">
        <v>66</v>
      </c>
      <c r="I80" s="405">
        <f ca="1"/>
        <v>8.7571366133511996E-5</v>
      </c>
      <c r="J80" s="405">
        <f ca="1"/>
        <v>2.8228309626972899E-4</v>
      </c>
      <c r="K80" s="405">
        <f ca="1"/>
        <v>0.310225328015515</v>
      </c>
      <c r="L80" s="405">
        <f ca="1"/>
        <v>0.310225328015515</v>
      </c>
      <c r="M80" s="405">
        <f ca="1"/>
        <v>-1.16631517748107E-4</v>
      </c>
      <c r="N80" s="655" t="str">
        <f ca="1"/>
        <v>ENEL S.P.A.</v>
      </c>
      <c r="O80" s="405">
        <f ca="1"/>
        <v>1.1830361446339701</v>
      </c>
      <c r="P80" s="405">
        <f ca="1"/>
        <v>0.76689156023546601</v>
      </c>
      <c r="Q80" s="405">
        <f ca="1"/>
        <v>1.54263810684099</v>
      </c>
      <c r="R80" s="443">
        <f ca="1"/>
        <v>1.54263810684099</v>
      </c>
      <c r="S80" s="435"/>
      <c r="T80" s="414" cm="1">
        <f t="array" aca="1" ref="T80:X80" ca="1">IF(AND($U$12,B104&lt;=$C$17,C104&lt;&gt;""),TRANSPOSE(INDEX(getcds(C104,$C$6,G104/10000,F104,D104,$C$13,$C$14,$C$15,$C$8,,,TRUE,TRUE,FALSE,$C$29:$C$31,$C$33),{1;2;3;4;5})),"")</f>
        <v>-1.7780589721543099E-2</v>
      </c>
      <c r="U80" s="415">
        <f ca="1"/>
        <v>1.0004415378459801E-2</v>
      </c>
      <c r="V80" s="415">
        <f ca="1"/>
        <v>2.77850051000029E-2</v>
      </c>
      <c r="W80" s="416">
        <f ca="1"/>
        <v>3.6006527054618801E-3</v>
      </c>
      <c r="X80" s="417">
        <f ca="1"/>
        <v>2.7785005100002902</v>
      </c>
      <c r="Y80" s="418">
        <f t="shared" ref="Y80:Y143" ca="1" si="7">IF($U$12,IF(T80="","",$U$13*D104/$C$18),"")</f>
        <v>0.10120483225109589</v>
      </c>
      <c r="Z80" s="419">
        <f t="shared" ref="Z80:Z143" ca="1" si="8">IF($U$12,IF(Y80="","",Y80*($Z$10-W80)*X80),"")</f>
        <v>-1.0124951801473037E-3</v>
      </c>
      <c r="AA80" s="418">
        <f t="shared" ref="AA80:AA143" ca="1" si="9">IF($U$12,IF(OR(T80="",L80=""),"",L80/($C$20-$C$19)),"")</f>
        <v>0.10340844267183834</v>
      </c>
      <c r="AB80" s="420">
        <f t="shared" ref="AB80:AB143" ca="1" si="10">IF($U$12,IF(W80="","",W80*$AC$10),"")</f>
        <v>3.4206200701887859E-3</v>
      </c>
      <c r="AC80" s="419">
        <f t="shared" ref="AC80:AC143" ca="1" si="11">IF($U$12,IF(AA80="","",AA80*(AB80-W80)*X80),"")</f>
        <v>-5.1727050706435749E-5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8">
        <v>43</v>
      </c>
      <c r="C81" s="68" t="s">
        <v>561</v>
      </c>
      <c r="D81" s="247">
        <f t="shared" ca="1" si="6"/>
        <v>1.0526315789473684</v>
      </c>
      <c r="E81" s="239"/>
      <c r="F81" s="225">
        <v>0.4</v>
      </c>
      <c r="G81" s="427">
        <v>100</v>
      </c>
      <c r="H81" s="378">
        <v>67</v>
      </c>
      <c r="I81" s="405">
        <f ca="1"/>
        <v>7.9026014683782902E-5</v>
      </c>
      <c r="J81" s="405">
        <f ca="1"/>
        <v>2.8317891828922502E-4</v>
      </c>
      <c r="K81" s="405">
        <f ca="1"/>
        <v>0.279067436097307</v>
      </c>
      <c r="L81" s="405">
        <f ca="1"/>
        <v>0.279067436097307</v>
      </c>
      <c r="M81" s="405">
        <f ca="1"/>
        <v>-9.3236289989946403E-5</v>
      </c>
      <c r="N81" s="655" t="str">
        <f ca="1"/>
        <v>ENGIE</v>
      </c>
      <c r="O81" s="405">
        <f ca="1"/>
        <v>1.1833931450774999</v>
      </c>
      <c r="P81" s="405">
        <f ca="1"/>
        <v>0.76873919816558001</v>
      </c>
      <c r="Q81" s="405">
        <f ca="1"/>
        <v>1.53939482714215</v>
      </c>
      <c r="R81" s="443">
        <f ca="1"/>
        <v>1.53939482714215</v>
      </c>
      <c r="S81" s="435"/>
      <c r="T81" s="414" cm="1">
        <f t="array" aca="1" ref="T81:X81" ca="1">IF(AND($U$12,B105&lt;=$C$17,C105&lt;&gt;""),TRANSPOSE(INDEX(getcds(C105,$C$6,G105/10000,F105,D105,$C$13,$C$14,$C$15,$C$8,,,TRUE,TRUE,FALSE,$C$29:$C$31,$C$33),{1;2;3;4;5})),"")</f>
        <v>-1.97254717532423E-2</v>
      </c>
      <c r="U81" s="415">
        <f ca="1"/>
        <v>8.1003189618273803E-3</v>
      </c>
      <c r="V81" s="415">
        <f ca="1"/>
        <v>2.7825790715069701E-2</v>
      </c>
      <c r="W81" s="416">
        <f ca="1"/>
        <v>2.9110831188133902E-3</v>
      </c>
      <c r="X81" s="417">
        <f ca="1"/>
        <v>2.7825790715069698</v>
      </c>
      <c r="Y81" s="418">
        <f t="shared" ca="1" si="7"/>
        <v>0.10120483225109589</v>
      </c>
      <c r="Z81" s="419">
        <f t="shared" ca="1" si="8"/>
        <v>-8.1979142171211092E-4</v>
      </c>
      <c r="AA81" s="418">
        <f t="shared" ca="1" si="9"/>
        <v>9.3022478699102337E-2</v>
      </c>
      <c r="AB81" s="420">
        <f t="shared" ca="1" si="10"/>
        <v>2.7655289628727205E-3</v>
      </c>
      <c r="AC81" s="419">
        <f t="shared" ca="1" si="11"/>
        <v>-3.7675587404126141E-5</v>
      </c>
      <c r="AD81" s="220"/>
      <c r="AE81" s="220">
        <f t="shared" ca="1" si="12"/>
        <v>6.2456750723365578E-3</v>
      </c>
    </row>
    <row r="82" spans="1:31" customFormat="1" ht="15">
      <c r="A82" s="220"/>
      <c r="B82" s="268">
        <v>44</v>
      </c>
      <c r="C82" s="68" t="s">
        <v>547</v>
      </c>
      <c r="D82" s="247">
        <f t="shared" ca="1" si="6"/>
        <v>1.0526315789473684</v>
      </c>
      <c r="E82" s="239"/>
      <c r="F82" s="225">
        <v>0.4</v>
      </c>
      <c r="G82" s="427">
        <v>100</v>
      </c>
      <c r="H82" s="378">
        <v>68</v>
      </c>
      <c r="I82" s="405">
        <f ca="1"/>
        <v>8.9370346122976695E-5</v>
      </c>
      <c r="J82" s="405">
        <f ca="1"/>
        <v>2.8207676472144901E-4</v>
      </c>
      <c r="K82" s="405">
        <f ca="1"/>
        <v>0.31682987505628102</v>
      </c>
      <c r="L82" s="405">
        <f ca="1"/>
        <v>0.31682987505628102</v>
      </c>
      <c r="M82" s="405">
        <f ca="1"/>
        <v>-1.21901248378371E-4</v>
      </c>
      <c r="N82" s="655" t="str">
        <f ca="1"/>
        <v>ENI S.P.A.</v>
      </c>
      <c r="O82" s="405">
        <f ca="1"/>
        <v>1.18294693386762</v>
      </c>
      <c r="P82" s="405">
        <f ca="1"/>
        <v>0.76646598744102501</v>
      </c>
      <c r="Q82" s="405">
        <f ca="1"/>
        <v>1.54337824932987</v>
      </c>
      <c r="R82" s="443">
        <f ca="1"/>
        <v>1.54337824932987</v>
      </c>
      <c r="S82" s="435"/>
      <c r="T82" s="414" cm="1">
        <f t="array" aca="1" ref="T82:X82" ca="1">IF(AND($U$12,B106&lt;=$C$17,C106&lt;&gt;""),TRANSPOSE(INDEX(getcds(C106,$C$6,G106/10000,F106,D106,$C$13,$C$14,$C$15,$C$8,,,TRUE,TRUE,FALSE,$C$29:$C$31,$C$33),{1;2;3;4;5})),"")</f>
        <v>-1.7332618358973598E-2</v>
      </c>
      <c r="U82" s="415">
        <f ca="1"/>
        <v>1.0442985565998E-2</v>
      </c>
      <c r="V82" s="415">
        <f ca="1"/>
        <v>2.7775603924971599E-2</v>
      </c>
      <c r="W82" s="416">
        <f ca="1"/>
        <v>3.7597690384003901E-3</v>
      </c>
      <c r="X82" s="417">
        <f ca="1"/>
        <v>2.7775603924971599</v>
      </c>
      <c r="Y82" s="418">
        <f t="shared" ca="1" si="7"/>
        <v>0.10120483225109589</v>
      </c>
      <c r="Z82" s="419">
        <f t="shared" ca="1" si="8"/>
        <v>-1.0568806024074491E-3</v>
      </c>
      <c r="AA82" s="418">
        <f t="shared" ca="1" si="9"/>
        <v>0.10560995835209368</v>
      </c>
      <c r="AB82" s="420">
        <f t="shared" ca="1" si="10"/>
        <v>3.5717805864803704E-3</v>
      </c>
      <c r="AC82" s="419">
        <f t="shared" ca="1" si="11"/>
        <v>-5.5144163534828561E-5</v>
      </c>
      <c r="AD82" s="220"/>
      <c r="AE82" s="220">
        <f t="shared" ca="1" si="12"/>
        <v>8.0557223684549831E-3</v>
      </c>
    </row>
    <row r="83" spans="1:31" customFormat="1" ht="15">
      <c r="A83" s="220"/>
      <c r="B83" s="268">
        <v>45</v>
      </c>
      <c r="C83" s="68" t="s">
        <v>615</v>
      </c>
      <c r="D83" s="247">
        <f t="shared" ca="1" si="6"/>
        <v>1.0526315789473684</v>
      </c>
      <c r="E83" s="239"/>
      <c r="F83" s="225">
        <v>0.4</v>
      </c>
      <c r="G83" s="427">
        <v>100</v>
      </c>
      <c r="H83" s="378">
        <v>69</v>
      </c>
      <c r="I83" s="405">
        <f ca="1"/>
        <v>6.4097212247224997E-5</v>
      </c>
      <c r="J83" s="405">
        <f ca="1"/>
        <v>2.8445362547297999E-4</v>
      </c>
      <c r="K83" s="405">
        <f ca="1"/>
        <v>0.22533448867331601</v>
      </c>
      <c r="L83" s="405">
        <f ca="1"/>
        <v>0.22533448867331601</v>
      </c>
      <c r="M83" s="405">
        <f ca="1"/>
        <v>-5.8913688736428298E-5</v>
      </c>
      <c r="N83" s="655" t="str">
        <f ca="1"/>
        <v>EQUINOR ASA</v>
      </c>
      <c r="O83" s="405">
        <f ca="1"/>
        <v>1.1838088918177201</v>
      </c>
      <c r="P83" s="405">
        <f ca="1"/>
        <v>0.77136813385139702</v>
      </c>
      <c r="Q83" s="405">
        <f ca="1"/>
        <v>1.53468731707522</v>
      </c>
      <c r="R83" s="443">
        <f ca="1"/>
        <v>1.53468731707522</v>
      </c>
      <c r="S83" s="435"/>
      <c r="T83" s="414" cm="1">
        <f t="array" aca="1" ref="T83:X83" ca="1">IF(AND($U$12,B107&lt;=$C$17,C107&lt;&gt;""),TRANSPOSE(INDEX(getcds(C107,$C$6,G107/10000,F107,D107,$C$13,$C$14,$C$15,$C$8,,,TRUE,TRUE,FALSE,$C$29:$C$31,$C$33),{1;2;3;4;5})),"")</f>
        <v>-2.2492772475154601E-2</v>
      </c>
      <c r="U83" s="415">
        <f ca="1"/>
        <v>5.39096718148422E-3</v>
      </c>
      <c r="V83" s="415">
        <f ca="1"/>
        <v>2.78837396566388E-2</v>
      </c>
      <c r="W83" s="416">
        <f ca="1"/>
        <v>1.9333730869204599E-3</v>
      </c>
      <c r="X83" s="417">
        <f ca="1"/>
        <v>2.78837396566388</v>
      </c>
      <c r="Y83" s="418">
        <f t="shared" ca="1" si="7"/>
        <v>0.10120483225109589</v>
      </c>
      <c r="Z83" s="419">
        <f t="shared" ca="1" si="8"/>
        <v>-5.4559192927327368E-4</v>
      </c>
      <c r="AA83" s="418">
        <f t="shared" ca="1" si="9"/>
        <v>7.5111496224438676E-2</v>
      </c>
      <c r="AB83" s="420">
        <f t="shared" ca="1" si="10"/>
        <v>1.8367044325744368E-3</v>
      </c>
      <c r="AC83" s="419">
        <f t="shared" ca="1" si="11"/>
        <v>-2.0246180554906278E-5</v>
      </c>
      <c r="AD83" s="220"/>
      <c r="AE83" s="220">
        <f t="shared" ca="1" si="12"/>
        <v>4.1544199459633063E-3</v>
      </c>
    </row>
    <row r="84" spans="1:31" customFormat="1" ht="15">
      <c r="A84" s="220"/>
      <c r="B84" s="268">
        <v>46</v>
      </c>
      <c r="C84" s="68" t="s">
        <v>562</v>
      </c>
      <c r="D84" s="247">
        <f t="shared" ca="1" si="6"/>
        <v>1.0526315789473684</v>
      </c>
      <c r="E84" s="239"/>
      <c r="F84" s="225">
        <v>0.4</v>
      </c>
      <c r="G84" s="427">
        <v>100</v>
      </c>
      <c r="H84" s="378">
        <v>70</v>
      </c>
      <c r="I84" s="405">
        <f ca="1"/>
        <v>7.7616791247949699E-5</v>
      </c>
      <c r="J84" s="405">
        <f ca="1"/>
        <v>2.8331416709668301E-4</v>
      </c>
      <c r="K84" s="405">
        <f ca="1"/>
        <v>0.27396014835171401</v>
      </c>
      <c r="L84" s="405">
        <f ca="1"/>
        <v>0.27396014835171401</v>
      </c>
      <c r="M84" s="405">
        <f ca="1"/>
        <v>-8.9639603704243497E-5</v>
      </c>
      <c r="N84" s="655" t="str">
        <f ca="1"/>
        <v>FORTUM OYJ</v>
      </c>
      <c r="O84" s="405">
        <f ca="1"/>
        <v>1.1834425882128301</v>
      </c>
      <c r="P84" s="405">
        <f ca="1"/>
        <v>0.76901814180459405</v>
      </c>
      <c r="Q84" s="405">
        <f ca="1"/>
        <v>1.5389007409314699</v>
      </c>
      <c r="R84" s="443">
        <f ca="1"/>
        <v>1.5389007409314699</v>
      </c>
      <c r="S84" s="435"/>
      <c r="T84" s="414" cm="1">
        <f t="array" aca="1" ref="T84:X84" ca="1">IF(AND($U$12,B108&lt;=$C$17,C108&lt;&gt;""),TRANSPOSE(INDEX(getcds(C108,$C$6,G108/10000,F108,D108,$C$13,$C$14,$C$15,$C$8,,,TRUE,TRUE,FALSE,$C$29:$C$31,$C$33),{1;2;3;4;5})),"")</f>
        <v>-2.00190966364143E-2</v>
      </c>
      <c r="U84" s="415">
        <f ca="1"/>
        <v>7.8128473975389908E-3</v>
      </c>
      <c r="V84" s="415">
        <f ca="1"/>
        <v>2.7831944033953299E-2</v>
      </c>
      <c r="W84" s="416">
        <f ca="1"/>
        <v>2.8071511598355501E-3</v>
      </c>
      <c r="X84" s="417">
        <f ca="1"/>
        <v>2.78319440339533</v>
      </c>
      <c r="Y84" s="418">
        <f t="shared" ca="1" si="7"/>
        <v>0.10120483225109589</v>
      </c>
      <c r="Z84" s="419">
        <f t="shared" ca="1" si="8"/>
        <v>-7.9069791027134683E-4</v>
      </c>
      <c r="AA84" s="418">
        <f t="shared" ca="1" si="9"/>
        <v>9.1320049450571331E-2</v>
      </c>
      <c r="AB84" s="420">
        <f t="shared" ca="1" si="10"/>
        <v>2.6667936018437725E-3</v>
      </c>
      <c r="AC84" s="419">
        <f t="shared" ca="1" si="11"/>
        <v>-3.5673480534651528E-5</v>
      </c>
      <c r="AD84" s="220"/>
      <c r="AE84" s="220">
        <f t="shared" ca="1" si="12"/>
        <v>6.0236785993917144E-3</v>
      </c>
    </row>
    <row r="85" spans="1:31" customFormat="1" ht="15">
      <c r="A85" s="220"/>
      <c r="B85" s="268">
        <v>47</v>
      </c>
      <c r="C85" s="68" t="s">
        <v>548</v>
      </c>
      <c r="D85" s="247">
        <f t="shared" ca="1" si="6"/>
        <v>1.0526315789473684</v>
      </c>
      <c r="E85" s="239"/>
      <c r="F85" s="225">
        <v>0.4</v>
      </c>
      <c r="G85" s="427">
        <v>100</v>
      </c>
      <c r="H85" s="378">
        <v>71</v>
      </c>
      <c r="I85" s="405">
        <f ca="1"/>
        <v>7.32101236140048E-5</v>
      </c>
      <c r="J85" s="405">
        <f ca="1"/>
        <v>2.8371606249756999E-4</v>
      </c>
      <c r="K85" s="405">
        <f ca="1"/>
        <v>0.25804010872536298</v>
      </c>
      <c r="L85" s="405">
        <f ca="1"/>
        <v>0.25804010872536298</v>
      </c>
      <c r="M85" s="405">
        <f ca="1"/>
        <v>-7.8872568939749601E-5</v>
      </c>
      <c r="N85" s="655" t="str">
        <f ca="1"/>
        <v>IBERDROLA, S.A.</v>
      </c>
      <c r="O85" s="405">
        <f ca="1"/>
        <v>1.18358225999984</v>
      </c>
      <c r="P85" s="405">
        <f ca="1"/>
        <v>0.76984701796786104</v>
      </c>
      <c r="Q85" s="405">
        <f ca="1"/>
        <v>1.53742527070391</v>
      </c>
      <c r="R85" s="443">
        <f ca="1"/>
        <v>1.53742527070391</v>
      </c>
      <c r="S85" s="435"/>
      <c r="T85" s="414" cm="1">
        <f t="array" aca="1" ref="T85:X85" ca="1">IF(AND($U$12,B109&lt;=$C$17,C109&lt;&gt;""),TRANSPOSE(INDEX(getcds(C109,$C$6,G109/10000,F109,D109,$C$13,$C$14,$C$15,$C$8,,,TRUE,TRUE,FALSE,$C$29:$C$31,$C$33),{1;2;3;4;5})),"")</f>
        <v>-2.0891597860906799E-2</v>
      </c>
      <c r="U85" s="415">
        <f ca="1"/>
        <v>6.9586241488075896E-3</v>
      </c>
      <c r="V85" s="415">
        <f ca="1"/>
        <v>2.78502220097144E-2</v>
      </c>
      <c r="W85" s="416">
        <f ca="1"/>
        <v>2.4985883941536801E-3</v>
      </c>
      <c r="X85" s="417">
        <f ca="1"/>
        <v>2.78502220097144</v>
      </c>
      <c r="Y85" s="418">
        <f t="shared" ca="1" si="7"/>
        <v>0.10120483225109589</v>
      </c>
      <c r="Z85" s="419">
        <f t="shared" ca="1" si="8"/>
        <v>-7.042463896784958E-4</v>
      </c>
      <c r="AA85" s="418">
        <f t="shared" ca="1" si="9"/>
        <v>8.6013369575120999E-2</v>
      </c>
      <c r="AB85" s="420">
        <f t="shared" ca="1" si="10"/>
        <v>2.373658974445996E-3</v>
      </c>
      <c r="AC85" s="419">
        <f t="shared" ca="1" si="11"/>
        <v>-2.9926735532287439E-5</v>
      </c>
      <c r="AD85" s="220"/>
      <c r="AE85" s="220">
        <f t="shared" ca="1" si="12"/>
        <v>5.3641651032835186E-3</v>
      </c>
    </row>
    <row r="86" spans="1:31" customFormat="1" ht="15">
      <c r="A86" s="220"/>
      <c r="B86" s="268">
        <v>48</v>
      </c>
      <c r="C86" s="68" t="s">
        <v>563</v>
      </c>
      <c r="D86" s="247">
        <f t="shared" ca="1" si="6"/>
        <v>1.0526315789473684</v>
      </c>
      <c r="E86" s="239"/>
      <c r="F86" s="225">
        <v>0.4</v>
      </c>
      <c r="G86" s="427">
        <v>100</v>
      </c>
      <c r="H86" s="378">
        <v>72</v>
      </c>
      <c r="I86" s="405">
        <f ca="1"/>
        <v>9.2632122569316096E-5</v>
      </c>
      <c r="J86" s="405">
        <f ca="1"/>
        <v>2.81685563832717E-4</v>
      </c>
      <c r="K86" s="405">
        <f ca="1"/>
        <v>0.32884937839529099</v>
      </c>
      <c r="L86" s="405">
        <f ca="1"/>
        <v>0.32884937839529099</v>
      </c>
      <c r="M86" s="405">
        <f ca="1"/>
        <v>-1.3175818150568301E-4</v>
      </c>
      <c r="N86" s="655" t="str">
        <f ca="1"/>
        <v>NATIONAL GRID PLC</v>
      </c>
      <c r="O86" s="405">
        <f ca="1"/>
        <v>1.18277092509064</v>
      </c>
      <c r="P86" s="405">
        <f ca="1"/>
        <v>0.76565909583492098</v>
      </c>
      <c r="Q86" s="405">
        <f ca="1"/>
        <v>1.5447748632841301</v>
      </c>
      <c r="R86" s="443">
        <f ca="1"/>
        <v>1.5447748632841301</v>
      </c>
      <c r="S86" s="435"/>
      <c r="T86" s="414" cm="1">
        <f t="array" aca="1" ref="T86:X86" ca="1">IF(AND($U$12,B110&lt;=$C$17,C110&lt;&gt;""),TRANSPOSE(INDEX(getcds(C110,$C$6,G110/10000,F110,D110,$C$13,$C$14,$C$15,$C$8,,,TRUE,TRUE,FALSE,$C$29:$C$31,$C$33),{1;2;3;4;5})),"")</f>
        <v>-1.6483258773601E-2</v>
      </c>
      <c r="U86" s="415">
        <f ca="1"/>
        <v>1.12745133050953E-2</v>
      </c>
      <c r="V86" s="415">
        <f ca="1"/>
        <v>2.7757772078696299E-2</v>
      </c>
      <c r="W86" s="416">
        <f ca="1"/>
        <v>4.06175008323103E-3</v>
      </c>
      <c r="X86" s="417">
        <f ca="1"/>
        <v>2.7757772078696301</v>
      </c>
      <c r="Y86" s="418">
        <f t="shared" ca="1" si="7"/>
        <v>0.10120483225109589</v>
      </c>
      <c r="Z86" s="419">
        <f t="shared" ca="1" si="8"/>
        <v>-1.1410352277549151E-3</v>
      </c>
      <c r="AA86" s="418">
        <f t="shared" ca="1" si="9"/>
        <v>0.109616459465097</v>
      </c>
      <c r="AB86" s="420">
        <f t="shared" ca="1" si="10"/>
        <v>3.8586625790694782E-3</v>
      </c>
      <c r="AC86" s="419">
        <f t="shared" ca="1" si="11"/>
        <v>-6.1793611534833673E-5</v>
      </c>
      <c r="AD86" s="220"/>
      <c r="AE86" s="220">
        <f t="shared" ca="1" si="12"/>
        <v>8.6986056660482876E-3</v>
      </c>
    </row>
    <row r="87" spans="1:31" customFormat="1" ht="15">
      <c r="A87" s="220"/>
      <c r="B87" s="268">
        <v>49</v>
      </c>
      <c r="C87" s="68" t="s">
        <v>549</v>
      </c>
      <c r="D87" s="247">
        <f t="shared" ca="1" si="6"/>
        <v>1.0526315789473684</v>
      </c>
      <c r="E87" s="239"/>
      <c r="F87" s="225">
        <v>0.4</v>
      </c>
      <c r="G87" s="427">
        <v>100</v>
      </c>
      <c r="H87" s="378">
        <v>73</v>
      </c>
      <c r="I87" s="405">
        <f ca="1"/>
        <v>8.3280965303924605E-5</v>
      </c>
      <c r="J87" s="405">
        <f ca="1"/>
        <v>2.8274964364055399E-4</v>
      </c>
      <c r="K87" s="405">
        <f ca="1"/>
        <v>0.29453959422065901</v>
      </c>
      <c r="L87" s="405">
        <f ca="1"/>
        <v>0.29453959422065901</v>
      </c>
      <c r="M87" s="405">
        <f ca="1"/>
        <v>-1.04546049135294E-4</v>
      </c>
      <c r="N87" s="655" t="str">
        <f ca="1"/>
        <v>NATURGY ENERGY GROUP, S.A.</v>
      </c>
      <c r="O87" s="405">
        <f ca="1"/>
        <v>1.1832283521451401</v>
      </c>
      <c r="P87" s="405">
        <f ca="1"/>
        <v>0.76785382805682501</v>
      </c>
      <c r="Q87" s="405">
        <f ca="1"/>
        <v>1.5409552038562899</v>
      </c>
      <c r="R87" s="443">
        <f ca="1"/>
        <v>1.5409552038562899</v>
      </c>
      <c r="S87" s="435"/>
      <c r="T87" s="414" cm="1">
        <f t="array" aca="1" ref="T87:X87" ca="1">IF(AND($U$12,B111&lt;=$C$17,C111&lt;&gt;""),TRANSPOSE(INDEX(getcds(C111,$C$6,G111/10000,F111,D111,$C$13,$C$14,$C$15,$C$8,,,TRUE,TRUE,FALSE,$C$29:$C$31,$C$33),{1;2;3;4;5})),"")</f>
        <v>-1.87935032177108E-2</v>
      </c>
      <c r="U87" s="415">
        <f ca="1"/>
        <v>9.0127494831827807E-3</v>
      </c>
      <c r="V87" s="415">
        <f ca="1"/>
        <v>2.78062527008936E-2</v>
      </c>
      <c r="W87" s="416">
        <f ca="1"/>
        <v>3.2412671999104501E-3</v>
      </c>
      <c r="X87" s="417">
        <f ca="1"/>
        <v>2.7806252700893599</v>
      </c>
      <c r="Y87" s="418">
        <f t="shared" ca="1" si="7"/>
        <v>0.10120483225109589</v>
      </c>
      <c r="Z87" s="419">
        <f t="shared" ca="1" si="8"/>
        <v>-9.1213379956666437E-4</v>
      </c>
      <c r="AA87" s="418">
        <f t="shared" ca="1" si="9"/>
        <v>9.8179864740219669E-2</v>
      </c>
      <c r="AB87" s="420">
        <f t="shared" ca="1" si="10"/>
        <v>3.0792038399149275E-3</v>
      </c>
      <c r="AC87" s="419">
        <f t="shared" ca="1" si="11"/>
        <v>-4.4243526259818522E-5</v>
      </c>
      <c r="AD87" s="220"/>
      <c r="AE87" s="220">
        <f t="shared" ca="1" si="12"/>
        <v>6.9504574422507726E-3</v>
      </c>
    </row>
    <row r="88" spans="1:31" customFormat="1" ht="15">
      <c r="A88" s="220"/>
      <c r="B88" s="268">
        <v>50</v>
      </c>
      <c r="C88" s="68" t="s">
        <v>550</v>
      </c>
      <c r="D88" s="247">
        <f t="shared" ca="1" si="6"/>
        <v>1.0526315789473684</v>
      </c>
      <c r="E88" s="239"/>
      <c r="F88" s="225">
        <v>0.4</v>
      </c>
      <c r="G88" s="427">
        <v>100</v>
      </c>
      <c r="H88" s="378">
        <v>74</v>
      </c>
      <c r="I88" s="405">
        <f ca="1"/>
        <v>9.5410334879744197E-5</v>
      </c>
      <c r="J88" s="405">
        <f ca="1"/>
        <v>2.8133407900413001E-4</v>
      </c>
      <c r="K88" s="405">
        <f ca="1"/>
        <v>0.33913536254647503</v>
      </c>
      <c r="L88" s="405">
        <f ca="1"/>
        <v>0.33913536254647503</v>
      </c>
      <c r="M88" s="405">
        <f ca="1"/>
        <v>-1.4045838825105201E-4</v>
      </c>
      <c r="N88" s="655" t="str">
        <f ca="1"/>
        <v>REPSOL, S.A.</v>
      </c>
      <c r="O88" s="405">
        <f ca="1"/>
        <v>1.1826053133712999</v>
      </c>
      <c r="P88" s="405">
        <f ca="1"/>
        <v>0.76493410800550299</v>
      </c>
      <c r="Q88" s="405">
        <f ca="1"/>
        <v>1.54602246258156</v>
      </c>
      <c r="R88" s="443">
        <f ca="1"/>
        <v>1.54602246258156</v>
      </c>
      <c r="S88" s="435"/>
      <c r="T88" s="414" cm="1">
        <f t="array" aca="1" ref="T88:X88" ca="1">IF(AND($U$12,B112&lt;=$C$17,C112&lt;&gt;""),TRANSPOSE(INDEX(getcds(C112,$C$6,G112/10000,F112,D112,$C$13,$C$14,$C$15,$C$8,,,TRUE,TRUE,FALSE,$C$29:$C$31,$C$33),{1;2;3;4;5})),"")</f>
        <v>-1.5720113690003E-2</v>
      </c>
      <c r="U88" s="415">
        <f ca="1"/>
        <v>1.20216286327953E-2</v>
      </c>
      <c r="V88" s="415">
        <f ca="1"/>
        <v>2.7741742322798298E-2</v>
      </c>
      <c r="W88" s="416">
        <f ca="1"/>
        <v>4.3334079355628E-3</v>
      </c>
      <c r="X88" s="417">
        <f ca="1"/>
        <v>2.77417423227983</v>
      </c>
      <c r="Y88" s="418">
        <f t="shared" ca="1" si="7"/>
        <v>0.10120483225109589</v>
      </c>
      <c r="Z88" s="419">
        <f t="shared" ca="1" si="8"/>
        <v>-1.2166469091670149E-3</v>
      </c>
      <c r="AA88" s="418">
        <f t="shared" ca="1" si="9"/>
        <v>0.11304512084882501</v>
      </c>
      <c r="AB88" s="420">
        <f t="shared" ca="1" si="10"/>
        <v>4.1167375387846598E-3</v>
      </c>
      <c r="AC88" s="419">
        <f t="shared" ca="1" si="11"/>
        <v>-6.7949323079701809E-5</v>
      </c>
      <c r="AD88" s="220"/>
      <c r="AE88" s="220">
        <f t="shared" ca="1" si="12"/>
        <v>9.2764097404042598E-3</v>
      </c>
    </row>
    <row r="89" spans="1:31" customFormat="1" ht="15">
      <c r="A89" s="220"/>
      <c r="B89" s="268">
        <v>51</v>
      </c>
      <c r="C89" s="68" t="s">
        <v>551</v>
      </c>
      <c r="D89" s="247">
        <f t="shared" ca="1" si="6"/>
        <v>1.0526315789473684</v>
      </c>
      <c r="E89" s="239"/>
      <c r="F89" s="225">
        <v>0.4</v>
      </c>
      <c r="G89" s="427">
        <v>100</v>
      </c>
      <c r="H89" s="378">
        <v>75</v>
      </c>
      <c r="I89" s="405">
        <f ca="1"/>
        <v>6.6928631100198204E-5</v>
      </c>
      <c r="J89" s="405">
        <f ca="1"/>
        <v>2.8423724724713299E-4</v>
      </c>
      <c r="K89" s="405">
        <f ca="1"/>
        <v>0.235467489741084</v>
      </c>
      <c r="L89" s="405">
        <f ca="1"/>
        <v>0.235467489741084</v>
      </c>
      <c r="M89" s="405">
        <f ca="1"/>
        <v>-6.4782436637815806E-5</v>
      </c>
      <c r="N89" s="655" t="str">
        <f ca="1"/>
        <v>SHELL PLC</v>
      </c>
      <c r="O89" s="405">
        <f ca="1"/>
        <v>1.18374654795361</v>
      </c>
      <c r="P89" s="405">
        <f ca="1"/>
        <v>0.77092189168578895</v>
      </c>
      <c r="Q89" s="405">
        <f ca="1"/>
        <v>1.5354947897057201</v>
      </c>
      <c r="R89" s="443">
        <f ca="1"/>
        <v>1.5354947897057201</v>
      </c>
      <c r="S89" s="435"/>
      <c r="T89" s="414" cm="1">
        <f t="array" aca="1" ref="T89:X89" ca="1">IF(AND($U$12,B113&lt;=$C$17,C113&lt;&gt;""),TRANSPOSE(INDEX(getcds(C113,$C$6,G113/10000,F113,D113,$C$13,$C$14,$C$15,$C$8,,,TRUE,TRUE,FALSE,$C$29:$C$31,$C$33),{1;2;3;4;5})),"")</f>
        <v>-2.2023043879777601E-2</v>
      </c>
      <c r="U89" s="415">
        <f ca="1"/>
        <v>5.8508662568811601E-3</v>
      </c>
      <c r="V89" s="415">
        <f ca="1"/>
        <v>2.7873910136658801E-2</v>
      </c>
      <c r="W89" s="416">
        <f ca="1"/>
        <v>2.0990475423777401E-3</v>
      </c>
      <c r="X89" s="417">
        <f ca="1"/>
        <v>2.7873910136658799</v>
      </c>
      <c r="Y89" s="418">
        <f t="shared" ca="1" si="7"/>
        <v>0.10120483225109589</v>
      </c>
      <c r="Z89" s="419">
        <f t="shared" ca="1" si="8"/>
        <v>-5.9213593805125541E-4</v>
      </c>
      <c r="AA89" s="418">
        <f t="shared" ca="1" si="9"/>
        <v>7.8489163247027996E-2</v>
      </c>
      <c r="AB89" s="420">
        <f t="shared" ca="1" si="10"/>
        <v>1.994095165258853E-3</v>
      </c>
      <c r="AC89" s="419">
        <f t="shared" ca="1" si="11"/>
        <v>-2.2961479838643678E-5</v>
      </c>
      <c r="AD89" s="220"/>
      <c r="AE89" s="220">
        <f t="shared" ca="1" si="12"/>
        <v>4.5092412496482888E-3</v>
      </c>
    </row>
    <row r="90" spans="1:31" customFormat="1" ht="15">
      <c r="A90" s="220"/>
      <c r="B90" s="268">
        <v>52</v>
      </c>
      <c r="C90" s="68" t="s">
        <v>552</v>
      </c>
      <c r="D90" s="247">
        <f t="shared" ca="1" si="6"/>
        <v>1.0526315789473684</v>
      </c>
      <c r="E90" s="239"/>
      <c r="F90" s="225">
        <v>0.4</v>
      </c>
      <c r="G90" s="427">
        <v>100</v>
      </c>
      <c r="H90" s="378">
        <v>76</v>
      </c>
      <c r="I90" s="405">
        <f ca="1"/>
        <v>6.3715937181769698E-5</v>
      </c>
      <c r="J90" s="405">
        <f ca="1"/>
        <v>2.8448192219930098E-4</v>
      </c>
      <c r="K90" s="405">
        <f ca="1"/>
        <v>0.22397183163411</v>
      </c>
      <c r="L90" s="405">
        <f ca="1"/>
        <v>0.22397183163411</v>
      </c>
      <c r="M90" s="405">
        <f ca="1"/>
        <v>-5.8146247866275297E-5</v>
      </c>
      <c r="N90" s="655" t="str">
        <f ca="1"/>
        <v>TOTALENERGIES SE</v>
      </c>
      <c r="O90" s="405">
        <f ca="1"/>
        <v>1.1838167813756499</v>
      </c>
      <c r="P90" s="405">
        <f ca="1"/>
        <v>0.77142649057647805</v>
      </c>
      <c r="Q90" s="405">
        <f ca="1"/>
        <v>1.53458144857198</v>
      </c>
      <c r="R90" s="443">
        <f ca="1"/>
        <v>1.53458144857198</v>
      </c>
      <c r="S90" s="435"/>
      <c r="T90" s="414" cm="1">
        <f t="array" aca="1" ref="T90:X90" ca="1">IF(AND($U$12,B114&lt;=$C$17,C114&lt;&gt;""),TRANSPOSE(INDEX(getcds(C114,$C$6,G114/10000,F114,D114,$C$13,$C$14,$C$15,$C$8,,,TRUE,TRUE,FALSE,$C$29:$C$31,$C$33),{1;2;3;4;5})),"")</f>
        <v>-2.2554200606818502E-2</v>
      </c>
      <c r="U90" s="415">
        <f ca="1"/>
        <v>5.3308242846962098E-3</v>
      </c>
      <c r="V90" s="415">
        <f ca="1"/>
        <v>2.78850248915147E-2</v>
      </c>
      <c r="W90" s="416">
        <f ca="1"/>
        <v>1.9117158063998499E-3</v>
      </c>
      <c r="X90" s="417">
        <f ca="1"/>
        <v>2.7885024891514698</v>
      </c>
      <c r="Y90" s="418">
        <f t="shared" ca="1" si="7"/>
        <v>0.10120483225109589</v>
      </c>
      <c r="Z90" s="419">
        <f t="shared" ca="1" si="8"/>
        <v>-5.3950517749274621E-4</v>
      </c>
      <c r="AA90" s="418">
        <f t="shared" ca="1" si="9"/>
        <v>7.4657277211369999E-2</v>
      </c>
      <c r="AB90" s="420">
        <f t="shared" ca="1" si="10"/>
        <v>1.8161300160798573E-3</v>
      </c>
      <c r="AC90" s="419">
        <f t="shared" ca="1" si="11"/>
        <v>-1.9899241319383364E-5</v>
      </c>
      <c r="AD90" s="220"/>
      <c r="AE90" s="220">
        <f t="shared" ca="1" si="12"/>
        <v>4.1080232978809115E-3</v>
      </c>
    </row>
    <row r="91" spans="1:31" customFormat="1" ht="15">
      <c r="A91" s="220"/>
      <c r="B91" s="268">
        <v>53</v>
      </c>
      <c r="C91" s="68" t="s">
        <v>553</v>
      </c>
      <c r="D91" s="247">
        <f t="shared" ca="1" si="6"/>
        <v>1.0526315789473684</v>
      </c>
      <c r="E91" s="239"/>
      <c r="F91" s="225">
        <v>0.4</v>
      </c>
      <c r="G91" s="427">
        <v>100</v>
      </c>
      <c r="H91" s="378">
        <v>77</v>
      </c>
      <c r="I91" s="405">
        <f ca="1"/>
        <v>7.6353829699604694E-5</v>
      </c>
      <c r="J91" s="405">
        <f ca="1"/>
        <v>2.8343256204850102E-4</v>
      </c>
      <c r="K91" s="405">
        <f ca="1"/>
        <v>0.26938975941140803</v>
      </c>
      <c r="L91" s="405">
        <f ca="1"/>
        <v>0.26938975941140803</v>
      </c>
      <c r="M91" s="405">
        <f ca="1"/>
        <v>-8.6479371519525495E-5</v>
      </c>
      <c r="N91" s="655" t="str">
        <f ca="1"/>
        <v>VEOLIA ENVIRONNEMENT</v>
      </c>
      <c r="O91" s="405">
        <f ca="1"/>
        <v>1.18348487217</v>
      </c>
      <c r="P91" s="405">
        <f ca="1"/>
        <v>0.76926232357353996</v>
      </c>
      <c r="Q91" s="405">
        <f ca="1"/>
        <v>1.5384672249022</v>
      </c>
      <c r="R91" s="443">
        <f ca="1"/>
        <v>1.5384672249022</v>
      </c>
      <c r="S91" s="435"/>
      <c r="T91" s="414" cm="1">
        <f t="array" aca="1" ref="T91:X91" ca="1">IF(AND($U$12,B115&lt;=$C$17,C115&lt;&gt;""),TRANSPOSE(INDEX(getcds(C115,$C$6,G115/10000,F115,D115,$C$13,$C$14,$C$15,$C$8,,,TRUE,TRUE,FALSE,$C$29:$C$31,$C$33),{1;2;3;4;5})),"")</f>
        <v>-2.02761300774103E-2</v>
      </c>
      <c r="U91" s="415">
        <f ca="1"/>
        <v>7.5611995454977999E-3</v>
      </c>
      <c r="V91" s="415">
        <f ca="1"/>
        <v>2.7837329622908101E-2</v>
      </c>
      <c r="W91" s="416">
        <f ca="1"/>
        <v>2.7162086478566098E-3</v>
      </c>
      <c r="X91" s="417">
        <f ca="1"/>
        <v>2.7837329622908098</v>
      </c>
      <c r="Y91" s="418">
        <f t="shared" ca="1" si="7"/>
        <v>0.10120483225109589</v>
      </c>
      <c r="Z91" s="419">
        <f t="shared" ca="1" si="8"/>
        <v>-7.6522993161916688E-4</v>
      </c>
      <c r="AA91" s="418">
        <f t="shared" ca="1" si="9"/>
        <v>8.9796586470469342E-2</v>
      </c>
      <c r="AB91" s="420">
        <f t="shared" ca="1" si="10"/>
        <v>2.5803982154637794E-3</v>
      </c>
      <c r="AC91" s="419">
        <f t="shared" ca="1" si="11"/>
        <v>-3.3948495440388294E-5</v>
      </c>
      <c r="AD91" s="220"/>
      <c r="AE91" s="220">
        <f t="shared" ca="1" si="12"/>
        <v>5.8293674590938292E-3</v>
      </c>
    </row>
    <row r="92" spans="1:31" customFormat="1" ht="15">
      <c r="A92" s="220"/>
      <c r="B92" s="268">
        <v>54</v>
      </c>
      <c r="C92" s="68" t="s">
        <v>554</v>
      </c>
      <c r="D92" s="247">
        <f t="shared" ca="1" si="6"/>
        <v>1.0526315789473684</v>
      </c>
      <c r="E92" s="239"/>
      <c r="F92" s="225">
        <v>0.4</v>
      </c>
      <c r="G92" s="427">
        <v>100</v>
      </c>
      <c r="H92" s="378">
        <v>78</v>
      </c>
      <c r="I92" s="405">
        <f ca="1"/>
        <v>7.0489361372336794E-5</v>
      </c>
      <c r="J92" s="405">
        <f ca="1"/>
        <v>2.8394899586883099E-4</v>
      </c>
      <c r="K92" s="405">
        <f ca="1"/>
        <v>0.24824655976208901</v>
      </c>
      <c r="L92" s="405">
        <f ca="1"/>
        <v>0.24824655976208901</v>
      </c>
      <c r="M92" s="405">
        <f ca="1"/>
        <v>-7.25881657369443E-5</v>
      </c>
      <c r="N92" s="655" t="str">
        <f ca="1"/>
        <v>BERTELSMANN SE &amp; CO. KGAA</v>
      </c>
      <c r="O92" s="405">
        <f ca="1"/>
        <v>1.18365809714464</v>
      </c>
      <c r="P92" s="405">
        <f ca="1"/>
        <v>0.77032741556517303</v>
      </c>
      <c r="Q92" s="405">
        <f ca="1"/>
        <v>1.53656493748988</v>
      </c>
      <c r="R92" s="443">
        <f ca="1"/>
        <v>1.53656493748988</v>
      </c>
      <c r="S92" s="435"/>
      <c r="T92" s="414" cm="1">
        <f t="array" aca="1" ref="T92:X92" ca="1">IF(AND($U$12,B116&lt;=$C$17,C116&lt;&gt;""),TRANSPOSE(INDEX(getcds(C116,$C$6,G116/10000,F116,D116,$C$13,$C$14,$C$15,$C$8,,,TRUE,TRUE,FALSE,$C$29:$C$31,$C$33),{1;2;3;4;5})),"")</f>
        <v>-2.13972795422878E-2</v>
      </c>
      <c r="U92" s="415">
        <f ca="1"/>
        <v>6.4635315134109004E-3</v>
      </c>
      <c r="V92" s="415">
        <f ca="1"/>
        <v>2.7860811055698698E-2</v>
      </c>
      <c r="W92" s="416">
        <f ca="1"/>
        <v>2.3199365949861002E-3</v>
      </c>
      <c r="X92" s="417">
        <f ca="1"/>
        <v>2.78608110556987</v>
      </c>
      <c r="Y92" s="418">
        <f t="shared" ca="1" si="7"/>
        <v>0.10120483225109589</v>
      </c>
      <c r="Z92" s="419">
        <f t="shared" ca="1" si="8"/>
        <v>-6.5414062256441939E-4</v>
      </c>
      <c r="AA92" s="418">
        <f t="shared" ca="1" si="9"/>
        <v>8.274885325402967E-2</v>
      </c>
      <c r="AB92" s="420">
        <f t="shared" ca="1" si="10"/>
        <v>2.2039397652367952E-3</v>
      </c>
      <c r="AC92" s="419">
        <f t="shared" ca="1" si="11"/>
        <v>-2.6742491035301635E-5</v>
      </c>
      <c r="AD92" s="220"/>
      <c r="AE92" s="220">
        <f t="shared" ca="1" si="12"/>
        <v>4.9820255389902944E-3</v>
      </c>
    </row>
    <row r="93" spans="1:31" customFormat="1" ht="15">
      <c r="A93" s="220"/>
      <c r="B93" s="268">
        <v>55</v>
      </c>
      <c r="C93" s="68" t="s">
        <v>555</v>
      </c>
      <c r="D93" s="247">
        <f t="shared" ca="1" si="6"/>
        <v>1.0526315789473684</v>
      </c>
      <c r="E93" s="239"/>
      <c r="F93" s="225">
        <v>0.4</v>
      </c>
      <c r="G93" s="427">
        <v>100</v>
      </c>
      <c r="H93" s="378">
        <v>79</v>
      </c>
      <c r="I93" s="405">
        <f ca="1"/>
        <v>9.2949086711535705E-5</v>
      </c>
      <c r="J93" s="405">
        <f ca="1"/>
        <v>2.8164633294102401E-4</v>
      </c>
      <c r="K93" s="405">
        <f ca="1"/>
        <v>0.33002058198641299</v>
      </c>
      <c r="L93" s="405">
        <f ca="1"/>
        <v>0.33002058198641299</v>
      </c>
      <c r="M93" s="405">
        <f ca="1"/>
        <v>-1.3273668344156701E-4</v>
      </c>
      <c r="N93" s="655" t="str">
        <f ca="1"/>
        <v>BRITISH TELECOMMUNICATIONS PUBLIC LIMITED COMPANY</v>
      </c>
      <c r="O93" s="405">
        <f ca="1"/>
        <v>1.18275278702369</v>
      </c>
      <c r="P93" s="405">
        <f ca="1"/>
        <v>0.76557817729609101</v>
      </c>
      <c r="Q93" s="405">
        <f ca="1"/>
        <v>1.54491444779813</v>
      </c>
      <c r="R93" s="443">
        <f ca="1"/>
        <v>1.54491444779813</v>
      </c>
      <c r="S93" s="435"/>
      <c r="T93" s="414" cm="1">
        <f t="array" aca="1" ref="T93:X93" ca="1">IF(AND($U$12,B117&lt;=$C$17,C117&lt;&gt;""),TRANSPOSE(INDEX(getcds(C117,$C$6,G117/10000,F117,D117,$C$13,$C$14,$C$15,$C$8,,,TRUE,TRUE,FALSE,$C$29:$C$31,$C$33),{1;2;3;4;5})),"")</f>
        <v>-1.63980813643059E-2</v>
      </c>
      <c r="U93" s="415">
        <f ca="1"/>
        <v>1.1357901947524901E-2</v>
      </c>
      <c r="V93" s="415">
        <f ca="1"/>
        <v>2.7755983311830799E-2</v>
      </c>
      <c r="W93" s="416">
        <f ca="1"/>
        <v>4.09205533088921E-3</v>
      </c>
      <c r="X93" s="417">
        <f ca="1"/>
        <v>2.7755983311830801</v>
      </c>
      <c r="Y93" s="418">
        <f t="shared" ca="1" si="7"/>
        <v>0.10120483225109589</v>
      </c>
      <c r="Z93" s="419">
        <f t="shared" ca="1" si="8"/>
        <v>-1.1494745613236546E-3</v>
      </c>
      <c r="AA93" s="418">
        <f t="shared" ca="1" si="9"/>
        <v>0.11000686066213766</v>
      </c>
      <c r="AB93" s="420">
        <f t="shared" ca="1" si="10"/>
        <v>3.8874525643447493E-3</v>
      </c>
      <c r="AC93" s="419">
        <f t="shared" ca="1" si="11"/>
        <v>-6.2472356847779822E-5</v>
      </c>
      <c r="AD93" s="220"/>
      <c r="AE93" s="220">
        <f t="shared" ca="1" si="12"/>
        <v>8.763088184865632E-3</v>
      </c>
    </row>
    <row r="94" spans="1:31" customFormat="1" ht="15">
      <c r="A94" s="220"/>
      <c r="B94" s="268">
        <v>56</v>
      </c>
      <c r="C94" s="68" t="s">
        <v>556</v>
      </c>
      <c r="D94" s="247">
        <f t="shared" ca="1" si="6"/>
        <v>1.0526315789473684</v>
      </c>
      <c r="E94" s="239"/>
      <c r="F94" s="225">
        <v>0.4</v>
      </c>
      <c r="G94" s="427">
        <v>100</v>
      </c>
      <c r="H94" s="378">
        <v>80</v>
      </c>
      <c r="I94" s="405">
        <f ca="1"/>
        <v>7.0404787363877993E-5</v>
      </c>
      <c r="J94" s="405">
        <f ca="1"/>
        <v>2.8395605741076497E-4</v>
      </c>
      <c r="K94" s="405">
        <f ca="1"/>
        <v>0.24794254437063101</v>
      </c>
      <c r="L94" s="405">
        <f ca="1"/>
        <v>0.24794254437063101</v>
      </c>
      <c r="M94" s="405">
        <f ca="1"/>
        <v>-7.2397262243386598E-5</v>
      </c>
      <c r="N94" s="655" t="str">
        <f ca="1"/>
        <v>DEUTSCHE TELEKOM AG</v>
      </c>
      <c r="O94" s="405">
        <f ca="1"/>
        <v>1.18366033605385</v>
      </c>
      <c r="P94" s="405">
        <f ca="1"/>
        <v>0.77034197904978197</v>
      </c>
      <c r="Q94" s="405">
        <f ca="1"/>
        <v>1.5365387947751401</v>
      </c>
      <c r="R94" s="443">
        <f ca="1"/>
        <v>1.5365387947751401</v>
      </c>
      <c r="S94" s="435"/>
      <c r="T94" s="414" cm="1">
        <f t="array" aca="1" ref="T94:X94" ca="1">IF(AND($U$12,B118&lt;=$C$17,C118&lt;&gt;""),TRANSPOSE(INDEX(getcds(C118,$C$6,G118/10000,F118,D118,$C$13,$C$14,$C$15,$C$8,,,TRUE,TRUE,FALSE,$C$29:$C$31,$C$33),{1;2;3;4;5})),"")</f>
        <v>-2.1412609526086701E-2</v>
      </c>
      <c r="U94" s="415">
        <f ca="1"/>
        <v>6.44852249070895E-3</v>
      </c>
      <c r="V94" s="415">
        <f ca="1"/>
        <v>2.7861132016795701E-2</v>
      </c>
      <c r="W94" s="416">
        <f ca="1"/>
        <v>2.3145227863755002E-3</v>
      </c>
      <c r="X94" s="417">
        <f ca="1"/>
        <v>2.7861132016795702</v>
      </c>
      <c r="Y94" s="418">
        <f t="shared" ca="1" si="7"/>
        <v>0.10120483225109589</v>
      </c>
      <c r="Z94" s="419">
        <f t="shared" ca="1" si="8"/>
        <v>-6.5262163693961979E-4</v>
      </c>
      <c r="AA94" s="418">
        <f t="shared" ca="1" si="9"/>
        <v>8.2647514790210333E-2</v>
      </c>
      <c r="AB94" s="420">
        <f t="shared" ca="1" si="10"/>
        <v>2.1987966470567249E-3</v>
      </c>
      <c r="AC94" s="419">
        <f t="shared" ca="1" si="11"/>
        <v>-2.6647717896293719E-5</v>
      </c>
      <c r="AD94" s="220"/>
      <c r="AE94" s="220">
        <f t="shared" ca="1" si="12"/>
        <v>4.9704419312139045E-3</v>
      </c>
    </row>
    <row r="95" spans="1:31" customFormat="1" ht="15">
      <c r="A95" s="220"/>
      <c r="B95" s="268">
        <v>57</v>
      </c>
      <c r="C95" s="68" t="s">
        <v>564</v>
      </c>
      <c r="D95" s="247">
        <f t="shared" ca="1" si="6"/>
        <v>1.0526315789473684</v>
      </c>
      <c r="E95" s="239"/>
      <c r="F95" s="225">
        <v>0.4</v>
      </c>
      <c r="G95" s="427">
        <v>100</v>
      </c>
      <c r="H95" s="378">
        <v>81</v>
      </c>
      <c r="I95" s="405">
        <f ca="1"/>
        <v>1.0513500147781399E-4</v>
      </c>
      <c r="J95" s="405">
        <f ca="1"/>
        <v>2.7995611673415098E-4</v>
      </c>
      <c r="K95" s="405">
        <f ca="1"/>
        <v>0.37554100515564398</v>
      </c>
      <c r="L95" s="405">
        <f ca="1"/>
        <v>0.37554100515564398</v>
      </c>
      <c r="M95" s="405">
        <f ca="1"/>
        <v>-1.7306723281354801E-4</v>
      </c>
      <c r="N95" s="655" t="str">
        <f ca="1"/>
        <v>ITV PLC</v>
      </c>
      <c r="O95" s="405">
        <f ca="1"/>
        <v>1.1818913466965799</v>
      </c>
      <c r="P95" s="405">
        <f ca="1"/>
        <v>0.76209172751908005</v>
      </c>
      <c r="Q95" s="405">
        <f ca="1"/>
        <v>1.5508518253362</v>
      </c>
      <c r="R95" s="443">
        <f ca="1"/>
        <v>1.5508518253362</v>
      </c>
      <c r="S95" s="435"/>
      <c r="T95" s="414" cm="1">
        <f t="array" aca="1" ref="T95:X95" ca="1">IF(AND($U$12,B119&lt;=$C$17,C119&lt;&gt;""),TRANSPOSE(INDEX(getcds(C119,$C$6,G119/10000,F119,D119,$C$13,$C$14,$C$15,$C$8,,,TRUE,TRUE,FALSE,$C$29:$C$31,$C$33),{1;2;3;4;5})),"")</f>
        <v>-1.2728134230610699E-2</v>
      </c>
      <c r="U95" s="415">
        <f ca="1"/>
        <v>1.49506892516046E-2</v>
      </c>
      <c r="V95" s="415">
        <f ca="1"/>
        <v>2.7678823482215301E-2</v>
      </c>
      <c r="W95" s="416">
        <f ca="1"/>
        <v>5.4014901540923701E-3</v>
      </c>
      <c r="X95" s="417">
        <f ca="1"/>
        <v>2.76788234822153</v>
      </c>
      <c r="Y95" s="418">
        <f t="shared" ca="1" si="7"/>
        <v>0.10120483225109589</v>
      </c>
      <c r="Z95" s="419">
        <f t="shared" ca="1" si="8"/>
        <v>-1.5130819977469123E-3</v>
      </c>
      <c r="AA95" s="418">
        <f t="shared" ca="1" si="9"/>
        <v>0.12518033505188134</v>
      </c>
      <c r="AB95" s="420">
        <f t="shared" ca="1" si="10"/>
        <v>5.1314156463877509E-3</v>
      </c>
      <c r="AC95" s="419">
        <f t="shared" ca="1" si="11"/>
        <v>-9.3576614488621865E-5</v>
      </c>
      <c r="AD95" s="220"/>
      <c r="AE95" s="220">
        <f t="shared" ca="1" si="12"/>
        <v>1.154336243580887E-2</v>
      </c>
    </row>
    <row r="96" spans="1:31" customFormat="1" ht="15">
      <c r="A96" s="220"/>
      <c r="B96" s="268">
        <v>58</v>
      </c>
      <c r="C96" s="68" t="s">
        <v>557</v>
      </c>
      <c r="D96" s="247">
        <f t="shared" ca="1" si="6"/>
        <v>1.0526315789473684</v>
      </c>
      <c r="E96" s="239"/>
      <c r="F96" s="225">
        <v>0.4</v>
      </c>
      <c r="G96" s="427">
        <v>100</v>
      </c>
      <c r="H96" s="378">
        <v>82</v>
      </c>
      <c r="I96" s="405">
        <f ca="1"/>
        <v>7.9487960985722401E-5</v>
      </c>
      <c r="J96" s="405">
        <f ca="1"/>
        <v>2.8313384945484498E-4</v>
      </c>
      <c r="K96" s="405">
        <f ca="1"/>
        <v>0.28074340506714801</v>
      </c>
      <c r="L96" s="405">
        <f ca="1"/>
        <v>0.28074340506714801</v>
      </c>
      <c r="M96" s="405">
        <f ca="1"/>
        <v>-9.4431454467194296E-5</v>
      </c>
      <c r="N96" s="655" t="str">
        <f ca="1"/>
        <v>KONINKLIJKE KPN N.V.</v>
      </c>
      <c r="O96" s="405">
        <f ca="1"/>
        <v>1.18337640203773</v>
      </c>
      <c r="P96" s="405">
        <f ca="1"/>
        <v>0.76864624567569595</v>
      </c>
      <c r="Q96" s="405">
        <f ca="1"/>
        <v>1.5395592038538599</v>
      </c>
      <c r="R96" s="443">
        <f ca="1"/>
        <v>1.5395592038538599</v>
      </c>
      <c r="S96" s="435"/>
      <c r="T96" s="414" cm="1">
        <f t="array" aca="1" ref="T96:X96" ca="1">IF(AND($U$12,B120&lt;=$C$17,C120&lt;&gt;""),TRANSPOSE(INDEX(getcds(C120,$C$6,G120/10000,F120,D120,$C$13,$C$14,$C$15,$C$8,,,TRUE,TRUE,FALSE,$C$29:$C$31,$C$33),{1;2;3;4;5})),"")</f>
        <v>-1.9627627027048501E-2</v>
      </c>
      <c r="U96" s="415">
        <f ca="1"/>
        <v>8.1961129702378798E-3</v>
      </c>
      <c r="V96" s="415">
        <f ca="1"/>
        <v>2.7823739997286399E-2</v>
      </c>
      <c r="W96" s="416">
        <f ca="1"/>
        <v>2.9457265525904201E-3</v>
      </c>
      <c r="X96" s="417">
        <f ca="1"/>
        <v>2.7823739997286401</v>
      </c>
      <c r="Y96" s="418">
        <f t="shared" ca="1" si="7"/>
        <v>0.10120483225109589</v>
      </c>
      <c r="Z96" s="419">
        <f t="shared" ca="1" si="8"/>
        <v>-8.2948623826395451E-4</v>
      </c>
      <c r="AA96" s="418">
        <f t="shared" ca="1" si="9"/>
        <v>9.3581135022382675E-2</v>
      </c>
      <c r="AB96" s="420">
        <f t="shared" ca="1" si="10"/>
        <v>2.798440224960899E-3</v>
      </c>
      <c r="AC96" s="419">
        <f t="shared" ca="1" si="11"/>
        <v>-3.8350077726326606E-5</v>
      </c>
      <c r="AD96" s="220"/>
      <c r="AE96" s="220">
        <f t="shared" ca="1" si="12"/>
        <v>6.3196565064664451E-3</v>
      </c>
    </row>
    <row r="97" spans="1:31" customFormat="1" ht="15">
      <c r="A97" s="220"/>
      <c r="B97" s="268">
        <v>59</v>
      </c>
      <c r="C97" s="68" t="s">
        <v>558</v>
      </c>
      <c r="D97" s="247">
        <f t="shared" ca="1" si="6"/>
        <v>1.0526315789473684</v>
      </c>
      <c r="E97" s="239"/>
      <c r="F97" s="225">
        <v>0.4</v>
      </c>
      <c r="G97" s="427">
        <v>100</v>
      </c>
      <c r="H97" s="378">
        <v>83</v>
      </c>
      <c r="I97" s="405">
        <f ca="1"/>
        <v>6.3485875033375598E-5</v>
      </c>
      <c r="J97" s="405">
        <f ca="1"/>
        <v>2.8449890159869002E-4</v>
      </c>
      <c r="K97" s="405">
        <f ca="1"/>
        <v>0.22314980717545199</v>
      </c>
      <c r="L97" s="405">
        <f ca="1"/>
        <v>0.22314980717545199</v>
      </c>
      <c r="M97" s="405">
        <f ca="1"/>
        <v>-5.76857907821404E-5</v>
      </c>
      <c r="N97" s="655" t="str">
        <f ca="1"/>
        <v>ORANGE</v>
      </c>
      <c r="O97" s="405">
        <f ca="1"/>
        <v>1.1838214858564999</v>
      </c>
      <c r="P97" s="405">
        <f ca="1"/>
        <v>0.771461507322452</v>
      </c>
      <c r="Q97" s="405">
        <f ca="1"/>
        <v>1.5345178918456299</v>
      </c>
      <c r="R97" s="443">
        <f ca="1"/>
        <v>1.5345178918456299</v>
      </c>
      <c r="S97" s="435"/>
      <c r="T97" s="414" cm="1">
        <f t="array" aca="1" ref="T97:X97" ca="1">IF(AND($U$12,B121&lt;=$C$17,C121&lt;&gt;""),TRANSPOSE(INDEX(getcds(C121,$C$6,G121/10000,F121,D121,$C$13,$C$14,$C$15,$C$8,,,TRUE,TRUE,FALSE,$C$29:$C$31,$C$33),{1;2;3;4;5})),"")</f>
        <v>-2.2591060339423201E-2</v>
      </c>
      <c r="U97" s="415">
        <f ca="1"/>
        <v>5.2947357296910897E-3</v>
      </c>
      <c r="V97" s="415">
        <f ca="1"/>
        <v>2.7885796069114299E-2</v>
      </c>
      <c r="W97" s="416">
        <f ca="1"/>
        <v>1.8987213836636401E-3</v>
      </c>
      <c r="X97" s="417">
        <f ca="1"/>
        <v>2.7885796069114299</v>
      </c>
      <c r="Y97" s="418">
        <f t="shared" ca="1" si="7"/>
        <v>0.10120483225109589</v>
      </c>
      <c r="Z97" s="419">
        <f t="shared" ca="1" si="8"/>
        <v>-5.3585284133726957E-4</v>
      </c>
      <c r="AA97" s="418">
        <f t="shared" ca="1" si="9"/>
        <v>7.4383269058483997E-2</v>
      </c>
      <c r="AB97" s="420">
        <f t="shared" ca="1" si="10"/>
        <v>1.803785314480458E-3</v>
      </c>
      <c r="AC97" s="419">
        <f t="shared" ca="1" si="11"/>
        <v>-1.9691987618759027E-5</v>
      </c>
      <c r="AD97" s="220"/>
      <c r="AE97" s="220">
        <f t="shared" ca="1" si="12"/>
        <v>4.0801836681962885E-3</v>
      </c>
    </row>
    <row r="98" spans="1:31" customFormat="1" ht="15">
      <c r="A98" s="220"/>
      <c r="B98" s="268">
        <v>60</v>
      </c>
      <c r="C98" s="68" t="s">
        <v>559</v>
      </c>
      <c r="D98" s="247">
        <f t="shared" ca="1" si="6"/>
        <v>1.0526315789473684</v>
      </c>
      <c r="E98" s="239"/>
      <c r="F98" s="225">
        <v>0.4</v>
      </c>
      <c r="G98" s="427">
        <v>100</v>
      </c>
      <c r="H98" s="378">
        <v>84</v>
      </c>
      <c r="I98" s="405">
        <f ca="1"/>
        <v>8.4804738417720805E-5</v>
      </c>
      <c r="J98" s="405">
        <f ca="1"/>
        <v>2.8258795244914798E-4</v>
      </c>
      <c r="K98" s="405">
        <f ca="1"/>
        <v>0.30010033224251298</v>
      </c>
      <c r="L98" s="405">
        <f ca="1"/>
        <v>0.30010033224251298</v>
      </c>
      <c r="M98" s="405">
        <f ca="1"/>
        <v>-1.08760209590695E-4</v>
      </c>
      <c r="N98" s="655" t="str">
        <f ca="1"/>
        <v>PEARSON PLC</v>
      </c>
      <c r="O98" s="405">
        <f ca="1"/>
        <v>1.1831632555748299</v>
      </c>
      <c r="P98" s="405">
        <f ca="1"/>
        <v>0.767520338020238</v>
      </c>
      <c r="Q98" s="405">
        <f ca="1"/>
        <v>1.5415399396799201</v>
      </c>
      <c r="R98" s="443">
        <f ca="1"/>
        <v>1.5415399396799201</v>
      </c>
      <c r="S98" s="435"/>
      <c r="T98" s="414" cm="1">
        <f t="array" aca="1" ref="T98:X98" ca="1">IF(AND($U$12,B122&lt;=$C$17,C122&lt;&gt;""),TRANSPOSE(INDEX(getcds(C122,$C$6,G122/10000,F122,D122,$C$13,$C$14,$C$15,$C$8,,,TRUE,TRUE,FALSE,$C$29:$C$31,$C$33),{1;2;3;4;5})),"")</f>
        <v>-1.84424610739343E-2</v>
      </c>
      <c r="U98" s="415">
        <f ca="1"/>
        <v>9.3564294068096791E-3</v>
      </c>
      <c r="V98" s="415">
        <f ca="1"/>
        <v>2.7798890480744E-2</v>
      </c>
      <c r="W98" s="416">
        <f ca="1"/>
        <v>3.3657564186925998E-3</v>
      </c>
      <c r="X98" s="417">
        <f ca="1"/>
        <v>2.7798890480743998</v>
      </c>
      <c r="Y98" s="418">
        <f t="shared" ca="1" si="7"/>
        <v>0.10120483225109589</v>
      </c>
      <c r="Z98" s="419">
        <f t="shared" ca="1" si="8"/>
        <v>-9.469158685853936E-4</v>
      </c>
      <c r="AA98" s="418">
        <f t="shared" ca="1" si="9"/>
        <v>0.10003344408083766</v>
      </c>
      <c r="AB98" s="420">
        <f t="shared" ca="1" si="10"/>
        <v>3.1974685977579696E-3</v>
      </c>
      <c r="AC98" s="419">
        <f t="shared" ca="1" si="11"/>
        <v>-4.6797792893120084E-5</v>
      </c>
      <c r="AD98" s="220"/>
      <c r="AE98" s="220">
        <f t="shared" ca="1" si="12"/>
        <v>7.2159903787417726E-3</v>
      </c>
    </row>
    <row r="99" spans="1:31" customFormat="1" ht="15">
      <c r="A99" s="220"/>
      <c r="B99" s="268">
        <v>61</v>
      </c>
      <c r="C99" s="68" t="s">
        <v>565</v>
      </c>
      <c r="D99" s="247">
        <f t="shared" ca="1" si="6"/>
        <v>1.0526315789473684</v>
      </c>
      <c r="E99" s="239"/>
      <c r="F99" s="225">
        <v>0.4</v>
      </c>
      <c r="G99" s="427">
        <v>100</v>
      </c>
      <c r="H99" s="378">
        <v>85</v>
      </c>
      <c r="I99" s="405">
        <f ca="1"/>
        <v>7.6064147993599697E-5</v>
      </c>
      <c r="J99" s="405">
        <f ca="1"/>
        <v>2.8345934863575E-4</v>
      </c>
      <c r="K99" s="405">
        <f ca="1"/>
        <v>0.26834235088624098</v>
      </c>
      <c r="L99" s="405">
        <f ca="1"/>
        <v>0.26834235088624098</v>
      </c>
      <c r="M99" s="405">
        <f ca="1"/>
        <v>-8.5762940724780595E-5</v>
      </c>
      <c r="N99" s="655" t="str">
        <f ca="1"/>
        <v>PUBLICIS GROUPE SA</v>
      </c>
      <c r="O99" s="405">
        <f ca="1"/>
        <v>1.1834943082584499</v>
      </c>
      <c r="P99" s="405">
        <f ca="1"/>
        <v>0.76931756890159697</v>
      </c>
      <c r="Q99" s="405">
        <f ca="1"/>
        <v>1.53836901183499</v>
      </c>
      <c r="R99" s="443">
        <f ca="1"/>
        <v>1.53836901183499</v>
      </c>
      <c r="S99" s="435"/>
      <c r="T99" s="414" cm="1">
        <f t="array" aca="1" ref="T99:X99" ca="1">IF(AND($U$12,B123&lt;=$C$17,C123&lt;&gt;""),TRANSPOSE(INDEX(getcds(C123,$C$6,G123/10000,F123,D123,$C$13,$C$14,$C$15,$C$8,,,TRUE,TRUE,FALSE,$C$29:$C$31,$C$33),{1;2;3;4;5})),"")</f>
        <v>-2.0334283054312799E-2</v>
      </c>
      <c r="U99" s="415">
        <f ca="1"/>
        <v>7.50426492334429E-3</v>
      </c>
      <c r="V99" s="415">
        <f ca="1"/>
        <v>2.7838547977657099E-2</v>
      </c>
      <c r="W99" s="416">
        <f ca="1"/>
        <v>2.6956380517285401E-3</v>
      </c>
      <c r="X99" s="417">
        <f ca="1"/>
        <v>2.7838547977657102</v>
      </c>
      <c r="Y99" s="418">
        <f t="shared" ca="1" si="7"/>
        <v>0.10120483225109589</v>
      </c>
      <c r="Z99" s="419">
        <f t="shared" ca="1" si="8"/>
        <v>-7.5946787273484359E-4</v>
      </c>
      <c r="AA99" s="418">
        <f t="shared" ca="1" si="9"/>
        <v>8.9447450295413664E-2</v>
      </c>
      <c r="AB99" s="420">
        <f t="shared" ca="1" si="10"/>
        <v>2.560856149142113E-3</v>
      </c>
      <c r="AC99" s="419">
        <f t="shared" ca="1" si="11"/>
        <v>-3.356186818672283E-5</v>
      </c>
      <c r="AD99" s="220"/>
      <c r="AE99" s="220">
        <f t="shared" ca="1" si="12"/>
        <v>5.7854078129028789E-3</v>
      </c>
    </row>
    <row r="100" spans="1:31" customFormat="1" ht="15">
      <c r="A100" s="220"/>
      <c r="B100" s="268">
        <v>62</v>
      </c>
      <c r="C100" s="68" t="s">
        <v>566</v>
      </c>
      <c r="D100" s="247">
        <f t="shared" ca="1" si="6"/>
        <v>1.0526315789473684</v>
      </c>
      <c r="E100" s="239"/>
      <c r="F100" s="225">
        <v>0.4</v>
      </c>
      <c r="G100" s="427">
        <v>100</v>
      </c>
      <c r="H100" s="378">
        <v>86</v>
      </c>
      <c r="I100" s="405">
        <f ca="1"/>
        <v>1.3494085566784301E-4</v>
      </c>
      <c r="J100" s="405">
        <f ca="1"/>
        <v>2.7367231803866998E-4</v>
      </c>
      <c r="K100" s="405">
        <f ca="1"/>
        <v>0.49307455220507801</v>
      </c>
      <c r="L100" s="405">
        <f ca="1"/>
        <v>0.49307455220507801</v>
      </c>
      <c r="M100" s="405">
        <f ca="1"/>
        <v>-2.91295464138849E-4</v>
      </c>
      <c r="N100" s="655" t="str">
        <f ca="1"/>
        <v>SES</v>
      </c>
      <c r="O100" s="405">
        <f ca="1"/>
        <v>1.17751577931489</v>
      </c>
      <c r="P100" s="405">
        <f ca="1"/>
        <v>0.74912709477798101</v>
      </c>
      <c r="Q100" s="405">
        <f ca="1"/>
        <v>1.57185047440297</v>
      </c>
      <c r="R100" s="443">
        <f ca="1"/>
        <v>1.57185047440297</v>
      </c>
      <c r="S100" s="435"/>
      <c r="T100" s="414" cm="1">
        <f t="array" aca="1" ref="T100:X100" ca="1">IF(AND($U$12,B124&lt;=$C$17,C124&lt;&gt;""),TRANSPOSE(INDEX(getcds(C124,$C$6,G124/10000,F124,D124,$C$13,$C$14,$C$15,$C$8,,,TRUE,TRUE,FALSE,$C$29:$C$31,$C$33),{1;2;3;4;5})),"")</f>
        <v>9.1884760212520102E-4</v>
      </c>
      <c r="U100" s="415">
        <f ca="1"/>
        <v>2.83091956062093E-2</v>
      </c>
      <c r="V100" s="415">
        <f ca="1"/>
        <v>2.73903480040841E-2</v>
      </c>
      <c r="W100" s="416">
        <f ca="1"/>
        <v>1.03354640116249E-2</v>
      </c>
      <c r="X100" s="417">
        <f ca="1"/>
        <v>2.73903480040841</v>
      </c>
      <c r="Y100" s="418">
        <f t="shared" ca="1" si="7"/>
        <v>0.10120483225109589</v>
      </c>
      <c r="Z100" s="419">
        <f t="shared" ca="1" si="8"/>
        <v>-2.8650273924898744E-3</v>
      </c>
      <c r="AA100" s="418">
        <f t="shared" ca="1" si="9"/>
        <v>0.16435818406835934</v>
      </c>
      <c r="AB100" s="420">
        <f t="shared" ca="1" si="10"/>
        <v>9.8186908110436538E-3</v>
      </c>
      <c r="AC100" s="419">
        <f t="shared" ca="1" si="11"/>
        <v>-2.3264239911362743E-4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8">
        <v>63</v>
      </c>
      <c r="C101" s="68" t="s">
        <v>576</v>
      </c>
      <c r="D101" s="247">
        <f t="shared" ca="1" si="6"/>
        <v>1.0526315789473684</v>
      </c>
      <c r="E101" s="239"/>
      <c r="F101" s="225">
        <v>0.4</v>
      </c>
      <c r="G101" s="427">
        <v>100</v>
      </c>
      <c r="H101" s="378">
        <v>87</v>
      </c>
      <c r="I101" s="405">
        <f ca="1"/>
        <v>4.05458830832827E-5</v>
      </c>
      <c r="J101" s="405">
        <f ca="1"/>
        <v>2.85867614299378E-4</v>
      </c>
      <c r="K101" s="405">
        <f ca="1"/>
        <v>0.141834475313529</v>
      </c>
      <c r="L101" s="405">
        <f ca="1"/>
        <v>0.141834475313529</v>
      </c>
      <c r="M101" s="405">
        <f ca="1"/>
        <v>-2.1500626790767001E-5</v>
      </c>
      <c r="N101" s="655" t="str">
        <f ca="1"/>
        <v>SKY LIMITED</v>
      </c>
      <c r="O101" s="405">
        <f ca="1"/>
        <v>1.1841213210499699</v>
      </c>
      <c r="P101" s="405">
        <f ca="1"/>
        <v>0.77428411000126596</v>
      </c>
      <c r="Q101" s="405">
        <f ca="1"/>
        <v>1.5293111478783099</v>
      </c>
      <c r="R101" s="443">
        <f ca="1"/>
        <v>1.5293111478783099</v>
      </c>
      <c r="S101" s="435"/>
      <c r="T101" s="414" cm="1">
        <f t="array" aca="1" ref="T101:X101" ca="1">IF(AND($U$12,B125&lt;=$C$17,C125&lt;&gt;""),TRANSPOSE(INDEX(getcds(C125,$C$6,G125/10000,F125,D125,$C$13,$C$14,$C$15,$C$8,,,TRUE,TRUE,FALSE,$C$29:$C$31,$C$33),{1;2;3;4;5})),"")</f>
        <v>-2.5562221053963802E-2</v>
      </c>
      <c r="U101" s="415">
        <f ca="1"/>
        <v>2.3856808230909E-3</v>
      </c>
      <c r="V101" s="415">
        <f ca="1"/>
        <v>2.79479018770547E-2</v>
      </c>
      <c r="W101" s="416">
        <f ca="1"/>
        <v>8.5361714578279402E-4</v>
      </c>
      <c r="X101" s="417">
        <f ca="1"/>
        <v>2.7947901877054702</v>
      </c>
      <c r="Y101" s="418">
        <f t="shared" ca="1" si="7"/>
        <v>0.10120483225109589</v>
      </c>
      <c r="Z101" s="419">
        <f t="shared" ca="1" si="8"/>
        <v>-2.4144242750557114E-4</v>
      </c>
      <c r="AA101" s="418">
        <f t="shared" ca="1" si="9"/>
        <v>4.7278158437842999E-2</v>
      </c>
      <c r="AB101" s="420">
        <f t="shared" ca="1" si="10"/>
        <v>8.1093628849365426E-4</v>
      </c>
      <c r="AC101" s="419">
        <f t="shared" ca="1" si="11"/>
        <v>-5.6395297968107774E-6</v>
      </c>
      <c r="AD101" s="220"/>
      <c r="AE101" s="220">
        <f t="shared" ca="1" si="12"/>
        <v>1.8373751376222752E-3</v>
      </c>
    </row>
    <row r="102" spans="1:31" customFormat="1" ht="15">
      <c r="A102" s="220"/>
      <c r="B102" s="268">
        <v>64</v>
      </c>
      <c r="C102" s="68" t="s">
        <v>616</v>
      </c>
      <c r="D102" s="247">
        <f t="shared" ca="1" si="6"/>
        <v>1.0526315789473684</v>
      </c>
      <c r="E102" s="239"/>
      <c r="F102" s="225">
        <v>0.4</v>
      </c>
      <c r="G102" s="427">
        <v>100</v>
      </c>
      <c r="H102" s="378">
        <v>88</v>
      </c>
      <c r="I102" s="405">
        <f ca="1"/>
        <v>6.5522083769542505E-5</v>
      </c>
      <c r="J102" s="405">
        <f ca="1"/>
        <v>2.8434612312259002E-4</v>
      </c>
      <c r="K102" s="405">
        <f ca="1"/>
        <v>0.230430726643999</v>
      </c>
      <c r="L102" s="405">
        <f ca="1"/>
        <v>0.230430726643999</v>
      </c>
      <c r="M102" s="405">
        <f ca="1"/>
        <v>-6.18296618755277E-5</v>
      </c>
      <c r="N102" s="655" t="str">
        <f ca="1"/>
        <v>STMICROELECTRONICS N.V.</v>
      </c>
      <c r="O102" s="405">
        <f ca="1"/>
        <v>1.18377836018895</v>
      </c>
      <c r="P102" s="405">
        <f ca="1"/>
        <v>0.77114642979110903</v>
      </c>
      <c r="Q102" s="405">
        <f ca="1"/>
        <v>1.5350889460898101</v>
      </c>
      <c r="R102" s="443">
        <f ca="1"/>
        <v>1.5350889460898101</v>
      </c>
      <c r="S102" s="435"/>
      <c r="T102" s="414" cm="1">
        <f t="array" aca="1" ref="T102:X102" ca="1">IF(AND($U$12,B126&lt;=$C$17,C126&lt;&gt;""),TRANSPOSE(INDEX(getcds(C126,$C$6,G126/10000,F126,D126,$C$13,$C$14,$C$15,$C$8,,,TRUE,TRUE,FALSE,$C$29:$C$31,$C$33),{1;2;3;4;5})),"")</f>
        <v>-2.2259399780115201E-2</v>
      </c>
      <c r="U102" s="415">
        <f ca="1"/>
        <v>5.6194566806361604E-3</v>
      </c>
      <c r="V102" s="415">
        <f ca="1"/>
        <v>2.7878856460751399E-2</v>
      </c>
      <c r="W102" s="416">
        <f ca="1"/>
        <v>2.0156697203658198E-3</v>
      </c>
      <c r="X102" s="417">
        <f ca="1"/>
        <v>2.7878856460751398</v>
      </c>
      <c r="Y102" s="418">
        <f t="shared" ca="1" si="7"/>
        <v>0.10120483225109589</v>
      </c>
      <c r="Z102" s="419">
        <f t="shared" ca="1" si="8"/>
        <v>-5.6871617070608266E-4</v>
      </c>
      <c r="AA102" s="418">
        <f t="shared" ca="1" si="9"/>
        <v>7.6810242214666327E-2</v>
      </c>
      <c r="AB102" s="420">
        <f t="shared" ca="1" si="10"/>
        <v>1.9148862343475288E-3</v>
      </c>
      <c r="AC102" s="419">
        <f t="shared" ca="1" si="11"/>
        <v>-2.158159143772443E-5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8">
        <v>65</v>
      </c>
      <c r="C103" s="68" t="s">
        <v>567</v>
      </c>
      <c r="D103" s="247">
        <f t="shared" ca="1" si="6"/>
        <v>1.0526315789473684</v>
      </c>
      <c r="E103" s="239"/>
      <c r="F103" s="225">
        <v>0.4</v>
      </c>
      <c r="G103" s="427">
        <v>100</v>
      </c>
      <c r="H103" s="378">
        <v>89</v>
      </c>
      <c r="I103" s="405">
        <f ca="1"/>
        <v>9.4033247147866706E-5</v>
      </c>
      <c r="J103" s="405">
        <f ca="1"/>
        <v>2.8151046765312999E-4</v>
      </c>
      <c r="K103" s="405">
        <f ca="1"/>
        <v>0.33403108570631201</v>
      </c>
      <c r="L103" s="405">
        <f ca="1"/>
        <v>0.33403108570631201</v>
      </c>
      <c r="M103" s="405">
        <f ca="1"/>
        <v>-1.3611110306207999E-4</v>
      </c>
      <c r="N103" s="655" t="str">
        <f ca="1"/>
        <v>TELEFONICA, S.A.</v>
      </c>
      <c r="O103" s="405">
        <f ca="1"/>
        <v>1.1826892945485199</v>
      </c>
      <c r="P103" s="405">
        <f ca="1"/>
        <v>0.76529793666613299</v>
      </c>
      <c r="Q103" s="405">
        <f ca="1"/>
        <v>1.5453972079170499</v>
      </c>
      <c r="R103" s="443">
        <f ca="1"/>
        <v>1.5453972079170499</v>
      </c>
      <c r="S103" s="435"/>
      <c r="T103" s="414" cm="1">
        <f t="array" aca="1" ref="T103:X103" ca="1">IF(AND($U$12,B127&lt;=$C$17,C127&lt;&gt;""),TRANSPOSE(INDEX(getcds(C127,$C$6,G127/10000,F127,D127,$C$13,$C$14,$C$15,$C$8,,,TRUE,TRUE,FALSE,$C$29:$C$31,$C$33),{1;2;3;4;5})),"")</f>
        <v>-1.6103091227507998E-2</v>
      </c>
      <c r="U103" s="415">
        <f ca="1"/>
        <v>1.164669642492E-2</v>
      </c>
      <c r="V103" s="415">
        <f ca="1"/>
        <v>2.7749787652427998E-2</v>
      </c>
      <c r="W103" s="416">
        <f ca="1"/>
        <v>4.1970398371322199E-3</v>
      </c>
      <c r="X103" s="417">
        <f ca="1"/>
        <v>2.7749787652428002</v>
      </c>
      <c r="Y103" s="418">
        <f t="shared" ca="1" si="7"/>
        <v>0.10120483225109589</v>
      </c>
      <c r="Z103" s="419">
        <f t="shared" ca="1" si="8"/>
        <v>-1.1787019579634678E-3</v>
      </c>
      <c r="AA103" s="418">
        <f t="shared" ca="1" si="9"/>
        <v>0.11134369523543734</v>
      </c>
      <c r="AB103" s="420">
        <f t="shared" ca="1" si="10"/>
        <v>3.9871878452756087E-3</v>
      </c>
      <c r="AC103" s="419">
        <f t="shared" ca="1" si="11"/>
        <v>-6.4839310861797641E-5</v>
      </c>
      <c r="AD103" s="220"/>
      <c r="AE103" s="220">
        <f t="shared" ca="1" si="12"/>
        <v>8.9864229916841332E-3</v>
      </c>
    </row>
    <row r="104" spans="1:31" customFormat="1" ht="15">
      <c r="A104" s="220"/>
      <c r="B104" s="268">
        <v>66</v>
      </c>
      <c r="C104" s="68" t="s">
        <v>577</v>
      </c>
      <c r="D104" s="247">
        <f t="shared" ref="D104:D133" ca="1" si="13">100/95</f>
        <v>1.0526315789473684</v>
      </c>
      <c r="E104" s="239"/>
      <c r="F104" s="225">
        <v>0.4</v>
      </c>
      <c r="G104" s="427">
        <v>100</v>
      </c>
      <c r="H104" s="378">
        <v>90</v>
      </c>
      <c r="I104" s="405">
        <f ca="1"/>
        <v>5.4166693754977798E-5</v>
      </c>
      <c r="J104" s="405">
        <f ca="1"/>
        <v>2.8512926202811602E-4</v>
      </c>
      <c r="K104" s="405">
        <f ca="1"/>
        <v>0.18997241240583901</v>
      </c>
      <c r="L104" s="405">
        <f ca="1"/>
        <v>0.18997241240583901</v>
      </c>
      <c r="M104" s="405">
        <f ca="1"/>
        <v>-4.0681327857119402E-5</v>
      </c>
      <c r="N104" s="655" t="str">
        <f ca="1"/>
        <v>TELEKOM AUSTRIA AKTIENGESELLSCHAFT</v>
      </c>
      <c r="O104" s="405">
        <f ca="1"/>
        <v>1.18397983795351</v>
      </c>
      <c r="P104" s="405">
        <f ca="1"/>
        <v>0.77276148242673304</v>
      </c>
      <c r="Q104" s="405">
        <f ca="1"/>
        <v>1.5321413720510699</v>
      </c>
      <c r="R104" s="443">
        <f ca="1"/>
        <v>1.5321413720510699</v>
      </c>
      <c r="S104" s="435"/>
      <c r="T104" s="414" cm="1">
        <f t="array" aca="1" ref="T104:X104" ca="1">IF(AND($U$12,B128&lt;=$C$17,C128&lt;&gt;""),TRANSPOSE(INDEX(getcds(C128,$C$6,G128/10000,F128,D128,$C$13,$C$14,$C$15,$C$8,,,TRUE,TRUE,FALSE,$C$29:$C$31,$C$33),{1;2;3;4;5})),"")</f>
        <v>-2.3959455186034401E-2</v>
      </c>
      <c r="U104" s="415">
        <f ca="1"/>
        <v>3.9549581658586902E-3</v>
      </c>
      <c r="V104" s="415">
        <f ca="1"/>
        <v>2.79144133518931E-2</v>
      </c>
      <c r="W104" s="416">
        <f ca="1"/>
        <v>1.41681579190002E-3</v>
      </c>
      <c r="X104" s="417">
        <f ca="1"/>
        <v>2.7914413351893099</v>
      </c>
      <c r="Y104" s="418">
        <f t="shared" ca="1" si="7"/>
        <v>0.10120483225109589</v>
      </c>
      <c r="Z104" s="419">
        <f t="shared" ca="1" si="8"/>
        <v>-4.0026087773583073E-4</v>
      </c>
      <c r="AA104" s="418">
        <f t="shared" ca="1" si="9"/>
        <v>6.3324137468612998E-2</v>
      </c>
      <c r="AB104" s="420">
        <f t="shared" ca="1" si="10"/>
        <v>1.3459750023050189E-3</v>
      </c>
      <c r="AC104" s="419">
        <f t="shared" ca="1" si="11"/>
        <v>-1.2522215728872484E-5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8">
        <v>67</v>
      </c>
      <c r="C105" s="68" t="s">
        <v>568</v>
      </c>
      <c r="D105" s="247">
        <f t="shared" ca="1" si="13"/>
        <v>1.0526315789473684</v>
      </c>
      <c r="E105" s="239"/>
      <c r="F105" s="225">
        <v>0.4</v>
      </c>
      <c r="G105" s="427">
        <v>100</v>
      </c>
      <c r="H105" s="378">
        <v>91</v>
      </c>
      <c r="I105" s="405">
        <f ca="1"/>
        <v>5.9395392500829503E-5</v>
      </c>
      <c r="J105" s="405">
        <f ca="1"/>
        <v>2.8478912100963198E-4</v>
      </c>
      <c r="K105" s="405">
        <f ca="1"/>
        <v>0.208559204404513</v>
      </c>
      <c r="L105" s="405">
        <f ca="1"/>
        <v>0.208559204404513</v>
      </c>
      <c r="M105" s="405">
        <f ca="1"/>
        <v>-4.9827133390951702E-5</v>
      </c>
      <c r="N105" s="655" t="str">
        <f ca="1"/>
        <v>TELENOR ASA</v>
      </c>
      <c r="O105" s="405">
        <f ca="1"/>
        <v>1.1838984014135301</v>
      </c>
      <c r="P105" s="405">
        <f ca="1"/>
        <v>0.77206002431021603</v>
      </c>
      <c r="Q105" s="405">
        <f ca="1"/>
        <v>1.5334279254663701</v>
      </c>
      <c r="R105" s="443">
        <f ca="1"/>
        <v>1.5334279254663701</v>
      </c>
      <c r="S105" s="435"/>
      <c r="T105" s="414" cm="1">
        <f t="array" aca="1" ref="T105:X105" ca="1">IF(AND($U$12,B129&lt;=$C$17,C129&lt;&gt;""),TRANSPOSE(INDEX(getcds(C129,$C$6,G129/10000,F129,D129,$C$13,$C$14,$C$15,$C$8,,,TRUE,TRUE,FALSE,$C$29:$C$31,$C$33),{1;2;3;4;5})),"")</f>
        <v>-2.322107822128E-2</v>
      </c>
      <c r="U105" s="415">
        <f ca="1"/>
        <v>4.67789638309916E-3</v>
      </c>
      <c r="V105" s="415">
        <f ca="1"/>
        <v>2.7898974604379199E-2</v>
      </c>
      <c r="W105" s="416">
        <f ca="1"/>
        <v>1.6767269942476301E-3</v>
      </c>
      <c r="X105" s="417">
        <f ca="1"/>
        <v>2.7898974604379201</v>
      </c>
      <c r="Y105" s="418">
        <f t="shared" ca="1" si="7"/>
        <v>0.10120483225109589</v>
      </c>
      <c r="Z105" s="419">
        <f t="shared" ca="1" si="8"/>
        <v>-4.7342571873955976E-4</v>
      </c>
      <c r="AA105" s="418">
        <f t="shared" ca="1" si="9"/>
        <v>6.9519734801504335E-2</v>
      </c>
      <c r="AB105" s="420">
        <f t="shared" ca="1" si="10"/>
        <v>1.5928906445352485E-3</v>
      </c>
      <c r="AC105" s="419">
        <f t="shared" ca="1" si="11"/>
        <v>-1.6260305799098541E-5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8">
        <v>68</v>
      </c>
      <c r="C106" s="68" t="s">
        <v>569</v>
      </c>
      <c r="D106" s="247">
        <f t="shared" ca="1" si="13"/>
        <v>1.0526315789473684</v>
      </c>
      <c r="E106" s="239"/>
      <c r="F106" s="225">
        <v>0.4</v>
      </c>
      <c r="G106" s="427">
        <v>100</v>
      </c>
      <c r="H106" s="378">
        <v>92</v>
      </c>
      <c r="I106" s="405">
        <f ca="1"/>
        <v>6.0584779439714101E-5</v>
      </c>
      <c r="J106" s="405">
        <f ca="1"/>
        <v>2.84706980430708E-4</v>
      </c>
      <c r="K106" s="405">
        <f ca="1"/>
        <v>0.212796958290453</v>
      </c>
      <c r="L106" s="405">
        <f ca="1"/>
        <v>0.212796958290453</v>
      </c>
      <c r="M106" s="405">
        <f ca="1"/>
        <v>-5.2048217198494901E-5</v>
      </c>
      <c r="N106" s="655" t="str">
        <f ca="1"/>
        <v>TELIA COMPANY AB</v>
      </c>
      <c r="O106" s="405">
        <f ca="1"/>
        <v>1.1838773101247699</v>
      </c>
      <c r="P106" s="405">
        <f ca="1"/>
        <v>0.77189062754469795</v>
      </c>
      <c r="Q106" s="405">
        <f ca="1"/>
        <v>1.5337371226938701</v>
      </c>
      <c r="R106" s="443">
        <f ca="1"/>
        <v>1.5337371226938701</v>
      </c>
      <c r="S106" s="435"/>
      <c r="T106" s="414" cm="1">
        <f t="array" aca="1" ref="T106:X106" ca="1">IF(AND($U$12,B130&lt;=$C$17,C130&lt;&gt;""),TRANSPOSE(INDEX(getcds(C130,$C$6,G130/10000,F130,D130,$C$13,$C$14,$C$15,$C$8,,,TRUE,TRUE,FALSE,$C$29:$C$31,$C$33),{1;2;3;4;5})),"")</f>
        <v>-2.30427658365242E-2</v>
      </c>
      <c r="U106" s="415">
        <f ca="1"/>
        <v>4.8524793915285499E-3</v>
      </c>
      <c r="V106" s="415">
        <f ca="1"/>
        <v>2.7895245228052701E-2</v>
      </c>
      <c r="W106" s="416">
        <f ca="1"/>
        <v>1.7395363804325601E-3</v>
      </c>
      <c r="X106" s="417">
        <f ca="1"/>
        <v>2.7895245228052699</v>
      </c>
      <c r="Y106" s="418">
        <f t="shared" ca="1" si="7"/>
        <v>0.10120483225109589</v>
      </c>
      <c r="Z106" s="419">
        <f t="shared" ca="1" si="8"/>
        <v>-4.9109436282154611E-4</v>
      </c>
      <c r="AA106" s="418">
        <f t="shared" ca="1" si="9"/>
        <v>7.0932319430151006E-2</v>
      </c>
      <c r="AB106" s="420">
        <f t="shared" ca="1" si="10"/>
        <v>1.6525595614109319E-3</v>
      </c>
      <c r="AC106" s="419">
        <f t="shared" ca="1" si="11"/>
        <v>-1.7209880911406409E-5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8">
        <v>69</v>
      </c>
      <c r="C107" s="68" t="s">
        <v>578</v>
      </c>
      <c r="D107" s="247">
        <f t="shared" ca="1" si="13"/>
        <v>1.0526315789473684</v>
      </c>
      <c r="E107" s="239"/>
      <c r="F107" s="225">
        <v>0.4</v>
      </c>
      <c r="G107" s="427">
        <v>100</v>
      </c>
      <c r="H107" s="378">
        <v>93</v>
      </c>
      <c r="I107" s="405">
        <f ca="1"/>
        <v>8.3815702837597403E-5</v>
      </c>
      <c r="J107" s="405">
        <f ca="1"/>
        <v>2.8269339291424399E-4</v>
      </c>
      <c r="K107" s="405">
        <f ca="1"/>
        <v>0.296489783413591</v>
      </c>
      <c r="L107" s="405">
        <f ca="1"/>
        <v>0.296489783413591</v>
      </c>
      <c r="M107" s="405">
        <f ca="1"/>
        <v>-1.0601510216358799E-4</v>
      </c>
      <c r="N107" s="655" t="str">
        <f ca="1"/>
        <v>VIVENDI SE</v>
      </c>
      <c r="O107" s="405">
        <f ca="1"/>
        <v>1.18320589053669</v>
      </c>
      <c r="P107" s="405">
        <f ca="1"/>
        <v>0.767737810544312</v>
      </c>
      <c r="Q107" s="405">
        <f ca="1"/>
        <v>1.5411588100601901</v>
      </c>
      <c r="R107" s="443">
        <f ca="1"/>
        <v>1.5411588100601901</v>
      </c>
      <c r="S107" s="435"/>
      <c r="T107" s="414" cm="1">
        <f t="array" aca="1" ref="T107:X107" ca="1">IF(AND($U$12,B131&lt;=$C$17,C131&lt;&gt;""),TRANSPOSE(INDEX(getcds(C131,$C$6,G131/10000,F131,D131,$C$13,$C$14,$C$15,$C$8,,,TRUE,TRUE,FALSE,$C$29:$C$31,$C$33),{1;2;3;4;5})),"")</f>
        <v>-1.8671379520328501E-2</v>
      </c>
      <c r="U107" s="415">
        <f ca="1"/>
        <v>9.1323121246096196E-3</v>
      </c>
      <c r="V107" s="415">
        <f ca="1"/>
        <v>2.7803691644938101E-2</v>
      </c>
      <c r="W107" s="416">
        <f ca="1"/>
        <v>3.2845681937607898E-3</v>
      </c>
      <c r="X107" s="417">
        <f ca="1"/>
        <v>2.78036916449381</v>
      </c>
      <c r="Y107" s="418">
        <f t="shared" ca="1" si="7"/>
        <v>0.10120483225109589</v>
      </c>
      <c r="Z107" s="419">
        <f t="shared" ca="1" si="8"/>
        <v>-9.2423411663576671E-4</v>
      </c>
      <c r="AA107" s="418">
        <f t="shared" ca="1" si="9"/>
        <v>9.8829927804530329E-2</v>
      </c>
      <c r="AB107" s="420">
        <f t="shared" ca="1" si="10"/>
        <v>3.1203397840727501E-3</v>
      </c>
      <c r="AC107" s="419">
        <f t="shared" ca="1" si="11"/>
        <v>-4.5127287398180412E-5</v>
      </c>
      <c r="AD107" s="220"/>
      <c r="AE107" s="220">
        <f t="shared" ca="1" si="12"/>
        <v>7.0428294269594153E-3</v>
      </c>
    </row>
    <row r="108" spans="1:31" customFormat="1" ht="15">
      <c r="A108" s="220"/>
      <c r="B108" s="268">
        <v>70</v>
      </c>
      <c r="C108" s="68" t="s">
        <v>570</v>
      </c>
      <c r="D108" s="247">
        <f t="shared" ca="1" si="13"/>
        <v>1.0526315789473684</v>
      </c>
      <c r="E108" s="239"/>
      <c r="F108" s="225">
        <v>0.4</v>
      </c>
      <c r="G108" s="427">
        <v>100</v>
      </c>
      <c r="H108" s="378">
        <v>94</v>
      </c>
      <c r="I108" s="405">
        <f ca="1"/>
        <v>9.2507100778405099E-5</v>
      </c>
      <c r="J108" s="405">
        <f ca="1"/>
        <v>2.8170097739182998E-4</v>
      </c>
      <c r="K108" s="405">
        <f ca="1"/>
        <v>0.32838757477838998</v>
      </c>
      <c r="L108" s="405">
        <f ca="1"/>
        <v>0.32838757477838998</v>
      </c>
      <c r="M108" s="405">
        <f ca="1"/>
        <v>-1.31373228343188E-4</v>
      </c>
      <c r="N108" s="655" t="str">
        <f ca="1"/>
        <v>VODAFONE GROUP PUBLIC LIMITED COMPANY</v>
      </c>
      <c r="O108" s="405">
        <f ca="1"/>
        <v>1.1827780273766999</v>
      </c>
      <c r="P108" s="405">
        <f ca="1"/>
        <v>0.76569088824489895</v>
      </c>
      <c r="Q108" s="405">
        <f ca="1"/>
        <v>1.54471999802406</v>
      </c>
      <c r="R108" s="443">
        <f ca="1"/>
        <v>1.54471999802406</v>
      </c>
      <c r="S108" s="435"/>
      <c r="T108" s="414" cm="1">
        <f t="array" aca="1" ref="T108:X108" ca="1">IF(AND($U$12,B132&lt;=$C$17,C132&lt;&gt;""),TRANSPOSE(INDEX(getcds(C132,$C$6,G132/10000,F132,D132,$C$13,$C$14,$C$15,$C$8,,,TRUE,TRUE,FALSE,$C$29:$C$31,$C$33),{1;2;3;4;5})),"")</f>
        <v>-1.6516724468314599E-2</v>
      </c>
      <c r="U108" s="415">
        <f ca="1"/>
        <v>1.12417503805752E-2</v>
      </c>
      <c r="V108" s="415">
        <f ca="1"/>
        <v>2.77584748488898E-2</v>
      </c>
      <c r="W108" s="416">
        <f ca="1"/>
        <v>4.0498443959088E-3</v>
      </c>
      <c r="X108" s="417">
        <f ca="1"/>
        <v>2.7758474848889798</v>
      </c>
      <c r="Y108" s="418">
        <f t="shared" ca="1" si="7"/>
        <v>0.10120483225109589</v>
      </c>
      <c r="Z108" s="419">
        <f t="shared" ca="1" si="8"/>
        <v>-1.1377194614748036E-3</v>
      </c>
      <c r="AA108" s="418">
        <f t="shared" ca="1" si="9"/>
        <v>0.10946252492613</v>
      </c>
      <c r="AB108" s="420">
        <f t="shared" ca="1" si="10"/>
        <v>3.8473521761133596E-3</v>
      </c>
      <c r="AC108" s="419">
        <f t="shared" ca="1" si="11"/>
        <v>-6.1527519062352178E-5</v>
      </c>
      <c r="AD108" s="220"/>
      <c r="AE108" s="220">
        <f t="shared" ca="1" si="12"/>
        <v>8.6732714407551301E-3</v>
      </c>
    </row>
    <row r="109" spans="1:31" customFormat="1" ht="15">
      <c r="A109" s="220"/>
      <c r="B109" s="268">
        <v>71</v>
      </c>
      <c r="C109" s="68" t="s">
        <v>571</v>
      </c>
      <c r="D109" s="247">
        <f t="shared" ca="1" si="13"/>
        <v>1.0526315789473684</v>
      </c>
      <c r="E109" s="239"/>
      <c r="F109" s="225">
        <v>0.4</v>
      </c>
      <c r="G109" s="427">
        <v>100</v>
      </c>
      <c r="H109" s="378">
        <v>95</v>
      </c>
      <c r="I109" s="405">
        <f ca="1"/>
        <v>9.3711349091232197E-5</v>
      </c>
      <c r="J109" s="405">
        <f ca="1"/>
        <v>2.81551080437797E-4</v>
      </c>
      <c r="K109" s="405">
        <f ca="1"/>
        <v>0.33283960035072901</v>
      </c>
      <c r="L109" s="405">
        <f ca="1"/>
        <v>0.33283960035072901</v>
      </c>
      <c r="M109" s="405">
        <f ca="1"/>
        <v>-1.3510476802331499E-4</v>
      </c>
      <c r="N109" s="655" t="str">
        <f ca="1"/>
        <v>WPP 2005 LIMITED</v>
      </c>
      <c r="O109" s="405">
        <f ca="1"/>
        <v>1.18270838325452</v>
      </c>
      <c r="P109" s="405">
        <f ca="1"/>
        <v>0.76538170623870605</v>
      </c>
      <c r="Q109" s="405">
        <f ca="1"/>
        <v>1.5452530072435</v>
      </c>
      <c r="R109" s="443">
        <f ca="1"/>
        <v>1.5452530072435</v>
      </c>
      <c r="S109" s="435"/>
      <c r="T109" s="414" cm="1">
        <f t="array" aca="1" ref="T109:X109" ca="1">IF(AND($U$12,B133&lt;=$C$17,C133&lt;&gt;""),TRANSPOSE(INDEX(getcds(C133,$C$6,G133/10000,F133,D133,$C$13,$C$14,$C$15,$C$8,,,TRUE,TRUE,FALSE,$C$29:$C$31,$C$33),{1;2;3;4;5})),"")</f>
        <v>-1.6191269724954199E-2</v>
      </c>
      <c r="U109" s="415">
        <f ca="1"/>
        <v>1.1560370052638E-2</v>
      </c>
      <c r="V109" s="415">
        <f ca="1"/>
        <v>2.7751639777592201E-2</v>
      </c>
      <c r="W109" s="416">
        <f ca="1"/>
        <v>4.16565296511679E-3</v>
      </c>
      <c r="X109" s="417">
        <f ca="1"/>
        <v>2.7751639777592199</v>
      </c>
      <c r="Y109" s="418">
        <f t="shared" ca="1" si="7"/>
        <v>0.10120483225109589</v>
      </c>
      <c r="Z109" s="419">
        <f t="shared" ca="1" si="8"/>
        <v>-1.1699653119378213E-3</v>
      </c>
      <c r="AA109" s="418">
        <f t="shared" ca="1" si="9"/>
        <v>0.11094653345024301</v>
      </c>
      <c r="AB109" s="420">
        <f t="shared" ca="1" si="10"/>
        <v>3.9573703168609507E-3</v>
      </c>
      <c r="AC109" s="419">
        <f t="shared" ca="1" si="11"/>
        <v>-6.4129149137109423E-5</v>
      </c>
      <c r="AD109" s="220"/>
      <c r="AE109" s="220">
        <f t="shared" ca="1" si="12"/>
        <v>8.9196610944298673E-3</v>
      </c>
    </row>
    <row r="110" spans="1:31" customFormat="1" ht="15">
      <c r="A110" s="220"/>
      <c r="B110" s="268">
        <v>72</v>
      </c>
      <c r="C110" s="68" t="s">
        <v>572</v>
      </c>
      <c r="D110" s="247">
        <f t="shared" ca="1" si="13"/>
        <v>1.0526315789473684</v>
      </c>
      <c r="E110" s="239"/>
      <c r="F110" s="225">
        <v>0.4</v>
      </c>
      <c r="G110" s="427">
        <v>100</v>
      </c>
      <c r="H110" s="378">
        <v>96</v>
      </c>
      <c r="I110" s="405"/>
      <c r="J110" s="405"/>
      <c r="K110" s="405"/>
      <c r="L110" s="405"/>
      <c r="M110" s="405"/>
      <c r="N110" s="655"/>
      <c r="O110" s="405"/>
      <c r="P110" s="405"/>
      <c r="Q110" s="405"/>
      <c r="R110" s="443"/>
      <c r="S110" s="435"/>
      <c r="T110" s="414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5"/>
      <c r="V110" s="415"/>
      <c r="W110" s="416"/>
      <c r="X110" s="417"/>
      <c r="Y110" s="418" t="str">
        <f t="shared" ca="1" si="7"/>
        <v/>
      </c>
      <c r="Z110" s="419" t="str">
        <f t="shared" ca="1" si="8"/>
        <v/>
      </c>
      <c r="AA110" s="418" t="str">
        <f t="shared" ca="1" si="9"/>
        <v/>
      </c>
      <c r="AB110" s="420" t="str">
        <f t="shared" ca="1" si="10"/>
        <v/>
      </c>
      <c r="AC110" s="419" t="str">
        <f t="shared" ca="1" si="11"/>
        <v/>
      </c>
      <c r="AD110" s="220"/>
    </row>
    <row r="111" spans="1:31" customFormat="1" ht="15">
      <c r="A111" s="220"/>
      <c r="B111" s="268">
        <v>73</v>
      </c>
      <c r="C111" s="68" t="s">
        <v>573</v>
      </c>
      <c r="D111" s="247">
        <f t="shared" ca="1" si="13"/>
        <v>1.0526315789473684</v>
      </c>
      <c r="E111" s="239"/>
      <c r="F111" s="225">
        <v>0.4</v>
      </c>
      <c r="G111" s="427">
        <v>100</v>
      </c>
      <c r="H111" s="378">
        <v>97</v>
      </c>
      <c r="I111" s="405"/>
      <c r="J111" s="405"/>
      <c r="K111" s="405"/>
      <c r="L111" s="405"/>
      <c r="M111" s="405"/>
      <c r="N111" s="655"/>
      <c r="O111" s="405"/>
      <c r="P111" s="405"/>
      <c r="Q111" s="405"/>
      <c r="R111" s="443"/>
      <c r="S111" s="435"/>
      <c r="T111" s="414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5"/>
      <c r="V111" s="415"/>
      <c r="W111" s="416"/>
      <c r="X111" s="417"/>
      <c r="Y111" s="418" t="str">
        <f t="shared" ca="1" si="7"/>
        <v/>
      </c>
      <c r="Z111" s="419" t="str">
        <f t="shared" ca="1" si="8"/>
        <v/>
      </c>
      <c r="AA111" s="418" t="str">
        <f t="shared" ca="1" si="9"/>
        <v/>
      </c>
      <c r="AB111" s="420" t="str">
        <f t="shared" ca="1" si="10"/>
        <v/>
      </c>
      <c r="AC111" s="419" t="str">
        <f t="shared" ca="1" si="11"/>
        <v/>
      </c>
      <c r="AD111" s="220"/>
    </row>
    <row r="112" spans="1:31" customFormat="1" ht="15">
      <c r="A112" s="220"/>
      <c r="B112" s="268">
        <v>74</v>
      </c>
      <c r="C112" s="68" t="s">
        <v>574</v>
      </c>
      <c r="D112" s="247">
        <f t="shared" ca="1" si="13"/>
        <v>1.0526315789473684</v>
      </c>
      <c r="E112" s="239"/>
      <c r="F112" s="225">
        <v>0.4</v>
      </c>
      <c r="G112" s="427">
        <v>100</v>
      </c>
      <c r="H112" s="378">
        <v>98</v>
      </c>
      <c r="I112" s="405"/>
      <c r="J112" s="405"/>
      <c r="K112" s="405"/>
      <c r="L112" s="405"/>
      <c r="M112" s="405"/>
      <c r="N112" s="655"/>
      <c r="O112" s="405"/>
      <c r="P112" s="405"/>
      <c r="Q112" s="405"/>
      <c r="R112" s="443"/>
      <c r="S112" s="435"/>
      <c r="T112" s="414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5"/>
      <c r="V112" s="415"/>
      <c r="W112" s="416"/>
      <c r="X112" s="417"/>
      <c r="Y112" s="418" t="str">
        <f t="shared" ca="1" si="7"/>
        <v/>
      </c>
      <c r="Z112" s="419" t="str">
        <f t="shared" ca="1" si="8"/>
        <v/>
      </c>
      <c r="AA112" s="418" t="str">
        <f t="shared" ca="1" si="9"/>
        <v/>
      </c>
      <c r="AB112" s="420" t="str">
        <f t="shared" ca="1" si="10"/>
        <v/>
      </c>
      <c r="AC112" s="419" t="str">
        <f t="shared" ca="1" si="11"/>
        <v/>
      </c>
      <c r="AD112" s="220"/>
    </row>
    <row r="113" spans="1:30" customFormat="1" ht="15">
      <c r="A113" s="220"/>
      <c r="B113" s="268">
        <v>75</v>
      </c>
      <c r="C113" s="68" t="s">
        <v>579</v>
      </c>
      <c r="D113" s="247">
        <f t="shared" ca="1" si="13"/>
        <v>1.0526315789473684</v>
      </c>
      <c r="E113" s="239"/>
      <c r="F113" s="225">
        <v>0.4</v>
      </c>
      <c r="G113" s="427">
        <v>100</v>
      </c>
      <c r="H113" s="378">
        <v>99</v>
      </c>
      <c r="I113" s="405"/>
      <c r="J113" s="405"/>
      <c r="K113" s="405"/>
      <c r="L113" s="405"/>
      <c r="M113" s="405"/>
      <c r="N113" s="655"/>
      <c r="O113" s="405"/>
      <c r="P113" s="405"/>
      <c r="Q113" s="405"/>
      <c r="R113" s="443"/>
      <c r="S113" s="435"/>
      <c r="T113" s="414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5"/>
      <c r="V113" s="415"/>
      <c r="W113" s="416"/>
      <c r="X113" s="417"/>
      <c r="Y113" s="418" t="str">
        <f t="shared" ca="1" si="7"/>
        <v/>
      </c>
      <c r="Z113" s="419" t="str">
        <f t="shared" ca="1" si="8"/>
        <v/>
      </c>
      <c r="AA113" s="418" t="str">
        <f t="shared" ca="1" si="9"/>
        <v/>
      </c>
      <c r="AB113" s="420" t="str">
        <f t="shared" ca="1" si="10"/>
        <v/>
      </c>
      <c r="AC113" s="419" t="str">
        <f t="shared" ca="1" si="11"/>
        <v/>
      </c>
      <c r="AD113" s="220"/>
    </row>
    <row r="114" spans="1:30" customFormat="1" ht="15">
      <c r="A114" s="220"/>
      <c r="B114" s="268">
        <v>76</v>
      </c>
      <c r="C114" s="68" t="s">
        <v>580</v>
      </c>
      <c r="D114" s="247">
        <f t="shared" ca="1" si="13"/>
        <v>1.0526315789473684</v>
      </c>
      <c r="E114" s="239"/>
      <c r="F114" s="225">
        <v>0.4</v>
      </c>
      <c r="G114" s="427">
        <v>100</v>
      </c>
      <c r="H114" s="378">
        <v>100</v>
      </c>
      <c r="I114" s="405"/>
      <c r="J114" s="405"/>
      <c r="K114" s="405"/>
      <c r="L114" s="405"/>
      <c r="M114" s="405"/>
      <c r="N114" s="655"/>
      <c r="O114" s="405"/>
      <c r="P114" s="405"/>
      <c r="Q114" s="405"/>
      <c r="R114" s="443"/>
      <c r="S114" s="435"/>
      <c r="T114" s="414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5"/>
      <c r="V114" s="415"/>
      <c r="W114" s="416"/>
      <c r="X114" s="417"/>
      <c r="Y114" s="418" t="str">
        <f t="shared" ca="1" si="7"/>
        <v/>
      </c>
      <c r="Z114" s="419" t="str">
        <f t="shared" ca="1" si="8"/>
        <v/>
      </c>
      <c r="AA114" s="418" t="str">
        <f t="shared" ca="1" si="9"/>
        <v/>
      </c>
      <c r="AB114" s="420" t="str">
        <f t="shared" ca="1" si="10"/>
        <v/>
      </c>
      <c r="AC114" s="419" t="str">
        <f t="shared" ca="1" si="11"/>
        <v/>
      </c>
      <c r="AD114" s="220"/>
    </row>
    <row r="115" spans="1:30" customFormat="1" ht="15">
      <c r="A115" s="220"/>
      <c r="B115" s="268">
        <v>77</v>
      </c>
      <c r="C115" s="68" t="s">
        <v>575</v>
      </c>
      <c r="D115" s="247">
        <f t="shared" ca="1" si="13"/>
        <v>1.0526315789473684</v>
      </c>
      <c r="E115" s="239"/>
      <c r="F115" s="225">
        <v>0.4</v>
      </c>
      <c r="G115" s="427">
        <v>100</v>
      </c>
      <c r="H115" s="378">
        <v>101</v>
      </c>
      <c r="I115" s="396"/>
      <c r="J115" s="396"/>
      <c r="K115" s="405"/>
      <c r="L115" s="405"/>
      <c r="M115" s="405"/>
      <c r="N115" s="655"/>
      <c r="O115" s="405"/>
      <c r="P115" s="405"/>
      <c r="Q115" s="405"/>
      <c r="R115" s="443"/>
      <c r="S115" s="435"/>
      <c r="T115" s="414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5"/>
      <c r="V115" s="415"/>
      <c r="W115" s="416"/>
      <c r="X115" s="417"/>
      <c r="Y115" s="418" t="str">
        <f t="shared" ca="1" si="7"/>
        <v/>
      </c>
      <c r="Z115" s="419" t="str">
        <f t="shared" ca="1" si="8"/>
        <v/>
      </c>
      <c r="AA115" s="418" t="str">
        <f t="shared" ca="1" si="9"/>
        <v/>
      </c>
      <c r="AB115" s="420" t="str">
        <f t="shared" ca="1" si="10"/>
        <v/>
      </c>
      <c r="AC115" s="419" t="str">
        <f t="shared" ca="1" si="11"/>
        <v/>
      </c>
      <c r="AD115" s="220"/>
    </row>
    <row r="116" spans="1:30" customFormat="1" ht="15">
      <c r="A116" s="220"/>
      <c r="B116" s="268">
        <v>78</v>
      </c>
      <c r="C116" s="68" t="s">
        <v>581</v>
      </c>
      <c r="D116" s="247">
        <f t="shared" ca="1" si="13"/>
        <v>1.0526315789473684</v>
      </c>
      <c r="E116" s="239"/>
      <c r="F116" s="225">
        <v>0.4</v>
      </c>
      <c r="G116" s="427">
        <v>100</v>
      </c>
      <c r="H116" s="378">
        <v>102</v>
      </c>
      <c r="I116" s="396"/>
      <c r="J116" s="396"/>
      <c r="K116" s="405"/>
      <c r="L116" s="405"/>
      <c r="M116" s="405"/>
      <c r="N116" s="655"/>
      <c r="O116" s="405"/>
      <c r="P116" s="405"/>
      <c r="Q116" s="405"/>
      <c r="R116" s="443"/>
      <c r="S116" s="435"/>
      <c r="T116" s="414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5"/>
      <c r="V116" s="415"/>
      <c r="W116" s="416"/>
      <c r="X116" s="417"/>
      <c r="Y116" s="418" t="str">
        <f t="shared" ca="1" si="7"/>
        <v/>
      </c>
      <c r="Z116" s="419" t="str">
        <f t="shared" ca="1" si="8"/>
        <v/>
      </c>
      <c r="AA116" s="418" t="str">
        <f t="shared" ca="1" si="9"/>
        <v/>
      </c>
      <c r="AB116" s="420" t="str">
        <f t="shared" ca="1" si="10"/>
        <v/>
      </c>
      <c r="AC116" s="419" t="str">
        <f t="shared" ca="1" si="11"/>
        <v/>
      </c>
      <c r="AD116" s="220"/>
    </row>
    <row r="117" spans="1:30" customFormat="1" ht="15">
      <c r="A117" s="220"/>
      <c r="B117" s="268">
        <v>79</v>
      </c>
      <c r="C117" s="68" t="s">
        <v>582</v>
      </c>
      <c r="D117" s="247">
        <f t="shared" ca="1" si="13"/>
        <v>1.0526315789473684</v>
      </c>
      <c r="E117" s="239"/>
      <c r="F117" s="225">
        <v>0.4</v>
      </c>
      <c r="G117" s="427">
        <v>100</v>
      </c>
      <c r="H117" s="378">
        <v>103</v>
      </c>
      <c r="I117" s="396"/>
      <c r="J117" s="396"/>
      <c r="K117" s="405"/>
      <c r="L117" s="405"/>
      <c r="M117" s="405"/>
      <c r="N117" s="655"/>
      <c r="O117" s="405"/>
      <c r="P117" s="405"/>
      <c r="Q117" s="405"/>
      <c r="R117" s="443"/>
      <c r="S117" s="435"/>
      <c r="T117" s="414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5"/>
      <c r="V117" s="415"/>
      <c r="W117" s="416"/>
      <c r="X117" s="417"/>
      <c r="Y117" s="418" t="str">
        <f t="shared" ca="1" si="7"/>
        <v/>
      </c>
      <c r="Z117" s="419" t="str">
        <f t="shared" ca="1" si="8"/>
        <v/>
      </c>
      <c r="AA117" s="418" t="str">
        <f t="shared" ca="1" si="9"/>
        <v/>
      </c>
      <c r="AB117" s="420" t="str">
        <f t="shared" ca="1" si="10"/>
        <v/>
      </c>
      <c r="AC117" s="419" t="str">
        <f t="shared" ca="1" si="11"/>
        <v/>
      </c>
      <c r="AD117" s="220"/>
    </row>
    <row r="118" spans="1:30" customFormat="1" ht="15">
      <c r="A118" s="220"/>
      <c r="B118" s="268">
        <v>80</v>
      </c>
      <c r="C118" s="68" t="s">
        <v>583</v>
      </c>
      <c r="D118" s="247">
        <f t="shared" ca="1" si="13"/>
        <v>1.0526315789473684</v>
      </c>
      <c r="E118" s="239"/>
      <c r="F118" s="225">
        <v>0.4</v>
      </c>
      <c r="G118" s="427">
        <v>100</v>
      </c>
      <c r="H118" s="378">
        <v>104</v>
      </c>
      <c r="I118" s="396"/>
      <c r="J118" s="396"/>
      <c r="K118" s="405"/>
      <c r="L118" s="405"/>
      <c r="M118" s="405"/>
      <c r="N118" s="655"/>
      <c r="O118" s="405"/>
      <c r="P118" s="405"/>
      <c r="Q118" s="405"/>
      <c r="R118" s="443"/>
      <c r="S118" s="435"/>
      <c r="T118" s="414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5"/>
      <c r="V118" s="415"/>
      <c r="W118" s="416"/>
      <c r="X118" s="417"/>
      <c r="Y118" s="418" t="str">
        <f t="shared" ca="1" si="7"/>
        <v/>
      </c>
      <c r="Z118" s="419" t="str">
        <f t="shared" ca="1" si="8"/>
        <v/>
      </c>
      <c r="AA118" s="418" t="str">
        <f t="shared" ca="1" si="9"/>
        <v/>
      </c>
      <c r="AB118" s="420" t="str">
        <f t="shared" ca="1" si="10"/>
        <v/>
      </c>
      <c r="AC118" s="419" t="str">
        <f t="shared" ca="1" si="11"/>
        <v/>
      </c>
      <c r="AD118" s="220"/>
    </row>
    <row r="119" spans="1:30" customFormat="1" ht="15">
      <c r="A119" s="220"/>
      <c r="B119" s="268">
        <v>81</v>
      </c>
      <c r="C119" s="68" t="s">
        <v>584</v>
      </c>
      <c r="D119" s="247">
        <f t="shared" ca="1" si="13"/>
        <v>1.0526315789473684</v>
      </c>
      <c r="E119" s="239"/>
      <c r="F119" s="225">
        <v>0.4</v>
      </c>
      <c r="G119" s="427">
        <v>100</v>
      </c>
      <c r="H119" s="378">
        <v>105</v>
      </c>
      <c r="I119" s="396"/>
      <c r="J119" s="396"/>
      <c r="K119" s="405"/>
      <c r="L119" s="405"/>
      <c r="M119" s="405"/>
      <c r="N119" s="655"/>
      <c r="O119" s="405"/>
      <c r="P119" s="405"/>
      <c r="Q119" s="405"/>
      <c r="R119" s="443"/>
      <c r="S119" s="435"/>
      <c r="T119" s="414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5"/>
      <c r="V119" s="415"/>
      <c r="W119" s="416"/>
      <c r="X119" s="417"/>
      <c r="Y119" s="418" t="str">
        <f t="shared" ca="1" si="7"/>
        <v/>
      </c>
      <c r="Z119" s="419" t="str">
        <f t="shared" ca="1" si="8"/>
        <v/>
      </c>
      <c r="AA119" s="418" t="str">
        <f t="shared" ca="1" si="9"/>
        <v/>
      </c>
      <c r="AB119" s="420" t="str">
        <f t="shared" ca="1" si="10"/>
        <v/>
      </c>
      <c r="AC119" s="419" t="str">
        <f t="shared" ca="1" si="11"/>
        <v/>
      </c>
      <c r="AD119" s="220"/>
    </row>
    <row r="120" spans="1:30" customFormat="1" ht="15">
      <c r="A120" s="220"/>
      <c r="B120" s="268">
        <v>82</v>
      </c>
      <c r="C120" s="68" t="s">
        <v>594</v>
      </c>
      <c r="D120" s="247">
        <f t="shared" ca="1" si="13"/>
        <v>1.0526315789473684</v>
      </c>
      <c r="E120" s="239"/>
      <c r="F120" s="225">
        <v>0.4</v>
      </c>
      <c r="G120" s="427">
        <v>100</v>
      </c>
      <c r="H120" s="378">
        <v>106</v>
      </c>
      <c r="I120" s="396"/>
      <c r="J120" s="396"/>
      <c r="K120" s="405"/>
      <c r="L120" s="405"/>
      <c r="M120" s="405"/>
      <c r="N120" s="655"/>
      <c r="O120" s="405"/>
      <c r="P120" s="405"/>
      <c r="Q120" s="405"/>
      <c r="R120" s="443"/>
      <c r="S120" s="435"/>
      <c r="T120" s="414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5"/>
      <c r="V120" s="415"/>
      <c r="W120" s="416"/>
      <c r="X120" s="417"/>
      <c r="Y120" s="418" t="str">
        <f t="shared" ca="1" si="7"/>
        <v/>
      </c>
      <c r="Z120" s="419" t="str">
        <f t="shared" ca="1" si="8"/>
        <v/>
      </c>
      <c r="AA120" s="418" t="str">
        <f t="shared" ca="1" si="9"/>
        <v/>
      </c>
      <c r="AB120" s="420" t="str">
        <f t="shared" ca="1" si="10"/>
        <v/>
      </c>
      <c r="AC120" s="419" t="str">
        <f t="shared" ca="1" si="11"/>
        <v/>
      </c>
      <c r="AD120" s="220"/>
    </row>
    <row r="121" spans="1:30" customFormat="1" ht="15">
      <c r="A121" s="220"/>
      <c r="B121" s="268">
        <v>83</v>
      </c>
      <c r="C121" s="68" t="s">
        <v>585</v>
      </c>
      <c r="D121" s="247">
        <f t="shared" ca="1" si="13"/>
        <v>1.0526315789473684</v>
      </c>
      <c r="E121" s="239"/>
      <c r="F121" s="225">
        <v>0.4</v>
      </c>
      <c r="G121" s="427">
        <v>100</v>
      </c>
      <c r="H121" s="378">
        <v>107</v>
      </c>
      <c r="I121" s="396"/>
      <c r="J121" s="396"/>
      <c r="K121" s="405"/>
      <c r="L121" s="405"/>
      <c r="M121" s="405"/>
      <c r="N121" s="655"/>
      <c r="O121" s="405"/>
      <c r="P121" s="405"/>
      <c r="Q121" s="405"/>
      <c r="R121" s="443"/>
      <c r="S121" s="435"/>
      <c r="T121" s="414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5"/>
      <c r="V121" s="415"/>
      <c r="W121" s="416"/>
      <c r="X121" s="417"/>
      <c r="Y121" s="418" t="str">
        <f t="shared" ca="1" si="7"/>
        <v/>
      </c>
      <c r="Z121" s="419" t="str">
        <f t="shared" ca="1" si="8"/>
        <v/>
      </c>
      <c r="AA121" s="418" t="str">
        <f t="shared" ca="1" si="9"/>
        <v/>
      </c>
      <c r="AB121" s="420" t="str">
        <f t="shared" ca="1" si="10"/>
        <v/>
      </c>
      <c r="AC121" s="419" t="str">
        <f t="shared" ca="1" si="11"/>
        <v/>
      </c>
      <c r="AD121" s="220"/>
    </row>
    <row r="122" spans="1:30" customFormat="1" ht="15">
      <c r="A122" s="220"/>
      <c r="B122" s="268">
        <v>84</v>
      </c>
      <c r="C122" s="68" t="s">
        <v>586</v>
      </c>
      <c r="D122" s="247">
        <f t="shared" ca="1" si="13"/>
        <v>1.0526315789473684</v>
      </c>
      <c r="E122" s="239"/>
      <c r="F122" s="225">
        <v>0.4</v>
      </c>
      <c r="G122" s="427">
        <v>100</v>
      </c>
      <c r="H122" s="378">
        <v>108</v>
      </c>
      <c r="I122" s="396"/>
      <c r="J122" s="396"/>
      <c r="K122" s="405"/>
      <c r="L122" s="405"/>
      <c r="M122" s="405"/>
      <c r="N122" s="655"/>
      <c r="O122" s="405"/>
      <c r="P122" s="405"/>
      <c r="Q122" s="405"/>
      <c r="R122" s="443"/>
      <c r="S122" s="435"/>
      <c r="T122" s="414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5"/>
      <c r="V122" s="415"/>
      <c r="W122" s="416"/>
      <c r="X122" s="417"/>
      <c r="Y122" s="418" t="str">
        <f t="shared" ca="1" si="7"/>
        <v/>
      </c>
      <c r="Z122" s="419" t="str">
        <f t="shared" ca="1" si="8"/>
        <v/>
      </c>
      <c r="AA122" s="418" t="str">
        <f t="shared" ca="1" si="9"/>
        <v/>
      </c>
      <c r="AB122" s="420" t="str">
        <f t="shared" ca="1" si="10"/>
        <v/>
      </c>
      <c r="AC122" s="419" t="str">
        <f t="shared" ca="1" si="11"/>
        <v/>
      </c>
      <c r="AD122" s="220"/>
    </row>
    <row r="123" spans="1:30" customFormat="1" ht="15">
      <c r="A123" s="220"/>
      <c r="B123" s="268">
        <v>85</v>
      </c>
      <c r="C123" s="68" t="s">
        <v>595</v>
      </c>
      <c r="D123" s="247">
        <f t="shared" ca="1" si="13"/>
        <v>1.0526315789473684</v>
      </c>
      <c r="E123" s="239"/>
      <c r="F123" s="225">
        <v>0.4</v>
      </c>
      <c r="G123" s="427">
        <v>100</v>
      </c>
      <c r="H123" s="378">
        <v>109</v>
      </c>
      <c r="I123" s="396"/>
      <c r="J123" s="396"/>
      <c r="K123" s="405"/>
      <c r="L123" s="405"/>
      <c r="M123" s="405"/>
      <c r="N123" s="655"/>
      <c r="O123" s="405"/>
      <c r="P123" s="405"/>
      <c r="Q123" s="405"/>
      <c r="R123" s="443"/>
      <c r="S123" s="435"/>
      <c r="T123" s="414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5"/>
      <c r="V123" s="415"/>
      <c r="W123" s="416"/>
      <c r="X123" s="417"/>
      <c r="Y123" s="418" t="str">
        <f t="shared" ca="1" si="7"/>
        <v/>
      </c>
      <c r="Z123" s="419" t="str">
        <f t="shared" ca="1" si="8"/>
        <v/>
      </c>
      <c r="AA123" s="418" t="str">
        <f t="shared" ca="1" si="9"/>
        <v/>
      </c>
      <c r="AB123" s="420" t="str">
        <f t="shared" ca="1" si="10"/>
        <v/>
      </c>
      <c r="AC123" s="419" t="str">
        <f t="shared" ca="1" si="11"/>
        <v/>
      </c>
      <c r="AD123" s="220"/>
    </row>
    <row r="124" spans="1:30" customFormat="1" ht="15">
      <c r="A124" s="220"/>
      <c r="B124" s="268">
        <v>86</v>
      </c>
      <c r="C124" s="68" t="s">
        <v>587</v>
      </c>
      <c r="D124" s="247">
        <f t="shared" ca="1" si="13"/>
        <v>1.0526315789473684</v>
      </c>
      <c r="E124" s="239"/>
      <c r="F124" s="225">
        <v>0.4</v>
      </c>
      <c r="G124" s="427">
        <v>100</v>
      </c>
      <c r="H124" s="378">
        <v>110</v>
      </c>
      <c r="I124" s="396"/>
      <c r="J124" s="396"/>
      <c r="K124" s="405"/>
      <c r="L124" s="405"/>
      <c r="M124" s="405"/>
      <c r="N124" s="655"/>
      <c r="O124" s="405"/>
      <c r="P124" s="405"/>
      <c r="Q124" s="405"/>
      <c r="R124" s="443"/>
      <c r="S124" s="435"/>
      <c r="T124" s="414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5"/>
      <c r="V124" s="415"/>
      <c r="W124" s="416"/>
      <c r="X124" s="417"/>
      <c r="Y124" s="418" t="str">
        <f t="shared" ca="1" si="7"/>
        <v/>
      </c>
      <c r="Z124" s="419" t="str">
        <f t="shared" ca="1" si="8"/>
        <v/>
      </c>
      <c r="AA124" s="418" t="str">
        <f t="shared" ca="1" si="9"/>
        <v/>
      </c>
      <c r="AB124" s="420" t="str">
        <f t="shared" ca="1" si="10"/>
        <v/>
      </c>
      <c r="AC124" s="419" t="str">
        <f t="shared" ca="1" si="11"/>
        <v/>
      </c>
      <c r="AD124" s="220"/>
    </row>
    <row r="125" spans="1:30" customFormat="1" ht="15">
      <c r="A125" s="220"/>
      <c r="B125" s="268">
        <v>87</v>
      </c>
      <c r="C125" s="68" t="s">
        <v>617</v>
      </c>
      <c r="D125" s="247">
        <f t="shared" ca="1" si="13"/>
        <v>1.0526315789473684</v>
      </c>
      <c r="E125" s="239"/>
      <c r="F125" s="225">
        <v>0.4</v>
      </c>
      <c r="G125" s="427">
        <v>100</v>
      </c>
      <c r="H125" s="378">
        <v>111</v>
      </c>
      <c r="I125" s="396"/>
      <c r="J125" s="396"/>
      <c r="K125" s="405"/>
      <c r="L125" s="405"/>
      <c r="M125" s="405"/>
      <c r="N125" s="655"/>
      <c r="O125" s="405"/>
      <c r="P125" s="405"/>
      <c r="Q125" s="405"/>
      <c r="R125" s="443"/>
      <c r="S125" s="435"/>
      <c r="T125" s="414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5"/>
      <c r="V125" s="415"/>
      <c r="W125" s="416"/>
      <c r="X125" s="417"/>
      <c r="Y125" s="418" t="str">
        <f t="shared" ca="1" si="7"/>
        <v/>
      </c>
      <c r="Z125" s="419" t="str">
        <f t="shared" ca="1" si="8"/>
        <v/>
      </c>
      <c r="AA125" s="418" t="str">
        <f t="shared" ca="1" si="9"/>
        <v/>
      </c>
      <c r="AB125" s="420" t="str">
        <f t="shared" ca="1" si="10"/>
        <v/>
      </c>
      <c r="AC125" s="419" t="str">
        <f t="shared" ca="1" si="11"/>
        <v/>
      </c>
      <c r="AD125" s="220"/>
    </row>
    <row r="126" spans="1:30" customFormat="1" ht="15">
      <c r="A126" s="220"/>
      <c r="B126" s="268">
        <v>88</v>
      </c>
      <c r="C126" s="68" t="s">
        <v>588</v>
      </c>
      <c r="D126" s="247">
        <f t="shared" ca="1" si="13"/>
        <v>1.0526315789473684</v>
      </c>
      <c r="E126" s="239"/>
      <c r="F126" s="225">
        <v>0.4</v>
      </c>
      <c r="G126" s="427">
        <v>100</v>
      </c>
      <c r="H126" s="378">
        <v>112</v>
      </c>
      <c r="I126" s="396"/>
      <c r="J126" s="396"/>
      <c r="K126" s="405"/>
      <c r="L126" s="405"/>
      <c r="M126" s="405"/>
      <c r="N126" s="655"/>
      <c r="O126" s="405"/>
      <c r="P126" s="405"/>
      <c r="Q126" s="405"/>
      <c r="R126" s="443"/>
      <c r="S126" s="435"/>
      <c r="T126" s="414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5"/>
      <c r="V126" s="415"/>
      <c r="W126" s="416"/>
      <c r="X126" s="417"/>
      <c r="Y126" s="418" t="str">
        <f t="shared" ca="1" si="7"/>
        <v/>
      </c>
      <c r="Z126" s="419" t="str">
        <f t="shared" ca="1" si="8"/>
        <v/>
      </c>
      <c r="AA126" s="418" t="str">
        <f t="shared" ca="1" si="9"/>
        <v/>
      </c>
      <c r="AB126" s="420" t="str">
        <f t="shared" ca="1" si="10"/>
        <v/>
      </c>
      <c r="AC126" s="419" t="str">
        <f t="shared" ca="1" si="11"/>
        <v/>
      </c>
      <c r="AD126" s="220"/>
    </row>
    <row r="127" spans="1:30" customFormat="1" ht="15">
      <c r="A127" s="220"/>
      <c r="B127" s="268">
        <v>89</v>
      </c>
      <c r="C127" s="68" t="s">
        <v>596</v>
      </c>
      <c r="D127" s="247">
        <f t="shared" ca="1" si="13"/>
        <v>1.0526315789473684</v>
      </c>
      <c r="E127" s="239"/>
      <c r="F127" s="225">
        <v>0.4</v>
      </c>
      <c r="G127" s="427">
        <v>100</v>
      </c>
      <c r="H127" s="378">
        <v>113</v>
      </c>
      <c r="I127" s="396"/>
      <c r="J127" s="396"/>
      <c r="K127" s="405"/>
      <c r="L127" s="405"/>
      <c r="M127" s="405"/>
      <c r="N127" s="655"/>
      <c r="O127" s="405"/>
      <c r="P127" s="405"/>
      <c r="Q127" s="405"/>
      <c r="R127" s="443"/>
      <c r="S127" s="435"/>
      <c r="T127" s="414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5"/>
      <c r="V127" s="415"/>
      <c r="W127" s="416"/>
      <c r="X127" s="417"/>
      <c r="Y127" s="418" t="str">
        <f t="shared" ca="1" si="7"/>
        <v/>
      </c>
      <c r="Z127" s="419" t="str">
        <f t="shared" ca="1" si="8"/>
        <v/>
      </c>
      <c r="AA127" s="418" t="str">
        <f t="shared" ca="1" si="9"/>
        <v/>
      </c>
      <c r="AB127" s="420" t="str">
        <f t="shared" ca="1" si="10"/>
        <v/>
      </c>
      <c r="AC127" s="419" t="str">
        <f t="shared" ca="1" si="11"/>
        <v/>
      </c>
      <c r="AD127" s="220"/>
    </row>
    <row r="128" spans="1:30" customFormat="1" ht="15">
      <c r="A128" s="220"/>
      <c r="B128" s="268">
        <v>90</v>
      </c>
      <c r="C128" s="68" t="s">
        <v>589</v>
      </c>
      <c r="D128" s="247">
        <f t="shared" ca="1" si="13"/>
        <v>1.0526315789473684</v>
      </c>
      <c r="E128" s="239"/>
      <c r="F128" s="225">
        <v>0.4</v>
      </c>
      <c r="G128" s="427">
        <v>100</v>
      </c>
      <c r="H128" s="378">
        <v>114</v>
      </c>
      <c r="I128" s="396"/>
      <c r="J128" s="396"/>
      <c r="K128" s="405"/>
      <c r="L128" s="405"/>
      <c r="M128" s="405"/>
      <c r="N128" s="655"/>
      <c r="O128" s="405"/>
      <c r="P128" s="405"/>
      <c r="Q128" s="405"/>
      <c r="R128" s="443"/>
      <c r="S128" s="435"/>
      <c r="T128" s="414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5"/>
      <c r="V128" s="415"/>
      <c r="W128" s="416"/>
      <c r="X128" s="417"/>
      <c r="Y128" s="418" t="str">
        <f t="shared" ca="1" si="7"/>
        <v/>
      </c>
      <c r="Z128" s="419" t="str">
        <f t="shared" ca="1" si="8"/>
        <v/>
      </c>
      <c r="AA128" s="418" t="str">
        <f t="shared" ca="1" si="9"/>
        <v/>
      </c>
      <c r="AB128" s="420" t="str">
        <f t="shared" ca="1" si="10"/>
        <v/>
      </c>
      <c r="AC128" s="419" t="str">
        <f t="shared" ca="1" si="11"/>
        <v/>
      </c>
      <c r="AD128" s="220"/>
    </row>
    <row r="129" spans="1:30" customFormat="1" ht="15">
      <c r="A129" s="220"/>
      <c r="B129" s="268">
        <v>91</v>
      </c>
      <c r="C129" s="68" t="s">
        <v>597</v>
      </c>
      <c r="D129" s="247">
        <f t="shared" ca="1" si="13"/>
        <v>1.0526315789473684</v>
      </c>
      <c r="E129" s="239"/>
      <c r="F129" s="225">
        <v>0.4</v>
      </c>
      <c r="G129" s="427">
        <v>100</v>
      </c>
      <c r="H129" s="378">
        <v>115</v>
      </c>
      <c r="I129" s="396"/>
      <c r="J129" s="396"/>
      <c r="K129" s="405"/>
      <c r="L129" s="405"/>
      <c r="M129" s="405"/>
      <c r="N129" s="655"/>
      <c r="O129" s="405"/>
      <c r="P129" s="405"/>
      <c r="Q129" s="405"/>
      <c r="R129" s="443"/>
      <c r="S129" s="435"/>
      <c r="T129" s="414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5"/>
      <c r="V129" s="415"/>
      <c r="W129" s="416"/>
      <c r="X129" s="417"/>
      <c r="Y129" s="418" t="str">
        <f t="shared" ca="1" si="7"/>
        <v/>
      </c>
      <c r="Z129" s="419" t="str">
        <f t="shared" ca="1" si="8"/>
        <v/>
      </c>
      <c r="AA129" s="418" t="str">
        <f t="shared" ca="1" si="9"/>
        <v/>
      </c>
      <c r="AB129" s="420" t="str">
        <f t="shared" ca="1" si="10"/>
        <v/>
      </c>
      <c r="AC129" s="419" t="str">
        <f t="shared" ca="1" si="11"/>
        <v/>
      </c>
      <c r="AD129" s="220"/>
    </row>
    <row r="130" spans="1:30" customFormat="1" ht="15">
      <c r="A130" s="220"/>
      <c r="B130" s="268">
        <v>92</v>
      </c>
      <c r="C130" s="68" t="s">
        <v>590</v>
      </c>
      <c r="D130" s="247">
        <f t="shared" ca="1" si="13"/>
        <v>1.0526315789473684</v>
      </c>
      <c r="E130" s="239"/>
      <c r="F130" s="225">
        <v>0.4</v>
      </c>
      <c r="G130" s="427">
        <v>100</v>
      </c>
      <c r="H130" s="378">
        <v>116</v>
      </c>
      <c r="I130" s="396"/>
      <c r="J130" s="396"/>
      <c r="K130" s="405"/>
      <c r="L130" s="405"/>
      <c r="M130" s="405"/>
      <c r="N130" s="655"/>
      <c r="O130" s="405"/>
      <c r="P130" s="405"/>
      <c r="Q130" s="405"/>
      <c r="R130" s="443"/>
      <c r="S130" s="435"/>
      <c r="T130" s="414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5"/>
      <c r="V130" s="415"/>
      <c r="W130" s="416"/>
      <c r="X130" s="417"/>
      <c r="Y130" s="418" t="str">
        <f t="shared" ca="1" si="7"/>
        <v/>
      </c>
      <c r="Z130" s="419" t="str">
        <f t="shared" ca="1" si="8"/>
        <v/>
      </c>
      <c r="AA130" s="418" t="str">
        <f t="shared" ca="1" si="9"/>
        <v/>
      </c>
      <c r="AB130" s="420" t="str">
        <f t="shared" ca="1" si="10"/>
        <v/>
      </c>
      <c r="AC130" s="419" t="str">
        <f t="shared" ca="1" si="11"/>
        <v/>
      </c>
      <c r="AD130" s="220"/>
    </row>
    <row r="131" spans="1:30" customFormat="1" ht="15">
      <c r="A131" s="220"/>
      <c r="B131" s="268">
        <v>93</v>
      </c>
      <c r="C131" s="68" t="s">
        <v>591</v>
      </c>
      <c r="D131" s="247">
        <f t="shared" ca="1" si="13"/>
        <v>1.0526315789473684</v>
      </c>
      <c r="E131" s="239"/>
      <c r="F131" s="225">
        <v>0.4</v>
      </c>
      <c r="G131" s="427">
        <v>100</v>
      </c>
      <c r="H131" s="378">
        <v>117</v>
      </c>
      <c r="I131" s="396"/>
      <c r="J131" s="396"/>
      <c r="K131" s="405"/>
      <c r="L131" s="405"/>
      <c r="M131" s="405"/>
      <c r="N131" s="655"/>
      <c r="O131" s="405"/>
      <c r="P131" s="405"/>
      <c r="Q131" s="405"/>
      <c r="R131" s="443"/>
      <c r="S131" s="435"/>
      <c r="T131" s="414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5"/>
      <c r="V131" s="415"/>
      <c r="W131" s="416"/>
      <c r="X131" s="417"/>
      <c r="Y131" s="418" t="str">
        <f t="shared" ca="1" si="7"/>
        <v/>
      </c>
      <c r="Z131" s="419" t="str">
        <f t="shared" ca="1" si="8"/>
        <v/>
      </c>
      <c r="AA131" s="418" t="str">
        <f t="shared" ca="1" si="9"/>
        <v/>
      </c>
      <c r="AB131" s="420" t="str">
        <f t="shared" ca="1" si="10"/>
        <v/>
      </c>
      <c r="AC131" s="419" t="str">
        <f t="shared" ca="1" si="11"/>
        <v/>
      </c>
      <c r="AD131" s="220"/>
    </row>
    <row r="132" spans="1:30" customFormat="1" ht="15">
      <c r="A132" s="220"/>
      <c r="B132" s="268">
        <v>94</v>
      </c>
      <c r="C132" s="68" t="s">
        <v>592</v>
      </c>
      <c r="D132" s="247">
        <f t="shared" ca="1" si="13"/>
        <v>1.0526315789473684</v>
      </c>
      <c r="E132" s="239"/>
      <c r="F132" s="225">
        <v>0.4</v>
      </c>
      <c r="G132" s="427">
        <v>100</v>
      </c>
      <c r="H132" s="378">
        <v>118</v>
      </c>
      <c r="I132" s="396"/>
      <c r="J132" s="396"/>
      <c r="K132" s="405"/>
      <c r="L132" s="405"/>
      <c r="M132" s="405"/>
      <c r="N132" s="655"/>
      <c r="O132" s="405"/>
      <c r="P132" s="405"/>
      <c r="Q132" s="405"/>
      <c r="R132" s="443"/>
      <c r="S132" s="435"/>
      <c r="T132" s="414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5"/>
      <c r="V132" s="415"/>
      <c r="W132" s="416"/>
      <c r="X132" s="417"/>
      <c r="Y132" s="418" t="str">
        <f t="shared" ca="1" si="7"/>
        <v/>
      </c>
      <c r="Z132" s="419" t="str">
        <f t="shared" ca="1" si="8"/>
        <v/>
      </c>
      <c r="AA132" s="418" t="str">
        <f t="shared" ca="1" si="9"/>
        <v/>
      </c>
      <c r="AB132" s="420" t="str">
        <f t="shared" ca="1" si="10"/>
        <v/>
      </c>
      <c r="AC132" s="419" t="str">
        <f t="shared" ca="1" si="11"/>
        <v/>
      </c>
      <c r="AD132" s="220"/>
    </row>
    <row r="133" spans="1:30" customFormat="1" ht="15">
      <c r="A133" s="220"/>
      <c r="B133" s="268">
        <v>95</v>
      </c>
      <c r="C133" s="68" t="s">
        <v>593</v>
      </c>
      <c r="D133" s="247">
        <f t="shared" ca="1" si="13"/>
        <v>1.0526315789473684</v>
      </c>
      <c r="E133" s="239"/>
      <c r="F133" s="225">
        <v>0.4</v>
      </c>
      <c r="G133" s="427">
        <v>100</v>
      </c>
      <c r="H133" s="378">
        <v>119</v>
      </c>
      <c r="I133" s="396"/>
      <c r="J133" s="396"/>
      <c r="K133" s="405"/>
      <c r="L133" s="405"/>
      <c r="M133" s="405"/>
      <c r="N133" s="655"/>
      <c r="O133" s="405"/>
      <c r="P133" s="405"/>
      <c r="Q133" s="405"/>
      <c r="R133" s="443"/>
      <c r="S133" s="435"/>
      <c r="T133" s="414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5"/>
      <c r="V133" s="415"/>
      <c r="W133" s="416"/>
      <c r="X133" s="417"/>
      <c r="Y133" s="418" t="str">
        <f t="shared" ca="1" si="7"/>
        <v/>
      </c>
      <c r="Z133" s="419" t="str">
        <f t="shared" ca="1" si="8"/>
        <v/>
      </c>
      <c r="AA133" s="418" t="str">
        <f t="shared" ca="1" si="9"/>
        <v/>
      </c>
      <c r="AB133" s="420" t="str">
        <f t="shared" ca="1" si="10"/>
        <v/>
      </c>
      <c r="AC133" s="419" t="str">
        <f t="shared" ca="1" si="11"/>
        <v/>
      </c>
      <c r="AD133" s="220"/>
    </row>
    <row r="134" spans="1:30" customFormat="1" ht="15">
      <c r="A134" s="220"/>
      <c r="B134" s="268">
        <v>96</v>
      </c>
      <c r="C134" s="246"/>
      <c r="D134" s="247"/>
      <c r="E134" s="239"/>
      <c r="F134" s="225"/>
      <c r="G134" s="427"/>
      <c r="H134" s="378">
        <v>120</v>
      </c>
      <c r="I134" s="396"/>
      <c r="J134" s="396"/>
      <c r="K134" s="405"/>
      <c r="L134" s="405"/>
      <c r="M134" s="405"/>
      <c r="N134" s="655"/>
      <c r="O134" s="405"/>
      <c r="P134" s="405"/>
      <c r="Q134" s="405"/>
      <c r="R134" s="443"/>
      <c r="S134" s="435"/>
      <c r="T134" s="414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5"/>
      <c r="V134" s="415"/>
      <c r="W134" s="416"/>
      <c r="X134" s="417"/>
      <c r="Y134" s="418" t="str">
        <f t="shared" ca="1" si="7"/>
        <v/>
      </c>
      <c r="Z134" s="419" t="str">
        <f t="shared" ca="1" si="8"/>
        <v/>
      </c>
      <c r="AA134" s="418" t="str">
        <f t="shared" ca="1" si="9"/>
        <v/>
      </c>
      <c r="AB134" s="420" t="str">
        <f t="shared" ca="1" si="10"/>
        <v/>
      </c>
      <c r="AC134" s="419" t="str">
        <f t="shared" ca="1" si="11"/>
        <v/>
      </c>
      <c r="AD134" s="220"/>
    </row>
    <row r="135" spans="1:30" customFormat="1" ht="15">
      <c r="A135" s="220"/>
      <c r="B135" s="268">
        <v>97</v>
      </c>
      <c r="C135" s="246"/>
      <c r="D135" s="247"/>
      <c r="E135" s="239"/>
      <c r="F135" s="225"/>
      <c r="G135" s="427"/>
      <c r="H135" s="378">
        <v>121</v>
      </c>
      <c r="I135" s="396"/>
      <c r="J135" s="396"/>
      <c r="K135" s="405"/>
      <c r="L135" s="405"/>
      <c r="M135" s="405"/>
      <c r="N135" s="655"/>
      <c r="O135" s="405"/>
      <c r="P135" s="405"/>
      <c r="Q135" s="405"/>
      <c r="R135" s="443"/>
      <c r="S135" s="435"/>
      <c r="T135" s="414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5"/>
      <c r="V135" s="415"/>
      <c r="W135" s="416"/>
      <c r="X135" s="417"/>
      <c r="Y135" s="418" t="str">
        <f t="shared" ca="1" si="7"/>
        <v/>
      </c>
      <c r="Z135" s="419" t="str">
        <f t="shared" ca="1" si="8"/>
        <v/>
      </c>
      <c r="AA135" s="418" t="str">
        <f t="shared" ca="1" si="9"/>
        <v/>
      </c>
      <c r="AB135" s="420" t="str">
        <f t="shared" ca="1" si="10"/>
        <v/>
      </c>
      <c r="AC135" s="419" t="str">
        <f t="shared" ca="1" si="11"/>
        <v/>
      </c>
      <c r="AD135" s="220"/>
    </row>
    <row r="136" spans="1:30" customFormat="1" ht="15">
      <c r="A136" s="220"/>
      <c r="B136" s="268">
        <v>98</v>
      </c>
      <c r="C136" s="246"/>
      <c r="D136" s="247"/>
      <c r="E136" s="239"/>
      <c r="F136" s="225"/>
      <c r="G136" s="427"/>
      <c r="H136" s="378">
        <v>122</v>
      </c>
      <c r="I136" s="396"/>
      <c r="J136" s="396"/>
      <c r="K136" s="405"/>
      <c r="L136" s="405"/>
      <c r="M136" s="405"/>
      <c r="N136" s="655"/>
      <c r="O136" s="405"/>
      <c r="P136" s="405"/>
      <c r="Q136" s="405"/>
      <c r="R136" s="443"/>
      <c r="S136" s="435"/>
      <c r="T136" s="414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5"/>
      <c r="V136" s="415"/>
      <c r="W136" s="416"/>
      <c r="X136" s="417"/>
      <c r="Y136" s="418" t="str">
        <f t="shared" ca="1" si="7"/>
        <v/>
      </c>
      <c r="Z136" s="419" t="str">
        <f t="shared" ca="1" si="8"/>
        <v/>
      </c>
      <c r="AA136" s="418" t="str">
        <f t="shared" ca="1" si="9"/>
        <v/>
      </c>
      <c r="AB136" s="420" t="str">
        <f t="shared" ca="1" si="10"/>
        <v/>
      </c>
      <c r="AC136" s="419" t="str">
        <f t="shared" ca="1" si="11"/>
        <v/>
      </c>
      <c r="AD136" s="220"/>
    </row>
    <row r="137" spans="1:30" customFormat="1" ht="15">
      <c r="A137" s="220"/>
      <c r="B137" s="268">
        <v>99</v>
      </c>
      <c r="C137" s="246"/>
      <c r="D137" s="247"/>
      <c r="E137" s="239"/>
      <c r="F137" s="225"/>
      <c r="G137" s="427"/>
      <c r="H137" s="378">
        <v>123</v>
      </c>
      <c r="I137" s="396"/>
      <c r="J137" s="396"/>
      <c r="K137" s="405"/>
      <c r="L137" s="405"/>
      <c r="M137" s="405"/>
      <c r="N137" s="655"/>
      <c r="O137" s="405"/>
      <c r="P137" s="405"/>
      <c r="Q137" s="405"/>
      <c r="R137" s="443"/>
      <c r="S137" s="435"/>
      <c r="T137" s="414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5"/>
      <c r="V137" s="415"/>
      <c r="W137" s="416"/>
      <c r="X137" s="417"/>
      <c r="Y137" s="418" t="str">
        <f t="shared" ca="1" si="7"/>
        <v/>
      </c>
      <c r="Z137" s="419" t="str">
        <f t="shared" ca="1" si="8"/>
        <v/>
      </c>
      <c r="AA137" s="418" t="str">
        <f t="shared" ca="1" si="9"/>
        <v/>
      </c>
      <c r="AB137" s="420" t="str">
        <f t="shared" ca="1" si="10"/>
        <v/>
      </c>
      <c r="AC137" s="419" t="str">
        <f t="shared" ca="1" si="11"/>
        <v/>
      </c>
      <c r="AD137" s="220"/>
    </row>
    <row r="138" spans="1:30" customFormat="1" ht="15">
      <c r="A138" s="220"/>
      <c r="B138" s="268">
        <v>100</v>
      </c>
      <c r="C138" s="246"/>
      <c r="D138" s="247"/>
      <c r="E138" s="239"/>
      <c r="F138" s="225"/>
      <c r="G138" s="427"/>
      <c r="H138" s="378">
        <v>124</v>
      </c>
      <c r="I138" s="396"/>
      <c r="J138" s="396"/>
      <c r="K138" s="405"/>
      <c r="L138" s="405"/>
      <c r="M138" s="405"/>
      <c r="N138" s="655"/>
      <c r="O138" s="405"/>
      <c r="P138" s="405"/>
      <c r="Q138" s="405"/>
      <c r="R138" s="443"/>
      <c r="S138" s="435"/>
      <c r="T138" s="414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5"/>
      <c r="V138" s="415"/>
      <c r="W138" s="416"/>
      <c r="X138" s="417"/>
      <c r="Y138" s="418" t="str">
        <f t="shared" ca="1" si="7"/>
        <v/>
      </c>
      <c r="Z138" s="419" t="str">
        <f t="shared" ca="1" si="8"/>
        <v/>
      </c>
      <c r="AA138" s="418" t="str">
        <f t="shared" ca="1" si="9"/>
        <v/>
      </c>
      <c r="AB138" s="420" t="str">
        <f t="shared" ca="1" si="10"/>
        <v/>
      </c>
      <c r="AC138" s="419" t="str">
        <f t="shared" ca="1" si="11"/>
        <v/>
      </c>
      <c r="AD138" s="220"/>
    </row>
    <row r="139" spans="1:30" customFormat="1" ht="15">
      <c r="A139" s="220"/>
      <c r="B139" s="268">
        <v>101</v>
      </c>
      <c r="C139" s="246"/>
      <c r="D139" s="247"/>
      <c r="E139" s="239"/>
      <c r="F139" s="225"/>
      <c r="G139" s="231"/>
      <c r="H139" s="378">
        <v>125</v>
      </c>
      <c r="I139" s="396"/>
      <c r="J139" s="396"/>
      <c r="K139" s="405"/>
      <c r="L139" s="405"/>
      <c r="M139" s="405"/>
      <c r="N139" s="655"/>
      <c r="O139" s="405"/>
      <c r="P139" s="405"/>
      <c r="Q139" s="405"/>
      <c r="R139" s="443"/>
      <c r="S139" s="435"/>
      <c r="T139" s="414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5"/>
      <c r="V139" s="415"/>
      <c r="W139" s="416"/>
      <c r="X139" s="417"/>
      <c r="Y139" s="418" t="str">
        <f t="shared" ca="1" si="7"/>
        <v/>
      </c>
      <c r="Z139" s="419" t="str">
        <f t="shared" ca="1" si="8"/>
        <v/>
      </c>
      <c r="AA139" s="418" t="str">
        <f t="shared" ca="1" si="9"/>
        <v/>
      </c>
      <c r="AB139" s="420" t="str">
        <f t="shared" ca="1" si="10"/>
        <v/>
      </c>
      <c r="AC139" s="419" t="str">
        <f t="shared" ca="1" si="11"/>
        <v/>
      </c>
      <c r="AD139" s="220"/>
    </row>
    <row r="140" spans="1:30" customFormat="1" ht="15">
      <c r="A140" s="220"/>
      <c r="B140" s="268">
        <v>102</v>
      </c>
      <c r="C140" s="246"/>
      <c r="D140" s="247"/>
      <c r="E140" s="239"/>
      <c r="F140" s="225"/>
      <c r="G140" s="231"/>
      <c r="H140" s="378">
        <v>126</v>
      </c>
      <c r="I140" s="396"/>
      <c r="J140" s="396"/>
      <c r="K140" s="405"/>
      <c r="L140" s="405"/>
      <c r="M140" s="396"/>
      <c r="N140" s="656"/>
      <c r="O140" s="396"/>
      <c r="P140" s="396"/>
      <c r="Q140" s="396"/>
      <c r="R140" s="444"/>
      <c r="S140" s="435"/>
      <c r="T140" s="414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5"/>
      <c r="V140" s="415"/>
      <c r="W140" s="416"/>
      <c r="X140" s="417"/>
      <c r="Y140" s="418" t="str">
        <f t="shared" ca="1" si="7"/>
        <v/>
      </c>
      <c r="Z140" s="419" t="str">
        <f t="shared" ca="1" si="8"/>
        <v/>
      </c>
      <c r="AA140" s="418" t="str">
        <f t="shared" ca="1" si="9"/>
        <v/>
      </c>
      <c r="AB140" s="420" t="str">
        <f t="shared" ca="1" si="10"/>
        <v/>
      </c>
      <c r="AC140" s="419" t="str">
        <f t="shared" ca="1" si="11"/>
        <v/>
      </c>
      <c r="AD140" s="220"/>
    </row>
    <row r="141" spans="1:30" customFormat="1" ht="15">
      <c r="A141" s="220"/>
      <c r="B141" s="268">
        <v>103</v>
      </c>
      <c r="C141" s="246"/>
      <c r="D141" s="247"/>
      <c r="E141" s="239"/>
      <c r="F141" s="225"/>
      <c r="G141" s="231"/>
      <c r="H141" s="378">
        <v>127</v>
      </c>
      <c r="I141" s="396"/>
      <c r="J141" s="396"/>
      <c r="K141" s="405"/>
      <c r="L141" s="405"/>
      <c r="M141" s="396"/>
      <c r="N141" s="656"/>
      <c r="O141" s="396"/>
      <c r="P141" s="396"/>
      <c r="Q141" s="396"/>
      <c r="R141" s="444"/>
      <c r="S141" s="435"/>
      <c r="T141" s="414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5"/>
      <c r="V141" s="415"/>
      <c r="W141" s="416"/>
      <c r="X141" s="417"/>
      <c r="Y141" s="418" t="str">
        <f t="shared" ca="1" si="7"/>
        <v/>
      </c>
      <c r="Z141" s="419" t="str">
        <f t="shared" ca="1" si="8"/>
        <v/>
      </c>
      <c r="AA141" s="418" t="str">
        <f t="shared" ca="1" si="9"/>
        <v/>
      </c>
      <c r="AB141" s="420" t="str">
        <f t="shared" ca="1" si="10"/>
        <v/>
      </c>
      <c r="AC141" s="419" t="str">
        <f t="shared" ca="1" si="11"/>
        <v/>
      </c>
      <c r="AD141" s="220"/>
    </row>
    <row r="142" spans="1:30" customFormat="1" ht="15">
      <c r="A142" s="220"/>
      <c r="B142" s="268">
        <v>104</v>
      </c>
      <c r="C142" s="246"/>
      <c r="D142" s="247"/>
      <c r="E142" s="239"/>
      <c r="F142" s="225"/>
      <c r="G142" s="231"/>
      <c r="H142" s="378">
        <v>128</v>
      </c>
      <c r="I142" s="396"/>
      <c r="J142" s="396"/>
      <c r="K142" s="405"/>
      <c r="L142" s="405"/>
      <c r="M142" s="396"/>
      <c r="N142" s="656"/>
      <c r="O142" s="396"/>
      <c r="P142" s="396"/>
      <c r="Q142" s="396"/>
      <c r="R142" s="444"/>
      <c r="S142" s="435"/>
      <c r="T142" s="414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5"/>
      <c r="V142" s="415"/>
      <c r="W142" s="416"/>
      <c r="X142" s="417"/>
      <c r="Y142" s="418" t="str">
        <f t="shared" ca="1" si="7"/>
        <v/>
      </c>
      <c r="Z142" s="419" t="str">
        <f t="shared" ca="1" si="8"/>
        <v/>
      </c>
      <c r="AA142" s="418" t="str">
        <f t="shared" ca="1" si="9"/>
        <v/>
      </c>
      <c r="AB142" s="420" t="str">
        <f t="shared" ca="1" si="10"/>
        <v/>
      </c>
      <c r="AC142" s="419" t="str">
        <f t="shared" ca="1" si="11"/>
        <v/>
      </c>
      <c r="AD142" s="220"/>
    </row>
    <row r="143" spans="1:30" customFormat="1" ht="15">
      <c r="A143" s="220"/>
      <c r="B143" s="268">
        <v>105</v>
      </c>
      <c r="C143" s="246"/>
      <c r="D143" s="247"/>
      <c r="E143" s="239"/>
      <c r="F143" s="225"/>
      <c r="G143" s="231"/>
      <c r="H143" s="378">
        <v>129</v>
      </c>
      <c r="I143" s="396"/>
      <c r="J143" s="396"/>
      <c r="K143" s="405"/>
      <c r="L143" s="405"/>
      <c r="M143" s="396"/>
      <c r="N143" s="656"/>
      <c r="O143" s="396"/>
      <c r="P143" s="396"/>
      <c r="Q143" s="396"/>
      <c r="R143" s="444"/>
      <c r="S143" s="435"/>
      <c r="T143" s="414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5"/>
      <c r="V143" s="415"/>
      <c r="W143" s="416"/>
      <c r="X143" s="417"/>
      <c r="Y143" s="418" t="str">
        <f t="shared" ca="1" si="7"/>
        <v/>
      </c>
      <c r="Z143" s="419" t="str">
        <f t="shared" ca="1" si="8"/>
        <v/>
      </c>
      <c r="AA143" s="418" t="str">
        <f t="shared" ca="1" si="9"/>
        <v/>
      </c>
      <c r="AB143" s="420" t="str">
        <f t="shared" ca="1" si="10"/>
        <v/>
      </c>
      <c r="AC143" s="419" t="str">
        <f t="shared" ca="1" si="11"/>
        <v/>
      </c>
      <c r="AD143" s="220"/>
    </row>
    <row r="144" spans="1:30" customFormat="1" ht="15">
      <c r="A144" s="220"/>
      <c r="B144" s="268">
        <v>106</v>
      </c>
      <c r="C144" s="246"/>
      <c r="D144" s="247"/>
      <c r="E144" s="239"/>
      <c r="F144" s="225"/>
      <c r="G144" s="231"/>
      <c r="H144" s="378">
        <v>130</v>
      </c>
      <c r="I144" s="396"/>
      <c r="J144" s="396"/>
      <c r="K144" s="405"/>
      <c r="L144" s="405"/>
      <c r="M144" s="396"/>
      <c r="N144" s="656"/>
      <c r="O144" s="396"/>
      <c r="P144" s="396"/>
      <c r="Q144" s="396"/>
      <c r="R144" s="444"/>
      <c r="S144" s="435"/>
      <c r="T144" s="414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5"/>
      <c r="V144" s="415"/>
      <c r="W144" s="416"/>
      <c r="X144" s="417"/>
      <c r="Y144" s="418" t="str">
        <f t="shared" ref="Y144:Y207" ca="1" si="14">IF($U$12,IF(T144="","",$U$13*D168/$C$18),"")</f>
        <v/>
      </c>
      <c r="Z144" s="419" t="str">
        <f t="shared" ref="Z144:Z207" ca="1" si="15">IF($U$12,IF(Y144="","",Y144*($Z$10-W144)*X144),"")</f>
        <v/>
      </c>
      <c r="AA144" s="418" t="str">
        <f t="shared" ref="AA144:AA207" ca="1" si="16">IF($U$12,IF(OR(T144="",L144=""),"",L144/($C$20-$C$19)),"")</f>
        <v/>
      </c>
      <c r="AB144" s="420" t="str">
        <f t="shared" ref="AB144:AB207" ca="1" si="17">IF($U$12,IF(W144="","",W144*$AC$10),"")</f>
        <v/>
      </c>
      <c r="AC144" s="419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8">
        <v>107</v>
      </c>
      <c r="C145" s="246"/>
      <c r="D145" s="247"/>
      <c r="E145" s="239"/>
      <c r="F145" s="225"/>
      <c r="G145" s="231"/>
      <c r="H145" s="378">
        <v>131</v>
      </c>
      <c r="I145" s="396"/>
      <c r="J145" s="396"/>
      <c r="K145" s="405"/>
      <c r="L145" s="405"/>
      <c r="M145" s="396"/>
      <c r="N145" s="656"/>
      <c r="O145" s="396"/>
      <c r="P145" s="396"/>
      <c r="Q145" s="396"/>
      <c r="R145" s="444"/>
      <c r="S145" s="435"/>
      <c r="T145" s="414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5"/>
      <c r="V145" s="415"/>
      <c r="W145" s="416"/>
      <c r="X145" s="417"/>
      <c r="Y145" s="418" t="str">
        <f t="shared" ca="1" si="14"/>
        <v/>
      </c>
      <c r="Z145" s="419" t="str">
        <f t="shared" ca="1" si="15"/>
        <v/>
      </c>
      <c r="AA145" s="418" t="str">
        <f t="shared" ca="1" si="16"/>
        <v/>
      </c>
      <c r="AB145" s="420" t="str">
        <f t="shared" ca="1" si="17"/>
        <v/>
      </c>
      <c r="AC145" s="419" t="str">
        <f t="shared" ca="1" si="18"/>
        <v/>
      </c>
      <c r="AD145" s="220"/>
    </row>
    <row r="146" spans="1:30" customFormat="1" ht="15">
      <c r="A146" s="220"/>
      <c r="B146" s="268">
        <v>108</v>
      </c>
      <c r="C146" s="246"/>
      <c r="D146" s="247"/>
      <c r="E146" s="239"/>
      <c r="F146" s="225"/>
      <c r="G146" s="231"/>
      <c r="H146" s="378">
        <v>132</v>
      </c>
      <c r="I146" s="396"/>
      <c r="J146" s="396"/>
      <c r="K146" s="405"/>
      <c r="L146" s="405"/>
      <c r="M146" s="396"/>
      <c r="N146" s="656"/>
      <c r="O146" s="396"/>
      <c r="P146" s="396"/>
      <c r="Q146" s="396"/>
      <c r="R146" s="444"/>
      <c r="S146" s="435"/>
      <c r="T146" s="414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5"/>
      <c r="V146" s="415"/>
      <c r="W146" s="416"/>
      <c r="X146" s="417"/>
      <c r="Y146" s="418" t="str">
        <f t="shared" ca="1" si="14"/>
        <v/>
      </c>
      <c r="Z146" s="419" t="str">
        <f t="shared" ca="1" si="15"/>
        <v/>
      </c>
      <c r="AA146" s="418" t="str">
        <f t="shared" ca="1" si="16"/>
        <v/>
      </c>
      <c r="AB146" s="420" t="str">
        <f t="shared" ca="1" si="17"/>
        <v/>
      </c>
      <c r="AC146" s="419" t="str">
        <f t="shared" ca="1" si="18"/>
        <v/>
      </c>
      <c r="AD146" s="220"/>
    </row>
    <row r="147" spans="1:30" customFormat="1" ht="15">
      <c r="A147" s="220"/>
      <c r="B147" s="268">
        <v>109</v>
      </c>
      <c r="C147" s="246"/>
      <c r="D147" s="247"/>
      <c r="E147" s="239"/>
      <c r="F147" s="225"/>
      <c r="G147" s="231"/>
      <c r="H147" s="378">
        <v>133</v>
      </c>
      <c r="I147" s="396"/>
      <c r="J147" s="396"/>
      <c r="K147" s="405"/>
      <c r="L147" s="405"/>
      <c r="M147" s="396"/>
      <c r="N147" s="656"/>
      <c r="O147" s="396"/>
      <c r="P147" s="396"/>
      <c r="Q147" s="396"/>
      <c r="R147" s="444"/>
      <c r="S147" s="435"/>
      <c r="T147" s="414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5"/>
      <c r="V147" s="415"/>
      <c r="W147" s="416"/>
      <c r="X147" s="417"/>
      <c r="Y147" s="418" t="str">
        <f t="shared" ca="1" si="14"/>
        <v/>
      </c>
      <c r="Z147" s="419" t="str">
        <f t="shared" ca="1" si="15"/>
        <v/>
      </c>
      <c r="AA147" s="418" t="str">
        <f t="shared" ca="1" si="16"/>
        <v/>
      </c>
      <c r="AB147" s="420" t="str">
        <f t="shared" ca="1" si="17"/>
        <v/>
      </c>
      <c r="AC147" s="419" t="str">
        <f t="shared" ca="1" si="18"/>
        <v/>
      </c>
      <c r="AD147" s="220"/>
    </row>
    <row r="148" spans="1:30" customFormat="1" ht="15">
      <c r="A148" s="220"/>
      <c r="B148" s="268">
        <v>110</v>
      </c>
      <c r="C148" s="246"/>
      <c r="D148" s="247"/>
      <c r="E148" s="239"/>
      <c r="F148" s="225"/>
      <c r="G148" s="231"/>
      <c r="H148" s="378">
        <v>134</v>
      </c>
      <c r="I148" s="396"/>
      <c r="J148" s="396"/>
      <c r="K148" s="405"/>
      <c r="L148" s="405"/>
      <c r="M148" s="396"/>
      <c r="N148" s="656"/>
      <c r="O148" s="396"/>
      <c r="P148" s="396"/>
      <c r="Q148" s="396"/>
      <c r="R148" s="444"/>
      <c r="S148" s="435"/>
      <c r="T148" s="414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5"/>
      <c r="V148" s="415"/>
      <c r="W148" s="416"/>
      <c r="X148" s="417"/>
      <c r="Y148" s="418" t="str">
        <f t="shared" ca="1" si="14"/>
        <v/>
      </c>
      <c r="Z148" s="419" t="str">
        <f t="shared" ca="1" si="15"/>
        <v/>
      </c>
      <c r="AA148" s="418" t="str">
        <f t="shared" ca="1" si="16"/>
        <v/>
      </c>
      <c r="AB148" s="420" t="str">
        <f t="shared" ca="1" si="17"/>
        <v/>
      </c>
      <c r="AC148" s="419" t="str">
        <f t="shared" ca="1" si="18"/>
        <v/>
      </c>
      <c r="AD148" s="220"/>
    </row>
    <row r="149" spans="1:30" customFormat="1" ht="15">
      <c r="A149" s="220"/>
      <c r="B149" s="268">
        <v>111</v>
      </c>
      <c r="C149" s="246"/>
      <c r="D149" s="247"/>
      <c r="E149" s="239"/>
      <c r="F149" s="225"/>
      <c r="G149" s="231"/>
      <c r="H149" s="378">
        <v>135</v>
      </c>
      <c r="I149" s="396"/>
      <c r="J149" s="396"/>
      <c r="K149" s="405"/>
      <c r="L149" s="405"/>
      <c r="M149" s="396"/>
      <c r="N149" s="656"/>
      <c r="O149" s="396"/>
      <c r="P149" s="396"/>
      <c r="Q149" s="396"/>
      <c r="R149" s="444"/>
      <c r="S149" s="435"/>
      <c r="T149" s="414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5"/>
      <c r="V149" s="415"/>
      <c r="W149" s="416"/>
      <c r="X149" s="417"/>
      <c r="Y149" s="418" t="str">
        <f t="shared" ca="1" si="14"/>
        <v/>
      </c>
      <c r="Z149" s="419" t="str">
        <f t="shared" ca="1" si="15"/>
        <v/>
      </c>
      <c r="AA149" s="418" t="str">
        <f t="shared" ca="1" si="16"/>
        <v/>
      </c>
      <c r="AB149" s="420" t="str">
        <f t="shared" ca="1" si="17"/>
        <v/>
      </c>
      <c r="AC149" s="419" t="str">
        <f t="shared" ca="1" si="18"/>
        <v/>
      </c>
      <c r="AD149" s="220"/>
    </row>
    <row r="150" spans="1:30" customFormat="1" ht="15">
      <c r="A150" s="220"/>
      <c r="B150" s="268">
        <v>112</v>
      </c>
      <c r="C150" s="246"/>
      <c r="D150" s="247"/>
      <c r="E150" s="239"/>
      <c r="F150" s="225"/>
      <c r="G150" s="231"/>
      <c r="H150" s="378">
        <v>136</v>
      </c>
      <c r="I150" s="396"/>
      <c r="J150" s="396"/>
      <c r="K150" s="405"/>
      <c r="L150" s="405"/>
      <c r="M150" s="396"/>
      <c r="N150" s="656"/>
      <c r="O150" s="396"/>
      <c r="P150" s="396"/>
      <c r="Q150" s="396"/>
      <c r="R150" s="444"/>
      <c r="S150" s="435"/>
      <c r="T150" s="414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5"/>
      <c r="V150" s="415"/>
      <c r="W150" s="416"/>
      <c r="X150" s="417"/>
      <c r="Y150" s="418" t="str">
        <f t="shared" ca="1" si="14"/>
        <v/>
      </c>
      <c r="Z150" s="419" t="str">
        <f t="shared" ca="1" si="15"/>
        <v/>
      </c>
      <c r="AA150" s="418" t="str">
        <f t="shared" ca="1" si="16"/>
        <v/>
      </c>
      <c r="AB150" s="420" t="str">
        <f t="shared" ca="1" si="17"/>
        <v/>
      </c>
      <c r="AC150" s="419" t="str">
        <f t="shared" ca="1" si="18"/>
        <v/>
      </c>
      <c r="AD150" s="220"/>
    </row>
    <row r="151" spans="1:30" customFormat="1" ht="15">
      <c r="A151" s="220"/>
      <c r="B151" s="268">
        <v>113</v>
      </c>
      <c r="C151" s="246"/>
      <c r="D151" s="247"/>
      <c r="E151" s="239"/>
      <c r="F151" s="225"/>
      <c r="G151" s="231"/>
      <c r="H151" s="378">
        <v>137</v>
      </c>
      <c r="I151" s="396"/>
      <c r="J151" s="396"/>
      <c r="K151" s="405"/>
      <c r="L151" s="405"/>
      <c r="M151" s="396"/>
      <c r="N151" s="656"/>
      <c r="O151" s="396"/>
      <c r="P151" s="396"/>
      <c r="Q151" s="396"/>
      <c r="R151" s="444"/>
      <c r="S151" s="435"/>
      <c r="T151" s="414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5"/>
      <c r="V151" s="415"/>
      <c r="W151" s="416"/>
      <c r="X151" s="417"/>
      <c r="Y151" s="418" t="str">
        <f t="shared" ca="1" si="14"/>
        <v/>
      </c>
      <c r="Z151" s="419" t="str">
        <f t="shared" ca="1" si="15"/>
        <v/>
      </c>
      <c r="AA151" s="418" t="str">
        <f t="shared" ca="1" si="16"/>
        <v/>
      </c>
      <c r="AB151" s="420" t="str">
        <f t="shared" ca="1" si="17"/>
        <v/>
      </c>
      <c r="AC151" s="419" t="str">
        <f t="shared" ca="1" si="18"/>
        <v/>
      </c>
      <c r="AD151" s="220"/>
    </row>
    <row r="152" spans="1:30" customFormat="1" ht="15">
      <c r="A152" s="220"/>
      <c r="B152" s="268">
        <v>114</v>
      </c>
      <c r="C152" s="246"/>
      <c r="D152" s="247"/>
      <c r="E152" s="239"/>
      <c r="F152" s="225"/>
      <c r="G152" s="231"/>
      <c r="H152" s="378">
        <v>138</v>
      </c>
      <c r="I152" s="396"/>
      <c r="J152" s="396"/>
      <c r="K152" s="405"/>
      <c r="L152" s="405"/>
      <c r="M152" s="396"/>
      <c r="N152" s="656"/>
      <c r="O152" s="396"/>
      <c r="P152" s="396"/>
      <c r="Q152" s="396"/>
      <c r="R152" s="444"/>
      <c r="S152" s="435"/>
      <c r="T152" s="414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5"/>
      <c r="V152" s="415"/>
      <c r="W152" s="416"/>
      <c r="X152" s="417"/>
      <c r="Y152" s="418" t="str">
        <f t="shared" ca="1" si="14"/>
        <v/>
      </c>
      <c r="Z152" s="419" t="str">
        <f t="shared" ca="1" si="15"/>
        <v/>
      </c>
      <c r="AA152" s="418" t="str">
        <f t="shared" ca="1" si="16"/>
        <v/>
      </c>
      <c r="AB152" s="420" t="str">
        <f t="shared" ca="1" si="17"/>
        <v/>
      </c>
      <c r="AC152" s="419" t="str">
        <f t="shared" ca="1" si="18"/>
        <v/>
      </c>
      <c r="AD152" s="220"/>
    </row>
    <row r="153" spans="1:30" customFormat="1" ht="15">
      <c r="A153" s="220"/>
      <c r="B153" s="268">
        <v>115</v>
      </c>
      <c r="C153" s="246"/>
      <c r="D153" s="247"/>
      <c r="E153" s="239"/>
      <c r="F153" s="225"/>
      <c r="G153" s="231"/>
      <c r="H153" s="378">
        <v>139</v>
      </c>
      <c r="I153" s="396"/>
      <c r="J153" s="396"/>
      <c r="K153" s="405"/>
      <c r="L153" s="405"/>
      <c r="M153" s="396"/>
      <c r="N153" s="656"/>
      <c r="O153" s="396"/>
      <c r="P153" s="396"/>
      <c r="Q153" s="396"/>
      <c r="R153" s="444"/>
      <c r="S153" s="435"/>
      <c r="T153" s="414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5"/>
      <c r="V153" s="415"/>
      <c r="W153" s="416"/>
      <c r="X153" s="417"/>
      <c r="Y153" s="418" t="str">
        <f t="shared" ca="1" si="14"/>
        <v/>
      </c>
      <c r="Z153" s="419" t="str">
        <f t="shared" ca="1" si="15"/>
        <v/>
      </c>
      <c r="AA153" s="418" t="str">
        <f t="shared" ca="1" si="16"/>
        <v/>
      </c>
      <c r="AB153" s="420" t="str">
        <f t="shared" ca="1" si="17"/>
        <v/>
      </c>
      <c r="AC153" s="419" t="str">
        <f t="shared" ca="1" si="18"/>
        <v/>
      </c>
      <c r="AD153" s="220"/>
    </row>
    <row r="154" spans="1:30" customFormat="1" ht="15">
      <c r="A154" s="220"/>
      <c r="B154" s="268">
        <v>116</v>
      </c>
      <c r="C154" s="246"/>
      <c r="D154" s="247"/>
      <c r="E154" s="239"/>
      <c r="F154" s="225"/>
      <c r="G154" s="231"/>
      <c r="H154" s="378">
        <v>140</v>
      </c>
      <c r="I154" s="396"/>
      <c r="J154" s="396"/>
      <c r="K154" s="405"/>
      <c r="L154" s="405"/>
      <c r="M154" s="396"/>
      <c r="N154" s="656"/>
      <c r="O154" s="396"/>
      <c r="P154" s="396"/>
      <c r="Q154" s="396"/>
      <c r="R154" s="444"/>
      <c r="S154" s="435"/>
      <c r="T154" s="414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5"/>
      <c r="V154" s="415"/>
      <c r="W154" s="416"/>
      <c r="X154" s="417"/>
      <c r="Y154" s="418" t="str">
        <f t="shared" ca="1" si="14"/>
        <v/>
      </c>
      <c r="Z154" s="419" t="str">
        <f t="shared" ca="1" si="15"/>
        <v/>
      </c>
      <c r="AA154" s="418" t="str">
        <f t="shared" ca="1" si="16"/>
        <v/>
      </c>
      <c r="AB154" s="420" t="str">
        <f t="shared" ca="1" si="17"/>
        <v/>
      </c>
      <c r="AC154" s="419" t="str">
        <f t="shared" ca="1" si="18"/>
        <v/>
      </c>
      <c r="AD154" s="220"/>
    </row>
    <row r="155" spans="1:30" customFormat="1" ht="15">
      <c r="A155" s="220"/>
      <c r="B155" s="268">
        <v>117</v>
      </c>
      <c r="C155" s="246"/>
      <c r="D155" s="247"/>
      <c r="E155" s="239"/>
      <c r="F155" s="225"/>
      <c r="G155" s="231"/>
      <c r="H155" s="378">
        <v>141</v>
      </c>
      <c r="I155" s="396"/>
      <c r="J155" s="396"/>
      <c r="K155" s="405"/>
      <c r="L155" s="405"/>
      <c r="M155" s="396"/>
      <c r="N155" s="656"/>
      <c r="O155" s="396"/>
      <c r="P155" s="396"/>
      <c r="Q155" s="396"/>
      <c r="R155" s="444"/>
      <c r="S155" s="435"/>
      <c r="T155" s="414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5"/>
      <c r="V155" s="415"/>
      <c r="W155" s="416"/>
      <c r="X155" s="417"/>
      <c r="Y155" s="418" t="str">
        <f t="shared" ca="1" si="14"/>
        <v/>
      </c>
      <c r="Z155" s="419" t="str">
        <f t="shared" ca="1" si="15"/>
        <v/>
      </c>
      <c r="AA155" s="418" t="str">
        <f t="shared" ca="1" si="16"/>
        <v/>
      </c>
      <c r="AB155" s="420" t="str">
        <f t="shared" ca="1" si="17"/>
        <v/>
      </c>
      <c r="AC155" s="419" t="str">
        <f t="shared" ca="1" si="18"/>
        <v/>
      </c>
      <c r="AD155" s="220"/>
    </row>
    <row r="156" spans="1:30" customFormat="1" ht="15">
      <c r="A156" s="220"/>
      <c r="B156" s="268">
        <v>118</v>
      </c>
      <c r="C156" s="246"/>
      <c r="D156" s="247"/>
      <c r="E156" s="239"/>
      <c r="F156" s="225"/>
      <c r="G156" s="231"/>
      <c r="H156" s="378">
        <v>142</v>
      </c>
      <c r="I156" s="396"/>
      <c r="J156" s="396"/>
      <c r="K156" s="405"/>
      <c r="L156" s="405"/>
      <c r="M156" s="396"/>
      <c r="N156" s="656"/>
      <c r="O156" s="396"/>
      <c r="P156" s="396"/>
      <c r="Q156" s="396"/>
      <c r="R156" s="444"/>
      <c r="S156" s="435"/>
      <c r="T156" s="414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5"/>
      <c r="V156" s="415"/>
      <c r="W156" s="416"/>
      <c r="X156" s="417"/>
      <c r="Y156" s="418" t="str">
        <f t="shared" ca="1" si="14"/>
        <v/>
      </c>
      <c r="Z156" s="419" t="str">
        <f t="shared" ca="1" si="15"/>
        <v/>
      </c>
      <c r="AA156" s="418" t="str">
        <f t="shared" ca="1" si="16"/>
        <v/>
      </c>
      <c r="AB156" s="420" t="str">
        <f t="shared" ca="1" si="17"/>
        <v/>
      </c>
      <c r="AC156" s="419" t="str">
        <f t="shared" ca="1" si="18"/>
        <v/>
      </c>
      <c r="AD156" s="220"/>
    </row>
    <row r="157" spans="1:30" customFormat="1" ht="15">
      <c r="A157" s="220"/>
      <c r="B157" s="268">
        <v>119</v>
      </c>
      <c r="C157" s="246"/>
      <c r="D157" s="247"/>
      <c r="E157" s="239"/>
      <c r="F157" s="225"/>
      <c r="G157" s="231"/>
      <c r="H157" s="378">
        <v>143</v>
      </c>
      <c r="I157" s="396"/>
      <c r="J157" s="396"/>
      <c r="K157" s="405"/>
      <c r="L157" s="405"/>
      <c r="M157" s="396"/>
      <c r="N157" s="656"/>
      <c r="O157" s="396"/>
      <c r="P157" s="396"/>
      <c r="Q157" s="396"/>
      <c r="R157" s="444"/>
      <c r="S157" s="435"/>
      <c r="T157" s="414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5"/>
      <c r="V157" s="415"/>
      <c r="W157" s="416"/>
      <c r="X157" s="417"/>
      <c r="Y157" s="418" t="str">
        <f t="shared" ca="1" si="14"/>
        <v/>
      </c>
      <c r="Z157" s="419" t="str">
        <f t="shared" ca="1" si="15"/>
        <v/>
      </c>
      <c r="AA157" s="418" t="str">
        <f t="shared" ca="1" si="16"/>
        <v/>
      </c>
      <c r="AB157" s="420" t="str">
        <f t="shared" ca="1" si="17"/>
        <v/>
      </c>
      <c r="AC157" s="419" t="str">
        <f t="shared" ca="1" si="18"/>
        <v/>
      </c>
      <c r="AD157" s="220"/>
    </row>
    <row r="158" spans="1:30" customFormat="1" ht="15">
      <c r="A158" s="220"/>
      <c r="B158" s="268">
        <v>120</v>
      </c>
      <c r="C158" s="246"/>
      <c r="D158" s="247"/>
      <c r="E158" s="239"/>
      <c r="F158" s="225"/>
      <c r="G158" s="231"/>
      <c r="H158" s="378">
        <v>144</v>
      </c>
      <c r="I158" s="396"/>
      <c r="J158" s="396"/>
      <c r="K158" s="405"/>
      <c r="L158" s="405"/>
      <c r="M158" s="396"/>
      <c r="N158" s="656"/>
      <c r="O158" s="396"/>
      <c r="P158" s="396"/>
      <c r="Q158" s="396"/>
      <c r="R158" s="444"/>
      <c r="S158" s="435"/>
      <c r="T158" s="414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5"/>
      <c r="V158" s="415"/>
      <c r="W158" s="416"/>
      <c r="X158" s="417"/>
      <c r="Y158" s="418" t="str">
        <f t="shared" ca="1" si="14"/>
        <v/>
      </c>
      <c r="Z158" s="419" t="str">
        <f t="shared" ca="1" si="15"/>
        <v/>
      </c>
      <c r="AA158" s="418" t="str">
        <f t="shared" ca="1" si="16"/>
        <v/>
      </c>
      <c r="AB158" s="420" t="str">
        <f t="shared" ca="1" si="17"/>
        <v/>
      </c>
      <c r="AC158" s="419" t="str">
        <f t="shared" ca="1" si="18"/>
        <v/>
      </c>
      <c r="AD158" s="220"/>
    </row>
    <row r="159" spans="1:30" customFormat="1" ht="15">
      <c r="A159" s="220"/>
      <c r="B159" s="268">
        <v>121</v>
      </c>
      <c r="C159" s="246"/>
      <c r="D159" s="247"/>
      <c r="E159" s="239"/>
      <c r="F159" s="225"/>
      <c r="G159" s="231"/>
      <c r="H159" s="378">
        <v>145</v>
      </c>
      <c r="I159" s="396"/>
      <c r="J159" s="396"/>
      <c r="K159" s="405"/>
      <c r="L159" s="405"/>
      <c r="M159" s="396"/>
      <c r="N159" s="656"/>
      <c r="O159" s="396"/>
      <c r="P159" s="396"/>
      <c r="Q159" s="396"/>
      <c r="R159" s="444"/>
      <c r="S159" s="435"/>
      <c r="T159" s="414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5"/>
      <c r="V159" s="415"/>
      <c r="W159" s="416"/>
      <c r="X159" s="417"/>
      <c r="Y159" s="418" t="str">
        <f t="shared" ca="1" si="14"/>
        <v/>
      </c>
      <c r="Z159" s="419" t="str">
        <f t="shared" ca="1" si="15"/>
        <v/>
      </c>
      <c r="AA159" s="418" t="str">
        <f t="shared" ca="1" si="16"/>
        <v/>
      </c>
      <c r="AB159" s="420" t="str">
        <f t="shared" ca="1" si="17"/>
        <v/>
      </c>
      <c r="AC159" s="419" t="str">
        <f t="shared" ca="1" si="18"/>
        <v/>
      </c>
      <c r="AD159" s="220"/>
    </row>
    <row r="160" spans="1:30" customFormat="1" ht="15">
      <c r="A160" s="220"/>
      <c r="B160" s="268">
        <v>122</v>
      </c>
      <c r="C160" s="246"/>
      <c r="D160" s="247"/>
      <c r="E160" s="239"/>
      <c r="F160" s="225"/>
      <c r="G160" s="231"/>
      <c r="H160" s="378">
        <v>146</v>
      </c>
      <c r="I160" s="396"/>
      <c r="J160" s="396"/>
      <c r="K160" s="405"/>
      <c r="L160" s="405"/>
      <c r="M160" s="396"/>
      <c r="N160" s="656"/>
      <c r="O160" s="396"/>
      <c r="P160" s="396"/>
      <c r="Q160" s="396"/>
      <c r="R160" s="444"/>
      <c r="S160" s="435"/>
      <c r="T160" s="414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5"/>
      <c r="V160" s="415"/>
      <c r="W160" s="416"/>
      <c r="X160" s="417"/>
      <c r="Y160" s="418" t="str">
        <f t="shared" ca="1" si="14"/>
        <v/>
      </c>
      <c r="Z160" s="419" t="str">
        <f t="shared" ca="1" si="15"/>
        <v/>
      </c>
      <c r="AA160" s="418" t="str">
        <f t="shared" ca="1" si="16"/>
        <v/>
      </c>
      <c r="AB160" s="420" t="str">
        <f t="shared" ca="1" si="17"/>
        <v/>
      </c>
      <c r="AC160" s="419" t="str">
        <f t="shared" ca="1" si="18"/>
        <v/>
      </c>
      <c r="AD160" s="220"/>
    </row>
    <row r="161" spans="1:30" customFormat="1" ht="15">
      <c r="A161" s="220"/>
      <c r="B161" s="268">
        <v>123</v>
      </c>
      <c r="C161" s="246"/>
      <c r="D161" s="247"/>
      <c r="E161" s="239"/>
      <c r="F161" s="225"/>
      <c r="G161" s="231"/>
      <c r="H161" s="378">
        <v>147</v>
      </c>
      <c r="I161" s="396"/>
      <c r="J161" s="396"/>
      <c r="K161" s="405"/>
      <c r="L161" s="405"/>
      <c r="M161" s="396"/>
      <c r="N161" s="656"/>
      <c r="O161" s="396"/>
      <c r="P161" s="396"/>
      <c r="Q161" s="396"/>
      <c r="R161" s="444"/>
      <c r="S161" s="435"/>
      <c r="T161" s="414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5"/>
      <c r="V161" s="415"/>
      <c r="W161" s="416"/>
      <c r="X161" s="417"/>
      <c r="Y161" s="418" t="str">
        <f t="shared" ca="1" si="14"/>
        <v/>
      </c>
      <c r="Z161" s="419" t="str">
        <f t="shared" ca="1" si="15"/>
        <v/>
      </c>
      <c r="AA161" s="418" t="str">
        <f t="shared" ca="1" si="16"/>
        <v/>
      </c>
      <c r="AB161" s="420" t="str">
        <f t="shared" ca="1" si="17"/>
        <v/>
      </c>
      <c r="AC161" s="419" t="str">
        <f t="shared" ca="1" si="18"/>
        <v/>
      </c>
      <c r="AD161" s="220"/>
    </row>
    <row r="162" spans="1:30" customFormat="1" ht="15">
      <c r="A162" s="220"/>
      <c r="B162" s="268">
        <v>124</v>
      </c>
      <c r="C162" s="246"/>
      <c r="D162" s="247"/>
      <c r="E162" s="239"/>
      <c r="F162" s="225"/>
      <c r="G162" s="231"/>
      <c r="H162" s="378">
        <v>148</v>
      </c>
      <c r="I162" s="396"/>
      <c r="J162" s="396"/>
      <c r="K162" s="405"/>
      <c r="L162" s="405"/>
      <c r="M162" s="396"/>
      <c r="N162" s="656"/>
      <c r="O162" s="396"/>
      <c r="P162" s="396"/>
      <c r="Q162" s="396"/>
      <c r="R162" s="444"/>
      <c r="S162" s="435"/>
      <c r="T162" s="414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5"/>
      <c r="V162" s="415"/>
      <c r="W162" s="416"/>
      <c r="X162" s="417"/>
      <c r="Y162" s="418" t="str">
        <f t="shared" ca="1" si="14"/>
        <v/>
      </c>
      <c r="Z162" s="419" t="str">
        <f t="shared" ca="1" si="15"/>
        <v/>
      </c>
      <c r="AA162" s="418" t="str">
        <f t="shared" ca="1" si="16"/>
        <v/>
      </c>
      <c r="AB162" s="420" t="str">
        <f t="shared" ca="1" si="17"/>
        <v/>
      </c>
      <c r="AC162" s="419" t="str">
        <f t="shared" ca="1" si="18"/>
        <v/>
      </c>
      <c r="AD162" s="220"/>
    </row>
    <row r="163" spans="1:30" customFormat="1" ht="15">
      <c r="A163" s="220"/>
      <c r="B163" s="268">
        <v>125</v>
      </c>
      <c r="C163" s="246"/>
      <c r="D163" s="247"/>
      <c r="E163" s="239"/>
      <c r="F163" s="225"/>
      <c r="G163" s="231"/>
      <c r="H163" s="378">
        <v>149</v>
      </c>
      <c r="I163" s="396"/>
      <c r="J163" s="396"/>
      <c r="K163" s="405"/>
      <c r="L163" s="405"/>
      <c r="M163" s="405"/>
      <c r="N163" s="655"/>
      <c r="O163" s="405"/>
      <c r="P163" s="405"/>
      <c r="Q163" s="405"/>
      <c r="R163" s="443"/>
      <c r="S163" s="435"/>
      <c r="T163" s="414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5"/>
      <c r="V163" s="415"/>
      <c r="W163" s="416"/>
      <c r="X163" s="417"/>
      <c r="Y163" s="418" t="str">
        <f t="shared" ca="1" si="14"/>
        <v/>
      </c>
      <c r="Z163" s="419" t="str">
        <f t="shared" ca="1" si="15"/>
        <v/>
      </c>
      <c r="AA163" s="418" t="str">
        <f t="shared" ca="1" si="16"/>
        <v/>
      </c>
      <c r="AB163" s="420" t="str">
        <f t="shared" ca="1" si="17"/>
        <v/>
      </c>
      <c r="AC163" s="419" t="str">
        <f t="shared" ca="1" si="18"/>
        <v/>
      </c>
      <c r="AD163" s="220"/>
    </row>
    <row r="164" spans="1:30" customFormat="1" ht="15">
      <c r="A164" s="220"/>
      <c r="B164" s="268">
        <v>126</v>
      </c>
      <c r="C164" s="246"/>
      <c r="D164" s="247"/>
      <c r="E164" s="239"/>
      <c r="F164" s="225"/>
      <c r="G164" s="231"/>
      <c r="H164" s="378">
        <v>150</v>
      </c>
      <c r="I164" s="396"/>
      <c r="J164" s="396"/>
      <c r="K164" s="405"/>
      <c r="L164" s="405"/>
      <c r="M164" s="405"/>
      <c r="N164" s="655"/>
      <c r="O164" s="405"/>
      <c r="P164" s="405"/>
      <c r="Q164" s="405"/>
      <c r="R164" s="443"/>
      <c r="S164" s="435"/>
      <c r="T164" s="414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5"/>
      <c r="V164" s="415"/>
      <c r="W164" s="416"/>
      <c r="X164" s="417"/>
      <c r="Y164" s="418" t="str">
        <f t="shared" ca="1" si="14"/>
        <v/>
      </c>
      <c r="Z164" s="419" t="str">
        <f t="shared" ca="1" si="15"/>
        <v/>
      </c>
      <c r="AA164" s="418" t="str">
        <f t="shared" ca="1" si="16"/>
        <v/>
      </c>
      <c r="AB164" s="420" t="str">
        <f t="shared" ca="1" si="17"/>
        <v/>
      </c>
      <c r="AC164" s="419" t="str">
        <f t="shared" ca="1" si="18"/>
        <v/>
      </c>
      <c r="AD164" s="220"/>
    </row>
    <row r="165" spans="1:30" customFormat="1" ht="15">
      <c r="A165" s="220"/>
      <c r="B165" s="268">
        <v>127</v>
      </c>
      <c r="C165" s="246"/>
      <c r="D165" s="247"/>
      <c r="E165" s="239"/>
      <c r="F165" s="225"/>
      <c r="G165" s="231"/>
      <c r="H165" s="378">
        <v>151</v>
      </c>
      <c r="I165" s="396"/>
      <c r="J165" s="396"/>
      <c r="K165" s="405"/>
      <c r="L165" s="405"/>
      <c r="M165" s="405"/>
      <c r="N165" s="655"/>
      <c r="O165" s="405"/>
      <c r="P165" s="405"/>
      <c r="Q165" s="405"/>
      <c r="R165" s="443"/>
      <c r="S165" s="435"/>
      <c r="T165" s="414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5"/>
      <c r="V165" s="415"/>
      <c r="W165" s="416"/>
      <c r="X165" s="417"/>
      <c r="Y165" s="418" t="str">
        <f t="shared" ca="1" si="14"/>
        <v/>
      </c>
      <c r="Z165" s="419" t="str">
        <f t="shared" ca="1" si="15"/>
        <v/>
      </c>
      <c r="AA165" s="418" t="str">
        <f t="shared" ca="1" si="16"/>
        <v/>
      </c>
      <c r="AB165" s="420" t="str">
        <f t="shared" ca="1" si="17"/>
        <v/>
      </c>
      <c r="AC165" s="419" t="str">
        <f t="shared" ca="1" si="18"/>
        <v/>
      </c>
      <c r="AD165" s="220"/>
    </row>
    <row r="166" spans="1:30" customFormat="1" ht="15">
      <c r="A166" s="220"/>
      <c r="B166" s="268">
        <v>128</v>
      </c>
      <c r="C166" s="246"/>
      <c r="D166" s="247"/>
      <c r="E166" s="239"/>
      <c r="F166" s="225"/>
      <c r="G166" s="231"/>
      <c r="H166" s="378">
        <v>152</v>
      </c>
      <c r="I166" s="396"/>
      <c r="J166" s="396"/>
      <c r="K166" s="405"/>
      <c r="L166" s="405"/>
      <c r="M166" s="405"/>
      <c r="N166" s="655"/>
      <c r="O166" s="405"/>
      <c r="P166" s="405"/>
      <c r="Q166" s="405"/>
      <c r="R166" s="443"/>
      <c r="S166" s="435"/>
      <c r="T166" s="414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5"/>
      <c r="V166" s="415"/>
      <c r="W166" s="416"/>
      <c r="X166" s="417"/>
      <c r="Y166" s="418" t="str">
        <f t="shared" ca="1" si="14"/>
        <v/>
      </c>
      <c r="Z166" s="419" t="str">
        <f t="shared" ca="1" si="15"/>
        <v/>
      </c>
      <c r="AA166" s="418" t="str">
        <f t="shared" ca="1" si="16"/>
        <v/>
      </c>
      <c r="AB166" s="420" t="str">
        <f t="shared" ca="1" si="17"/>
        <v/>
      </c>
      <c r="AC166" s="419" t="str">
        <f t="shared" ca="1" si="18"/>
        <v/>
      </c>
      <c r="AD166" s="220"/>
    </row>
    <row r="167" spans="1:30" customFormat="1" ht="15">
      <c r="A167" s="220"/>
      <c r="B167" s="268">
        <v>129</v>
      </c>
      <c r="C167" s="246"/>
      <c r="D167" s="247"/>
      <c r="E167" s="239"/>
      <c r="F167" s="225"/>
      <c r="G167" s="231"/>
      <c r="H167" s="378">
        <v>153</v>
      </c>
      <c r="I167" s="396"/>
      <c r="J167" s="396"/>
      <c r="K167" s="405"/>
      <c r="L167" s="405"/>
      <c r="M167" s="405"/>
      <c r="N167" s="655"/>
      <c r="O167" s="405"/>
      <c r="P167" s="405"/>
      <c r="Q167" s="405"/>
      <c r="R167" s="443"/>
      <c r="S167" s="435"/>
      <c r="T167" s="414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5"/>
      <c r="V167" s="415"/>
      <c r="W167" s="416"/>
      <c r="X167" s="417"/>
      <c r="Y167" s="418" t="str">
        <f t="shared" ca="1" si="14"/>
        <v/>
      </c>
      <c r="Z167" s="419" t="str">
        <f t="shared" ca="1" si="15"/>
        <v/>
      </c>
      <c r="AA167" s="418" t="str">
        <f t="shared" ca="1" si="16"/>
        <v/>
      </c>
      <c r="AB167" s="420" t="str">
        <f t="shared" ca="1" si="17"/>
        <v/>
      </c>
      <c r="AC167" s="419" t="str">
        <f t="shared" ca="1" si="18"/>
        <v/>
      </c>
      <c r="AD167" s="220"/>
    </row>
    <row r="168" spans="1:30" customFormat="1" ht="15">
      <c r="A168" s="220"/>
      <c r="B168" s="268">
        <v>130</v>
      </c>
      <c r="C168" s="246"/>
      <c r="D168" s="247"/>
      <c r="E168" s="239"/>
      <c r="F168" s="225"/>
      <c r="G168" s="231"/>
      <c r="H168" s="378">
        <v>154</v>
      </c>
      <c r="I168" s="396"/>
      <c r="J168" s="396"/>
      <c r="K168" s="405"/>
      <c r="L168" s="405"/>
      <c r="M168" s="405"/>
      <c r="N168" s="655"/>
      <c r="O168" s="405"/>
      <c r="P168" s="405"/>
      <c r="Q168" s="405"/>
      <c r="R168" s="443"/>
      <c r="S168" s="435"/>
      <c r="T168" s="414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5"/>
      <c r="V168" s="415"/>
      <c r="W168" s="416"/>
      <c r="X168" s="417"/>
      <c r="Y168" s="418" t="str">
        <f t="shared" ca="1" si="14"/>
        <v/>
      </c>
      <c r="Z168" s="419" t="str">
        <f t="shared" ca="1" si="15"/>
        <v/>
      </c>
      <c r="AA168" s="418" t="str">
        <f t="shared" ca="1" si="16"/>
        <v/>
      </c>
      <c r="AB168" s="420" t="str">
        <f t="shared" ca="1" si="17"/>
        <v/>
      </c>
      <c r="AC168" s="419" t="str">
        <f t="shared" ca="1" si="18"/>
        <v/>
      </c>
      <c r="AD168" s="220"/>
    </row>
    <row r="169" spans="1:30" customFormat="1" ht="15">
      <c r="A169" s="220"/>
      <c r="B169" s="268">
        <v>131</v>
      </c>
      <c r="C169" s="246"/>
      <c r="D169" s="247"/>
      <c r="E169" s="239"/>
      <c r="F169" s="225"/>
      <c r="G169" s="231"/>
      <c r="H169" s="378">
        <v>155</v>
      </c>
      <c r="I169" s="396"/>
      <c r="J169" s="396"/>
      <c r="K169" s="405"/>
      <c r="L169" s="405"/>
      <c r="M169" s="405"/>
      <c r="N169" s="655"/>
      <c r="O169" s="405"/>
      <c r="P169" s="405"/>
      <c r="Q169" s="405"/>
      <c r="R169" s="443"/>
      <c r="S169" s="435"/>
      <c r="T169" s="414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5"/>
      <c r="V169" s="415"/>
      <c r="W169" s="416"/>
      <c r="X169" s="417"/>
      <c r="Y169" s="418" t="str">
        <f t="shared" ca="1" si="14"/>
        <v/>
      </c>
      <c r="Z169" s="419" t="str">
        <f t="shared" ca="1" si="15"/>
        <v/>
      </c>
      <c r="AA169" s="418" t="str">
        <f t="shared" ca="1" si="16"/>
        <v/>
      </c>
      <c r="AB169" s="420" t="str">
        <f t="shared" ca="1" si="17"/>
        <v/>
      </c>
      <c r="AC169" s="419" t="str">
        <f t="shared" ca="1" si="18"/>
        <v/>
      </c>
      <c r="AD169" s="220"/>
    </row>
    <row r="170" spans="1:30" customFormat="1" ht="15">
      <c r="A170" s="220"/>
      <c r="B170" s="268">
        <v>132</v>
      </c>
      <c r="C170" s="246"/>
      <c r="D170" s="247"/>
      <c r="E170" s="239"/>
      <c r="F170" s="225"/>
      <c r="G170" s="231"/>
      <c r="H170" s="378">
        <v>156</v>
      </c>
      <c r="I170" s="396"/>
      <c r="J170" s="396"/>
      <c r="K170" s="405"/>
      <c r="L170" s="405"/>
      <c r="M170" s="405"/>
      <c r="N170" s="655"/>
      <c r="O170" s="405"/>
      <c r="P170" s="405"/>
      <c r="Q170" s="405"/>
      <c r="R170" s="443"/>
      <c r="S170" s="435"/>
      <c r="T170" s="414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5"/>
      <c r="V170" s="415"/>
      <c r="W170" s="416"/>
      <c r="X170" s="417"/>
      <c r="Y170" s="418" t="str">
        <f t="shared" ca="1" si="14"/>
        <v/>
      </c>
      <c r="Z170" s="419" t="str">
        <f t="shared" ca="1" si="15"/>
        <v/>
      </c>
      <c r="AA170" s="418" t="str">
        <f t="shared" ca="1" si="16"/>
        <v/>
      </c>
      <c r="AB170" s="420" t="str">
        <f t="shared" ca="1" si="17"/>
        <v/>
      </c>
      <c r="AC170" s="419" t="str">
        <f t="shared" ca="1" si="18"/>
        <v/>
      </c>
      <c r="AD170" s="220"/>
    </row>
    <row r="171" spans="1:30" customFormat="1" ht="15">
      <c r="A171" s="220"/>
      <c r="B171" s="268">
        <v>133</v>
      </c>
      <c r="C171" s="246"/>
      <c r="D171" s="247"/>
      <c r="E171" s="239"/>
      <c r="F171" s="225"/>
      <c r="G171" s="231"/>
      <c r="H171" s="378">
        <v>157</v>
      </c>
      <c r="I171" s="396"/>
      <c r="J171" s="396"/>
      <c r="K171" s="405"/>
      <c r="L171" s="405"/>
      <c r="M171" s="405"/>
      <c r="N171" s="655"/>
      <c r="O171" s="405"/>
      <c r="P171" s="405"/>
      <c r="Q171" s="405"/>
      <c r="R171" s="443"/>
      <c r="S171" s="435"/>
      <c r="T171" s="414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5"/>
      <c r="V171" s="415"/>
      <c r="W171" s="416"/>
      <c r="X171" s="417"/>
      <c r="Y171" s="418" t="str">
        <f t="shared" ca="1" si="14"/>
        <v/>
      </c>
      <c r="Z171" s="419" t="str">
        <f t="shared" ca="1" si="15"/>
        <v/>
      </c>
      <c r="AA171" s="418" t="str">
        <f t="shared" ca="1" si="16"/>
        <v/>
      </c>
      <c r="AB171" s="420" t="str">
        <f t="shared" ca="1" si="17"/>
        <v/>
      </c>
      <c r="AC171" s="419" t="str">
        <f t="shared" ca="1" si="18"/>
        <v/>
      </c>
      <c r="AD171" s="220"/>
    </row>
    <row r="172" spans="1:30" customFormat="1" ht="15">
      <c r="A172" s="220"/>
      <c r="B172" s="268">
        <v>134</v>
      </c>
      <c r="C172" s="246"/>
      <c r="D172" s="247"/>
      <c r="E172" s="239"/>
      <c r="F172" s="225"/>
      <c r="G172" s="231"/>
      <c r="H172" s="378">
        <v>158</v>
      </c>
      <c r="I172" s="396"/>
      <c r="J172" s="396"/>
      <c r="K172" s="405"/>
      <c r="L172" s="405"/>
      <c r="M172" s="405"/>
      <c r="N172" s="655"/>
      <c r="O172" s="405"/>
      <c r="P172" s="405"/>
      <c r="Q172" s="405"/>
      <c r="R172" s="443"/>
      <c r="S172" s="435"/>
      <c r="T172" s="414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5"/>
      <c r="V172" s="415"/>
      <c r="W172" s="416"/>
      <c r="X172" s="417"/>
      <c r="Y172" s="418" t="str">
        <f t="shared" ca="1" si="14"/>
        <v/>
      </c>
      <c r="Z172" s="419" t="str">
        <f t="shared" ca="1" si="15"/>
        <v/>
      </c>
      <c r="AA172" s="418" t="str">
        <f t="shared" ca="1" si="16"/>
        <v/>
      </c>
      <c r="AB172" s="420" t="str">
        <f t="shared" ca="1" si="17"/>
        <v/>
      </c>
      <c r="AC172" s="419" t="str">
        <f t="shared" ca="1" si="18"/>
        <v/>
      </c>
      <c r="AD172" s="220"/>
    </row>
    <row r="173" spans="1:30" customFormat="1" ht="15">
      <c r="A173" s="220"/>
      <c r="B173" s="268">
        <v>135</v>
      </c>
      <c r="C173" s="246"/>
      <c r="D173" s="247"/>
      <c r="E173" s="239"/>
      <c r="F173" s="225"/>
      <c r="G173" s="231"/>
      <c r="H173" s="378">
        <v>159</v>
      </c>
      <c r="I173" s="396"/>
      <c r="J173" s="396"/>
      <c r="K173" s="405"/>
      <c r="L173" s="405"/>
      <c r="M173" s="405"/>
      <c r="N173" s="655"/>
      <c r="O173" s="405"/>
      <c r="P173" s="405"/>
      <c r="Q173" s="405"/>
      <c r="R173" s="443"/>
      <c r="S173" s="435"/>
      <c r="T173" s="414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5"/>
      <c r="V173" s="415"/>
      <c r="W173" s="416"/>
      <c r="X173" s="417"/>
      <c r="Y173" s="418" t="str">
        <f t="shared" ca="1" si="14"/>
        <v/>
      </c>
      <c r="Z173" s="419" t="str">
        <f t="shared" ca="1" si="15"/>
        <v/>
      </c>
      <c r="AA173" s="418" t="str">
        <f t="shared" ca="1" si="16"/>
        <v/>
      </c>
      <c r="AB173" s="420" t="str">
        <f t="shared" ca="1" si="17"/>
        <v/>
      </c>
      <c r="AC173" s="419" t="str">
        <f t="shared" ca="1" si="18"/>
        <v/>
      </c>
      <c r="AD173" s="220"/>
    </row>
    <row r="174" spans="1:30" customFormat="1" ht="15">
      <c r="A174" s="220"/>
      <c r="B174" s="268">
        <v>136</v>
      </c>
      <c r="C174" s="246"/>
      <c r="D174" s="247"/>
      <c r="E174" s="239"/>
      <c r="F174" s="225"/>
      <c r="G174" s="231"/>
      <c r="H174" s="378">
        <v>160</v>
      </c>
      <c r="I174" s="396"/>
      <c r="J174" s="396"/>
      <c r="K174" s="405"/>
      <c r="L174" s="405"/>
      <c r="M174" s="405"/>
      <c r="N174" s="655"/>
      <c r="O174" s="405"/>
      <c r="P174" s="405"/>
      <c r="Q174" s="405"/>
      <c r="R174" s="443"/>
      <c r="S174" s="435"/>
      <c r="T174" s="414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5"/>
      <c r="V174" s="415"/>
      <c r="W174" s="416"/>
      <c r="X174" s="417"/>
      <c r="Y174" s="418" t="str">
        <f t="shared" ca="1" si="14"/>
        <v/>
      </c>
      <c r="Z174" s="419" t="str">
        <f t="shared" ca="1" si="15"/>
        <v/>
      </c>
      <c r="AA174" s="418" t="str">
        <f t="shared" ca="1" si="16"/>
        <v/>
      </c>
      <c r="AB174" s="420" t="str">
        <f t="shared" ca="1" si="17"/>
        <v/>
      </c>
      <c r="AC174" s="419" t="str">
        <f t="shared" ca="1" si="18"/>
        <v/>
      </c>
      <c r="AD174" s="220"/>
    </row>
    <row r="175" spans="1:30" customFormat="1" ht="15">
      <c r="A175" s="220"/>
      <c r="B175" s="268">
        <v>137</v>
      </c>
      <c r="C175" s="246"/>
      <c r="D175" s="247"/>
      <c r="E175" s="239"/>
      <c r="F175" s="225"/>
      <c r="G175" s="231"/>
      <c r="H175" s="378">
        <v>161</v>
      </c>
      <c r="I175" s="396"/>
      <c r="J175" s="396"/>
      <c r="K175" s="405"/>
      <c r="L175" s="405"/>
      <c r="M175" s="405"/>
      <c r="N175" s="655"/>
      <c r="O175" s="405"/>
      <c r="P175" s="405"/>
      <c r="Q175" s="405"/>
      <c r="R175" s="443"/>
      <c r="S175" s="435"/>
      <c r="T175" s="414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5"/>
      <c r="V175" s="415"/>
      <c r="W175" s="416"/>
      <c r="X175" s="417"/>
      <c r="Y175" s="418" t="str">
        <f t="shared" ca="1" si="14"/>
        <v/>
      </c>
      <c r="Z175" s="419" t="str">
        <f t="shared" ca="1" si="15"/>
        <v/>
      </c>
      <c r="AA175" s="418" t="str">
        <f t="shared" ca="1" si="16"/>
        <v/>
      </c>
      <c r="AB175" s="420" t="str">
        <f t="shared" ca="1" si="17"/>
        <v/>
      </c>
      <c r="AC175" s="419" t="str">
        <f t="shared" ca="1" si="18"/>
        <v/>
      </c>
      <c r="AD175" s="220"/>
    </row>
    <row r="176" spans="1:30" customFormat="1" ht="15">
      <c r="A176" s="220"/>
      <c r="B176" s="268">
        <v>138</v>
      </c>
      <c r="C176" s="246"/>
      <c r="D176" s="247"/>
      <c r="E176" s="239"/>
      <c r="F176" s="225"/>
      <c r="G176" s="231"/>
      <c r="H176" s="378">
        <v>162</v>
      </c>
      <c r="I176" s="396"/>
      <c r="J176" s="396"/>
      <c r="K176" s="405"/>
      <c r="L176" s="405"/>
      <c r="M176" s="405"/>
      <c r="N176" s="655"/>
      <c r="O176" s="405"/>
      <c r="P176" s="405"/>
      <c r="Q176" s="405"/>
      <c r="R176" s="443"/>
      <c r="S176" s="435"/>
      <c r="T176" s="414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5"/>
      <c r="V176" s="415"/>
      <c r="W176" s="416"/>
      <c r="X176" s="417"/>
      <c r="Y176" s="418" t="str">
        <f t="shared" ca="1" si="14"/>
        <v/>
      </c>
      <c r="Z176" s="419" t="str">
        <f t="shared" ca="1" si="15"/>
        <v/>
      </c>
      <c r="AA176" s="418" t="str">
        <f t="shared" ca="1" si="16"/>
        <v/>
      </c>
      <c r="AB176" s="420" t="str">
        <f t="shared" ca="1" si="17"/>
        <v/>
      </c>
      <c r="AC176" s="419" t="str">
        <f t="shared" ca="1" si="18"/>
        <v/>
      </c>
      <c r="AD176" s="220"/>
    </row>
    <row r="177" spans="1:30" customFormat="1" ht="15">
      <c r="A177" s="220"/>
      <c r="B177" s="268">
        <v>139</v>
      </c>
      <c r="C177" s="246"/>
      <c r="D177" s="247"/>
      <c r="E177" s="239"/>
      <c r="F177" s="225"/>
      <c r="G177" s="231"/>
      <c r="H177" s="378">
        <v>163</v>
      </c>
      <c r="I177" s="396"/>
      <c r="J177" s="396"/>
      <c r="K177" s="405"/>
      <c r="L177" s="405"/>
      <c r="M177" s="405"/>
      <c r="N177" s="655"/>
      <c r="O177" s="405"/>
      <c r="P177" s="405"/>
      <c r="Q177" s="405"/>
      <c r="R177" s="443"/>
      <c r="S177" s="435"/>
      <c r="T177" s="414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5"/>
      <c r="V177" s="415"/>
      <c r="W177" s="416"/>
      <c r="X177" s="417"/>
      <c r="Y177" s="418" t="str">
        <f t="shared" ca="1" si="14"/>
        <v/>
      </c>
      <c r="Z177" s="419" t="str">
        <f t="shared" ca="1" si="15"/>
        <v/>
      </c>
      <c r="AA177" s="418" t="str">
        <f t="shared" ca="1" si="16"/>
        <v/>
      </c>
      <c r="AB177" s="420" t="str">
        <f t="shared" ca="1" si="17"/>
        <v/>
      </c>
      <c r="AC177" s="419" t="str">
        <f t="shared" ca="1" si="18"/>
        <v/>
      </c>
      <c r="AD177" s="220"/>
    </row>
    <row r="178" spans="1:30" customFormat="1" ht="15">
      <c r="A178" s="220"/>
      <c r="B178" s="268">
        <v>140</v>
      </c>
      <c r="C178" s="246"/>
      <c r="D178" s="247"/>
      <c r="E178" s="239"/>
      <c r="F178" s="225"/>
      <c r="G178" s="231"/>
      <c r="H178" s="378">
        <v>164</v>
      </c>
      <c r="I178" s="396"/>
      <c r="J178" s="396"/>
      <c r="K178" s="405"/>
      <c r="L178" s="405"/>
      <c r="M178" s="405"/>
      <c r="N178" s="655"/>
      <c r="O178" s="405"/>
      <c r="P178" s="405"/>
      <c r="Q178" s="405"/>
      <c r="R178" s="443"/>
      <c r="S178" s="435"/>
      <c r="T178" s="414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5"/>
      <c r="V178" s="415"/>
      <c r="W178" s="416"/>
      <c r="X178" s="417"/>
      <c r="Y178" s="418" t="str">
        <f t="shared" ca="1" si="14"/>
        <v/>
      </c>
      <c r="Z178" s="419" t="str">
        <f t="shared" ca="1" si="15"/>
        <v/>
      </c>
      <c r="AA178" s="418" t="str">
        <f t="shared" ca="1" si="16"/>
        <v/>
      </c>
      <c r="AB178" s="420" t="str">
        <f t="shared" ca="1" si="17"/>
        <v/>
      </c>
      <c r="AC178" s="419" t="str">
        <f t="shared" ca="1" si="18"/>
        <v/>
      </c>
      <c r="AD178" s="220"/>
    </row>
    <row r="179" spans="1:30" customFormat="1" ht="15">
      <c r="A179" s="220"/>
      <c r="B179" s="268">
        <v>141</v>
      </c>
      <c r="C179" s="246"/>
      <c r="D179" s="247"/>
      <c r="E179" s="239"/>
      <c r="F179" s="225"/>
      <c r="G179" s="231"/>
      <c r="H179" s="378">
        <v>165</v>
      </c>
      <c r="I179" s="396"/>
      <c r="J179" s="396"/>
      <c r="K179" s="405"/>
      <c r="L179" s="405"/>
      <c r="M179" s="405"/>
      <c r="N179" s="655"/>
      <c r="O179" s="405"/>
      <c r="P179" s="405"/>
      <c r="Q179" s="405"/>
      <c r="R179" s="443"/>
      <c r="S179" s="435"/>
      <c r="T179" s="414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5"/>
      <c r="V179" s="415"/>
      <c r="W179" s="416"/>
      <c r="X179" s="417"/>
      <c r="Y179" s="418" t="str">
        <f t="shared" ca="1" si="14"/>
        <v/>
      </c>
      <c r="Z179" s="419" t="str">
        <f t="shared" ca="1" si="15"/>
        <v/>
      </c>
      <c r="AA179" s="418" t="str">
        <f t="shared" ca="1" si="16"/>
        <v/>
      </c>
      <c r="AB179" s="420" t="str">
        <f t="shared" ca="1" si="17"/>
        <v/>
      </c>
      <c r="AC179" s="419" t="str">
        <f t="shared" ca="1" si="18"/>
        <v/>
      </c>
      <c r="AD179" s="220"/>
    </row>
    <row r="180" spans="1:30" customFormat="1" ht="15">
      <c r="A180" s="220"/>
      <c r="B180" s="268">
        <v>142</v>
      </c>
      <c r="C180" s="246"/>
      <c r="D180" s="247"/>
      <c r="E180" s="239"/>
      <c r="F180" s="225"/>
      <c r="G180" s="231"/>
      <c r="H180" s="378">
        <v>166</v>
      </c>
      <c r="I180" s="396"/>
      <c r="J180" s="396"/>
      <c r="K180" s="405"/>
      <c r="L180" s="405"/>
      <c r="M180" s="405"/>
      <c r="N180" s="655"/>
      <c r="O180" s="405"/>
      <c r="P180" s="405"/>
      <c r="Q180" s="405"/>
      <c r="R180" s="443"/>
      <c r="S180" s="435"/>
      <c r="T180" s="414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5"/>
      <c r="V180" s="415"/>
      <c r="W180" s="416"/>
      <c r="X180" s="417"/>
      <c r="Y180" s="418" t="str">
        <f t="shared" ca="1" si="14"/>
        <v/>
      </c>
      <c r="Z180" s="419" t="str">
        <f t="shared" ca="1" si="15"/>
        <v/>
      </c>
      <c r="AA180" s="418" t="str">
        <f t="shared" ca="1" si="16"/>
        <v/>
      </c>
      <c r="AB180" s="420" t="str">
        <f t="shared" ca="1" si="17"/>
        <v/>
      </c>
      <c r="AC180" s="419" t="str">
        <f t="shared" ca="1" si="18"/>
        <v/>
      </c>
      <c r="AD180" s="220"/>
    </row>
    <row r="181" spans="1:30" customFormat="1" ht="15">
      <c r="A181" s="220"/>
      <c r="B181" s="268">
        <v>143</v>
      </c>
      <c r="C181" s="246"/>
      <c r="D181" s="247"/>
      <c r="E181" s="239"/>
      <c r="F181" s="225"/>
      <c r="G181" s="231"/>
      <c r="H181" s="378">
        <v>167</v>
      </c>
      <c r="I181" s="396"/>
      <c r="J181" s="396"/>
      <c r="K181" s="405"/>
      <c r="L181" s="405"/>
      <c r="M181" s="405"/>
      <c r="N181" s="655"/>
      <c r="O181" s="405"/>
      <c r="P181" s="405"/>
      <c r="Q181" s="405"/>
      <c r="R181" s="443"/>
      <c r="S181" s="435"/>
      <c r="T181" s="414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5"/>
      <c r="V181" s="415"/>
      <c r="W181" s="416"/>
      <c r="X181" s="417"/>
      <c r="Y181" s="418" t="str">
        <f t="shared" ca="1" si="14"/>
        <v/>
      </c>
      <c r="Z181" s="419" t="str">
        <f t="shared" ca="1" si="15"/>
        <v/>
      </c>
      <c r="AA181" s="418" t="str">
        <f t="shared" ca="1" si="16"/>
        <v/>
      </c>
      <c r="AB181" s="420" t="str">
        <f t="shared" ca="1" si="17"/>
        <v/>
      </c>
      <c r="AC181" s="419" t="str">
        <f t="shared" ca="1" si="18"/>
        <v/>
      </c>
      <c r="AD181" s="220"/>
    </row>
    <row r="182" spans="1:30" customFormat="1" ht="15">
      <c r="A182" s="220"/>
      <c r="B182" s="268">
        <v>144</v>
      </c>
      <c r="C182" s="246"/>
      <c r="D182" s="247"/>
      <c r="E182" s="239"/>
      <c r="F182" s="225"/>
      <c r="G182" s="231"/>
      <c r="H182" s="378">
        <v>168</v>
      </c>
      <c r="I182" s="396"/>
      <c r="J182" s="396"/>
      <c r="K182" s="405"/>
      <c r="L182" s="405"/>
      <c r="M182" s="405"/>
      <c r="N182" s="655"/>
      <c r="O182" s="405"/>
      <c r="P182" s="405"/>
      <c r="Q182" s="405"/>
      <c r="R182" s="443"/>
      <c r="S182" s="435"/>
      <c r="T182" s="414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5"/>
      <c r="V182" s="415"/>
      <c r="W182" s="416"/>
      <c r="X182" s="417"/>
      <c r="Y182" s="418" t="str">
        <f t="shared" ca="1" si="14"/>
        <v/>
      </c>
      <c r="Z182" s="419" t="str">
        <f t="shared" ca="1" si="15"/>
        <v/>
      </c>
      <c r="AA182" s="418" t="str">
        <f t="shared" ca="1" si="16"/>
        <v/>
      </c>
      <c r="AB182" s="420" t="str">
        <f t="shared" ca="1" si="17"/>
        <v/>
      </c>
      <c r="AC182" s="419" t="str">
        <f t="shared" ca="1" si="18"/>
        <v/>
      </c>
      <c r="AD182" s="220"/>
    </row>
    <row r="183" spans="1:30" customFormat="1" ht="15">
      <c r="A183" s="220"/>
      <c r="B183" s="268">
        <v>145</v>
      </c>
      <c r="C183" s="246"/>
      <c r="D183" s="247"/>
      <c r="E183" s="239"/>
      <c r="F183" s="225"/>
      <c r="G183" s="231"/>
      <c r="H183" s="378">
        <v>169</v>
      </c>
      <c r="I183" s="396"/>
      <c r="J183" s="396"/>
      <c r="K183" s="405"/>
      <c r="L183" s="405"/>
      <c r="M183" s="405"/>
      <c r="N183" s="655"/>
      <c r="O183" s="405"/>
      <c r="P183" s="405"/>
      <c r="Q183" s="405"/>
      <c r="R183" s="443"/>
      <c r="S183" s="435"/>
      <c r="T183" s="414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5"/>
      <c r="V183" s="415"/>
      <c r="W183" s="416"/>
      <c r="X183" s="417"/>
      <c r="Y183" s="418" t="str">
        <f t="shared" ca="1" si="14"/>
        <v/>
      </c>
      <c r="Z183" s="419" t="str">
        <f t="shared" ca="1" si="15"/>
        <v/>
      </c>
      <c r="AA183" s="418" t="str">
        <f t="shared" ca="1" si="16"/>
        <v/>
      </c>
      <c r="AB183" s="420" t="str">
        <f t="shared" ca="1" si="17"/>
        <v/>
      </c>
      <c r="AC183" s="419" t="str">
        <f t="shared" ca="1" si="18"/>
        <v/>
      </c>
      <c r="AD183" s="220"/>
    </row>
    <row r="184" spans="1:30" customFormat="1" ht="15">
      <c r="A184" s="220"/>
      <c r="B184" s="268">
        <v>146</v>
      </c>
      <c r="C184" s="246"/>
      <c r="D184" s="247"/>
      <c r="E184" s="239"/>
      <c r="F184" s="225"/>
      <c r="G184" s="231"/>
      <c r="H184" s="378">
        <v>170</v>
      </c>
      <c r="I184" s="396"/>
      <c r="J184" s="396"/>
      <c r="K184" s="405"/>
      <c r="L184" s="405"/>
      <c r="M184" s="405"/>
      <c r="N184" s="655"/>
      <c r="O184" s="405"/>
      <c r="P184" s="405"/>
      <c r="Q184" s="405"/>
      <c r="R184" s="443"/>
      <c r="S184" s="435"/>
      <c r="T184" s="414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5"/>
      <c r="V184" s="415"/>
      <c r="W184" s="416"/>
      <c r="X184" s="417"/>
      <c r="Y184" s="418" t="str">
        <f t="shared" ca="1" si="14"/>
        <v/>
      </c>
      <c r="Z184" s="419" t="str">
        <f t="shared" ca="1" si="15"/>
        <v/>
      </c>
      <c r="AA184" s="418" t="str">
        <f t="shared" ca="1" si="16"/>
        <v/>
      </c>
      <c r="AB184" s="420" t="str">
        <f t="shared" ca="1" si="17"/>
        <v/>
      </c>
      <c r="AC184" s="419" t="str">
        <f t="shared" ca="1" si="18"/>
        <v/>
      </c>
      <c r="AD184" s="220"/>
    </row>
    <row r="185" spans="1:30" customFormat="1" ht="15">
      <c r="A185" s="220"/>
      <c r="B185" s="268">
        <v>147</v>
      </c>
      <c r="C185" s="246"/>
      <c r="D185" s="247"/>
      <c r="E185" s="239"/>
      <c r="F185" s="225"/>
      <c r="G185" s="231"/>
      <c r="H185" s="378">
        <v>171</v>
      </c>
      <c r="I185" s="396"/>
      <c r="J185" s="396"/>
      <c r="K185" s="405"/>
      <c r="L185" s="405"/>
      <c r="M185" s="405"/>
      <c r="N185" s="655"/>
      <c r="O185" s="405"/>
      <c r="P185" s="405"/>
      <c r="Q185" s="405"/>
      <c r="R185" s="443"/>
      <c r="S185" s="435"/>
      <c r="T185" s="414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5"/>
      <c r="V185" s="415"/>
      <c r="W185" s="416"/>
      <c r="X185" s="417"/>
      <c r="Y185" s="418" t="str">
        <f t="shared" ca="1" si="14"/>
        <v/>
      </c>
      <c r="Z185" s="419" t="str">
        <f t="shared" ca="1" si="15"/>
        <v/>
      </c>
      <c r="AA185" s="418" t="str">
        <f t="shared" ca="1" si="16"/>
        <v/>
      </c>
      <c r="AB185" s="420" t="str">
        <f t="shared" ca="1" si="17"/>
        <v/>
      </c>
      <c r="AC185" s="419" t="str">
        <f t="shared" ca="1" si="18"/>
        <v/>
      </c>
      <c r="AD185" s="220"/>
    </row>
    <row r="186" spans="1:30" customFormat="1" ht="15">
      <c r="A186" s="220"/>
      <c r="B186" s="268">
        <v>148</v>
      </c>
      <c r="C186" s="246"/>
      <c r="D186" s="247"/>
      <c r="E186" s="239"/>
      <c r="F186" s="225"/>
      <c r="G186" s="231"/>
      <c r="H186" s="378">
        <v>172</v>
      </c>
      <c r="I186" s="396"/>
      <c r="J186" s="396"/>
      <c r="K186" s="405"/>
      <c r="L186" s="405"/>
      <c r="M186" s="405"/>
      <c r="N186" s="655"/>
      <c r="O186" s="405"/>
      <c r="P186" s="405"/>
      <c r="Q186" s="405"/>
      <c r="R186" s="443"/>
      <c r="S186" s="435"/>
      <c r="T186" s="414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5"/>
      <c r="V186" s="415"/>
      <c r="W186" s="416"/>
      <c r="X186" s="417"/>
      <c r="Y186" s="418" t="str">
        <f t="shared" ca="1" si="14"/>
        <v/>
      </c>
      <c r="Z186" s="419" t="str">
        <f t="shared" ca="1" si="15"/>
        <v/>
      </c>
      <c r="AA186" s="418" t="str">
        <f t="shared" ca="1" si="16"/>
        <v/>
      </c>
      <c r="AB186" s="420" t="str">
        <f t="shared" ca="1" si="17"/>
        <v/>
      </c>
      <c r="AC186" s="419" t="str">
        <f t="shared" ca="1" si="18"/>
        <v/>
      </c>
      <c r="AD186" s="220"/>
    </row>
    <row r="187" spans="1:30" customFormat="1" ht="15">
      <c r="A187" s="220"/>
      <c r="B187" s="268">
        <v>149</v>
      </c>
      <c r="C187" s="246"/>
      <c r="D187" s="247"/>
      <c r="E187" s="239"/>
      <c r="F187" s="225"/>
      <c r="G187" s="231"/>
      <c r="H187" s="378">
        <v>173</v>
      </c>
      <c r="I187" s="396"/>
      <c r="J187" s="396"/>
      <c r="K187" s="405"/>
      <c r="L187" s="405"/>
      <c r="M187" s="405"/>
      <c r="N187" s="655"/>
      <c r="O187" s="405"/>
      <c r="P187" s="405"/>
      <c r="Q187" s="405"/>
      <c r="R187" s="443"/>
      <c r="S187" s="435"/>
      <c r="T187" s="414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5"/>
      <c r="V187" s="415"/>
      <c r="W187" s="416"/>
      <c r="X187" s="417"/>
      <c r="Y187" s="418" t="str">
        <f t="shared" ca="1" si="14"/>
        <v/>
      </c>
      <c r="Z187" s="419" t="str">
        <f t="shared" ca="1" si="15"/>
        <v/>
      </c>
      <c r="AA187" s="418" t="str">
        <f t="shared" ca="1" si="16"/>
        <v/>
      </c>
      <c r="AB187" s="420" t="str">
        <f t="shared" ca="1" si="17"/>
        <v/>
      </c>
      <c r="AC187" s="419" t="str">
        <f t="shared" ca="1" si="18"/>
        <v/>
      </c>
      <c r="AD187" s="220"/>
    </row>
    <row r="188" spans="1:30" customFormat="1" ht="15">
      <c r="A188" s="220"/>
      <c r="B188" s="268">
        <v>150</v>
      </c>
      <c r="C188" s="246"/>
      <c r="D188" s="247"/>
      <c r="E188" s="239"/>
      <c r="F188" s="225"/>
      <c r="G188" s="231"/>
      <c r="H188" s="378">
        <v>174</v>
      </c>
      <c r="I188" s="396"/>
      <c r="J188" s="396"/>
      <c r="K188" s="405"/>
      <c r="L188" s="405"/>
      <c r="M188" s="405"/>
      <c r="N188" s="655"/>
      <c r="O188" s="405"/>
      <c r="P188" s="405"/>
      <c r="Q188" s="405"/>
      <c r="R188" s="443"/>
      <c r="S188" s="435"/>
      <c r="T188" s="414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5"/>
      <c r="V188" s="415"/>
      <c r="W188" s="416"/>
      <c r="X188" s="417"/>
      <c r="Y188" s="418" t="str">
        <f t="shared" ca="1" si="14"/>
        <v/>
      </c>
      <c r="Z188" s="419" t="str">
        <f t="shared" ca="1" si="15"/>
        <v/>
      </c>
      <c r="AA188" s="418" t="str">
        <f t="shared" ca="1" si="16"/>
        <v/>
      </c>
      <c r="AB188" s="420" t="str">
        <f t="shared" ca="1" si="17"/>
        <v/>
      </c>
      <c r="AC188" s="419" t="str">
        <f t="shared" ca="1" si="18"/>
        <v/>
      </c>
      <c r="AD188" s="220"/>
    </row>
    <row r="189" spans="1:30" customFormat="1" ht="15">
      <c r="A189" s="220"/>
      <c r="B189" s="268">
        <v>151</v>
      </c>
      <c r="C189" s="246"/>
      <c r="D189" s="247"/>
      <c r="E189" s="239"/>
      <c r="F189" s="225"/>
      <c r="G189" s="231"/>
      <c r="H189" s="378">
        <v>175</v>
      </c>
      <c r="I189" s="396"/>
      <c r="J189" s="396"/>
      <c r="K189" s="405"/>
      <c r="L189" s="405"/>
      <c r="M189" s="405"/>
      <c r="N189" s="655"/>
      <c r="O189" s="405"/>
      <c r="P189" s="405"/>
      <c r="Q189" s="405"/>
      <c r="R189" s="443"/>
      <c r="S189" s="435"/>
      <c r="T189" s="414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5"/>
      <c r="V189" s="415"/>
      <c r="W189" s="416"/>
      <c r="X189" s="417"/>
      <c r="Y189" s="418" t="str">
        <f t="shared" ca="1" si="14"/>
        <v/>
      </c>
      <c r="Z189" s="419" t="str">
        <f t="shared" ca="1" si="15"/>
        <v/>
      </c>
      <c r="AA189" s="418" t="str">
        <f t="shared" ca="1" si="16"/>
        <v/>
      </c>
      <c r="AB189" s="420" t="str">
        <f t="shared" ca="1" si="17"/>
        <v/>
      </c>
      <c r="AC189" s="419" t="str">
        <f t="shared" ca="1" si="18"/>
        <v/>
      </c>
      <c r="AD189" s="220"/>
    </row>
    <row r="190" spans="1:30" customFormat="1" ht="15">
      <c r="A190" s="220"/>
      <c r="B190" s="268">
        <v>152</v>
      </c>
      <c r="C190" s="246"/>
      <c r="D190" s="247"/>
      <c r="E190" s="239"/>
      <c r="F190" s="225"/>
      <c r="G190" s="231"/>
      <c r="H190" s="378">
        <v>176</v>
      </c>
      <c r="I190" s="396"/>
      <c r="J190" s="396"/>
      <c r="K190" s="405"/>
      <c r="L190" s="405"/>
      <c r="M190" s="405"/>
      <c r="N190" s="655"/>
      <c r="O190" s="405"/>
      <c r="P190" s="405"/>
      <c r="Q190" s="405"/>
      <c r="R190" s="443"/>
      <c r="S190" s="435"/>
      <c r="T190" s="414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5"/>
      <c r="V190" s="415"/>
      <c r="W190" s="416"/>
      <c r="X190" s="417"/>
      <c r="Y190" s="418" t="str">
        <f t="shared" ca="1" si="14"/>
        <v/>
      </c>
      <c r="Z190" s="419" t="str">
        <f t="shared" ca="1" si="15"/>
        <v/>
      </c>
      <c r="AA190" s="418" t="str">
        <f t="shared" ca="1" si="16"/>
        <v/>
      </c>
      <c r="AB190" s="420" t="str">
        <f t="shared" ca="1" si="17"/>
        <v/>
      </c>
      <c r="AC190" s="419" t="str">
        <f t="shared" ca="1" si="18"/>
        <v/>
      </c>
      <c r="AD190" s="220"/>
    </row>
    <row r="191" spans="1:30" customFormat="1" ht="15">
      <c r="A191" s="220"/>
      <c r="B191" s="268">
        <v>153</v>
      </c>
      <c r="C191" s="246"/>
      <c r="D191" s="247"/>
      <c r="E191" s="239"/>
      <c r="F191" s="225"/>
      <c r="G191" s="231"/>
      <c r="H191" s="378">
        <v>177</v>
      </c>
      <c r="I191" s="396"/>
      <c r="J191" s="396"/>
      <c r="K191" s="405"/>
      <c r="L191" s="405"/>
      <c r="M191" s="405"/>
      <c r="N191" s="655"/>
      <c r="O191" s="405"/>
      <c r="P191" s="405"/>
      <c r="Q191" s="405"/>
      <c r="R191" s="443"/>
      <c r="S191" s="435"/>
      <c r="T191" s="414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5"/>
      <c r="V191" s="415"/>
      <c r="W191" s="416"/>
      <c r="X191" s="417"/>
      <c r="Y191" s="418" t="str">
        <f t="shared" ca="1" si="14"/>
        <v/>
      </c>
      <c r="Z191" s="419" t="str">
        <f t="shared" ca="1" si="15"/>
        <v/>
      </c>
      <c r="AA191" s="418" t="str">
        <f t="shared" ca="1" si="16"/>
        <v/>
      </c>
      <c r="AB191" s="420" t="str">
        <f t="shared" ca="1" si="17"/>
        <v/>
      </c>
      <c r="AC191" s="419" t="str">
        <f t="shared" ca="1" si="18"/>
        <v/>
      </c>
      <c r="AD191" s="220"/>
    </row>
    <row r="192" spans="1:30" customFormat="1" ht="15">
      <c r="A192" s="220"/>
      <c r="B192" s="268">
        <v>154</v>
      </c>
      <c r="C192" s="246"/>
      <c r="D192" s="247"/>
      <c r="E192" s="239"/>
      <c r="F192" s="225"/>
      <c r="G192" s="231"/>
      <c r="H192" s="378">
        <v>178</v>
      </c>
      <c r="I192" s="396"/>
      <c r="J192" s="396"/>
      <c r="K192" s="405"/>
      <c r="L192" s="405"/>
      <c r="M192" s="405"/>
      <c r="N192" s="655"/>
      <c r="O192" s="405"/>
      <c r="P192" s="405"/>
      <c r="Q192" s="405"/>
      <c r="R192" s="443"/>
      <c r="S192" s="435"/>
      <c r="T192" s="414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5"/>
      <c r="V192" s="415"/>
      <c r="W192" s="416"/>
      <c r="X192" s="417"/>
      <c r="Y192" s="418" t="str">
        <f t="shared" ca="1" si="14"/>
        <v/>
      </c>
      <c r="Z192" s="419" t="str">
        <f t="shared" ca="1" si="15"/>
        <v/>
      </c>
      <c r="AA192" s="418" t="str">
        <f t="shared" ca="1" si="16"/>
        <v/>
      </c>
      <c r="AB192" s="420" t="str">
        <f t="shared" ca="1" si="17"/>
        <v/>
      </c>
      <c r="AC192" s="419" t="str">
        <f t="shared" ca="1" si="18"/>
        <v/>
      </c>
      <c r="AD192" s="220"/>
    </row>
    <row r="193" spans="1:30" customFormat="1" ht="15">
      <c r="A193" s="220"/>
      <c r="B193" s="268">
        <v>155</v>
      </c>
      <c r="C193" s="246"/>
      <c r="D193" s="247"/>
      <c r="E193" s="239"/>
      <c r="F193" s="225"/>
      <c r="G193" s="231"/>
      <c r="H193" s="378">
        <v>179</v>
      </c>
      <c r="I193" s="396"/>
      <c r="J193" s="396"/>
      <c r="K193" s="405"/>
      <c r="L193" s="405"/>
      <c r="M193" s="405"/>
      <c r="N193" s="655"/>
      <c r="O193" s="405"/>
      <c r="P193" s="405"/>
      <c r="Q193" s="405"/>
      <c r="R193" s="443"/>
      <c r="S193" s="435"/>
      <c r="T193" s="414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5"/>
      <c r="V193" s="415"/>
      <c r="W193" s="416"/>
      <c r="X193" s="417"/>
      <c r="Y193" s="418" t="str">
        <f t="shared" ca="1" si="14"/>
        <v/>
      </c>
      <c r="Z193" s="419" t="str">
        <f t="shared" ca="1" si="15"/>
        <v/>
      </c>
      <c r="AA193" s="418" t="str">
        <f t="shared" ca="1" si="16"/>
        <v/>
      </c>
      <c r="AB193" s="420" t="str">
        <f t="shared" ca="1" si="17"/>
        <v/>
      </c>
      <c r="AC193" s="419" t="str">
        <f t="shared" ca="1" si="18"/>
        <v/>
      </c>
      <c r="AD193" s="220"/>
    </row>
    <row r="194" spans="1:30" customFormat="1" ht="15">
      <c r="A194" s="220"/>
      <c r="B194" s="268">
        <v>156</v>
      </c>
      <c r="C194" s="246"/>
      <c r="D194" s="247"/>
      <c r="E194" s="239"/>
      <c r="F194" s="225"/>
      <c r="G194" s="231"/>
      <c r="H194" s="378">
        <v>180</v>
      </c>
      <c r="I194" s="396"/>
      <c r="J194" s="396"/>
      <c r="K194" s="405"/>
      <c r="L194" s="405"/>
      <c r="M194" s="405"/>
      <c r="N194" s="655"/>
      <c r="O194" s="405"/>
      <c r="P194" s="405"/>
      <c r="Q194" s="405"/>
      <c r="R194" s="443"/>
      <c r="S194" s="435"/>
      <c r="T194" s="414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5"/>
      <c r="V194" s="415"/>
      <c r="W194" s="416"/>
      <c r="X194" s="417"/>
      <c r="Y194" s="418" t="str">
        <f t="shared" ca="1" si="14"/>
        <v/>
      </c>
      <c r="Z194" s="419" t="str">
        <f t="shared" ca="1" si="15"/>
        <v/>
      </c>
      <c r="AA194" s="418" t="str">
        <f t="shared" ca="1" si="16"/>
        <v/>
      </c>
      <c r="AB194" s="420" t="str">
        <f t="shared" ca="1" si="17"/>
        <v/>
      </c>
      <c r="AC194" s="419" t="str">
        <f t="shared" ca="1" si="18"/>
        <v/>
      </c>
      <c r="AD194" s="220"/>
    </row>
    <row r="195" spans="1:30" customFormat="1" ht="15">
      <c r="A195" s="220"/>
      <c r="B195" s="268">
        <v>157</v>
      </c>
      <c r="C195" s="246"/>
      <c r="D195" s="247"/>
      <c r="E195" s="239"/>
      <c r="F195" s="225"/>
      <c r="G195" s="231"/>
      <c r="H195" s="378">
        <v>181</v>
      </c>
      <c r="I195" s="396"/>
      <c r="J195" s="396"/>
      <c r="K195" s="405"/>
      <c r="L195" s="405"/>
      <c r="M195" s="405"/>
      <c r="N195" s="655"/>
      <c r="O195" s="405"/>
      <c r="P195" s="405"/>
      <c r="Q195" s="405"/>
      <c r="R195" s="443"/>
      <c r="S195" s="435"/>
      <c r="T195" s="414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5"/>
      <c r="V195" s="415"/>
      <c r="W195" s="416"/>
      <c r="X195" s="417"/>
      <c r="Y195" s="418" t="str">
        <f t="shared" ca="1" si="14"/>
        <v/>
      </c>
      <c r="Z195" s="419" t="str">
        <f t="shared" ca="1" si="15"/>
        <v/>
      </c>
      <c r="AA195" s="418" t="str">
        <f t="shared" ca="1" si="16"/>
        <v/>
      </c>
      <c r="AB195" s="420" t="str">
        <f t="shared" ca="1" si="17"/>
        <v/>
      </c>
      <c r="AC195" s="419" t="str">
        <f t="shared" ca="1" si="18"/>
        <v/>
      </c>
      <c r="AD195" s="220"/>
    </row>
    <row r="196" spans="1:30" customFormat="1" ht="15">
      <c r="A196" s="220"/>
      <c r="B196" s="268">
        <v>158</v>
      </c>
      <c r="C196" s="246"/>
      <c r="D196" s="247"/>
      <c r="E196" s="239"/>
      <c r="F196" s="225"/>
      <c r="G196" s="231"/>
      <c r="H196" s="378">
        <v>182</v>
      </c>
      <c r="I196" s="396"/>
      <c r="J196" s="396"/>
      <c r="K196" s="405"/>
      <c r="L196" s="405"/>
      <c r="M196" s="405"/>
      <c r="N196" s="655"/>
      <c r="O196" s="405"/>
      <c r="P196" s="405"/>
      <c r="Q196" s="405"/>
      <c r="R196" s="443"/>
      <c r="S196" s="435"/>
      <c r="T196" s="414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5"/>
      <c r="V196" s="415"/>
      <c r="W196" s="416"/>
      <c r="X196" s="417"/>
      <c r="Y196" s="418" t="str">
        <f t="shared" ca="1" si="14"/>
        <v/>
      </c>
      <c r="Z196" s="419" t="str">
        <f t="shared" ca="1" si="15"/>
        <v/>
      </c>
      <c r="AA196" s="418" t="str">
        <f t="shared" ca="1" si="16"/>
        <v/>
      </c>
      <c r="AB196" s="420" t="str">
        <f t="shared" ca="1" si="17"/>
        <v/>
      </c>
      <c r="AC196" s="419" t="str">
        <f t="shared" ca="1" si="18"/>
        <v/>
      </c>
      <c r="AD196" s="220"/>
    </row>
    <row r="197" spans="1:30" customFormat="1" ht="15">
      <c r="A197" s="220"/>
      <c r="B197" s="268">
        <v>159</v>
      </c>
      <c r="C197" s="246"/>
      <c r="D197" s="247"/>
      <c r="E197" s="239"/>
      <c r="F197" s="225"/>
      <c r="G197" s="231"/>
      <c r="H197" s="378">
        <v>183</v>
      </c>
      <c r="I197" s="396"/>
      <c r="J197" s="396"/>
      <c r="K197" s="405"/>
      <c r="L197" s="405"/>
      <c r="M197" s="405"/>
      <c r="N197" s="655"/>
      <c r="O197" s="405"/>
      <c r="P197" s="405"/>
      <c r="Q197" s="405"/>
      <c r="R197" s="443"/>
      <c r="S197" s="435"/>
      <c r="T197" s="414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5"/>
      <c r="V197" s="415"/>
      <c r="W197" s="416"/>
      <c r="X197" s="417"/>
      <c r="Y197" s="418" t="str">
        <f t="shared" ca="1" si="14"/>
        <v/>
      </c>
      <c r="Z197" s="419" t="str">
        <f t="shared" ca="1" si="15"/>
        <v/>
      </c>
      <c r="AA197" s="418" t="str">
        <f t="shared" ca="1" si="16"/>
        <v/>
      </c>
      <c r="AB197" s="420" t="str">
        <f t="shared" ca="1" si="17"/>
        <v/>
      </c>
      <c r="AC197" s="419" t="str">
        <f t="shared" ca="1" si="18"/>
        <v/>
      </c>
      <c r="AD197" s="220"/>
    </row>
    <row r="198" spans="1:30" customFormat="1" ht="15">
      <c r="A198" s="220"/>
      <c r="B198" s="268">
        <v>160</v>
      </c>
      <c r="C198" s="246"/>
      <c r="D198" s="247"/>
      <c r="E198" s="239"/>
      <c r="F198" s="225"/>
      <c r="G198" s="231"/>
      <c r="H198" s="378">
        <v>184</v>
      </c>
      <c r="I198" s="396"/>
      <c r="J198" s="396"/>
      <c r="K198" s="405"/>
      <c r="L198" s="405"/>
      <c r="M198" s="405"/>
      <c r="N198" s="655"/>
      <c r="O198" s="405"/>
      <c r="P198" s="405"/>
      <c r="Q198" s="405"/>
      <c r="R198" s="443"/>
      <c r="S198" s="435"/>
      <c r="T198" s="414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5"/>
      <c r="V198" s="415"/>
      <c r="W198" s="416"/>
      <c r="X198" s="417"/>
      <c r="Y198" s="418" t="str">
        <f t="shared" ca="1" si="14"/>
        <v/>
      </c>
      <c r="Z198" s="419" t="str">
        <f t="shared" ca="1" si="15"/>
        <v/>
      </c>
      <c r="AA198" s="418" t="str">
        <f t="shared" ca="1" si="16"/>
        <v/>
      </c>
      <c r="AB198" s="420" t="str">
        <f t="shared" ca="1" si="17"/>
        <v/>
      </c>
      <c r="AC198" s="419" t="str">
        <f t="shared" ca="1" si="18"/>
        <v/>
      </c>
      <c r="AD198" s="220"/>
    </row>
    <row r="199" spans="1:30" customFormat="1" ht="15">
      <c r="A199" s="220"/>
      <c r="B199" s="268">
        <v>161</v>
      </c>
      <c r="C199" s="246"/>
      <c r="D199" s="247"/>
      <c r="E199" s="239"/>
      <c r="F199" s="225"/>
      <c r="G199" s="231"/>
      <c r="H199" s="378">
        <v>185</v>
      </c>
      <c r="I199" s="396"/>
      <c r="J199" s="396"/>
      <c r="K199" s="405"/>
      <c r="L199" s="405"/>
      <c r="M199" s="405"/>
      <c r="N199" s="655"/>
      <c r="O199" s="405"/>
      <c r="P199" s="405"/>
      <c r="Q199" s="405"/>
      <c r="R199" s="443"/>
      <c r="S199" s="435"/>
      <c r="T199" s="414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5"/>
      <c r="V199" s="415"/>
      <c r="W199" s="416"/>
      <c r="X199" s="417"/>
      <c r="Y199" s="418" t="str">
        <f t="shared" ca="1" si="14"/>
        <v/>
      </c>
      <c r="Z199" s="419" t="str">
        <f t="shared" ca="1" si="15"/>
        <v/>
      </c>
      <c r="AA199" s="418" t="str">
        <f t="shared" ca="1" si="16"/>
        <v/>
      </c>
      <c r="AB199" s="420" t="str">
        <f t="shared" ca="1" si="17"/>
        <v/>
      </c>
      <c r="AC199" s="419" t="str">
        <f t="shared" ca="1" si="18"/>
        <v/>
      </c>
      <c r="AD199" s="220"/>
    </row>
    <row r="200" spans="1:30" customFormat="1" ht="15">
      <c r="A200" s="220"/>
      <c r="B200" s="268">
        <v>162</v>
      </c>
      <c r="C200" s="246"/>
      <c r="D200" s="247"/>
      <c r="E200" s="239"/>
      <c r="F200" s="225"/>
      <c r="G200" s="231"/>
      <c r="H200" s="378">
        <v>186</v>
      </c>
      <c r="I200" s="396"/>
      <c r="J200" s="396"/>
      <c r="K200" s="405"/>
      <c r="L200" s="405"/>
      <c r="M200" s="405"/>
      <c r="N200" s="655"/>
      <c r="O200" s="405"/>
      <c r="P200" s="405"/>
      <c r="Q200" s="405"/>
      <c r="R200" s="443"/>
      <c r="S200" s="435"/>
      <c r="T200" s="414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5"/>
      <c r="V200" s="415"/>
      <c r="W200" s="416"/>
      <c r="X200" s="417"/>
      <c r="Y200" s="418" t="str">
        <f t="shared" ca="1" si="14"/>
        <v/>
      </c>
      <c r="Z200" s="419" t="str">
        <f t="shared" ca="1" si="15"/>
        <v/>
      </c>
      <c r="AA200" s="418" t="str">
        <f t="shared" ca="1" si="16"/>
        <v/>
      </c>
      <c r="AB200" s="420" t="str">
        <f t="shared" ca="1" si="17"/>
        <v/>
      </c>
      <c r="AC200" s="419" t="str">
        <f t="shared" ca="1" si="18"/>
        <v/>
      </c>
      <c r="AD200" s="220"/>
    </row>
    <row r="201" spans="1:30" customFormat="1" ht="15">
      <c r="A201" s="220"/>
      <c r="B201" s="268">
        <v>163</v>
      </c>
      <c r="C201" s="246"/>
      <c r="D201" s="247"/>
      <c r="E201" s="239"/>
      <c r="F201" s="225"/>
      <c r="G201" s="231"/>
      <c r="H201" s="378">
        <v>187</v>
      </c>
      <c r="I201" s="396"/>
      <c r="J201" s="396"/>
      <c r="K201" s="405"/>
      <c r="L201" s="405"/>
      <c r="M201" s="405"/>
      <c r="N201" s="655"/>
      <c r="O201" s="405"/>
      <c r="P201" s="405"/>
      <c r="Q201" s="405"/>
      <c r="R201" s="443"/>
      <c r="S201" s="435"/>
      <c r="T201" s="414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5"/>
      <c r="V201" s="415"/>
      <c r="W201" s="416"/>
      <c r="X201" s="417"/>
      <c r="Y201" s="418" t="str">
        <f t="shared" ca="1" si="14"/>
        <v/>
      </c>
      <c r="Z201" s="419" t="str">
        <f t="shared" ca="1" si="15"/>
        <v/>
      </c>
      <c r="AA201" s="418" t="str">
        <f t="shared" ca="1" si="16"/>
        <v/>
      </c>
      <c r="AB201" s="420" t="str">
        <f t="shared" ca="1" si="17"/>
        <v/>
      </c>
      <c r="AC201" s="419" t="str">
        <f t="shared" ca="1" si="18"/>
        <v/>
      </c>
      <c r="AD201" s="220"/>
    </row>
    <row r="202" spans="1:30" customFormat="1" ht="15">
      <c r="A202" s="220"/>
      <c r="B202" s="268">
        <v>164</v>
      </c>
      <c r="C202" s="246"/>
      <c r="D202" s="247"/>
      <c r="E202" s="239"/>
      <c r="F202" s="225"/>
      <c r="G202" s="231"/>
      <c r="H202" s="378">
        <v>188</v>
      </c>
      <c r="I202" s="396"/>
      <c r="J202" s="396"/>
      <c r="K202" s="405"/>
      <c r="L202" s="405"/>
      <c r="M202" s="405"/>
      <c r="N202" s="655"/>
      <c r="O202" s="405"/>
      <c r="P202" s="405"/>
      <c r="Q202" s="405"/>
      <c r="R202" s="443"/>
      <c r="S202" s="435"/>
      <c r="T202" s="414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5"/>
      <c r="V202" s="415"/>
      <c r="W202" s="416"/>
      <c r="X202" s="417"/>
      <c r="Y202" s="418" t="str">
        <f t="shared" ca="1" si="14"/>
        <v/>
      </c>
      <c r="Z202" s="419" t="str">
        <f t="shared" ca="1" si="15"/>
        <v/>
      </c>
      <c r="AA202" s="418" t="str">
        <f t="shared" ca="1" si="16"/>
        <v/>
      </c>
      <c r="AB202" s="420" t="str">
        <f t="shared" ca="1" si="17"/>
        <v/>
      </c>
      <c r="AC202" s="419" t="str">
        <f t="shared" ca="1" si="18"/>
        <v/>
      </c>
      <c r="AD202" s="220"/>
    </row>
    <row r="203" spans="1:30" customFormat="1" ht="15">
      <c r="A203" s="220"/>
      <c r="B203" s="268">
        <v>165</v>
      </c>
      <c r="C203" s="246"/>
      <c r="D203" s="247"/>
      <c r="E203" s="239"/>
      <c r="F203" s="225"/>
      <c r="G203" s="231"/>
      <c r="H203" s="378">
        <v>189</v>
      </c>
      <c r="I203" s="396"/>
      <c r="J203" s="396"/>
      <c r="K203" s="405"/>
      <c r="L203" s="405"/>
      <c r="M203" s="405"/>
      <c r="N203" s="655"/>
      <c r="O203" s="405"/>
      <c r="P203" s="405"/>
      <c r="Q203" s="405"/>
      <c r="R203" s="443"/>
      <c r="S203" s="435"/>
      <c r="T203" s="414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5"/>
      <c r="V203" s="415"/>
      <c r="W203" s="416"/>
      <c r="X203" s="417"/>
      <c r="Y203" s="418" t="str">
        <f t="shared" ca="1" si="14"/>
        <v/>
      </c>
      <c r="Z203" s="419" t="str">
        <f t="shared" ca="1" si="15"/>
        <v/>
      </c>
      <c r="AA203" s="418" t="str">
        <f t="shared" ca="1" si="16"/>
        <v/>
      </c>
      <c r="AB203" s="420" t="str">
        <f t="shared" ca="1" si="17"/>
        <v/>
      </c>
      <c r="AC203" s="419" t="str">
        <f t="shared" ca="1" si="18"/>
        <v/>
      </c>
      <c r="AD203" s="220"/>
    </row>
    <row r="204" spans="1:30" customFormat="1" ht="15">
      <c r="A204" s="220"/>
      <c r="B204" s="268">
        <v>166</v>
      </c>
      <c r="C204" s="246"/>
      <c r="D204" s="247"/>
      <c r="E204" s="239"/>
      <c r="F204" s="225"/>
      <c r="G204" s="231"/>
      <c r="H204" s="378">
        <v>190</v>
      </c>
      <c r="I204" s="396"/>
      <c r="J204" s="396"/>
      <c r="K204" s="405"/>
      <c r="L204" s="405"/>
      <c r="M204" s="405"/>
      <c r="N204" s="655"/>
      <c r="O204" s="405"/>
      <c r="P204" s="405"/>
      <c r="Q204" s="405"/>
      <c r="R204" s="443"/>
      <c r="S204" s="435"/>
      <c r="T204" s="414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5"/>
      <c r="V204" s="415"/>
      <c r="W204" s="416"/>
      <c r="X204" s="417"/>
      <c r="Y204" s="418" t="str">
        <f t="shared" ca="1" si="14"/>
        <v/>
      </c>
      <c r="Z204" s="419" t="str">
        <f t="shared" ca="1" si="15"/>
        <v/>
      </c>
      <c r="AA204" s="418" t="str">
        <f t="shared" ca="1" si="16"/>
        <v/>
      </c>
      <c r="AB204" s="420" t="str">
        <f t="shared" ca="1" si="17"/>
        <v/>
      </c>
      <c r="AC204" s="419" t="str">
        <f t="shared" ca="1" si="18"/>
        <v/>
      </c>
      <c r="AD204" s="220"/>
    </row>
    <row r="205" spans="1:30" customFormat="1" ht="15">
      <c r="A205" s="220"/>
      <c r="B205" s="268">
        <v>167</v>
      </c>
      <c r="C205" s="246"/>
      <c r="D205" s="247"/>
      <c r="E205" s="239"/>
      <c r="F205" s="225"/>
      <c r="G205" s="231"/>
      <c r="H205" s="378">
        <v>191</v>
      </c>
      <c r="I205" s="396"/>
      <c r="J205" s="396"/>
      <c r="K205" s="405"/>
      <c r="L205" s="405"/>
      <c r="M205" s="405"/>
      <c r="N205" s="655"/>
      <c r="O205" s="405"/>
      <c r="P205" s="405"/>
      <c r="Q205" s="405"/>
      <c r="R205" s="443"/>
      <c r="S205" s="435"/>
      <c r="T205" s="414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5"/>
      <c r="V205" s="415"/>
      <c r="W205" s="416"/>
      <c r="X205" s="417"/>
      <c r="Y205" s="418" t="str">
        <f t="shared" ca="1" si="14"/>
        <v/>
      </c>
      <c r="Z205" s="419" t="str">
        <f t="shared" ca="1" si="15"/>
        <v/>
      </c>
      <c r="AA205" s="418" t="str">
        <f t="shared" ca="1" si="16"/>
        <v/>
      </c>
      <c r="AB205" s="420" t="str">
        <f t="shared" ca="1" si="17"/>
        <v/>
      </c>
      <c r="AC205" s="419" t="str">
        <f t="shared" ca="1" si="18"/>
        <v/>
      </c>
      <c r="AD205" s="220"/>
    </row>
    <row r="206" spans="1:30" customFormat="1" ht="15">
      <c r="A206" s="220"/>
      <c r="B206" s="268">
        <v>168</v>
      </c>
      <c r="C206" s="246"/>
      <c r="D206" s="247"/>
      <c r="E206" s="239"/>
      <c r="F206" s="225"/>
      <c r="G206" s="231"/>
      <c r="H206" s="378">
        <v>192</v>
      </c>
      <c r="I206" s="396"/>
      <c r="J206" s="396"/>
      <c r="K206" s="405"/>
      <c r="L206" s="405"/>
      <c r="M206" s="405"/>
      <c r="N206" s="655"/>
      <c r="O206" s="405"/>
      <c r="P206" s="405"/>
      <c r="Q206" s="405"/>
      <c r="R206" s="443"/>
      <c r="S206" s="435"/>
      <c r="T206" s="414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5"/>
      <c r="V206" s="415"/>
      <c r="W206" s="416"/>
      <c r="X206" s="417"/>
      <c r="Y206" s="418" t="str">
        <f t="shared" ca="1" si="14"/>
        <v/>
      </c>
      <c r="Z206" s="419" t="str">
        <f t="shared" ca="1" si="15"/>
        <v/>
      </c>
      <c r="AA206" s="418" t="str">
        <f t="shared" ca="1" si="16"/>
        <v/>
      </c>
      <c r="AB206" s="420" t="str">
        <f t="shared" ca="1" si="17"/>
        <v/>
      </c>
      <c r="AC206" s="419" t="str">
        <f t="shared" ca="1" si="18"/>
        <v/>
      </c>
      <c r="AD206" s="220"/>
    </row>
    <row r="207" spans="1:30" customFormat="1" ht="15">
      <c r="A207" s="220"/>
      <c r="B207" s="268">
        <v>169</v>
      </c>
      <c r="C207" s="246"/>
      <c r="D207" s="247"/>
      <c r="E207" s="239"/>
      <c r="F207" s="225"/>
      <c r="G207" s="231"/>
      <c r="H207" s="378">
        <v>193</v>
      </c>
      <c r="I207" s="396"/>
      <c r="J207" s="396"/>
      <c r="K207" s="405"/>
      <c r="L207" s="405"/>
      <c r="M207" s="405"/>
      <c r="N207" s="655"/>
      <c r="O207" s="405"/>
      <c r="P207" s="405"/>
      <c r="Q207" s="405"/>
      <c r="R207" s="443"/>
      <c r="S207" s="435"/>
      <c r="T207" s="414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5"/>
      <c r="V207" s="415"/>
      <c r="W207" s="416"/>
      <c r="X207" s="417"/>
      <c r="Y207" s="418" t="str">
        <f t="shared" ca="1" si="14"/>
        <v/>
      </c>
      <c r="Z207" s="419" t="str">
        <f t="shared" ca="1" si="15"/>
        <v/>
      </c>
      <c r="AA207" s="418" t="str">
        <f t="shared" ca="1" si="16"/>
        <v/>
      </c>
      <c r="AB207" s="420" t="str">
        <f t="shared" ca="1" si="17"/>
        <v/>
      </c>
      <c r="AC207" s="419" t="str">
        <f t="shared" ca="1" si="18"/>
        <v/>
      </c>
      <c r="AD207" s="220"/>
    </row>
    <row r="208" spans="1:30" customFormat="1" ht="15">
      <c r="A208" s="220"/>
      <c r="B208" s="268">
        <v>170</v>
      </c>
      <c r="C208" s="246"/>
      <c r="D208" s="247"/>
      <c r="E208" s="239"/>
      <c r="F208" s="225"/>
      <c r="G208" s="231"/>
      <c r="H208" s="378">
        <v>194</v>
      </c>
      <c r="I208" s="396"/>
      <c r="J208" s="396"/>
      <c r="K208" s="405"/>
      <c r="L208" s="405"/>
      <c r="M208" s="405"/>
      <c r="N208" s="655"/>
      <c r="O208" s="405"/>
      <c r="P208" s="405"/>
      <c r="Q208" s="405"/>
      <c r="R208" s="443"/>
      <c r="S208" s="435"/>
      <c r="T208" s="414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5"/>
      <c r="V208" s="415"/>
      <c r="W208" s="416"/>
      <c r="X208" s="417"/>
      <c r="Y208" s="418" t="str">
        <f t="shared" ref="Y208:Y271" ca="1" si="19">IF($U$12,IF(T208="","",$U$13*D232/$C$18),"")</f>
        <v/>
      </c>
      <c r="Z208" s="419" t="str">
        <f t="shared" ref="Z208:Z271" ca="1" si="20">IF($U$12,IF(Y208="","",Y208*($Z$10-W208)*X208),"")</f>
        <v/>
      </c>
      <c r="AA208" s="418" t="str">
        <f t="shared" ref="AA208:AA271" ca="1" si="21">IF($U$12,IF(OR(T208="",L208=""),"",L208/($C$20-$C$19)),"")</f>
        <v/>
      </c>
      <c r="AB208" s="420" t="str">
        <f t="shared" ref="AB208:AB271" ca="1" si="22">IF($U$12,IF(W208="","",W208*$AC$10),"")</f>
        <v/>
      </c>
      <c r="AC208" s="419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8">
        <v>171</v>
      </c>
      <c r="C209" s="246"/>
      <c r="D209" s="247"/>
      <c r="E209" s="239"/>
      <c r="F209" s="225"/>
      <c r="G209" s="231"/>
      <c r="H209" s="378">
        <v>195</v>
      </c>
      <c r="I209" s="396"/>
      <c r="J209" s="396"/>
      <c r="K209" s="405"/>
      <c r="L209" s="405"/>
      <c r="M209" s="405"/>
      <c r="N209" s="655"/>
      <c r="O209" s="405"/>
      <c r="P209" s="405"/>
      <c r="Q209" s="405"/>
      <c r="R209" s="443"/>
      <c r="S209" s="435"/>
      <c r="T209" s="414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5"/>
      <c r="V209" s="415"/>
      <c r="W209" s="416"/>
      <c r="X209" s="417"/>
      <c r="Y209" s="418" t="str">
        <f t="shared" ca="1" si="19"/>
        <v/>
      </c>
      <c r="Z209" s="419" t="str">
        <f t="shared" ca="1" si="20"/>
        <v/>
      </c>
      <c r="AA209" s="418" t="str">
        <f t="shared" ca="1" si="21"/>
        <v/>
      </c>
      <c r="AB209" s="420" t="str">
        <f t="shared" ca="1" si="22"/>
        <v/>
      </c>
      <c r="AC209" s="419" t="str">
        <f t="shared" ca="1" si="23"/>
        <v/>
      </c>
      <c r="AD209" s="220"/>
    </row>
    <row r="210" spans="1:30" customFormat="1" ht="15">
      <c r="A210" s="220"/>
      <c r="B210" s="268">
        <v>172</v>
      </c>
      <c r="C210" s="246"/>
      <c r="D210" s="247"/>
      <c r="E210" s="239"/>
      <c r="F210" s="225"/>
      <c r="G210" s="231"/>
      <c r="H210" s="378">
        <v>196</v>
      </c>
      <c r="I210" s="396"/>
      <c r="J210" s="396"/>
      <c r="K210" s="405"/>
      <c r="L210" s="405"/>
      <c r="M210" s="405"/>
      <c r="N210" s="655"/>
      <c r="O210" s="405"/>
      <c r="P210" s="405"/>
      <c r="Q210" s="405"/>
      <c r="R210" s="443"/>
      <c r="S210" s="435"/>
      <c r="T210" s="414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5"/>
      <c r="V210" s="415"/>
      <c r="W210" s="416"/>
      <c r="X210" s="417"/>
      <c r="Y210" s="418" t="str">
        <f t="shared" ca="1" si="19"/>
        <v/>
      </c>
      <c r="Z210" s="419" t="str">
        <f t="shared" ca="1" si="20"/>
        <v/>
      </c>
      <c r="AA210" s="418" t="str">
        <f t="shared" ca="1" si="21"/>
        <v/>
      </c>
      <c r="AB210" s="420" t="str">
        <f t="shared" ca="1" si="22"/>
        <v/>
      </c>
      <c r="AC210" s="419" t="str">
        <f t="shared" ca="1" si="23"/>
        <v/>
      </c>
      <c r="AD210" s="220"/>
    </row>
    <row r="211" spans="1:30" customFormat="1" ht="15">
      <c r="A211" s="220"/>
      <c r="B211" s="268">
        <v>173</v>
      </c>
      <c r="C211" s="246"/>
      <c r="D211" s="247"/>
      <c r="E211" s="239"/>
      <c r="F211" s="225"/>
      <c r="G211" s="231"/>
      <c r="H211" s="378">
        <v>197</v>
      </c>
      <c r="I211" s="396"/>
      <c r="J211" s="396"/>
      <c r="K211" s="405"/>
      <c r="L211" s="405"/>
      <c r="M211" s="405"/>
      <c r="N211" s="655"/>
      <c r="O211" s="405"/>
      <c r="P211" s="405"/>
      <c r="Q211" s="405"/>
      <c r="R211" s="443"/>
      <c r="S211" s="435"/>
      <c r="T211" s="414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5"/>
      <c r="V211" s="415"/>
      <c r="W211" s="416"/>
      <c r="X211" s="417"/>
      <c r="Y211" s="418" t="str">
        <f t="shared" ca="1" si="19"/>
        <v/>
      </c>
      <c r="Z211" s="419" t="str">
        <f t="shared" ca="1" si="20"/>
        <v/>
      </c>
      <c r="AA211" s="418" t="str">
        <f t="shared" ca="1" si="21"/>
        <v/>
      </c>
      <c r="AB211" s="420" t="str">
        <f t="shared" ca="1" si="22"/>
        <v/>
      </c>
      <c r="AC211" s="419" t="str">
        <f t="shared" ca="1" si="23"/>
        <v/>
      </c>
      <c r="AD211" s="220"/>
    </row>
    <row r="212" spans="1:30" customFormat="1" ht="15">
      <c r="A212" s="220"/>
      <c r="B212" s="268">
        <v>174</v>
      </c>
      <c r="C212" s="246"/>
      <c r="D212" s="247"/>
      <c r="E212" s="239"/>
      <c r="F212" s="225"/>
      <c r="G212" s="231"/>
      <c r="H212" s="378">
        <v>198</v>
      </c>
      <c r="I212" s="396"/>
      <c r="J212" s="396"/>
      <c r="K212" s="405"/>
      <c r="L212" s="405"/>
      <c r="M212" s="405"/>
      <c r="N212" s="655"/>
      <c r="O212" s="405"/>
      <c r="P212" s="405"/>
      <c r="Q212" s="405"/>
      <c r="R212" s="443"/>
      <c r="S212" s="435"/>
      <c r="T212" s="414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5"/>
      <c r="V212" s="415"/>
      <c r="W212" s="416"/>
      <c r="X212" s="417"/>
      <c r="Y212" s="418" t="str">
        <f t="shared" ca="1" si="19"/>
        <v/>
      </c>
      <c r="Z212" s="419" t="str">
        <f t="shared" ca="1" si="20"/>
        <v/>
      </c>
      <c r="AA212" s="418" t="str">
        <f t="shared" ca="1" si="21"/>
        <v/>
      </c>
      <c r="AB212" s="420" t="str">
        <f t="shared" ca="1" si="22"/>
        <v/>
      </c>
      <c r="AC212" s="419" t="str">
        <f t="shared" ca="1" si="23"/>
        <v/>
      </c>
      <c r="AD212" s="220"/>
    </row>
    <row r="213" spans="1:30" customFormat="1" ht="15">
      <c r="A213" s="220"/>
      <c r="B213" s="268">
        <v>175</v>
      </c>
      <c r="C213" s="246"/>
      <c r="D213" s="247"/>
      <c r="E213" s="239"/>
      <c r="F213" s="225"/>
      <c r="G213" s="231"/>
      <c r="H213" s="378">
        <v>199</v>
      </c>
      <c r="I213" s="396"/>
      <c r="J213" s="396"/>
      <c r="K213" s="405"/>
      <c r="L213" s="405"/>
      <c r="M213" s="405"/>
      <c r="N213" s="655"/>
      <c r="O213" s="405"/>
      <c r="P213" s="405"/>
      <c r="Q213" s="405"/>
      <c r="R213" s="443"/>
      <c r="S213" s="435"/>
      <c r="T213" s="414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5"/>
      <c r="V213" s="415"/>
      <c r="W213" s="416"/>
      <c r="X213" s="417"/>
      <c r="Y213" s="418" t="str">
        <f t="shared" ca="1" si="19"/>
        <v/>
      </c>
      <c r="Z213" s="419" t="str">
        <f t="shared" ca="1" si="20"/>
        <v/>
      </c>
      <c r="AA213" s="418" t="str">
        <f t="shared" ca="1" si="21"/>
        <v/>
      </c>
      <c r="AB213" s="420" t="str">
        <f t="shared" ca="1" si="22"/>
        <v/>
      </c>
      <c r="AC213" s="419" t="str">
        <f t="shared" ca="1" si="23"/>
        <v/>
      </c>
      <c r="AD213" s="220"/>
    </row>
    <row r="214" spans="1:30" customFormat="1" ht="15">
      <c r="A214" s="220"/>
      <c r="B214" s="268">
        <v>176</v>
      </c>
      <c r="C214" s="246"/>
      <c r="D214" s="247"/>
      <c r="E214" s="239"/>
      <c r="F214" s="225"/>
      <c r="G214" s="231"/>
      <c r="H214" s="378">
        <v>200</v>
      </c>
      <c r="I214" s="396"/>
      <c r="J214" s="396"/>
      <c r="K214" s="405"/>
      <c r="L214" s="405"/>
      <c r="M214" s="405"/>
      <c r="N214" s="655"/>
      <c r="O214" s="405"/>
      <c r="P214" s="405"/>
      <c r="Q214" s="405"/>
      <c r="R214" s="443"/>
      <c r="S214" s="435"/>
      <c r="T214" s="414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5"/>
      <c r="V214" s="415"/>
      <c r="W214" s="416"/>
      <c r="X214" s="417"/>
      <c r="Y214" s="418" t="str">
        <f t="shared" ca="1" si="19"/>
        <v/>
      </c>
      <c r="Z214" s="419" t="str">
        <f t="shared" ca="1" si="20"/>
        <v/>
      </c>
      <c r="AA214" s="418" t="str">
        <f t="shared" ca="1" si="21"/>
        <v/>
      </c>
      <c r="AB214" s="420" t="str">
        <f t="shared" ca="1" si="22"/>
        <v/>
      </c>
      <c r="AC214" s="419" t="str">
        <f t="shared" ca="1" si="23"/>
        <v/>
      </c>
      <c r="AD214" s="220"/>
    </row>
    <row r="215" spans="1:30" customFormat="1" ht="15">
      <c r="A215" s="220"/>
      <c r="B215" s="268">
        <v>177</v>
      </c>
      <c r="C215" s="246"/>
      <c r="D215" s="247"/>
      <c r="E215" s="239"/>
      <c r="F215" s="225"/>
      <c r="G215" s="231"/>
      <c r="H215" s="378">
        <v>201</v>
      </c>
      <c r="I215" s="396"/>
      <c r="J215" s="396"/>
      <c r="K215" s="405"/>
      <c r="L215" s="405"/>
      <c r="M215" s="405"/>
      <c r="N215" s="655"/>
      <c r="O215" s="405"/>
      <c r="P215" s="405"/>
      <c r="Q215" s="405"/>
      <c r="R215" s="443"/>
      <c r="S215" s="435"/>
      <c r="T215" s="414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5"/>
      <c r="V215" s="415"/>
      <c r="W215" s="416"/>
      <c r="X215" s="417"/>
      <c r="Y215" s="418" t="str">
        <f t="shared" ca="1" si="19"/>
        <v/>
      </c>
      <c r="Z215" s="419" t="str">
        <f t="shared" ca="1" si="20"/>
        <v/>
      </c>
      <c r="AA215" s="418" t="str">
        <f t="shared" ca="1" si="21"/>
        <v/>
      </c>
      <c r="AB215" s="420" t="str">
        <f t="shared" ca="1" si="22"/>
        <v/>
      </c>
      <c r="AC215" s="419" t="str">
        <f t="shared" ca="1" si="23"/>
        <v/>
      </c>
      <c r="AD215" s="220"/>
    </row>
    <row r="216" spans="1:30" customFormat="1" ht="15">
      <c r="A216" s="220"/>
      <c r="B216" s="268">
        <v>178</v>
      </c>
      <c r="C216" s="246"/>
      <c r="D216" s="247"/>
      <c r="E216" s="239"/>
      <c r="F216" s="225"/>
      <c r="G216" s="231"/>
      <c r="H216" s="378">
        <v>202</v>
      </c>
      <c r="I216" s="396"/>
      <c r="J216" s="396"/>
      <c r="K216" s="405"/>
      <c r="L216" s="405"/>
      <c r="M216" s="405"/>
      <c r="N216" s="655"/>
      <c r="O216" s="405"/>
      <c r="P216" s="405"/>
      <c r="Q216" s="405"/>
      <c r="R216" s="443"/>
      <c r="S216" s="435"/>
      <c r="T216" s="414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5"/>
      <c r="V216" s="415"/>
      <c r="W216" s="416"/>
      <c r="X216" s="417"/>
      <c r="Y216" s="418" t="str">
        <f t="shared" ca="1" si="19"/>
        <v/>
      </c>
      <c r="Z216" s="419" t="str">
        <f t="shared" ca="1" si="20"/>
        <v/>
      </c>
      <c r="AA216" s="418" t="str">
        <f t="shared" ca="1" si="21"/>
        <v/>
      </c>
      <c r="AB216" s="420" t="str">
        <f t="shared" ca="1" si="22"/>
        <v/>
      </c>
      <c r="AC216" s="419" t="str">
        <f t="shared" ca="1" si="23"/>
        <v/>
      </c>
      <c r="AD216" s="220"/>
    </row>
    <row r="217" spans="1:30" customFormat="1" ht="15">
      <c r="A217" s="220"/>
      <c r="B217" s="268">
        <v>179</v>
      </c>
      <c r="C217" s="246"/>
      <c r="D217" s="247"/>
      <c r="E217" s="239"/>
      <c r="F217" s="225"/>
      <c r="G217" s="231"/>
      <c r="H217" s="378">
        <v>203</v>
      </c>
      <c r="I217" s="396"/>
      <c r="J217" s="396"/>
      <c r="K217" s="405"/>
      <c r="L217" s="405"/>
      <c r="M217" s="405"/>
      <c r="N217" s="655"/>
      <c r="O217" s="405"/>
      <c r="P217" s="405"/>
      <c r="Q217" s="405"/>
      <c r="R217" s="443"/>
      <c r="S217" s="435"/>
      <c r="T217" s="414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5"/>
      <c r="V217" s="415"/>
      <c r="W217" s="416"/>
      <c r="X217" s="417"/>
      <c r="Y217" s="418" t="str">
        <f t="shared" ca="1" si="19"/>
        <v/>
      </c>
      <c r="Z217" s="419" t="str">
        <f t="shared" ca="1" si="20"/>
        <v/>
      </c>
      <c r="AA217" s="418" t="str">
        <f t="shared" ca="1" si="21"/>
        <v/>
      </c>
      <c r="AB217" s="420" t="str">
        <f t="shared" ca="1" si="22"/>
        <v/>
      </c>
      <c r="AC217" s="419" t="str">
        <f t="shared" ca="1" si="23"/>
        <v/>
      </c>
      <c r="AD217" s="220"/>
    </row>
    <row r="218" spans="1:30" customFormat="1" ht="15">
      <c r="A218" s="220"/>
      <c r="B218" s="268">
        <v>180</v>
      </c>
      <c r="C218" s="246"/>
      <c r="D218" s="247"/>
      <c r="E218" s="239"/>
      <c r="F218" s="225"/>
      <c r="G218" s="231"/>
      <c r="H218" s="378">
        <v>204</v>
      </c>
      <c r="I218" s="396"/>
      <c r="J218" s="396"/>
      <c r="K218" s="405"/>
      <c r="L218" s="405"/>
      <c r="M218" s="405"/>
      <c r="N218" s="655"/>
      <c r="O218" s="405"/>
      <c r="P218" s="405"/>
      <c r="Q218" s="405"/>
      <c r="R218" s="443"/>
      <c r="S218" s="435"/>
      <c r="T218" s="414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5"/>
      <c r="V218" s="415"/>
      <c r="W218" s="416"/>
      <c r="X218" s="417"/>
      <c r="Y218" s="418" t="str">
        <f t="shared" ca="1" si="19"/>
        <v/>
      </c>
      <c r="Z218" s="419" t="str">
        <f t="shared" ca="1" si="20"/>
        <v/>
      </c>
      <c r="AA218" s="418" t="str">
        <f t="shared" ca="1" si="21"/>
        <v/>
      </c>
      <c r="AB218" s="420" t="str">
        <f t="shared" ca="1" si="22"/>
        <v/>
      </c>
      <c r="AC218" s="419" t="str">
        <f t="shared" ca="1" si="23"/>
        <v/>
      </c>
      <c r="AD218" s="220"/>
    </row>
    <row r="219" spans="1:30" customFormat="1" ht="15">
      <c r="A219" s="220"/>
      <c r="B219" s="268">
        <v>181</v>
      </c>
      <c r="C219" s="246"/>
      <c r="D219" s="247"/>
      <c r="E219" s="239"/>
      <c r="F219" s="225"/>
      <c r="G219" s="231"/>
      <c r="H219" s="378">
        <v>205</v>
      </c>
      <c r="I219" s="396"/>
      <c r="J219" s="396"/>
      <c r="K219" s="405"/>
      <c r="L219" s="405"/>
      <c r="M219" s="405"/>
      <c r="N219" s="655"/>
      <c r="O219" s="405"/>
      <c r="P219" s="405"/>
      <c r="Q219" s="405"/>
      <c r="R219" s="443"/>
      <c r="S219" s="435"/>
      <c r="T219" s="414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5"/>
      <c r="V219" s="415"/>
      <c r="W219" s="416"/>
      <c r="X219" s="417"/>
      <c r="Y219" s="418" t="str">
        <f t="shared" ca="1" si="19"/>
        <v/>
      </c>
      <c r="Z219" s="419" t="str">
        <f t="shared" ca="1" si="20"/>
        <v/>
      </c>
      <c r="AA219" s="418" t="str">
        <f t="shared" ca="1" si="21"/>
        <v/>
      </c>
      <c r="AB219" s="420" t="str">
        <f t="shared" ca="1" si="22"/>
        <v/>
      </c>
      <c r="AC219" s="419" t="str">
        <f t="shared" ca="1" si="23"/>
        <v/>
      </c>
      <c r="AD219" s="220"/>
    </row>
    <row r="220" spans="1:30" customFormat="1" ht="15">
      <c r="A220" s="220"/>
      <c r="B220" s="268">
        <v>182</v>
      </c>
      <c r="C220" s="246"/>
      <c r="D220" s="247"/>
      <c r="E220" s="239"/>
      <c r="F220" s="225"/>
      <c r="G220" s="231"/>
      <c r="H220" s="378">
        <v>206</v>
      </c>
      <c r="I220" s="396"/>
      <c r="J220" s="396"/>
      <c r="K220" s="405"/>
      <c r="L220" s="405"/>
      <c r="M220" s="405"/>
      <c r="N220" s="655"/>
      <c r="O220" s="405"/>
      <c r="P220" s="405"/>
      <c r="Q220" s="405"/>
      <c r="R220" s="443"/>
      <c r="S220" s="435"/>
      <c r="T220" s="414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5"/>
      <c r="V220" s="415"/>
      <c r="W220" s="416"/>
      <c r="X220" s="417"/>
      <c r="Y220" s="418" t="str">
        <f t="shared" ca="1" si="19"/>
        <v/>
      </c>
      <c r="Z220" s="419" t="str">
        <f t="shared" ca="1" si="20"/>
        <v/>
      </c>
      <c r="AA220" s="418" t="str">
        <f t="shared" ca="1" si="21"/>
        <v/>
      </c>
      <c r="AB220" s="420" t="str">
        <f t="shared" ca="1" si="22"/>
        <v/>
      </c>
      <c r="AC220" s="419" t="str">
        <f t="shared" ca="1" si="23"/>
        <v/>
      </c>
      <c r="AD220" s="220"/>
    </row>
    <row r="221" spans="1:30" customFormat="1" ht="15">
      <c r="A221" s="220"/>
      <c r="B221" s="268">
        <v>183</v>
      </c>
      <c r="C221" s="246"/>
      <c r="D221" s="247"/>
      <c r="E221" s="239"/>
      <c r="F221" s="225"/>
      <c r="G221" s="231"/>
      <c r="H221" s="378">
        <v>207</v>
      </c>
      <c r="I221" s="396"/>
      <c r="J221" s="396"/>
      <c r="K221" s="405"/>
      <c r="L221" s="405"/>
      <c r="M221" s="405"/>
      <c r="N221" s="655"/>
      <c r="O221" s="405"/>
      <c r="P221" s="405"/>
      <c r="Q221" s="405"/>
      <c r="R221" s="443"/>
      <c r="S221" s="435"/>
      <c r="T221" s="414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5"/>
      <c r="V221" s="415"/>
      <c r="W221" s="416"/>
      <c r="X221" s="417"/>
      <c r="Y221" s="418" t="str">
        <f t="shared" ca="1" si="19"/>
        <v/>
      </c>
      <c r="Z221" s="419" t="str">
        <f t="shared" ca="1" si="20"/>
        <v/>
      </c>
      <c r="AA221" s="418" t="str">
        <f t="shared" ca="1" si="21"/>
        <v/>
      </c>
      <c r="AB221" s="420" t="str">
        <f t="shared" ca="1" si="22"/>
        <v/>
      </c>
      <c r="AC221" s="419" t="str">
        <f t="shared" ca="1" si="23"/>
        <v/>
      </c>
      <c r="AD221" s="220"/>
    </row>
    <row r="222" spans="1:30" customFormat="1" ht="15">
      <c r="A222" s="220"/>
      <c r="B222" s="268">
        <v>184</v>
      </c>
      <c r="C222" s="246"/>
      <c r="D222" s="247"/>
      <c r="E222" s="239"/>
      <c r="F222" s="225"/>
      <c r="G222" s="231"/>
      <c r="H222" s="378">
        <v>208</v>
      </c>
      <c r="I222" s="396"/>
      <c r="J222" s="396"/>
      <c r="K222" s="405"/>
      <c r="L222" s="405"/>
      <c r="M222" s="405"/>
      <c r="N222" s="655"/>
      <c r="O222" s="405"/>
      <c r="P222" s="405"/>
      <c r="Q222" s="405"/>
      <c r="R222" s="443"/>
      <c r="S222" s="435"/>
      <c r="T222" s="414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5"/>
      <c r="V222" s="415"/>
      <c r="W222" s="416"/>
      <c r="X222" s="417"/>
      <c r="Y222" s="418" t="str">
        <f t="shared" ca="1" si="19"/>
        <v/>
      </c>
      <c r="Z222" s="419" t="str">
        <f t="shared" ca="1" si="20"/>
        <v/>
      </c>
      <c r="AA222" s="418" t="str">
        <f t="shared" ca="1" si="21"/>
        <v/>
      </c>
      <c r="AB222" s="420" t="str">
        <f t="shared" ca="1" si="22"/>
        <v/>
      </c>
      <c r="AC222" s="419" t="str">
        <f t="shared" ca="1" si="23"/>
        <v/>
      </c>
      <c r="AD222" s="220"/>
    </row>
    <row r="223" spans="1:30" customFormat="1" ht="15">
      <c r="A223" s="220"/>
      <c r="B223" s="268">
        <v>185</v>
      </c>
      <c r="C223" s="246"/>
      <c r="D223" s="247"/>
      <c r="E223" s="239"/>
      <c r="F223" s="225"/>
      <c r="G223" s="231"/>
      <c r="H223" s="378">
        <v>209</v>
      </c>
      <c r="I223" s="396"/>
      <c r="J223" s="396"/>
      <c r="K223" s="405"/>
      <c r="L223" s="405"/>
      <c r="M223" s="405"/>
      <c r="N223" s="655"/>
      <c r="O223" s="405"/>
      <c r="P223" s="405"/>
      <c r="Q223" s="405"/>
      <c r="R223" s="443"/>
      <c r="S223" s="435"/>
      <c r="T223" s="414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5"/>
      <c r="V223" s="415"/>
      <c r="W223" s="416"/>
      <c r="X223" s="417"/>
      <c r="Y223" s="418" t="str">
        <f t="shared" ca="1" si="19"/>
        <v/>
      </c>
      <c r="Z223" s="419" t="str">
        <f t="shared" ca="1" si="20"/>
        <v/>
      </c>
      <c r="AA223" s="418" t="str">
        <f t="shared" ca="1" si="21"/>
        <v/>
      </c>
      <c r="AB223" s="420" t="str">
        <f t="shared" ca="1" si="22"/>
        <v/>
      </c>
      <c r="AC223" s="419" t="str">
        <f t="shared" ca="1" si="23"/>
        <v/>
      </c>
      <c r="AD223" s="220"/>
    </row>
    <row r="224" spans="1:30" customFormat="1" ht="15">
      <c r="A224" s="220"/>
      <c r="B224" s="268">
        <v>186</v>
      </c>
      <c r="C224" s="246"/>
      <c r="D224" s="247"/>
      <c r="E224" s="239"/>
      <c r="F224" s="225"/>
      <c r="G224" s="231"/>
      <c r="H224" s="378">
        <v>210</v>
      </c>
      <c r="I224" s="396"/>
      <c r="J224" s="396"/>
      <c r="K224" s="405"/>
      <c r="L224" s="405"/>
      <c r="M224" s="405"/>
      <c r="N224" s="655"/>
      <c r="O224" s="405"/>
      <c r="P224" s="405"/>
      <c r="Q224" s="405"/>
      <c r="R224" s="443"/>
      <c r="S224" s="435"/>
      <c r="T224" s="414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5"/>
      <c r="V224" s="415"/>
      <c r="W224" s="416"/>
      <c r="X224" s="417"/>
      <c r="Y224" s="418" t="str">
        <f t="shared" ca="1" si="19"/>
        <v/>
      </c>
      <c r="Z224" s="419" t="str">
        <f t="shared" ca="1" si="20"/>
        <v/>
      </c>
      <c r="AA224" s="418" t="str">
        <f t="shared" ca="1" si="21"/>
        <v/>
      </c>
      <c r="AB224" s="420" t="str">
        <f t="shared" ca="1" si="22"/>
        <v/>
      </c>
      <c r="AC224" s="419" t="str">
        <f t="shared" ca="1" si="23"/>
        <v/>
      </c>
      <c r="AD224" s="220"/>
    </row>
    <row r="225" spans="1:30" customFormat="1" ht="15">
      <c r="A225" s="220"/>
      <c r="B225" s="268">
        <v>187</v>
      </c>
      <c r="C225" s="246"/>
      <c r="D225" s="247"/>
      <c r="E225" s="239"/>
      <c r="F225" s="225"/>
      <c r="G225" s="231"/>
      <c r="H225" s="378">
        <v>211</v>
      </c>
      <c r="I225" s="396"/>
      <c r="J225" s="396"/>
      <c r="K225" s="405"/>
      <c r="L225" s="405"/>
      <c r="M225" s="405"/>
      <c r="N225" s="655"/>
      <c r="O225" s="405"/>
      <c r="P225" s="405"/>
      <c r="Q225" s="405"/>
      <c r="R225" s="443"/>
      <c r="S225" s="435"/>
      <c r="T225" s="414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5"/>
      <c r="V225" s="415"/>
      <c r="W225" s="416"/>
      <c r="X225" s="417"/>
      <c r="Y225" s="418" t="str">
        <f t="shared" ca="1" si="19"/>
        <v/>
      </c>
      <c r="Z225" s="419" t="str">
        <f t="shared" ca="1" si="20"/>
        <v/>
      </c>
      <c r="AA225" s="418" t="str">
        <f t="shared" ca="1" si="21"/>
        <v/>
      </c>
      <c r="AB225" s="420" t="str">
        <f t="shared" ca="1" si="22"/>
        <v/>
      </c>
      <c r="AC225" s="419" t="str">
        <f t="shared" ca="1" si="23"/>
        <v/>
      </c>
      <c r="AD225" s="220"/>
    </row>
    <row r="226" spans="1:30" customFormat="1" ht="15">
      <c r="A226" s="220"/>
      <c r="B226" s="268">
        <v>188</v>
      </c>
      <c r="C226" s="246"/>
      <c r="D226" s="247"/>
      <c r="E226" s="239"/>
      <c r="F226" s="225"/>
      <c r="G226" s="231"/>
      <c r="H226" s="378">
        <v>212</v>
      </c>
      <c r="I226" s="396"/>
      <c r="J226" s="396"/>
      <c r="K226" s="405"/>
      <c r="L226" s="405"/>
      <c r="M226" s="405"/>
      <c r="N226" s="655"/>
      <c r="O226" s="405"/>
      <c r="P226" s="405"/>
      <c r="Q226" s="405"/>
      <c r="R226" s="443"/>
      <c r="S226" s="435"/>
      <c r="T226" s="414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5"/>
      <c r="V226" s="415"/>
      <c r="W226" s="416"/>
      <c r="X226" s="417"/>
      <c r="Y226" s="418" t="str">
        <f t="shared" ca="1" si="19"/>
        <v/>
      </c>
      <c r="Z226" s="419" t="str">
        <f t="shared" ca="1" si="20"/>
        <v/>
      </c>
      <c r="AA226" s="418" t="str">
        <f t="shared" ca="1" si="21"/>
        <v/>
      </c>
      <c r="AB226" s="420" t="str">
        <f t="shared" ca="1" si="22"/>
        <v/>
      </c>
      <c r="AC226" s="419" t="str">
        <f t="shared" ca="1" si="23"/>
        <v/>
      </c>
      <c r="AD226" s="220"/>
    </row>
    <row r="227" spans="1:30" customFormat="1" ht="15">
      <c r="A227" s="220"/>
      <c r="B227" s="268">
        <v>189</v>
      </c>
      <c r="C227" s="246"/>
      <c r="D227" s="247"/>
      <c r="E227" s="239"/>
      <c r="F227" s="225"/>
      <c r="G227" s="231"/>
      <c r="H227" s="378">
        <v>213</v>
      </c>
      <c r="I227" s="396"/>
      <c r="J227" s="396"/>
      <c r="K227" s="405"/>
      <c r="L227" s="405"/>
      <c r="M227" s="405"/>
      <c r="N227" s="655"/>
      <c r="O227" s="405"/>
      <c r="P227" s="405"/>
      <c r="Q227" s="405"/>
      <c r="R227" s="443"/>
      <c r="S227" s="435"/>
      <c r="T227" s="414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5"/>
      <c r="V227" s="415"/>
      <c r="W227" s="416"/>
      <c r="X227" s="417"/>
      <c r="Y227" s="418" t="str">
        <f t="shared" ca="1" si="19"/>
        <v/>
      </c>
      <c r="Z227" s="419" t="str">
        <f t="shared" ca="1" si="20"/>
        <v/>
      </c>
      <c r="AA227" s="418" t="str">
        <f t="shared" ca="1" si="21"/>
        <v/>
      </c>
      <c r="AB227" s="420" t="str">
        <f t="shared" ca="1" si="22"/>
        <v/>
      </c>
      <c r="AC227" s="419" t="str">
        <f t="shared" ca="1" si="23"/>
        <v/>
      </c>
      <c r="AD227" s="220"/>
    </row>
    <row r="228" spans="1:30" customFormat="1" ht="15">
      <c r="A228" s="220"/>
      <c r="B228" s="268">
        <v>190</v>
      </c>
      <c r="C228" s="246"/>
      <c r="D228" s="247"/>
      <c r="E228" s="239"/>
      <c r="F228" s="225"/>
      <c r="G228" s="231"/>
      <c r="H228" s="378">
        <v>214</v>
      </c>
      <c r="I228" s="396"/>
      <c r="J228" s="396"/>
      <c r="K228" s="405"/>
      <c r="L228" s="405"/>
      <c r="M228" s="405"/>
      <c r="N228" s="655"/>
      <c r="O228" s="405"/>
      <c r="P228" s="405"/>
      <c r="Q228" s="405"/>
      <c r="R228" s="443"/>
      <c r="S228" s="435"/>
      <c r="T228" s="414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5"/>
      <c r="V228" s="415"/>
      <c r="W228" s="416"/>
      <c r="X228" s="417"/>
      <c r="Y228" s="418" t="str">
        <f t="shared" ca="1" si="19"/>
        <v/>
      </c>
      <c r="Z228" s="419" t="str">
        <f t="shared" ca="1" si="20"/>
        <v/>
      </c>
      <c r="AA228" s="418" t="str">
        <f t="shared" ca="1" si="21"/>
        <v/>
      </c>
      <c r="AB228" s="420" t="str">
        <f t="shared" ca="1" si="22"/>
        <v/>
      </c>
      <c r="AC228" s="419" t="str">
        <f t="shared" ca="1" si="23"/>
        <v/>
      </c>
      <c r="AD228" s="220"/>
    </row>
    <row r="229" spans="1:30" customFormat="1" ht="15">
      <c r="A229" s="220"/>
      <c r="B229" s="268">
        <v>191</v>
      </c>
      <c r="C229" s="246"/>
      <c r="D229" s="247"/>
      <c r="E229" s="239"/>
      <c r="F229" s="225"/>
      <c r="G229" s="231"/>
      <c r="H229" s="378">
        <v>215</v>
      </c>
      <c r="I229" s="396"/>
      <c r="J229" s="396"/>
      <c r="K229" s="405"/>
      <c r="L229" s="405"/>
      <c r="M229" s="405"/>
      <c r="N229" s="655"/>
      <c r="O229" s="405"/>
      <c r="P229" s="405"/>
      <c r="Q229" s="405"/>
      <c r="R229" s="443"/>
      <c r="S229" s="435"/>
      <c r="T229" s="414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5"/>
      <c r="V229" s="415"/>
      <c r="W229" s="416"/>
      <c r="X229" s="417"/>
      <c r="Y229" s="418" t="str">
        <f t="shared" ca="1" si="19"/>
        <v/>
      </c>
      <c r="Z229" s="419" t="str">
        <f t="shared" ca="1" si="20"/>
        <v/>
      </c>
      <c r="AA229" s="418" t="str">
        <f t="shared" ca="1" si="21"/>
        <v/>
      </c>
      <c r="AB229" s="420" t="str">
        <f t="shared" ca="1" si="22"/>
        <v/>
      </c>
      <c r="AC229" s="419" t="str">
        <f t="shared" ca="1" si="23"/>
        <v/>
      </c>
      <c r="AD229" s="220"/>
    </row>
    <row r="230" spans="1:30" customFormat="1" ht="15">
      <c r="A230" s="220"/>
      <c r="B230" s="268">
        <v>192</v>
      </c>
      <c r="C230" s="246"/>
      <c r="D230" s="247"/>
      <c r="E230" s="239"/>
      <c r="F230" s="225"/>
      <c r="G230" s="231"/>
      <c r="H230" s="378">
        <v>216</v>
      </c>
      <c r="I230" s="396"/>
      <c r="J230" s="396"/>
      <c r="K230" s="405"/>
      <c r="L230" s="405"/>
      <c r="M230" s="405"/>
      <c r="N230" s="655"/>
      <c r="O230" s="405"/>
      <c r="P230" s="405"/>
      <c r="Q230" s="405"/>
      <c r="R230" s="443"/>
      <c r="S230" s="435"/>
      <c r="T230" s="414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5"/>
      <c r="V230" s="415"/>
      <c r="W230" s="416"/>
      <c r="X230" s="417"/>
      <c r="Y230" s="418" t="str">
        <f t="shared" ca="1" si="19"/>
        <v/>
      </c>
      <c r="Z230" s="419" t="str">
        <f t="shared" ca="1" si="20"/>
        <v/>
      </c>
      <c r="AA230" s="418" t="str">
        <f t="shared" ca="1" si="21"/>
        <v/>
      </c>
      <c r="AB230" s="420" t="str">
        <f t="shared" ca="1" si="22"/>
        <v/>
      </c>
      <c r="AC230" s="419" t="str">
        <f t="shared" ca="1" si="23"/>
        <v/>
      </c>
      <c r="AD230" s="220"/>
    </row>
    <row r="231" spans="1:30" customFormat="1" ht="15">
      <c r="A231" s="220"/>
      <c r="B231" s="268">
        <v>193</v>
      </c>
      <c r="C231" s="246"/>
      <c r="D231" s="247"/>
      <c r="E231" s="239"/>
      <c r="F231" s="225"/>
      <c r="G231" s="231"/>
      <c r="H231" s="378">
        <v>217</v>
      </c>
      <c r="I231" s="396"/>
      <c r="J231" s="396"/>
      <c r="K231" s="405"/>
      <c r="L231" s="405"/>
      <c r="M231" s="405"/>
      <c r="N231" s="655"/>
      <c r="O231" s="405"/>
      <c r="P231" s="405"/>
      <c r="Q231" s="405"/>
      <c r="R231" s="443"/>
      <c r="S231" s="435"/>
      <c r="T231" s="414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5"/>
      <c r="V231" s="415"/>
      <c r="W231" s="416"/>
      <c r="X231" s="417"/>
      <c r="Y231" s="418" t="str">
        <f t="shared" ca="1" si="19"/>
        <v/>
      </c>
      <c r="Z231" s="419" t="str">
        <f t="shared" ca="1" si="20"/>
        <v/>
      </c>
      <c r="AA231" s="418" t="str">
        <f t="shared" ca="1" si="21"/>
        <v/>
      </c>
      <c r="AB231" s="420" t="str">
        <f t="shared" ca="1" si="22"/>
        <v/>
      </c>
      <c r="AC231" s="419" t="str">
        <f t="shared" ca="1" si="23"/>
        <v/>
      </c>
      <c r="AD231" s="220"/>
    </row>
    <row r="232" spans="1:30" customFormat="1" ht="15">
      <c r="A232" s="220"/>
      <c r="B232" s="268">
        <v>194</v>
      </c>
      <c r="C232" s="246"/>
      <c r="D232" s="247"/>
      <c r="E232" s="239"/>
      <c r="F232" s="225"/>
      <c r="G232" s="231"/>
      <c r="H232" s="378">
        <v>218</v>
      </c>
      <c r="I232" s="396"/>
      <c r="J232" s="396"/>
      <c r="K232" s="405"/>
      <c r="L232" s="405"/>
      <c r="M232" s="405"/>
      <c r="N232" s="655"/>
      <c r="O232" s="405"/>
      <c r="P232" s="405"/>
      <c r="Q232" s="405"/>
      <c r="R232" s="443"/>
      <c r="S232" s="435"/>
      <c r="T232" s="414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5"/>
      <c r="V232" s="415"/>
      <c r="W232" s="416"/>
      <c r="X232" s="417"/>
      <c r="Y232" s="418" t="str">
        <f t="shared" ca="1" si="19"/>
        <v/>
      </c>
      <c r="Z232" s="419" t="str">
        <f t="shared" ca="1" si="20"/>
        <v/>
      </c>
      <c r="AA232" s="418" t="str">
        <f t="shared" ca="1" si="21"/>
        <v/>
      </c>
      <c r="AB232" s="420" t="str">
        <f t="shared" ca="1" si="22"/>
        <v/>
      </c>
      <c r="AC232" s="419" t="str">
        <f t="shared" ca="1" si="23"/>
        <v/>
      </c>
      <c r="AD232" s="220"/>
    </row>
    <row r="233" spans="1:30" customFormat="1" ht="15">
      <c r="A233" s="220"/>
      <c r="B233" s="268">
        <v>195</v>
      </c>
      <c r="C233" s="246"/>
      <c r="D233" s="247"/>
      <c r="E233" s="239"/>
      <c r="F233" s="225"/>
      <c r="G233" s="231"/>
      <c r="H233" s="378">
        <v>219</v>
      </c>
      <c r="I233" s="396"/>
      <c r="J233" s="396"/>
      <c r="K233" s="405"/>
      <c r="L233" s="405"/>
      <c r="M233" s="405"/>
      <c r="N233" s="655"/>
      <c r="O233" s="405"/>
      <c r="P233" s="405"/>
      <c r="Q233" s="405"/>
      <c r="R233" s="443"/>
      <c r="S233" s="435"/>
      <c r="T233" s="414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5"/>
      <c r="V233" s="415"/>
      <c r="W233" s="416"/>
      <c r="X233" s="417"/>
      <c r="Y233" s="418" t="str">
        <f t="shared" ca="1" si="19"/>
        <v/>
      </c>
      <c r="Z233" s="419" t="str">
        <f t="shared" ca="1" si="20"/>
        <v/>
      </c>
      <c r="AA233" s="418" t="str">
        <f t="shared" ca="1" si="21"/>
        <v/>
      </c>
      <c r="AB233" s="420" t="str">
        <f t="shared" ca="1" si="22"/>
        <v/>
      </c>
      <c r="AC233" s="419" t="str">
        <f t="shared" ca="1" si="23"/>
        <v/>
      </c>
      <c r="AD233" s="220"/>
    </row>
    <row r="234" spans="1:30" customFormat="1" ht="15">
      <c r="A234" s="220"/>
      <c r="B234" s="268">
        <v>196</v>
      </c>
      <c r="C234" s="246"/>
      <c r="D234" s="247"/>
      <c r="E234" s="239"/>
      <c r="F234" s="225"/>
      <c r="G234" s="231"/>
      <c r="H234" s="378">
        <v>220</v>
      </c>
      <c r="I234" s="396"/>
      <c r="J234" s="396"/>
      <c r="K234" s="405"/>
      <c r="L234" s="405"/>
      <c r="M234" s="405"/>
      <c r="N234" s="655"/>
      <c r="O234" s="405"/>
      <c r="P234" s="405"/>
      <c r="Q234" s="405"/>
      <c r="R234" s="443"/>
      <c r="S234" s="435"/>
      <c r="T234" s="414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5"/>
      <c r="V234" s="415"/>
      <c r="W234" s="416"/>
      <c r="X234" s="417"/>
      <c r="Y234" s="418" t="str">
        <f t="shared" ca="1" si="19"/>
        <v/>
      </c>
      <c r="Z234" s="419" t="str">
        <f t="shared" ca="1" si="20"/>
        <v/>
      </c>
      <c r="AA234" s="418" t="str">
        <f t="shared" ca="1" si="21"/>
        <v/>
      </c>
      <c r="AB234" s="420" t="str">
        <f t="shared" ca="1" si="22"/>
        <v/>
      </c>
      <c r="AC234" s="419" t="str">
        <f t="shared" ca="1" si="23"/>
        <v/>
      </c>
      <c r="AD234" s="220"/>
    </row>
    <row r="235" spans="1:30" customFormat="1" ht="15">
      <c r="A235" s="220"/>
      <c r="B235" s="268">
        <v>197</v>
      </c>
      <c r="C235" s="246"/>
      <c r="D235" s="247"/>
      <c r="E235" s="239"/>
      <c r="F235" s="225"/>
      <c r="G235" s="231"/>
      <c r="H235" s="378">
        <v>221</v>
      </c>
      <c r="I235" s="396"/>
      <c r="J235" s="396"/>
      <c r="K235" s="405"/>
      <c r="L235" s="405"/>
      <c r="M235" s="405"/>
      <c r="N235" s="655"/>
      <c r="O235" s="405"/>
      <c r="P235" s="405"/>
      <c r="Q235" s="405"/>
      <c r="R235" s="443"/>
      <c r="S235" s="435"/>
      <c r="T235" s="414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5"/>
      <c r="V235" s="415"/>
      <c r="W235" s="416"/>
      <c r="X235" s="417"/>
      <c r="Y235" s="418" t="str">
        <f t="shared" ca="1" si="19"/>
        <v/>
      </c>
      <c r="Z235" s="419" t="str">
        <f t="shared" ca="1" si="20"/>
        <v/>
      </c>
      <c r="AA235" s="418" t="str">
        <f t="shared" ca="1" si="21"/>
        <v/>
      </c>
      <c r="AB235" s="420" t="str">
        <f t="shared" ca="1" si="22"/>
        <v/>
      </c>
      <c r="AC235" s="419" t="str">
        <f t="shared" ca="1" si="23"/>
        <v/>
      </c>
      <c r="AD235" s="220"/>
    </row>
    <row r="236" spans="1:30" customFormat="1" ht="15">
      <c r="A236" s="220"/>
      <c r="B236" s="268">
        <v>198</v>
      </c>
      <c r="C236" s="246"/>
      <c r="D236" s="247"/>
      <c r="E236" s="239"/>
      <c r="F236" s="225"/>
      <c r="G236" s="231"/>
      <c r="H236" s="378">
        <v>222</v>
      </c>
      <c r="I236" s="396"/>
      <c r="J236" s="396"/>
      <c r="K236" s="405"/>
      <c r="L236" s="405"/>
      <c r="M236" s="405"/>
      <c r="N236" s="655"/>
      <c r="O236" s="405"/>
      <c r="P236" s="405"/>
      <c r="Q236" s="405"/>
      <c r="R236" s="443"/>
      <c r="S236" s="435"/>
      <c r="T236" s="414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5"/>
      <c r="V236" s="415"/>
      <c r="W236" s="416"/>
      <c r="X236" s="417"/>
      <c r="Y236" s="418" t="str">
        <f t="shared" ca="1" si="19"/>
        <v/>
      </c>
      <c r="Z236" s="419" t="str">
        <f t="shared" ca="1" si="20"/>
        <v/>
      </c>
      <c r="AA236" s="418" t="str">
        <f t="shared" ca="1" si="21"/>
        <v/>
      </c>
      <c r="AB236" s="420" t="str">
        <f t="shared" ca="1" si="22"/>
        <v/>
      </c>
      <c r="AC236" s="419" t="str">
        <f t="shared" ca="1" si="23"/>
        <v/>
      </c>
      <c r="AD236" s="220"/>
    </row>
    <row r="237" spans="1:30" customFormat="1" ht="15">
      <c r="A237" s="220"/>
      <c r="B237" s="268">
        <v>199</v>
      </c>
      <c r="C237" s="246"/>
      <c r="D237" s="247"/>
      <c r="E237" s="239"/>
      <c r="F237" s="225"/>
      <c r="G237" s="231"/>
      <c r="H237" s="378">
        <v>223</v>
      </c>
      <c r="I237" s="396"/>
      <c r="J237" s="396"/>
      <c r="K237" s="405"/>
      <c r="L237" s="405"/>
      <c r="M237" s="405"/>
      <c r="N237" s="655"/>
      <c r="O237" s="405"/>
      <c r="P237" s="405"/>
      <c r="Q237" s="405"/>
      <c r="R237" s="443"/>
      <c r="S237" s="435"/>
      <c r="T237" s="414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5"/>
      <c r="V237" s="415"/>
      <c r="W237" s="416"/>
      <c r="X237" s="417"/>
      <c r="Y237" s="418" t="str">
        <f t="shared" ca="1" si="19"/>
        <v/>
      </c>
      <c r="Z237" s="419" t="str">
        <f t="shared" ca="1" si="20"/>
        <v/>
      </c>
      <c r="AA237" s="418" t="str">
        <f t="shared" ca="1" si="21"/>
        <v/>
      </c>
      <c r="AB237" s="420" t="str">
        <f t="shared" ca="1" si="22"/>
        <v/>
      </c>
      <c r="AC237" s="419" t="str">
        <f t="shared" ca="1" si="23"/>
        <v/>
      </c>
      <c r="AD237" s="220"/>
    </row>
    <row r="238" spans="1:30" customFormat="1" ht="15">
      <c r="A238" s="220"/>
      <c r="B238" s="268">
        <v>200</v>
      </c>
      <c r="C238" s="246"/>
      <c r="D238" s="247"/>
      <c r="E238" s="239"/>
      <c r="F238" s="225"/>
      <c r="G238" s="231"/>
      <c r="H238" s="378">
        <v>224</v>
      </c>
      <c r="I238" s="396"/>
      <c r="J238" s="396"/>
      <c r="K238" s="405"/>
      <c r="L238" s="405"/>
      <c r="M238" s="405"/>
      <c r="N238" s="655"/>
      <c r="O238" s="405"/>
      <c r="P238" s="405"/>
      <c r="Q238" s="405"/>
      <c r="R238" s="443"/>
      <c r="S238" s="435"/>
      <c r="T238" s="414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5"/>
      <c r="V238" s="415"/>
      <c r="W238" s="416"/>
      <c r="X238" s="417"/>
      <c r="Y238" s="418" t="str">
        <f t="shared" ca="1" si="19"/>
        <v/>
      </c>
      <c r="Z238" s="419" t="str">
        <f t="shared" ca="1" si="20"/>
        <v/>
      </c>
      <c r="AA238" s="418" t="str">
        <f t="shared" ca="1" si="21"/>
        <v/>
      </c>
      <c r="AB238" s="420" t="str">
        <f t="shared" ca="1" si="22"/>
        <v/>
      </c>
      <c r="AC238" s="419" t="str">
        <f t="shared" ca="1" si="23"/>
        <v/>
      </c>
      <c r="AD238" s="220"/>
    </row>
    <row r="239" spans="1:30" customFormat="1" ht="15">
      <c r="A239" s="220"/>
      <c r="B239" s="268">
        <v>201</v>
      </c>
      <c r="C239" s="246"/>
      <c r="D239" s="247"/>
      <c r="E239" s="239"/>
      <c r="F239" s="225"/>
      <c r="G239" s="231"/>
      <c r="H239" s="378">
        <v>225</v>
      </c>
      <c r="I239" s="396"/>
      <c r="J239" s="396"/>
      <c r="K239" s="405"/>
      <c r="L239" s="405"/>
      <c r="M239" s="405"/>
      <c r="N239" s="655"/>
      <c r="O239" s="405"/>
      <c r="P239" s="405"/>
      <c r="Q239" s="405"/>
      <c r="R239" s="443"/>
      <c r="S239" s="435"/>
      <c r="T239" s="414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5"/>
      <c r="V239" s="415"/>
      <c r="W239" s="416"/>
      <c r="X239" s="417"/>
      <c r="Y239" s="418" t="str">
        <f t="shared" ca="1" si="19"/>
        <v/>
      </c>
      <c r="Z239" s="419" t="str">
        <f t="shared" ca="1" si="20"/>
        <v/>
      </c>
      <c r="AA239" s="418" t="str">
        <f t="shared" ca="1" si="21"/>
        <v/>
      </c>
      <c r="AB239" s="420" t="str">
        <f t="shared" ca="1" si="22"/>
        <v/>
      </c>
      <c r="AC239" s="419" t="str">
        <f t="shared" ca="1" si="23"/>
        <v/>
      </c>
      <c r="AD239" s="220"/>
    </row>
    <row r="240" spans="1:30" customFormat="1" ht="15">
      <c r="A240" s="220"/>
      <c r="B240" s="268">
        <v>202</v>
      </c>
      <c r="C240" s="246"/>
      <c r="D240" s="247"/>
      <c r="E240" s="239"/>
      <c r="F240" s="225"/>
      <c r="G240" s="231"/>
      <c r="H240" s="378">
        <v>226</v>
      </c>
      <c r="I240" s="396"/>
      <c r="J240" s="396"/>
      <c r="K240" s="405"/>
      <c r="L240" s="405"/>
      <c r="M240" s="405"/>
      <c r="N240" s="655"/>
      <c r="O240" s="405"/>
      <c r="P240" s="405"/>
      <c r="Q240" s="405"/>
      <c r="R240" s="443"/>
      <c r="S240" s="435"/>
      <c r="T240" s="414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5"/>
      <c r="V240" s="415"/>
      <c r="W240" s="416"/>
      <c r="X240" s="417"/>
      <c r="Y240" s="418" t="str">
        <f t="shared" ca="1" si="19"/>
        <v/>
      </c>
      <c r="Z240" s="419" t="str">
        <f t="shared" ca="1" si="20"/>
        <v/>
      </c>
      <c r="AA240" s="418" t="str">
        <f t="shared" ca="1" si="21"/>
        <v/>
      </c>
      <c r="AB240" s="420" t="str">
        <f t="shared" ca="1" si="22"/>
        <v/>
      </c>
      <c r="AC240" s="419" t="str">
        <f t="shared" ca="1" si="23"/>
        <v/>
      </c>
      <c r="AD240" s="220"/>
    </row>
    <row r="241" spans="1:30" customFormat="1" ht="15">
      <c r="A241" s="220"/>
      <c r="B241" s="268">
        <v>203</v>
      </c>
      <c r="C241" s="246"/>
      <c r="D241" s="247"/>
      <c r="E241" s="239"/>
      <c r="F241" s="225"/>
      <c r="G241" s="231"/>
      <c r="H241" s="378">
        <v>227</v>
      </c>
      <c r="I241" s="396"/>
      <c r="J241" s="396"/>
      <c r="K241" s="405"/>
      <c r="L241" s="405"/>
      <c r="M241" s="405"/>
      <c r="N241" s="655"/>
      <c r="O241" s="405"/>
      <c r="P241" s="405"/>
      <c r="Q241" s="405"/>
      <c r="R241" s="443"/>
      <c r="S241" s="435"/>
      <c r="T241" s="414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5"/>
      <c r="V241" s="415"/>
      <c r="W241" s="416"/>
      <c r="X241" s="417"/>
      <c r="Y241" s="418" t="str">
        <f t="shared" ca="1" si="19"/>
        <v/>
      </c>
      <c r="Z241" s="419" t="str">
        <f t="shared" ca="1" si="20"/>
        <v/>
      </c>
      <c r="AA241" s="418" t="str">
        <f t="shared" ca="1" si="21"/>
        <v/>
      </c>
      <c r="AB241" s="420" t="str">
        <f t="shared" ca="1" si="22"/>
        <v/>
      </c>
      <c r="AC241" s="419" t="str">
        <f t="shared" ca="1" si="23"/>
        <v/>
      </c>
      <c r="AD241" s="220"/>
    </row>
    <row r="242" spans="1:30" customFormat="1" ht="15">
      <c r="A242" s="220"/>
      <c r="B242" s="268">
        <v>204</v>
      </c>
      <c r="C242" s="246"/>
      <c r="D242" s="247"/>
      <c r="E242" s="239"/>
      <c r="F242" s="225"/>
      <c r="G242" s="231"/>
      <c r="H242" s="378">
        <v>228</v>
      </c>
      <c r="I242" s="396"/>
      <c r="J242" s="396"/>
      <c r="K242" s="405"/>
      <c r="L242" s="405"/>
      <c r="M242" s="405"/>
      <c r="N242" s="655"/>
      <c r="O242" s="405"/>
      <c r="P242" s="405"/>
      <c r="Q242" s="405"/>
      <c r="R242" s="443"/>
      <c r="S242" s="435"/>
      <c r="T242" s="414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5"/>
      <c r="V242" s="415"/>
      <c r="W242" s="416"/>
      <c r="X242" s="417"/>
      <c r="Y242" s="418" t="str">
        <f t="shared" ca="1" si="19"/>
        <v/>
      </c>
      <c r="Z242" s="419" t="str">
        <f t="shared" ca="1" si="20"/>
        <v/>
      </c>
      <c r="AA242" s="418" t="str">
        <f t="shared" ca="1" si="21"/>
        <v/>
      </c>
      <c r="AB242" s="420" t="str">
        <f t="shared" ca="1" si="22"/>
        <v/>
      </c>
      <c r="AC242" s="419" t="str">
        <f t="shared" ca="1" si="23"/>
        <v/>
      </c>
      <c r="AD242" s="220"/>
    </row>
    <row r="243" spans="1:30" customFormat="1" ht="15">
      <c r="A243" s="220"/>
      <c r="B243" s="268">
        <v>205</v>
      </c>
      <c r="C243" s="246"/>
      <c r="D243" s="247"/>
      <c r="E243" s="239"/>
      <c r="F243" s="225"/>
      <c r="G243" s="231"/>
      <c r="H243" s="378">
        <v>229</v>
      </c>
      <c r="I243" s="396"/>
      <c r="J243" s="396"/>
      <c r="K243" s="405"/>
      <c r="L243" s="405"/>
      <c r="M243" s="405"/>
      <c r="N243" s="655"/>
      <c r="O243" s="405"/>
      <c r="P243" s="405"/>
      <c r="Q243" s="405"/>
      <c r="R243" s="443"/>
      <c r="S243" s="435"/>
      <c r="T243" s="414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5"/>
      <c r="V243" s="415"/>
      <c r="W243" s="416"/>
      <c r="X243" s="417"/>
      <c r="Y243" s="418" t="str">
        <f t="shared" ca="1" si="19"/>
        <v/>
      </c>
      <c r="Z243" s="419" t="str">
        <f t="shared" ca="1" si="20"/>
        <v/>
      </c>
      <c r="AA243" s="418" t="str">
        <f t="shared" ca="1" si="21"/>
        <v/>
      </c>
      <c r="AB243" s="420" t="str">
        <f t="shared" ca="1" si="22"/>
        <v/>
      </c>
      <c r="AC243" s="419" t="str">
        <f t="shared" ca="1" si="23"/>
        <v/>
      </c>
      <c r="AD243" s="220"/>
    </row>
    <row r="244" spans="1:30" customFormat="1" ht="15">
      <c r="A244" s="220"/>
      <c r="B244" s="268">
        <v>206</v>
      </c>
      <c r="C244" s="246"/>
      <c r="D244" s="247"/>
      <c r="E244" s="239"/>
      <c r="F244" s="225"/>
      <c r="G244" s="231"/>
      <c r="H244" s="378">
        <v>230</v>
      </c>
      <c r="I244" s="396"/>
      <c r="J244" s="396"/>
      <c r="K244" s="405"/>
      <c r="L244" s="405"/>
      <c r="M244" s="405"/>
      <c r="N244" s="655"/>
      <c r="O244" s="405"/>
      <c r="P244" s="405"/>
      <c r="Q244" s="405"/>
      <c r="R244" s="443"/>
      <c r="S244" s="435"/>
      <c r="T244" s="414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5"/>
      <c r="V244" s="415"/>
      <c r="W244" s="416"/>
      <c r="X244" s="417"/>
      <c r="Y244" s="418" t="str">
        <f t="shared" ca="1" si="19"/>
        <v/>
      </c>
      <c r="Z244" s="419" t="str">
        <f t="shared" ca="1" si="20"/>
        <v/>
      </c>
      <c r="AA244" s="418" t="str">
        <f t="shared" ca="1" si="21"/>
        <v/>
      </c>
      <c r="AB244" s="420" t="str">
        <f t="shared" ca="1" si="22"/>
        <v/>
      </c>
      <c r="AC244" s="419" t="str">
        <f t="shared" ca="1" si="23"/>
        <v/>
      </c>
      <c r="AD244" s="220"/>
    </row>
    <row r="245" spans="1:30" customFormat="1" ht="15">
      <c r="A245" s="220"/>
      <c r="B245" s="268">
        <v>207</v>
      </c>
      <c r="C245" s="246"/>
      <c r="D245" s="247"/>
      <c r="E245" s="239"/>
      <c r="F245" s="225"/>
      <c r="G245" s="231"/>
      <c r="H245" s="378">
        <v>231</v>
      </c>
      <c r="I245" s="396"/>
      <c r="J245" s="396"/>
      <c r="K245" s="405"/>
      <c r="L245" s="405"/>
      <c r="M245" s="405"/>
      <c r="N245" s="655"/>
      <c r="O245" s="405"/>
      <c r="P245" s="405"/>
      <c r="Q245" s="405"/>
      <c r="R245" s="443"/>
      <c r="S245" s="435"/>
      <c r="T245" s="414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5"/>
      <c r="V245" s="415"/>
      <c r="W245" s="416"/>
      <c r="X245" s="417"/>
      <c r="Y245" s="418" t="str">
        <f t="shared" ca="1" si="19"/>
        <v/>
      </c>
      <c r="Z245" s="419" t="str">
        <f t="shared" ca="1" si="20"/>
        <v/>
      </c>
      <c r="AA245" s="418" t="str">
        <f t="shared" ca="1" si="21"/>
        <v/>
      </c>
      <c r="AB245" s="420" t="str">
        <f t="shared" ca="1" si="22"/>
        <v/>
      </c>
      <c r="AC245" s="419" t="str">
        <f t="shared" ca="1" si="23"/>
        <v/>
      </c>
      <c r="AD245" s="220"/>
    </row>
    <row r="246" spans="1:30" customFormat="1" ht="15">
      <c r="A246" s="220"/>
      <c r="B246" s="268">
        <v>208</v>
      </c>
      <c r="C246" s="246"/>
      <c r="D246" s="247"/>
      <c r="E246" s="239"/>
      <c r="F246" s="225"/>
      <c r="G246" s="231"/>
      <c r="H246" s="378">
        <v>232</v>
      </c>
      <c r="I246" s="396"/>
      <c r="J246" s="396"/>
      <c r="K246" s="405"/>
      <c r="L246" s="405"/>
      <c r="M246" s="405"/>
      <c r="N246" s="655"/>
      <c r="O246" s="405"/>
      <c r="P246" s="405"/>
      <c r="Q246" s="405"/>
      <c r="R246" s="443"/>
      <c r="S246" s="435"/>
      <c r="T246" s="414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5"/>
      <c r="V246" s="415"/>
      <c r="W246" s="416"/>
      <c r="X246" s="417"/>
      <c r="Y246" s="418" t="str">
        <f t="shared" ca="1" si="19"/>
        <v/>
      </c>
      <c r="Z246" s="419" t="str">
        <f t="shared" ca="1" si="20"/>
        <v/>
      </c>
      <c r="AA246" s="418" t="str">
        <f t="shared" ca="1" si="21"/>
        <v/>
      </c>
      <c r="AB246" s="420" t="str">
        <f t="shared" ca="1" si="22"/>
        <v/>
      </c>
      <c r="AC246" s="419" t="str">
        <f t="shared" ca="1" si="23"/>
        <v/>
      </c>
      <c r="AD246" s="220"/>
    </row>
    <row r="247" spans="1:30" customFormat="1" ht="15">
      <c r="A247" s="220"/>
      <c r="B247" s="268">
        <v>209</v>
      </c>
      <c r="C247" s="246"/>
      <c r="D247" s="247"/>
      <c r="E247" s="239"/>
      <c r="F247" s="225"/>
      <c r="G247" s="231"/>
      <c r="H247" s="378">
        <v>233</v>
      </c>
      <c r="I247" s="396"/>
      <c r="J247" s="396"/>
      <c r="K247" s="405"/>
      <c r="L247" s="405"/>
      <c r="M247" s="405"/>
      <c r="N247" s="655"/>
      <c r="O247" s="405"/>
      <c r="P247" s="405"/>
      <c r="Q247" s="405"/>
      <c r="R247" s="443"/>
      <c r="S247" s="435"/>
      <c r="T247" s="414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5"/>
      <c r="V247" s="415"/>
      <c r="W247" s="416"/>
      <c r="X247" s="417"/>
      <c r="Y247" s="418" t="str">
        <f t="shared" ca="1" si="19"/>
        <v/>
      </c>
      <c r="Z247" s="419" t="str">
        <f t="shared" ca="1" si="20"/>
        <v/>
      </c>
      <c r="AA247" s="418" t="str">
        <f t="shared" ca="1" si="21"/>
        <v/>
      </c>
      <c r="AB247" s="420" t="str">
        <f t="shared" ca="1" si="22"/>
        <v/>
      </c>
      <c r="AC247" s="419" t="str">
        <f t="shared" ca="1" si="23"/>
        <v/>
      </c>
      <c r="AD247" s="220"/>
    </row>
    <row r="248" spans="1:30" customFormat="1" ht="15">
      <c r="A248" s="220"/>
      <c r="B248" s="268">
        <v>210</v>
      </c>
      <c r="C248" s="246"/>
      <c r="D248" s="247"/>
      <c r="E248" s="239"/>
      <c r="F248" s="225"/>
      <c r="G248" s="231"/>
      <c r="H248" s="378">
        <v>234</v>
      </c>
      <c r="I248" s="396"/>
      <c r="J248" s="396"/>
      <c r="K248" s="405"/>
      <c r="L248" s="405"/>
      <c r="M248" s="405"/>
      <c r="N248" s="655"/>
      <c r="O248" s="405"/>
      <c r="P248" s="405"/>
      <c r="Q248" s="405"/>
      <c r="R248" s="443"/>
      <c r="S248" s="435"/>
      <c r="T248" s="414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5"/>
      <c r="V248" s="415"/>
      <c r="W248" s="416"/>
      <c r="X248" s="417"/>
      <c r="Y248" s="418" t="str">
        <f t="shared" ca="1" si="19"/>
        <v/>
      </c>
      <c r="Z248" s="419" t="str">
        <f t="shared" ca="1" si="20"/>
        <v/>
      </c>
      <c r="AA248" s="418" t="str">
        <f t="shared" ca="1" si="21"/>
        <v/>
      </c>
      <c r="AB248" s="420" t="str">
        <f t="shared" ca="1" si="22"/>
        <v/>
      </c>
      <c r="AC248" s="419" t="str">
        <f t="shared" ca="1" si="23"/>
        <v/>
      </c>
      <c r="AD248" s="220"/>
    </row>
    <row r="249" spans="1:30" customFormat="1" ht="15">
      <c r="A249" s="220"/>
      <c r="B249" s="268">
        <v>211</v>
      </c>
      <c r="C249" s="246"/>
      <c r="D249" s="247"/>
      <c r="E249" s="239"/>
      <c r="F249" s="225"/>
      <c r="G249" s="231"/>
      <c r="H249" s="378">
        <v>235</v>
      </c>
      <c r="I249" s="396"/>
      <c r="J249" s="396"/>
      <c r="K249" s="405"/>
      <c r="L249" s="405"/>
      <c r="M249" s="405"/>
      <c r="N249" s="655"/>
      <c r="O249" s="405"/>
      <c r="P249" s="405"/>
      <c r="Q249" s="405"/>
      <c r="R249" s="443"/>
      <c r="S249" s="435"/>
      <c r="T249" s="414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5"/>
      <c r="V249" s="415"/>
      <c r="W249" s="416"/>
      <c r="X249" s="417"/>
      <c r="Y249" s="418" t="str">
        <f t="shared" ca="1" si="19"/>
        <v/>
      </c>
      <c r="Z249" s="419" t="str">
        <f t="shared" ca="1" si="20"/>
        <v/>
      </c>
      <c r="AA249" s="418" t="str">
        <f t="shared" ca="1" si="21"/>
        <v/>
      </c>
      <c r="AB249" s="420" t="str">
        <f t="shared" ca="1" si="22"/>
        <v/>
      </c>
      <c r="AC249" s="419" t="str">
        <f t="shared" ca="1" si="23"/>
        <v/>
      </c>
      <c r="AD249" s="220"/>
    </row>
    <row r="250" spans="1:30" customFormat="1" ht="15">
      <c r="A250" s="220"/>
      <c r="B250" s="268">
        <v>212</v>
      </c>
      <c r="C250" s="246"/>
      <c r="D250" s="247"/>
      <c r="E250" s="239"/>
      <c r="F250" s="225"/>
      <c r="G250" s="231"/>
      <c r="H250" s="378">
        <v>236</v>
      </c>
      <c r="I250" s="396"/>
      <c r="J250" s="396"/>
      <c r="K250" s="405"/>
      <c r="L250" s="405"/>
      <c r="M250" s="405"/>
      <c r="N250" s="655"/>
      <c r="O250" s="405"/>
      <c r="P250" s="405"/>
      <c r="Q250" s="405"/>
      <c r="R250" s="443"/>
      <c r="S250" s="435"/>
      <c r="T250" s="414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5"/>
      <c r="V250" s="415"/>
      <c r="W250" s="416"/>
      <c r="X250" s="417"/>
      <c r="Y250" s="418" t="str">
        <f t="shared" ca="1" si="19"/>
        <v/>
      </c>
      <c r="Z250" s="419" t="str">
        <f t="shared" ca="1" si="20"/>
        <v/>
      </c>
      <c r="AA250" s="418" t="str">
        <f t="shared" ca="1" si="21"/>
        <v/>
      </c>
      <c r="AB250" s="420" t="str">
        <f t="shared" ca="1" si="22"/>
        <v/>
      </c>
      <c r="AC250" s="419" t="str">
        <f t="shared" ca="1" si="23"/>
        <v/>
      </c>
      <c r="AD250" s="220"/>
    </row>
    <row r="251" spans="1:30" customFormat="1" ht="15">
      <c r="A251" s="220"/>
      <c r="B251" s="268">
        <v>213</v>
      </c>
      <c r="C251" s="246"/>
      <c r="D251" s="247"/>
      <c r="E251" s="239"/>
      <c r="F251" s="225"/>
      <c r="G251" s="231"/>
      <c r="H251" s="378">
        <v>237</v>
      </c>
      <c r="I251" s="396"/>
      <c r="J251" s="396"/>
      <c r="K251" s="405"/>
      <c r="L251" s="405"/>
      <c r="M251" s="405"/>
      <c r="N251" s="655"/>
      <c r="O251" s="405"/>
      <c r="P251" s="405"/>
      <c r="Q251" s="405"/>
      <c r="R251" s="443"/>
      <c r="S251" s="435"/>
      <c r="T251" s="414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5"/>
      <c r="V251" s="415"/>
      <c r="W251" s="416"/>
      <c r="X251" s="417"/>
      <c r="Y251" s="418" t="str">
        <f t="shared" ca="1" si="19"/>
        <v/>
      </c>
      <c r="Z251" s="419" t="str">
        <f t="shared" ca="1" si="20"/>
        <v/>
      </c>
      <c r="AA251" s="418" t="str">
        <f t="shared" ca="1" si="21"/>
        <v/>
      </c>
      <c r="AB251" s="420" t="str">
        <f t="shared" ca="1" si="22"/>
        <v/>
      </c>
      <c r="AC251" s="419" t="str">
        <f t="shared" ca="1" si="23"/>
        <v/>
      </c>
      <c r="AD251" s="220"/>
    </row>
    <row r="252" spans="1:30" customFormat="1" ht="15">
      <c r="A252" s="220"/>
      <c r="B252" s="268">
        <v>214</v>
      </c>
      <c r="C252" s="246"/>
      <c r="D252" s="247"/>
      <c r="E252" s="239"/>
      <c r="F252" s="225"/>
      <c r="G252" s="231"/>
      <c r="H252" s="378">
        <v>238</v>
      </c>
      <c r="I252" s="396"/>
      <c r="J252" s="396"/>
      <c r="K252" s="405"/>
      <c r="L252" s="405"/>
      <c r="M252" s="405"/>
      <c r="N252" s="655"/>
      <c r="O252" s="405"/>
      <c r="P252" s="405"/>
      <c r="Q252" s="405"/>
      <c r="R252" s="443"/>
      <c r="S252" s="435"/>
      <c r="T252" s="414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5"/>
      <c r="V252" s="415"/>
      <c r="W252" s="416"/>
      <c r="X252" s="417"/>
      <c r="Y252" s="418" t="str">
        <f t="shared" ca="1" si="19"/>
        <v/>
      </c>
      <c r="Z252" s="419" t="str">
        <f t="shared" ca="1" si="20"/>
        <v/>
      </c>
      <c r="AA252" s="418" t="str">
        <f t="shared" ca="1" si="21"/>
        <v/>
      </c>
      <c r="AB252" s="420" t="str">
        <f t="shared" ca="1" si="22"/>
        <v/>
      </c>
      <c r="AC252" s="419" t="str">
        <f t="shared" ca="1" si="23"/>
        <v/>
      </c>
      <c r="AD252" s="220"/>
    </row>
    <row r="253" spans="1:30" customFormat="1" ht="15">
      <c r="A253" s="220"/>
      <c r="B253" s="268">
        <v>215</v>
      </c>
      <c r="C253" s="246"/>
      <c r="D253" s="247"/>
      <c r="E253" s="239"/>
      <c r="F253" s="225"/>
      <c r="G253" s="231"/>
      <c r="H253" s="378">
        <v>239</v>
      </c>
      <c r="I253" s="396"/>
      <c r="J253" s="396"/>
      <c r="K253" s="405"/>
      <c r="L253" s="405"/>
      <c r="M253" s="405"/>
      <c r="N253" s="655"/>
      <c r="O253" s="405"/>
      <c r="P253" s="405"/>
      <c r="Q253" s="405"/>
      <c r="R253" s="443"/>
      <c r="S253" s="435"/>
      <c r="T253" s="414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5"/>
      <c r="V253" s="415"/>
      <c r="W253" s="416"/>
      <c r="X253" s="417"/>
      <c r="Y253" s="418" t="str">
        <f t="shared" ca="1" si="19"/>
        <v/>
      </c>
      <c r="Z253" s="419" t="str">
        <f t="shared" ca="1" si="20"/>
        <v/>
      </c>
      <c r="AA253" s="418" t="str">
        <f t="shared" ca="1" si="21"/>
        <v/>
      </c>
      <c r="AB253" s="420" t="str">
        <f t="shared" ca="1" si="22"/>
        <v/>
      </c>
      <c r="AC253" s="419" t="str">
        <f t="shared" ca="1" si="23"/>
        <v/>
      </c>
      <c r="AD253" s="220"/>
    </row>
    <row r="254" spans="1:30" customFormat="1" ht="15">
      <c r="A254" s="220"/>
      <c r="B254" s="268">
        <v>216</v>
      </c>
      <c r="C254" s="246"/>
      <c r="D254" s="247"/>
      <c r="E254" s="239"/>
      <c r="F254" s="225"/>
      <c r="G254" s="231"/>
      <c r="H254" s="378">
        <v>240</v>
      </c>
      <c r="I254" s="396"/>
      <c r="J254" s="396"/>
      <c r="K254" s="405"/>
      <c r="L254" s="405"/>
      <c r="M254" s="405"/>
      <c r="N254" s="655"/>
      <c r="O254" s="405"/>
      <c r="P254" s="405"/>
      <c r="Q254" s="405"/>
      <c r="R254" s="443"/>
      <c r="S254" s="435"/>
      <c r="T254" s="414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5"/>
      <c r="V254" s="415"/>
      <c r="W254" s="416"/>
      <c r="X254" s="417"/>
      <c r="Y254" s="418" t="str">
        <f t="shared" ca="1" si="19"/>
        <v/>
      </c>
      <c r="Z254" s="419" t="str">
        <f t="shared" ca="1" si="20"/>
        <v/>
      </c>
      <c r="AA254" s="418" t="str">
        <f t="shared" ca="1" si="21"/>
        <v/>
      </c>
      <c r="AB254" s="420" t="str">
        <f t="shared" ca="1" si="22"/>
        <v/>
      </c>
      <c r="AC254" s="419" t="str">
        <f t="shared" ca="1" si="23"/>
        <v/>
      </c>
      <c r="AD254" s="220"/>
    </row>
    <row r="255" spans="1:30" customFormat="1" ht="15">
      <c r="A255" s="220"/>
      <c r="B255" s="268">
        <v>217</v>
      </c>
      <c r="C255" s="246"/>
      <c r="D255" s="247"/>
      <c r="E255" s="239"/>
      <c r="F255" s="225"/>
      <c r="G255" s="231"/>
      <c r="H255" s="378">
        <v>241</v>
      </c>
      <c r="I255" s="396"/>
      <c r="J255" s="396"/>
      <c r="K255" s="405"/>
      <c r="L255" s="405"/>
      <c r="M255" s="405"/>
      <c r="N255" s="655"/>
      <c r="O255" s="405"/>
      <c r="P255" s="405"/>
      <c r="Q255" s="405"/>
      <c r="R255" s="443"/>
      <c r="S255" s="435"/>
      <c r="T255" s="414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5"/>
      <c r="V255" s="415"/>
      <c r="W255" s="416"/>
      <c r="X255" s="417"/>
      <c r="Y255" s="418" t="str">
        <f t="shared" ca="1" si="19"/>
        <v/>
      </c>
      <c r="Z255" s="419" t="str">
        <f t="shared" ca="1" si="20"/>
        <v/>
      </c>
      <c r="AA255" s="418" t="str">
        <f t="shared" ca="1" si="21"/>
        <v/>
      </c>
      <c r="AB255" s="420" t="str">
        <f t="shared" ca="1" si="22"/>
        <v/>
      </c>
      <c r="AC255" s="419" t="str">
        <f t="shared" ca="1" si="23"/>
        <v/>
      </c>
      <c r="AD255" s="220"/>
    </row>
    <row r="256" spans="1:30" customFormat="1" ht="15">
      <c r="A256" s="220"/>
      <c r="B256" s="268">
        <v>218</v>
      </c>
      <c r="C256" s="246"/>
      <c r="D256" s="247"/>
      <c r="E256" s="239"/>
      <c r="F256" s="225"/>
      <c r="G256" s="231"/>
      <c r="H256" s="378">
        <v>242</v>
      </c>
      <c r="I256" s="396"/>
      <c r="J256" s="396"/>
      <c r="K256" s="405"/>
      <c r="L256" s="405"/>
      <c r="M256" s="405"/>
      <c r="N256" s="655"/>
      <c r="O256" s="405"/>
      <c r="P256" s="405"/>
      <c r="Q256" s="405"/>
      <c r="R256" s="443"/>
      <c r="S256" s="435"/>
      <c r="T256" s="414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5"/>
      <c r="V256" s="415"/>
      <c r="W256" s="416"/>
      <c r="X256" s="417"/>
      <c r="Y256" s="418" t="str">
        <f t="shared" ca="1" si="19"/>
        <v/>
      </c>
      <c r="Z256" s="419" t="str">
        <f t="shared" ca="1" si="20"/>
        <v/>
      </c>
      <c r="AA256" s="418" t="str">
        <f t="shared" ca="1" si="21"/>
        <v/>
      </c>
      <c r="AB256" s="420" t="str">
        <f t="shared" ca="1" si="22"/>
        <v/>
      </c>
      <c r="AC256" s="419" t="str">
        <f t="shared" ca="1" si="23"/>
        <v/>
      </c>
      <c r="AD256" s="220"/>
    </row>
    <row r="257" spans="1:30" customFormat="1" ht="15">
      <c r="A257" s="220"/>
      <c r="B257" s="268">
        <v>219</v>
      </c>
      <c r="C257" s="246"/>
      <c r="D257" s="247"/>
      <c r="E257" s="239"/>
      <c r="F257" s="225"/>
      <c r="G257" s="231"/>
      <c r="H257" s="378">
        <v>243</v>
      </c>
      <c r="I257" s="396"/>
      <c r="J257" s="396"/>
      <c r="K257" s="405"/>
      <c r="L257" s="405"/>
      <c r="M257" s="405"/>
      <c r="N257" s="655"/>
      <c r="O257" s="405"/>
      <c r="P257" s="405"/>
      <c r="Q257" s="405"/>
      <c r="R257" s="443"/>
      <c r="S257" s="435"/>
      <c r="T257" s="414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5"/>
      <c r="V257" s="415"/>
      <c r="W257" s="416"/>
      <c r="X257" s="417"/>
      <c r="Y257" s="418" t="str">
        <f t="shared" ca="1" si="19"/>
        <v/>
      </c>
      <c r="Z257" s="419" t="str">
        <f t="shared" ca="1" si="20"/>
        <v/>
      </c>
      <c r="AA257" s="418" t="str">
        <f t="shared" ca="1" si="21"/>
        <v/>
      </c>
      <c r="AB257" s="420" t="str">
        <f t="shared" ca="1" si="22"/>
        <v/>
      </c>
      <c r="AC257" s="419" t="str">
        <f t="shared" ca="1" si="23"/>
        <v/>
      </c>
      <c r="AD257" s="220"/>
    </row>
    <row r="258" spans="1:30" customFormat="1" ht="15">
      <c r="A258" s="220"/>
      <c r="B258" s="268">
        <v>220</v>
      </c>
      <c r="C258" s="246"/>
      <c r="D258" s="247"/>
      <c r="E258" s="239"/>
      <c r="F258" s="225"/>
      <c r="G258" s="231"/>
      <c r="H258" s="378">
        <v>244</v>
      </c>
      <c r="I258" s="396"/>
      <c r="J258" s="396"/>
      <c r="K258" s="405"/>
      <c r="L258" s="405"/>
      <c r="M258" s="405"/>
      <c r="N258" s="655"/>
      <c r="O258" s="405"/>
      <c r="P258" s="405"/>
      <c r="Q258" s="405"/>
      <c r="R258" s="443"/>
      <c r="S258" s="435"/>
      <c r="T258" s="414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5"/>
      <c r="V258" s="415"/>
      <c r="W258" s="416"/>
      <c r="X258" s="417"/>
      <c r="Y258" s="418" t="str">
        <f t="shared" ca="1" si="19"/>
        <v/>
      </c>
      <c r="Z258" s="419" t="str">
        <f t="shared" ca="1" si="20"/>
        <v/>
      </c>
      <c r="AA258" s="418" t="str">
        <f t="shared" ca="1" si="21"/>
        <v/>
      </c>
      <c r="AB258" s="420" t="str">
        <f t="shared" ca="1" si="22"/>
        <v/>
      </c>
      <c r="AC258" s="419" t="str">
        <f t="shared" ca="1" si="23"/>
        <v/>
      </c>
      <c r="AD258" s="220"/>
    </row>
    <row r="259" spans="1:30" customFormat="1" ht="15">
      <c r="A259" s="220"/>
      <c r="B259" s="268">
        <v>221</v>
      </c>
      <c r="C259" s="246"/>
      <c r="D259" s="247"/>
      <c r="E259" s="239"/>
      <c r="F259" s="225"/>
      <c r="G259" s="231"/>
      <c r="H259" s="378">
        <v>245</v>
      </c>
      <c r="I259" s="396"/>
      <c r="J259" s="396"/>
      <c r="K259" s="405"/>
      <c r="L259" s="405"/>
      <c r="M259" s="405"/>
      <c r="N259" s="655"/>
      <c r="O259" s="405"/>
      <c r="P259" s="405"/>
      <c r="Q259" s="405"/>
      <c r="R259" s="443"/>
      <c r="S259" s="435"/>
      <c r="T259" s="414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5"/>
      <c r="V259" s="415"/>
      <c r="W259" s="416"/>
      <c r="X259" s="417"/>
      <c r="Y259" s="418" t="str">
        <f t="shared" ca="1" si="19"/>
        <v/>
      </c>
      <c r="Z259" s="419" t="str">
        <f t="shared" ca="1" si="20"/>
        <v/>
      </c>
      <c r="AA259" s="418" t="str">
        <f t="shared" ca="1" si="21"/>
        <v/>
      </c>
      <c r="AB259" s="420" t="str">
        <f t="shared" ca="1" si="22"/>
        <v/>
      </c>
      <c r="AC259" s="419" t="str">
        <f t="shared" ca="1" si="23"/>
        <v/>
      </c>
      <c r="AD259" s="220"/>
    </row>
    <row r="260" spans="1:30" customFormat="1" ht="15">
      <c r="A260" s="220"/>
      <c r="B260" s="268">
        <v>222</v>
      </c>
      <c r="C260" s="246"/>
      <c r="D260" s="247"/>
      <c r="E260" s="239"/>
      <c r="F260" s="225"/>
      <c r="G260" s="231"/>
      <c r="H260" s="378">
        <v>246</v>
      </c>
      <c r="I260" s="396"/>
      <c r="J260" s="396"/>
      <c r="K260" s="405"/>
      <c r="L260" s="405"/>
      <c r="M260" s="405"/>
      <c r="N260" s="655"/>
      <c r="O260" s="405"/>
      <c r="P260" s="405"/>
      <c r="Q260" s="405"/>
      <c r="R260" s="443"/>
      <c r="S260" s="435"/>
      <c r="T260" s="414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5"/>
      <c r="V260" s="415"/>
      <c r="W260" s="416"/>
      <c r="X260" s="417"/>
      <c r="Y260" s="418" t="str">
        <f t="shared" ca="1" si="19"/>
        <v/>
      </c>
      <c r="Z260" s="419" t="str">
        <f t="shared" ca="1" si="20"/>
        <v/>
      </c>
      <c r="AA260" s="418" t="str">
        <f t="shared" ca="1" si="21"/>
        <v/>
      </c>
      <c r="AB260" s="420" t="str">
        <f t="shared" ca="1" si="22"/>
        <v/>
      </c>
      <c r="AC260" s="419" t="str">
        <f t="shared" ca="1" si="23"/>
        <v/>
      </c>
      <c r="AD260" s="220"/>
    </row>
    <row r="261" spans="1:30" customFormat="1" ht="15">
      <c r="A261" s="220"/>
      <c r="B261" s="268">
        <v>223</v>
      </c>
      <c r="C261" s="246"/>
      <c r="D261" s="247"/>
      <c r="E261" s="239"/>
      <c r="F261" s="225"/>
      <c r="G261" s="231"/>
      <c r="H261" s="378">
        <v>247</v>
      </c>
      <c r="I261" s="396"/>
      <c r="J261" s="396"/>
      <c r="K261" s="405"/>
      <c r="L261" s="405"/>
      <c r="M261" s="405"/>
      <c r="N261" s="655"/>
      <c r="O261" s="405"/>
      <c r="P261" s="405"/>
      <c r="Q261" s="405"/>
      <c r="R261" s="443"/>
      <c r="S261" s="435"/>
      <c r="T261" s="414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5"/>
      <c r="V261" s="415"/>
      <c r="W261" s="416"/>
      <c r="X261" s="417"/>
      <c r="Y261" s="418" t="str">
        <f t="shared" ca="1" si="19"/>
        <v/>
      </c>
      <c r="Z261" s="419" t="str">
        <f t="shared" ca="1" si="20"/>
        <v/>
      </c>
      <c r="AA261" s="418" t="str">
        <f t="shared" ca="1" si="21"/>
        <v/>
      </c>
      <c r="AB261" s="420" t="str">
        <f t="shared" ca="1" si="22"/>
        <v/>
      </c>
      <c r="AC261" s="419" t="str">
        <f t="shared" ca="1" si="23"/>
        <v/>
      </c>
      <c r="AD261" s="220"/>
    </row>
    <row r="262" spans="1:30" customFormat="1" ht="15">
      <c r="A262" s="220"/>
      <c r="B262" s="268">
        <v>224</v>
      </c>
      <c r="C262" s="246"/>
      <c r="D262" s="247"/>
      <c r="E262" s="239"/>
      <c r="F262" s="225"/>
      <c r="G262" s="231"/>
      <c r="H262" s="378">
        <v>248</v>
      </c>
      <c r="I262" s="396"/>
      <c r="J262" s="396"/>
      <c r="K262" s="405"/>
      <c r="L262" s="405"/>
      <c r="M262" s="405"/>
      <c r="N262" s="655"/>
      <c r="O262" s="405"/>
      <c r="P262" s="405"/>
      <c r="Q262" s="405"/>
      <c r="R262" s="443"/>
      <c r="S262" s="435"/>
      <c r="T262" s="414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5"/>
      <c r="V262" s="415"/>
      <c r="W262" s="416"/>
      <c r="X262" s="417"/>
      <c r="Y262" s="418" t="str">
        <f t="shared" ca="1" si="19"/>
        <v/>
      </c>
      <c r="Z262" s="419" t="str">
        <f t="shared" ca="1" si="20"/>
        <v/>
      </c>
      <c r="AA262" s="418" t="str">
        <f t="shared" ca="1" si="21"/>
        <v/>
      </c>
      <c r="AB262" s="420" t="str">
        <f t="shared" ca="1" si="22"/>
        <v/>
      </c>
      <c r="AC262" s="419" t="str">
        <f t="shared" ca="1" si="23"/>
        <v/>
      </c>
      <c r="AD262" s="220"/>
    </row>
    <row r="263" spans="1:30" customFormat="1" ht="15">
      <c r="A263" s="220"/>
      <c r="B263" s="268">
        <v>225</v>
      </c>
      <c r="C263" s="246"/>
      <c r="D263" s="247"/>
      <c r="E263" s="239"/>
      <c r="F263" s="225"/>
      <c r="G263" s="231"/>
      <c r="H263" s="378">
        <v>249</v>
      </c>
      <c r="I263" s="396"/>
      <c r="J263" s="396"/>
      <c r="K263" s="405"/>
      <c r="L263" s="405"/>
      <c r="M263" s="405"/>
      <c r="N263" s="655"/>
      <c r="O263" s="405"/>
      <c r="P263" s="405"/>
      <c r="Q263" s="405"/>
      <c r="R263" s="443"/>
      <c r="S263" s="435"/>
      <c r="T263" s="414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5"/>
      <c r="V263" s="415"/>
      <c r="W263" s="416"/>
      <c r="X263" s="417"/>
      <c r="Y263" s="418" t="str">
        <f t="shared" ca="1" si="19"/>
        <v/>
      </c>
      <c r="Z263" s="419" t="str">
        <f t="shared" ca="1" si="20"/>
        <v/>
      </c>
      <c r="AA263" s="418" t="str">
        <f t="shared" ca="1" si="21"/>
        <v/>
      </c>
      <c r="AB263" s="420" t="str">
        <f t="shared" ca="1" si="22"/>
        <v/>
      </c>
      <c r="AC263" s="419" t="str">
        <f t="shared" ca="1" si="23"/>
        <v/>
      </c>
      <c r="AD263" s="220"/>
    </row>
    <row r="264" spans="1:30" customFormat="1" ht="15">
      <c r="A264" s="220"/>
      <c r="B264" s="268">
        <v>226</v>
      </c>
      <c r="C264" s="246"/>
      <c r="D264" s="247"/>
      <c r="E264" s="239"/>
      <c r="F264" s="225"/>
      <c r="G264" s="231"/>
      <c r="H264" s="378">
        <v>250</v>
      </c>
      <c r="I264" s="396"/>
      <c r="J264" s="396"/>
      <c r="K264" s="405"/>
      <c r="L264" s="405"/>
      <c r="M264" s="405"/>
      <c r="N264" s="655"/>
      <c r="O264" s="405"/>
      <c r="P264" s="405"/>
      <c r="Q264" s="405"/>
      <c r="R264" s="443"/>
      <c r="S264" s="435"/>
      <c r="T264" s="414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5"/>
      <c r="V264" s="415"/>
      <c r="W264" s="416"/>
      <c r="X264" s="417"/>
      <c r="Y264" s="418" t="str">
        <f t="shared" ca="1" si="19"/>
        <v/>
      </c>
      <c r="Z264" s="419" t="str">
        <f t="shared" ca="1" si="20"/>
        <v/>
      </c>
      <c r="AA264" s="418" t="str">
        <f t="shared" ca="1" si="21"/>
        <v/>
      </c>
      <c r="AB264" s="420" t="str">
        <f t="shared" ca="1" si="22"/>
        <v/>
      </c>
      <c r="AC264" s="419" t="str">
        <f t="shared" ca="1" si="23"/>
        <v/>
      </c>
      <c r="AD264" s="220"/>
    </row>
    <row r="265" spans="1:30" customFormat="1" ht="15">
      <c r="A265" s="220"/>
      <c r="B265" s="268">
        <v>227</v>
      </c>
      <c r="C265" s="246"/>
      <c r="D265" s="247"/>
      <c r="E265" s="239"/>
      <c r="F265" s="225"/>
      <c r="G265" s="231"/>
      <c r="H265" s="378">
        <v>251</v>
      </c>
      <c r="I265" s="396"/>
      <c r="J265" s="396"/>
      <c r="K265" s="405"/>
      <c r="L265" s="405"/>
      <c r="M265" s="405"/>
      <c r="N265" s="655"/>
      <c r="O265" s="405"/>
      <c r="P265" s="405"/>
      <c r="Q265" s="405"/>
      <c r="R265" s="443"/>
      <c r="S265" s="435"/>
      <c r="T265" s="414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5"/>
      <c r="V265" s="415"/>
      <c r="W265" s="416"/>
      <c r="X265" s="417"/>
      <c r="Y265" s="418" t="str">
        <f t="shared" ca="1" si="19"/>
        <v/>
      </c>
      <c r="Z265" s="419" t="str">
        <f t="shared" ca="1" si="20"/>
        <v/>
      </c>
      <c r="AA265" s="418" t="str">
        <f t="shared" ca="1" si="21"/>
        <v/>
      </c>
      <c r="AB265" s="420" t="str">
        <f t="shared" ca="1" si="22"/>
        <v/>
      </c>
      <c r="AC265" s="419" t="str">
        <f t="shared" ca="1" si="23"/>
        <v/>
      </c>
      <c r="AD265" s="220"/>
    </row>
    <row r="266" spans="1:30" customFormat="1" ht="15">
      <c r="A266" s="220"/>
      <c r="B266" s="268">
        <v>228</v>
      </c>
      <c r="C266" s="246"/>
      <c r="D266" s="247"/>
      <c r="E266" s="239"/>
      <c r="F266" s="225"/>
      <c r="G266" s="231"/>
      <c r="H266" s="378">
        <v>252</v>
      </c>
      <c r="I266" s="396"/>
      <c r="J266" s="396"/>
      <c r="K266" s="405"/>
      <c r="L266" s="405"/>
      <c r="M266" s="405"/>
      <c r="N266" s="655"/>
      <c r="O266" s="405"/>
      <c r="P266" s="405"/>
      <c r="Q266" s="405"/>
      <c r="R266" s="443"/>
      <c r="S266" s="435"/>
      <c r="T266" s="414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5"/>
      <c r="V266" s="415"/>
      <c r="W266" s="416"/>
      <c r="X266" s="417"/>
      <c r="Y266" s="418" t="str">
        <f t="shared" ca="1" si="19"/>
        <v/>
      </c>
      <c r="Z266" s="419" t="str">
        <f t="shared" ca="1" si="20"/>
        <v/>
      </c>
      <c r="AA266" s="418" t="str">
        <f t="shared" ca="1" si="21"/>
        <v/>
      </c>
      <c r="AB266" s="420" t="str">
        <f t="shared" ca="1" si="22"/>
        <v/>
      </c>
      <c r="AC266" s="419" t="str">
        <f t="shared" ca="1" si="23"/>
        <v/>
      </c>
      <c r="AD266" s="220"/>
    </row>
    <row r="267" spans="1:30" customFormat="1" ht="15">
      <c r="A267" s="220"/>
      <c r="B267" s="268">
        <v>229</v>
      </c>
      <c r="C267" s="246"/>
      <c r="D267" s="247"/>
      <c r="E267" s="239"/>
      <c r="F267" s="225"/>
      <c r="G267" s="231"/>
      <c r="H267" s="378">
        <v>253</v>
      </c>
      <c r="I267" s="396"/>
      <c r="J267" s="396"/>
      <c r="K267" s="405"/>
      <c r="L267" s="405"/>
      <c r="M267" s="405"/>
      <c r="N267" s="655"/>
      <c r="O267" s="405"/>
      <c r="P267" s="405"/>
      <c r="Q267" s="405"/>
      <c r="R267" s="443"/>
      <c r="S267" s="435"/>
      <c r="T267" s="414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5"/>
      <c r="V267" s="415"/>
      <c r="W267" s="416"/>
      <c r="X267" s="417"/>
      <c r="Y267" s="418" t="str">
        <f t="shared" ca="1" si="19"/>
        <v/>
      </c>
      <c r="Z267" s="419" t="str">
        <f t="shared" ca="1" si="20"/>
        <v/>
      </c>
      <c r="AA267" s="418" t="str">
        <f t="shared" ca="1" si="21"/>
        <v/>
      </c>
      <c r="AB267" s="420" t="str">
        <f t="shared" ca="1" si="22"/>
        <v/>
      </c>
      <c r="AC267" s="419" t="str">
        <f t="shared" ca="1" si="23"/>
        <v/>
      </c>
      <c r="AD267" s="220"/>
    </row>
    <row r="268" spans="1:30" customFormat="1" ht="15">
      <c r="A268" s="220"/>
      <c r="B268" s="268">
        <v>230</v>
      </c>
      <c r="C268" s="246"/>
      <c r="D268" s="247"/>
      <c r="E268" s="239"/>
      <c r="F268" s="225"/>
      <c r="G268" s="231"/>
      <c r="H268" s="378">
        <v>254</v>
      </c>
      <c r="I268" s="396"/>
      <c r="J268" s="396"/>
      <c r="K268" s="405"/>
      <c r="L268" s="405"/>
      <c r="M268" s="405"/>
      <c r="N268" s="655"/>
      <c r="O268" s="405"/>
      <c r="P268" s="405"/>
      <c r="Q268" s="405"/>
      <c r="R268" s="443"/>
      <c r="S268" s="435"/>
      <c r="T268" s="414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5"/>
      <c r="V268" s="415"/>
      <c r="W268" s="416"/>
      <c r="X268" s="417"/>
      <c r="Y268" s="418" t="str">
        <f t="shared" ca="1" si="19"/>
        <v/>
      </c>
      <c r="Z268" s="419" t="str">
        <f t="shared" ca="1" si="20"/>
        <v/>
      </c>
      <c r="AA268" s="418" t="str">
        <f t="shared" ca="1" si="21"/>
        <v/>
      </c>
      <c r="AB268" s="420" t="str">
        <f t="shared" ca="1" si="22"/>
        <v/>
      </c>
      <c r="AC268" s="419" t="str">
        <f t="shared" ca="1" si="23"/>
        <v/>
      </c>
      <c r="AD268" s="220"/>
    </row>
    <row r="269" spans="1:30" customFormat="1" ht="15">
      <c r="A269" s="220"/>
      <c r="B269" s="268">
        <v>231</v>
      </c>
      <c r="C269" s="246"/>
      <c r="D269" s="247"/>
      <c r="E269" s="239"/>
      <c r="F269" s="225"/>
      <c r="G269" s="231"/>
      <c r="H269" s="378">
        <v>255</v>
      </c>
      <c r="I269" s="396"/>
      <c r="J269" s="396"/>
      <c r="K269" s="405"/>
      <c r="L269" s="405"/>
      <c r="M269" s="405"/>
      <c r="N269" s="655"/>
      <c r="O269" s="405"/>
      <c r="P269" s="405"/>
      <c r="Q269" s="405"/>
      <c r="R269" s="443"/>
      <c r="S269" s="435"/>
      <c r="T269" s="414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5"/>
      <c r="V269" s="415"/>
      <c r="W269" s="416"/>
      <c r="X269" s="417"/>
      <c r="Y269" s="418" t="str">
        <f t="shared" ca="1" si="19"/>
        <v/>
      </c>
      <c r="Z269" s="419" t="str">
        <f t="shared" ca="1" si="20"/>
        <v/>
      </c>
      <c r="AA269" s="418" t="str">
        <f t="shared" ca="1" si="21"/>
        <v/>
      </c>
      <c r="AB269" s="420" t="str">
        <f t="shared" ca="1" si="22"/>
        <v/>
      </c>
      <c r="AC269" s="419" t="str">
        <f t="shared" ca="1" si="23"/>
        <v/>
      </c>
      <c r="AD269" s="220"/>
    </row>
    <row r="270" spans="1:30" customFormat="1" ht="15">
      <c r="A270" s="220"/>
      <c r="B270" s="268">
        <v>232</v>
      </c>
      <c r="C270" s="246"/>
      <c r="D270" s="247"/>
      <c r="E270" s="239"/>
      <c r="F270" s="225"/>
      <c r="G270" s="231"/>
      <c r="H270" s="378">
        <v>256</v>
      </c>
      <c r="I270" s="396"/>
      <c r="J270" s="396"/>
      <c r="K270" s="405"/>
      <c r="L270" s="405"/>
      <c r="M270" s="405"/>
      <c r="N270" s="655"/>
      <c r="O270" s="405"/>
      <c r="P270" s="405"/>
      <c r="Q270" s="405"/>
      <c r="R270" s="443"/>
      <c r="S270" s="435"/>
      <c r="T270" s="414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5"/>
      <c r="V270" s="415"/>
      <c r="W270" s="416"/>
      <c r="X270" s="417"/>
      <c r="Y270" s="418" t="str">
        <f t="shared" ca="1" si="19"/>
        <v/>
      </c>
      <c r="Z270" s="419" t="str">
        <f t="shared" ca="1" si="20"/>
        <v/>
      </c>
      <c r="AA270" s="418" t="str">
        <f t="shared" ca="1" si="21"/>
        <v/>
      </c>
      <c r="AB270" s="420" t="str">
        <f t="shared" ca="1" si="22"/>
        <v/>
      </c>
      <c r="AC270" s="419" t="str">
        <f t="shared" ca="1" si="23"/>
        <v/>
      </c>
      <c r="AD270" s="220"/>
    </row>
    <row r="271" spans="1:30" customFormat="1" ht="15">
      <c r="A271" s="220"/>
      <c r="B271" s="268">
        <v>233</v>
      </c>
      <c r="C271" s="246"/>
      <c r="D271" s="247"/>
      <c r="E271" s="239"/>
      <c r="F271" s="225"/>
      <c r="G271" s="231"/>
      <c r="H271" s="378">
        <v>257</v>
      </c>
      <c r="I271" s="396"/>
      <c r="J271" s="396"/>
      <c r="K271" s="405"/>
      <c r="L271" s="405"/>
      <c r="M271" s="405"/>
      <c r="N271" s="655"/>
      <c r="O271" s="405"/>
      <c r="P271" s="405"/>
      <c r="Q271" s="405"/>
      <c r="R271" s="443"/>
      <c r="S271" s="435"/>
      <c r="T271" s="414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5"/>
      <c r="V271" s="415"/>
      <c r="W271" s="416"/>
      <c r="X271" s="417"/>
      <c r="Y271" s="418" t="str">
        <f t="shared" ca="1" si="19"/>
        <v/>
      </c>
      <c r="Z271" s="419" t="str">
        <f t="shared" ca="1" si="20"/>
        <v/>
      </c>
      <c r="AA271" s="418" t="str">
        <f t="shared" ca="1" si="21"/>
        <v/>
      </c>
      <c r="AB271" s="420" t="str">
        <f t="shared" ca="1" si="22"/>
        <v/>
      </c>
      <c r="AC271" s="419" t="str">
        <f t="shared" ca="1" si="23"/>
        <v/>
      </c>
      <c r="AD271" s="220"/>
    </row>
    <row r="272" spans="1:30" customFormat="1" ht="15">
      <c r="A272" s="220"/>
      <c r="B272" s="268">
        <v>234</v>
      </c>
      <c r="C272" s="246"/>
      <c r="D272" s="247"/>
      <c r="E272" s="239"/>
      <c r="F272" s="225"/>
      <c r="G272" s="231"/>
      <c r="H272" s="378">
        <v>258</v>
      </c>
      <c r="I272" s="396"/>
      <c r="J272" s="396"/>
      <c r="K272" s="405"/>
      <c r="L272" s="405"/>
      <c r="M272" s="405"/>
      <c r="N272" s="655"/>
      <c r="O272" s="405"/>
      <c r="P272" s="405"/>
      <c r="Q272" s="405"/>
      <c r="R272" s="443"/>
      <c r="S272" s="435"/>
      <c r="T272" s="414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5"/>
      <c r="V272" s="415"/>
      <c r="W272" s="416"/>
      <c r="X272" s="417"/>
      <c r="Y272" s="418" t="str">
        <f t="shared" ref="Y272:Y314" ca="1" si="24">IF($U$12,IF(T272="","",$U$13*D296/$C$18),"")</f>
        <v/>
      </c>
      <c r="Z272" s="419" t="str">
        <f t="shared" ref="Z272:Z314" ca="1" si="25">IF($U$12,IF(Y272="","",Y272*($Z$10-W272)*X272),"")</f>
        <v/>
      </c>
      <c r="AA272" s="418" t="str">
        <f t="shared" ref="AA272:AA313" ca="1" si="26">IF($U$12,IF(OR(T272="",L272=""),"",L272/($C$20-$C$19)),"")</f>
        <v/>
      </c>
      <c r="AB272" s="420" t="str">
        <f t="shared" ref="AB272:AB313" ca="1" si="27">IF($U$12,IF(W272="","",W272*$AC$10),"")</f>
        <v/>
      </c>
      <c r="AC272" s="419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8">
        <v>235</v>
      </c>
      <c r="C273" s="246"/>
      <c r="D273" s="247"/>
      <c r="E273" s="239"/>
      <c r="F273" s="225"/>
      <c r="G273" s="231"/>
      <c r="H273" s="378">
        <v>259</v>
      </c>
      <c r="I273" s="396"/>
      <c r="J273" s="396"/>
      <c r="K273" s="405"/>
      <c r="L273" s="405"/>
      <c r="M273" s="405"/>
      <c r="N273" s="655"/>
      <c r="O273" s="405"/>
      <c r="P273" s="405"/>
      <c r="Q273" s="405"/>
      <c r="R273" s="443"/>
      <c r="S273" s="435"/>
      <c r="T273" s="414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5"/>
      <c r="V273" s="415"/>
      <c r="W273" s="416"/>
      <c r="X273" s="417"/>
      <c r="Y273" s="418" t="str">
        <f t="shared" ca="1" si="24"/>
        <v/>
      </c>
      <c r="Z273" s="419" t="str">
        <f t="shared" ca="1" si="25"/>
        <v/>
      </c>
      <c r="AA273" s="418" t="str">
        <f t="shared" ca="1" si="26"/>
        <v/>
      </c>
      <c r="AB273" s="420" t="str">
        <f t="shared" ca="1" si="27"/>
        <v/>
      </c>
      <c r="AC273" s="419" t="str">
        <f t="shared" ca="1" si="28"/>
        <v/>
      </c>
      <c r="AD273" s="220"/>
    </row>
    <row r="274" spans="1:30" customFormat="1" ht="15">
      <c r="A274" s="220"/>
      <c r="B274" s="268">
        <v>236</v>
      </c>
      <c r="C274" s="246"/>
      <c r="D274" s="247"/>
      <c r="E274" s="239"/>
      <c r="F274" s="225"/>
      <c r="G274" s="231"/>
      <c r="H274" s="378">
        <v>260</v>
      </c>
      <c r="I274" s="396"/>
      <c r="J274" s="396"/>
      <c r="K274" s="405"/>
      <c r="L274" s="405"/>
      <c r="M274" s="405"/>
      <c r="N274" s="655"/>
      <c r="O274" s="405"/>
      <c r="P274" s="405"/>
      <c r="Q274" s="405"/>
      <c r="R274" s="443"/>
      <c r="S274" s="435"/>
      <c r="T274" s="414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5"/>
      <c r="V274" s="415"/>
      <c r="W274" s="416"/>
      <c r="X274" s="417"/>
      <c r="Y274" s="418" t="str">
        <f t="shared" ca="1" si="24"/>
        <v/>
      </c>
      <c r="Z274" s="419" t="str">
        <f t="shared" ca="1" si="25"/>
        <v/>
      </c>
      <c r="AA274" s="418" t="str">
        <f t="shared" ca="1" si="26"/>
        <v/>
      </c>
      <c r="AB274" s="420" t="str">
        <f t="shared" ca="1" si="27"/>
        <v/>
      </c>
      <c r="AC274" s="419" t="str">
        <f t="shared" ca="1" si="28"/>
        <v/>
      </c>
      <c r="AD274" s="220"/>
    </row>
    <row r="275" spans="1:30" customFormat="1" ht="15">
      <c r="A275" s="220"/>
      <c r="B275" s="268">
        <v>237</v>
      </c>
      <c r="C275" s="246"/>
      <c r="D275" s="247"/>
      <c r="E275" s="239"/>
      <c r="F275" s="225"/>
      <c r="G275" s="231"/>
      <c r="H275" s="378">
        <v>261</v>
      </c>
      <c r="I275" s="396"/>
      <c r="J275" s="396"/>
      <c r="K275" s="405"/>
      <c r="L275" s="405"/>
      <c r="M275" s="405"/>
      <c r="N275" s="655"/>
      <c r="O275" s="405"/>
      <c r="P275" s="405"/>
      <c r="Q275" s="405"/>
      <c r="R275" s="443"/>
      <c r="S275" s="435"/>
      <c r="T275" s="414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5"/>
      <c r="V275" s="415"/>
      <c r="W275" s="416"/>
      <c r="X275" s="417"/>
      <c r="Y275" s="418" t="str">
        <f t="shared" ca="1" si="24"/>
        <v/>
      </c>
      <c r="Z275" s="419" t="str">
        <f t="shared" ca="1" si="25"/>
        <v/>
      </c>
      <c r="AA275" s="418" t="str">
        <f t="shared" ca="1" si="26"/>
        <v/>
      </c>
      <c r="AB275" s="420" t="str">
        <f t="shared" ca="1" si="27"/>
        <v/>
      </c>
      <c r="AC275" s="419" t="str">
        <f t="shared" ca="1" si="28"/>
        <v/>
      </c>
      <c r="AD275" s="220"/>
    </row>
    <row r="276" spans="1:30" customFormat="1" ht="15">
      <c r="A276" s="220"/>
      <c r="B276" s="268">
        <v>238</v>
      </c>
      <c r="C276" s="246"/>
      <c r="D276" s="247"/>
      <c r="E276" s="239"/>
      <c r="F276" s="225"/>
      <c r="G276" s="231"/>
      <c r="H276" s="378">
        <v>262</v>
      </c>
      <c r="I276" s="396"/>
      <c r="J276" s="396"/>
      <c r="K276" s="405"/>
      <c r="L276" s="405"/>
      <c r="M276" s="405"/>
      <c r="N276" s="655"/>
      <c r="O276" s="405"/>
      <c r="P276" s="405"/>
      <c r="Q276" s="405"/>
      <c r="R276" s="443"/>
      <c r="S276" s="435"/>
      <c r="T276" s="414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5"/>
      <c r="V276" s="415"/>
      <c r="W276" s="416"/>
      <c r="X276" s="417"/>
      <c r="Y276" s="418" t="str">
        <f t="shared" ca="1" si="24"/>
        <v/>
      </c>
      <c r="Z276" s="419" t="str">
        <f t="shared" ca="1" si="25"/>
        <v/>
      </c>
      <c r="AA276" s="418" t="str">
        <f t="shared" ca="1" si="26"/>
        <v/>
      </c>
      <c r="AB276" s="420" t="str">
        <f t="shared" ca="1" si="27"/>
        <v/>
      </c>
      <c r="AC276" s="419" t="str">
        <f t="shared" ca="1" si="28"/>
        <v/>
      </c>
      <c r="AD276" s="220"/>
    </row>
    <row r="277" spans="1:30" customFormat="1" ht="15">
      <c r="A277" s="220"/>
      <c r="B277" s="268">
        <v>239</v>
      </c>
      <c r="C277" s="246"/>
      <c r="D277" s="247"/>
      <c r="E277" s="239"/>
      <c r="F277" s="225"/>
      <c r="G277" s="231"/>
      <c r="H277" s="378">
        <v>263</v>
      </c>
      <c r="I277" s="396"/>
      <c r="J277" s="396"/>
      <c r="K277" s="405"/>
      <c r="L277" s="405"/>
      <c r="M277" s="405"/>
      <c r="N277" s="655"/>
      <c r="O277" s="405"/>
      <c r="P277" s="405"/>
      <c r="Q277" s="405"/>
      <c r="R277" s="443"/>
      <c r="S277" s="435"/>
      <c r="T277" s="414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5"/>
      <c r="V277" s="415"/>
      <c r="W277" s="416"/>
      <c r="X277" s="417"/>
      <c r="Y277" s="418" t="str">
        <f t="shared" ca="1" si="24"/>
        <v/>
      </c>
      <c r="Z277" s="419" t="str">
        <f t="shared" ca="1" si="25"/>
        <v/>
      </c>
      <c r="AA277" s="418" t="str">
        <f t="shared" ca="1" si="26"/>
        <v/>
      </c>
      <c r="AB277" s="420" t="str">
        <f t="shared" ca="1" si="27"/>
        <v/>
      </c>
      <c r="AC277" s="419" t="str">
        <f t="shared" ca="1" si="28"/>
        <v/>
      </c>
      <c r="AD277" s="220"/>
    </row>
    <row r="278" spans="1:30" customFormat="1" ht="15">
      <c r="A278" s="220"/>
      <c r="B278" s="268">
        <v>240</v>
      </c>
      <c r="C278" s="246"/>
      <c r="D278" s="247"/>
      <c r="E278" s="239"/>
      <c r="F278" s="225"/>
      <c r="G278" s="231"/>
      <c r="H278" s="378">
        <v>264</v>
      </c>
      <c r="I278" s="396"/>
      <c r="J278" s="396"/>
      <c r="K278" s="405"/>
      <c r="L278" s="405"/>
      <c r="M278" s="405"/>
      <c r="N278" s="655"/>
      <c r="O278" s="405"/>
      <c r="P278" s="405"/>
      <c r="Q278" s="405"/>
      <c r="R278" s="443"/>
      <c r="S278" s="435"/>
      <c r="T278" s="414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5"/>
      <c r="V278" s="415"/>
      <c r="W278" s="416"/>
      <c r="X278" s="417"/>
      <c r="Y278" s="418" t="str">
        <f t="shared" ca="1" si="24"/>
        <v/>
      </c>
      <c r="Z278" s="419" t="str">
        <f t="shared" ca="1" si="25"/>
        <v/>
      </c>
      <c r="AA278" s="418" t="str">
        <f t="shared" ca="1" si="26"/>
        <v/>
      </c>
      <c r="AB278" s="420" t="str">
        <f t="shared" ca="1" si="27"/>
        <v/>
      </c>
      <c r="AC278" s="419" t="str">
        <f t="shared" ca="1" si="28"/>
        <v/>
      </c>
      <c r="AD278" s="220"/>
    </row>
    <row r="279" spans="1:30" customFormat="1" ht="15">
      <c r="A279" s="220"/>
      <c r="B279" s="268">
        <v>241</v>
      </c>
      <c r="C279" s="246"/>
      <c r="D279" s="247"/>
      <c r="E279" s="239"/>
      <c r="F279" s="225"/>
      <c r="G279" s="231"/>
      <c r="H279" s="378">
        <v>265</v>
      </c>
      <c r="I279" s="396"/>
      <c r="J279" s="396"/>
      <c r="K279" s="405"/>
      <c r="L279" s="405"/>
      <c r="M279" s="405"/>
      <c r="N279" s="655"/>
      <c r="O279" s="405"/>
      <c r="P279" s="405"/>
      <c r="Q279" s="405"/>
      <c r="R279" s="443"/>
      <c r="S279" s="435"/>
      <c r="T279" s="414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5"/>
      <c r="V279" s="415"/>
      <c r="W279" s="416"/>
      <c r="X279" s="417"/>
      <c r="Y279" s="418" t="str">
        <f t="shared" ca="1" si="24"/>
        <v/>
      </c>
      <c r="Z279" s="419" t="str">
        <f t="shared" ca="1" si="25"/>
        <v/>
      </c>
      <c r="AA279" s="418" t="str">
        <f t="shared" ca="1" si="26"/>
        <v/>
      </c>
      <c r="AB279" s="420" t="str">
        <f t="shared" ca="1" si="27"/>
        <v/>
      </c>
      <c r="AC279" s="419" t="str">
        <f t="shared" ca="1" si="28"/>
        <v/>
      </c>
      <c r="AD279" s="220"/>
    </row>
    <row r="280" spans="1:30" customFormat="1" ht="15">
      <c r="A280" s="220"/>
      <c r="B280" s="268">
        <v>242</v>
      </c>
      <c r="C280" s="246"/>
      <c r="D280" s="247"/>
      <c r="E280" s="239"/>
      <c r="F280" s="225"/>
      <c r="G280" s="231"/>
      <c r="H280" s="378">
        <v>266</v>
      </c>
      <c r="I280" s="396"/>
      <c r="J280" s="396"/>
      <c r="K280" s="405"/>
      <c r="L280" s="405"/>
      <c r="M280" s="405"/>
      <c r="N280" s="655"/>
      <c r="O280" s="405"/>
      <c r="P280" s="405"/>
      <c r="Q280" s="405"/>
      <c r="R280" s="443"/>
      <c r="S280" s="435"/>
      <c r="T280" s="414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5"/>
      <c r="V280" s="415"/>
      <c r="W280" s="416"/>
      <c r="X280" s="417"/>
      <c r="Y280" s="418" t="str">
        <f t="shared" ca="1" si="24"/>
        <v/>
      </c>
      <c r="Z280" s="419" t="str">
        <f t="shared" ca="1" si="25"/>
        <v/>
      </c>
      <c r="AA280" s="418" t="str">
        <f t="shared" ca="1" si="26"/>
        <v/>
      </c>
      <c r="AB280" s="420" t="str">
        <f t="shared" ca="1" si="27"/>
        <v/>
      </c>
      <c r="AC280" s="419" t="str">
        <f t="shared" ca="1" si="28"/>
        <v/>
      </c>
      <c r="AD280" s="220"/>
    </row>
    <row r="281" spans="1:30" customFormat="1" ht="15">
      <c r="A281" s="220"/>
      <c r="B281" s="268">
        <v>243</v>
      </c>
      <c r="C281" s="246"/>
      <c r="D281" s="247"/>
      <c r="E281" s="239"/>
      <c r="F281" s="225"/>
      <c r="G281" s="231"/>
      <c r="H281" s="378">
        <v>267</v>
      </c>
      <c r="I281" s="396"/>
      <c r="J281" s="396"/>
      <c r="K281" s="405"/>
      <c r="L281" s="405"/>
      <c r="M281" s="405"/>
      <c r="N281" s="655"/>
      <c r="O281" s="405"/>
      <c r="P281" s="405"/>
      <c r="Q281" s="405"/>
      <c r="R281" s="443"/>
      <c r="S281" s="435"/>
      <c r="T281" s="414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5"/>
      <c r="V281" s="415"/>
      <c r="W281" s="416"/>
      <c r="X281" s="417"/>
      <c r="Y281" s="418" t="str">
        <f t="shared" ca="1" si="24"/>
        <v/>
      </c>
      <c r="Z281" s="419" t="str">
        <f t="shared" ca="1" si="25"/>
        <v/>
      </c>
      <c r="AA281" s="418" t="str">
        <f t="shared" ca="1" si="26"/>
        <v/>
      </c>
      <c r="AB281" s="420" t="str">
        <f t="shared" ca="1" si="27"/>
        <v/>
      </c>
      <c r="AC281" s="419" t="str">
        <f t="shared" ca="1" si="28"/>
        <v/>
      </c>
      <c r="AD281" s="220"/>
    </row>
    <row r="282" spans="1:30" customFormat="1" ht="15">
      <c r="A282" s="220"/>
      <c r="B282" s="268">
        <v>244</v>
      </c>
      <c r="C282" s="246"/>
      <c r="D282" s="247"/>
      <c r="E282" s="239"/>
      <c r="F282" s="225"/>
      <c r="G282" s="231"/>
      <c r="H282" s="378">
        <v>268</v>
      </c>
      <c r="I282" s="396"/>
      <c r="J282" s="396"/>
      <c r="K282" s="405"/>
      <c r="L282" s="405"/>
      <c r="M282" s="405"/>
      <c r="N282" s="655"/>
      <c r="O282" s="405"/>
      <c r="P282" s="405"/>
      <c r="Q282" s="405"/>
      <c r="R282" s="443"/>
      <c r="S282" s="435"/>
      <c r="T282" s="414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5"/>
      <c r="V282" s="415"/>
      <c r="W282" s="416"/>
      <c r="X282" s="417"/>
      <c r="Y282" s="418" t="str">
        <f t="shared" ca="1" si="24"/>
        <v/>
      </c>
      <c r="Z282" s="419" t="str">
        <f t="shared" ca="1" si="25"/>
        <v/>
      </c>
      <c r="AA282" s="418" t="str">
        <f t="shared" ca="1" si="26"/>
        <v/>
      </c>
      <c r="AB282" s="420" t="str">
        <f t="shared" ca="1" si="27"/>
        <v/>
      </c>
      <c r="AC282" s="419" t="str">
        <f t="shared" ca="1" si="28"/>
        <v/>
      </c>
      <c r="AD282" s="220"/>
    </row>
    <row r="283" spans="1:30" customFormat="1" ht="15">
      <c r="A283" s="220"/>
      <c r="B283" s="268">
        <v>245</v>
      </c>
      <c r="C283" s="246"/>
      <c r="D283" s="247"/>
      <c r="E283" s="239"/>
      <c r="F283" s="225"/>
      <c r="G283" s="231"/>
      <c r="H283" s="378">
        <v>269</v>
      </c>
      <c r="I283" s="396"/>
      <c r="J283" s="396"/>
      <c r="K283" s="405"/>
      <c r="L283" s="405"/>
      <c r="M283" s="405"/>
      <c r="N283" s="655"/>
      <c r="O283" s="405"/>
      <c r="P283" s="405"/>
      <c r="Q283" s="405"/>
      <c r="R283" s="443"/>
      <c r="S283" s="435"/>
      <c r="T283" s="414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5"/>
      <c r="V283" s="415"/>
      <c r="W283" s="416"/>
      <c r="X283" s="417"/>
      <c r="Y283" s="418" t="str">
        <f t="shared" ca="1" si="24"/>
        <v/>
      </c>
      <c r="Z283" s="419" t="str">
        <f t="shared" ca="1" si="25"/>
        <v/>
      </c>
      <c r="AA283" s="418" t="str">
        <f t="shared" ca="1" si="26"/>
        <v/>
      </c>
      <c r="AB283" s="420" t="str">
        <f t="shared" ca="1" si="27"/>
        <v/>
      </c>
      <c r="AC283" s="419" t="str">
        <f t="shared" ca="1" si="28"/>
        <v/>
      </c>
      <c r="AD283" s="220"/>
    </row>
    <row r="284" spans="1:30" customFormat="1" ht="15">
      <c r="A284" s="220"/>
      <c r="B284" s="268">
        <v>246</v>
      </c>
      <c r="C284" s="246"/>
      <c r="D284" s="247"/>
      <c r="E284" s="239"/>
      <c r="F284" s="225"/>
      <c r="G284" s="231"/>
      <c r="H284" s="378">
        <v>270</v>
      </c>
      <c r="I284" s="396"/>
      <c r="J284" s="396"/>
      <c r="K284" s="405"/>
      <c r="L284" s="405"/>
      <c r="M284" s="405"/>
      <c r="N284" s="655"/>
      <c r="O284" s="405"/>
      <c r="P284" s="405"/>
      <c r="Q284" s="405"/>
      <c r="R284" s="443"/>
      <c r="S284" s="435"/>
      <c r="T284" s="414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5"/>
      <c r="V284" s="415"/>
      <c r="W284" s="416"/>
      <c r="X284" s="417"/>
      <c r="Y284" s="418" t="str">
        <f t="shared" ca="1" si="24"/>
        <v/>
      </c>
      <c r="Z284" s="419" t="str">
        <f t="shared" ca="1" si="25"/>
        <v/>
      </c>
      <c r="AA284" s="418" t="str">
        <f t="shared" ca="1" si="26"/>
        <v/>
      </c>
      <c r="AB284" s="420" t="str">
        <f t="shared" ca="1" si="27"/>
        <v/>
      </c>
      <c r="AC284" s="419" t="str">
        <f t="shared" ca="1" si="28"/>
        <v/>
      </c>
      <c r="AD284" s="220"/>
    </row>
    <row r="285" spans="1:30" customFormat="1" ht="15">
      <c r="A285" s="220"/>
      <c r="B285" s="268">
        <v>247</v>
      </c>
      <c r="C285" s="246"/>
      <c r="D285" s="247"/>
      <c r="E285" s="239"/>
      <c r="F285" s="225"/>
      <c r="G285" s="231"/>
      <c r="H285" s="378">
        <v>271</v>
      </c>
      <c r="I285" s="396"/>
      <c r="J285" s="396"/>
      <c r="K285" s="405"/>
      <c r="L285" s="405"/>
      <c r="M285" s="405"/>
      <c r="N285" s="655"/>
      <c r="O285" s="405"/>
      <c r="P285" s="405"/>
      <c r="Q285" s="405"/>
      <c r="R285" s="443"/>
      <c r="S285" s="435"/>
      <c r="T285" s="414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5"/>
      <c r="V285" s="415"/>
      <c r="W285" s="416"/>
      <c r="X285" s="417"/>
      <c r="Y285" s="418" t="str">
        <f t="shared" ca="1" si="24"/>
        <v/>
      </c>
      <c r="Z285" s="419" t="str">
        <f t="shared" ca="1" si="25"/>
        <v/>
      </c>
      <c r="AA285" s="418" t="str">
        <f t="shared" ca="1" si="26"/>
        <v/>
      </c>
      <c r="AB285" s="420" t="str">
        <f t="shared" ca="1" si="27"/>
        <v/>
      </c>
      <c r="AC285" s="419" t="str">
        <f t="shared" ca="1" si="28"/>
        <v/>
      </c>
      <c r="AD285" s="220"/>
    </row>
    <row r="286" spans="1:30" customFormat="1" ht="15">
      <c r="A286" s="220"/>
      <c r="B286" s="268">
        <v>248</v>
      </c>
      <c r="C286" s="246"/>
      <c r="D286" s="247"/>
      <c r="E286" s="239"/>
      <c r="F286" s="225"/>
      <c r="G286" s="231"/>
      <c r="H286" s="378">
        <v>272</v>
      </c>
      <c r="I286" s="396"/>
      <c r="J286" s="396"/>
      <c r="K286" s="405"/>
      <c r="L286" s="405"/>
      <c r="M286" s="405"/>
      <c r="N286" s="655"/>
      <c r="O286" s="405"/>
      <c r="P286" s="405"/>
      <c r="Q286" s="405"/>
      <c r="R286" s="443"/>
      <c r="S286" s="435"/>
      <c r="T286" s="414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5"/>
      <c r="V286" s="415"/>
      <c r="W286" s="416"/>
      <c r="X286" s="417"/>
      <c r="Y286" s="418" t="str">
        <f t="shared" ca="1" si="24"/>
        <v/>
      </c>
      <c r="Z286" s="419" t="str">
        <f t="shared" ca="1" si="25"/>
        <v/>
      </c>
      <c r="AA286" s="418" t="str">
        <f t="shared" ca="1" si="26"/>
        <v/>
      </c>
      <c r="AB286" s="420" t="str">
        <f t="shared" ca="1" si="27"/>
        <v/>
      </c>
      <c r="AC286" s="419" t="str">
        <f t="shared" ca="1" si="28"/>
        <v/>
      </c>
      <c r="AD286" s="220"/>
    </row>
    <row r="287" spans="1:30" customFormat="1" ht="15">
      <c r="A287" s="220"/>
      <c r="B287" s="268">
        <v>249</v>
      </c>
      <c r="C287" s="246"/>
      <c r="D287" s="247"/>
      <c r="E287" s="239"/>
      <c r="F287" s="225"/>
      <c r="G287" s="231"/>
      <c r="H287" s="378">
        <v>273</v>
      </c>
      <c r="I287" s="396"/>
      <c r="J287" s="396"/>
      <c r="K287" s="405"/>
      <c r="L287" s="405"/>
      <c r="M287" s="405"/>
      <c r="N287" s="655"/>
      <c r="O287" s="405"/>
      <c r="P287" s="405"/>
      <c r="Q287" s="405"/>
      <c r="R287" s="443"/>
      <c r="S287" s="435"/>
      <c r="T287" s="414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5"/>
      <c r="V287" s="415"/>
      <c r="W287" s="416"/>
      <c r="X287" s="417"/>
      <c r="Y287" s="418" t="str">
        <f t="shared" ca="1" si="24"/>
        <v/>
      </c>
      <c r="Z287" s="419" t="str">
        <f t="shared" ca="1" si="25"/>
        <v/>
      </c>
      <c r="AA287" s="418" t="str">
        <f t="shared" ca="1" si="26"/>
        <v/>
      </c>
      <c r="AB287" s="420" t="str">
        <f t="shared" ca="1" si="27"/>
        <v/>
      </c>
      <c r="AC287" s="419" t="str">
        <f t="shared" ca="1" si="28"/>
        <v/>
      </c>
      <c r="AD287" s="220"/>
    </row>
    <row r="288" spans="1:30" customFormat="1" ht="15">
      <c r="A288" s="220"/>
      <c r="B288" s="268">
        <v>250</v>
      </c>
      <c r="C288" s="246"/>
      <c r="D288" s="247"/>
      <c r="E288" s="239"/>
      <c r="F288" s="225"/>
      <c r="G288" s="231"/>
      <c r="H288" s="378">
        <v>274</v>
      </c>
      <c r="I288" s="396"/>
      <c r="J288" s="396"/>
      <c r="K288" s="405"/>
      <c r="L288" s="405"/>
      <c r="M288" s="405"/>
      <c r="N288" s="655"/>
      <c r="O288" s="405"/>
      <c r="P288" s="405"/>
      <c r="Q288" s="405"/>
      <c r="R288" s="443"/>
      <c r="S288" s="435"/>
      <c r="T288" s="414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5"/>
      <c r="V288" s="415"/>
      <c r="W288" s="416"/>
      <c r="X288" s="417"/>
      <c r="Y288" s="418" t="str">
        <f t="shared" ca="1" si="24"/>
        <v/>
      </c>
      <c r="Z288" s="419" t="str">
        <f t="shared" ca="1" si="25"/>
        <v/>
      </c>
      <c r="AA288" s="418" t="str">
        <f t="shared" ca="1" si="26"/>
        <v/>
      </c>
      <c r="AB288" s="420" t="str">
        <f t="shared" ca="1" si="27"/>
        <v/>
      </c>
      <c r="AC288" s="419" t="str">
        <f t="shared" ca="1" si="28"/>
        <v/>
      </c>
      <c r="AD288" s="220"/>
    </row>
    <row r="289" spans="1:30" customFormat="1" ht="15">
      <c r="A289" s="220"/>
      <c r="B289" s="268">
        <v>251</v>
      </c>
      <c r="C289" s="246"/>
      <c r="D289" s="247"/>
      <c r="E289" s="239"/>
      <c r="F289" s="225"/>
      <c r="G289" s="231"/>
      <c r="H289" s="378">
        <v>275</v>
      </c>
      <c r="I289" s="396"/>
      <c r="J289" s="396"/>
      <c r="K289" s="405"/>
      <c r="L289" s="405"/>
      <c r="M289" s="405"/>
      <c r="N289" s="655"/>
      <c r="O289" s="405"/>
      <c r="P289" s="405"/>
      <c r="Q289" s="405"/>
      <c r="R289" s="443"/>
      <c r="S289" s="435"/>
      <c r="T289" s="414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5"/>
      <c r="V289" s="415"/>
      <c r="W289" s="416"/>
      <c r="X289" s="417"/>
      <c r="Y289" s="418" t="str">
        <f t="shared" ca="1" si="24"/>
        <v/>
      </c>
      <c r="Z289" s="419" t="str">
        <f t="shared" ca="1" si="25"/>
        <v/>
      </c>
      <c r="AA289" s="418" t="str">
        <f t="shared" ca="1" si="26"/>
        <v/>
      </c>
      <c r="AB289" s="420" t="str">
        <f t="shared" ca="1" si="27"/>
        <v/>
      </c>
      <c r="AC289" s="419" t="str">
        <f t="shared" ca="1" si="28"/>
        <v/>
      </c>
      <c r="AD289" s="220"/>
    </row>
    <row r="290" spans="1:30" customFormat="1" ht="15">
      <c r="A290" s="220"/>
      <c r="B290" s="268">
        <v>252</v>
      </c>
      <c r="C290" s="246"/>
      <c r="D290" s="247"/>
      <c r="E290" s="239"/>
      <c r="F290" s="225"/>
      <c r="G290" s="231"/>
      <c r="H290" s="378">
        <v>276</v>
      </c>
      <c r="I290" s="396"/>
      <c r="J290" s="396"/>
      <c r="K290" s="405"/>
      <c r="L290" s="405"/>
      <c r="M290" s="405"/>
      <c r="N290" s="655"/>
      <c r="O290" s="405"/>
      <c r="P290" s="405"/>
      <c r="Q290" s="405"/>
      <c r="R290" s="443"/>
      <c r="S290" s="435"/>
      <c r="T290" s="414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5"/>
      <c r="V290" s="415"/>
      <c r="W290" s="416"/>
      <c r="X290" s="417"/>
      <c r="Y290" s="418" t="str">
        <f t="shared" ca="1" si="24"/>
        <v/>
      </c>
      <c r="Z290" s="419" t="str">
        <f t="shared" ca="1" si="25"/>
        <v/>
      </c>
      <c r="AA290" s="418" t="str">
        <f t="shared" ca="1" si="26"/>
        <v/>
      </c>
      <c r="AB290" s="420" t="str">
        <f t="shared" ca="1" si="27"/>
        <v/>
      </c>
      <c r="AC290" s="419" t="str">
        <f t="shared" ca="1" si="28"/>
        <v/>
      </c>
      <c r="AD290" s="220"/>
    </row>
    <row r="291" spans="1:30" customFormat="1" ht="15">
      <c r="A291" s="220"/>
      <c r="B291" s="268">
        <v>253</v>
      </c>
      <c r="C291" s="246"/>
      <c r="D291" s="247"/>
      <c r="E291" s="239"/>
      <c r="F291" s="225"/>
      <c r="G291" s="231"/>
      <c r="H291" s="378">
        <v>277</v>
      </c>
      <c r="I291" s="396"/>
      <c r="J291" s="396"/>
      <c r="K291" s="405"/>
      <c r="L291" s="405"/>
      <c r="M291" s="405"/>
      <c r="N291" s="655"/>
      <c r="O291" s="405"/>
      <c r="P291" s="405"/>
      <c r="Q291" s="405"/>
      <c r="R291" s="443"/>
      <c r="S291" s="435"/>
      <c r="T291" s="414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5"/>
      <c r="V291" s="415"/>
      <c r="W291" s="416"/>
      <c r="X291" s="417"/>
      <c r="Y291" s="418" t="str">
        <f t="shared" ca="1" si="24"/>
        <v/>
      </c>
      <c r="Z291" s="419" t="str">
        <f t="shared" ca="1" si="25"/>
        <v/>
      </c>
      <c r="AA291" s="418" t="str">
        <f t="shared" ca="1" si="26"/>
        <v/>
      </c>
      <c r="AB291" s="420" t="str">
        <f t="shared" ca="1" si="27"/>
        <v/>
      </c>
      <c r="AC291" s="419" t="str">
        <f t="shared" ca="1" si="28"/>
        <v/>
      </c>
      <c r="AD291" s="220"/>
    </row>
    <row r="292" spans="1:30" customFormat="1" ht="15">
      <c r="A292" s="220"/>
      <c r="B292" s="268">
        <v>254</v>
      </c>
      <c r="C292" s="246"/>
      <c r="D292" s="247"/>
      <c r="E292" s="239"/>
      <c r="F292" s="225"/>
      <c r="G292" s="231"/>
      <c r="H292" s="378">
        <v>278</v>
      </c>
      <c r="I292" s="396"/>
      <c r="J292" s="396"/>
      <c r="K292" s="405"/>
      <c r="L292" s="405"/>
      <c r="M292" s="405"/>
      <c r="N292" s="655"/>
      <c r="O292" s="405"/>
      <c r="P292" s="405"/>
      <c r="Q292" s="405"/>
      <c r="R292" s="443"/>
      <c r="S292" s="435"/>
      <c r="T292" s="414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5"/>
      <c r="V292" s="415"/>
      <c r="W292" s="416"/>
      <c r="X292" s="417"/>
      <c r="Y292" s="418" t="str">
        <f t="shared" ca="1" si="24"/>
        <v/>
      </c>
      <c r="Z292" s="419" t="str">
        <f t="shared" ca="1" si="25"/>
        <v/>
      </c>
      <c r="AA292" s="418" t="str">
        <f t="shared" ca="1" si="26"/>
        <v/>
      </c>
      <c r="AB292" s="420" t="str">
        <f t="shared" ca="1" si="27"/>
        <v/>
      </c>
      <c r="AC292" s="419" t="str">
        <f t="shared" ca="1" si="28"/>
        <v/>
      </c>
      <c r="AD292" s="220"/>
    </row>
    <row r="293" spans="1:30" customFormat="1" ht="15">
      <c r="A293" s="220"/>
      <c r="B293" s="268">
        <v>255</v>
      </c>
      <c r="C293" s="246"/>
      <c r="D293" s="247"/>
      <c r="E293" s="239"/>
      <c r="F293" s="225"/>
      <c r="G293" s="231"/>
      <c r="H293" s="378">
        <v>279</v>
      </c>
      <c r="I293" s="396"/>
      <c r="J293" s="396"/>
      <c r="K293" s="405"/>
      <c r="L293" s="405"/>
      <c r="M293" s="405"/>
      <c r="N293" s="655"/>
      <c r="O293" s="405"/>
      <c r="P293" s="405"/>
      <c r="Q293" s="405"/>
      <c r="R293" s="443"/>
      <c r="S293" s="435"/>
      <c r="T293" s="414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5"/>
      <c r="V293" s="415"/>
      <c r="W293" s="416"/>
      <c r="X293" s="417"/>
      <c r="Y293" s="418" t="str">
        <f t="shared" ca="1" si="24"/>
        <v/>
      </c>
      <c r="Z293" s="419" t="str">
        <f t="shared" ca="1" si="25"/>
        <v/>
      </c>
      <c r="AA293" s="418" t="str">
        <f t="shared" ca="1" si="26"/>
        <v/>
      </c>
      <c r="AB293" s="420" t="str">
        <f t="shared" ca="1" si="27"/>
        <v/>
      </c>
      <c r="AC293" s="419" t="str">
        <f t="shared" ca="1" si="28"/>
        <v/>
      </c>
      <c r="AD293" s="220"/>
    </row>
    <row r="294" spans="1:30" customFormat="1" ht="15">
      <c r="A294" s="220"/>
      <c r="B294" s="268">
        <v>256</v>
      </c>
      <c r="C294" s="246"/>
      <c r="D294" s="247"/>
      <c r="E294" s="239"/>
      <c r="F294" s="225"/>
      <c r="G294" s="231"/>
      <c r="H294" s="378">
        <v>280</v>
      </c>
      <c r="I294" s="396"/>
      <c r="J294" s="396"/>
      <c r="K294" s="405"/>
      <c r="L294" s="405"/>
      <c r="M294" s="405"/>
      <c r="N294" s="655"/>
      <c r="O294" s="405"/>
      <c r="P294" s="405"/>
      <c r="Q294" s="405"/>
      <c r="R294" s="443"/>
      <c r="S294" s="435"/>
      <c r="T294" s="414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5"/>
      <c r="V294" s="415"/>
      <c r="W294" s="416"/>
      <c r="X294" s="417"/>
      <c r="Y294" s="418" t="str">
        <f t="shared" ca="1" si="24"/>
        <v/>
      </c>
      <c r="Z294" s="419" t="str">
        <f t="shared" ca="1" si="25"/>
        <v/>
      </c>
      <c r="AA294" s="418" t="str">
        <f t="shared" ca="1" si="26"/>
        <v/>
      </c>
      <c r="AB294" s="420" t="str">
        <f t="shared" ca="1" si="27"/>
        <v/>
      </c>
      <c r="AC294" s="419" t="str">
        <f t="shared" ca="1" si="28"/>
        <v/>
      </c>
      <c r="AD294" s="220"/>
    </row>
    <row r="295" spans="1:30" customFormat="1" ht="15">
      <c r="A295" s="220"/>
      <c r="B295" s="268">
        <v>257</v>
      </c>
      <c r="C295" s="246"/>
      <c r="D295" s="247"/>
      <c r="E295" s="239"/>
      <c r="F295" s="225"/>
      <c r="G295" s="231"/>
      <c r="H295" s="378">
        <v>281</v>
      </c>
      <c r="I295" s="396"/>
      <c r="J295" s="396"/>
      <c r="K295" s="405"/>
      <c r="L295" s="405"/>
      <c r="M295" s="405"/>
      <c r="N295" s="655"/>
      <c r="O295" s="405"/>
      <c r="P295" s="405"/>
      <c r="Q295" s="405"/>
      <c r="R295" s="443"/>
      <c r="S295" s="435"/>
      <c r="T295" s="414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5"/>
      <c r="V295" s="415"/>
      <c r="W295" s="416"/>
      <c r="X295" s="417"/>
      <c r="Y295" s="418" t="str">
        <f t="shared" ca="1" si="24"/>
        <v/>
      </c>
      <c r="Z295" s="419" t="str">
        <f t="shared" ca="1" si="25"/>
        <v/>
      </c>
      <c r="AA295" s="418" t="str">
        <f t="shared" ca="1" si="26"/>
        <v/>
      </c>
      <c r="AB295" s="420" t="str">
        <f t="shared" ca="1" si="27"/>
        <v/>
      </c>
      <c r="AC295" s="419" t="str">
        <f t="shared" ca="1" si="28"/>
        <v/>
      </c>
      <c r="AD295" s="220"/>
    </row>
    <row r="296" spans="1:30" customFormat="1" ht="15">
      <c r="A296" s="220"/>
      <c r="B296" s="268">
        <v>258</v>
      </c>
      <c r="C296" s="246"/>
      <c r="D296" s="247"/>
      <c r="E296" s="239"/>
      <c r="F296" s="225"/>
      <c r="G296" s="231"/>
      <c r="H296" s="378">
        <v>282</v>
      </c>
      <c r="I296" s="396"/>
      <c r="J296" s="396"/>
      <c r="K296" s="405"/>
      <c r="L296" s="405"/>
      <c r="M296" s="405"/>
      <c r="N296" s="655"/>
      <c r="O296" s="405"/>
      <c r="P296" s="405"/>
      <c r="Q296" s="405"/>
      <c r="R296" s="443"/>
      <c r="S296" s="435"/>
      <c r="T296" s="414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5"/>
      <c r="V296" s="415"/>
      <c r="W296" s="416"/>
      <c r="X296" s="417"/>
      <c r="Y296" s="418" t="str">
        <f t="shared" ca="1" si="24"/>
        <v/>
      </c>
      <c r="Z296" s="419" t="str">
        <f t="shared" ca="1" si="25"/>
        <v/>
      </c>
      <c r="AA296" s="418" t="str">
        <f t="shared" ca="1" si="26"/>
        <v/>
      </c>
      <c r="AB296" s="420" t="str">
        <f t="shared" ca="1" si="27"/>
        <v/>
      </c>
      <c r="AC296" s="419" t="str">
        <f t="shared" ca="1" si="28"/>
        <v/>
      </c>
      <c r="AD296" s="220"/>
    </row>
    <row r="297" spans="1:30" customFormat="1" ht="15">
      <c r="A297" s="220"/>
      <c r="B297" s="268">
        <v>259</v>
      </c>
      <c r="C297" s="246"/>
      <c r="D297" s="247"/>
      <c r="E297" s="239"/>
      <c r="F297" s="225"/>
      <c r="G297" s="231"/>
      <c r="H297" s="378">
        <v>283</v>
      </c>
      <c r="I297" s="396"/>
      <c r="J297" s="396"/>
      <c r="K297" s="405"/>
      <c r="L297" s="405"/>
      <c r="M297" s="405"/>
      <c r="N297" s="655"/>
      <c r="O297" s="405"/>
      <c r="P297" s="405"/>
      <c r="Q297" s="405"/>
      <c r="R297" s="443"/>
      <c r="S297" s="435"/>
      <c r="T297" s="414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5"/>
      <c r="V297" s="415"/>
      <c r="W297" s="416"/>
      <c r="X297" s="417"/>
      <c r="Y297" s="418" t="str">
        <f t="shared" ca="1" si="24"/>
        <v/>
      </c>
      <c r="Z297" s="419" t="str">
        <f t="shared" ca="1" si="25"/>
        <v/>
      </c>
      <c r="AA297" s="418" t="str">
        <f t="shared" ca="1" si="26"/>
        <v/>
      </c>
      <c r="AB297" s="420" t="str">
        <f t="shared" ca="1" si="27"/>
        <v/>
      </c>
      <c r="AC297" s="419" t="str">
        <f t="shared" ca="1" si="28"/>
        <v/>
      </c>
      <c r="AD297" s="220"/>
    </row>
    <row r="298" spans="1:30" customFormat="1" ht="15">
      <c r="A298" s="220"/>
      <c r="B298" s="268">
        <v>260</v>
      </c>
      <c r="C298" s="246"/>
      <c r="D298" s="247"/>
      <c r="E298" s="239"/>
      <c r="F298" s="225"/>
      <c r="G298" s="231"/>
      <c r="H298" s="378">
        <v>284</v>
      </c>
      <c r="I298" s="396"/>
      <c r="J298" s="396"/>
      <c r="K298" s="405"/>
      <c r="L298" s="405"/>
      <c r="M298" s="405"/>
      <c r="N298" s="655"/>
      <c r="O298" s="405"/>
      <c r="P298" s="405"/>
      <c r="Q298" s="405"/>
      <c r="R298" s="443"/>
      <c r="S298" s="435"/>
      <c r="T298" s="414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5"/>
      <c r="V298" s="415"/>
      <c r="W298" s="416"/>
      <c r="X298" s="417"/>
      <c r="Y298" s="418" t="str">
        <f t="shared" ca="1" si="24"/>
        <v/>
      </c>
      <c r="Z298" s="419" t="str">
        <f t="shared" ca="1" si="25"/>
        <v/>
      </c>
      <c r="AA298" s="418" t="str">
        <f t="shared" ca="1" si="26"/>
        <v/>
      </c>
      <c r="AB298" s="420" t="str">
        <f t="shared" ca="1" si="27"/>
        <v/>
      </c>
      <c r="AC298" s="419" t="str">
        <f t="shared" ca="1" si="28"/>
        <v/>
      </c>
      <c r="AD298" s="220"/>
    </row>
    <row r="299" spans="1:30" customFormat="1" ht="15">
      <c r="A299" s="220"/>
      <c r="B299" s="268">
        <v>261</v>
      </c>
      <c r="C299" s="246"/>
      <c r="D299" s="247"/>
      <c r="E299" s="239"/>
      <c r="F299" s="225"/>
      <c r="G299" s="231"/>
      <c r="H299" s="378">
        <v>285</v>
      </c>
      <c r="I299" s="396"/>
      <c r="J299" s="396"/>
      <c r="K299" s="405"/>
      <c r="L299" s="405"/>
      <c r="M299" s="405"/>
      <c r="N299" s="655"/>
      <c r="O299" s="405"/>
      <c r="P299" s="405"/>
      <c r="Q299" s="405"/>
      <c r="R299" s="443"/>
      <c r="S299" s="435"/>
      <c r="T299" s="414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5"/>
      <c r="V299" s="415"/>
      <c r="W299" s="416"/>
      <c r="X299" s="417"/>
      <c r="Y299" s="418" t="str">
        <f t="shared" ca="1" si="24"/>
        <v/>
      </c>
      <c r="Z299" s="419" t="str">
        <f t="shared" ca="1" si="25"/>
        <v/>
      </c>
      <c r="AA299" s="418" t="str">
        <f t="shared" ca="1" si="26"/>
        <v/>
      </c>
      <c r="AB299" s="420" t="str">
        <f t="shared" ca="1" si="27"/>
        <v/>
      </c>
      <c r="AC299" s="419" t="str">
        <f t="shared" ca="1" si="28"/>
        <v/>
      </c>
      <c r="AD299" s="220"/>
    </row>
    <row r="300" spans="1:30" customFormat="1" ht="15">
      <c r="A300" s="220"/>
      <c r="B300" s="268">
        <v>262</v>
      </c>
      <c r="C300" s="246"/>
      <c r="D300" s="247"/>
      <c r="E300" s="239"/>
      <c r="F300" s="225"/>
      <c r="G300" s="231"/>
      <c r="H300" s="378">
        <v>286</v>
      </c>
      <c r="I300" s="396"/>
      <c r="J300" s="396"/>
      <c r="K300" s="405"/>
      <c r="L300" s="405"/>
      <c r="M300" s="405"/>
      <c r="N300" s="655"/>
      <c r="O300" s="405"/>
      <c r="P300" s="405"/>
      <c r="Q300" s="405"/>
      <c r="R300" s="443"/>
      <c r="S300" s="435"/>
      <c r="T300" s="414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5"/>
      <c r="V300" s="415"/>
      <c r="W300" s="416"/>
      <c r="X300" s="417"/>
      <c r="Y300" s="418" t="str">
        <f t="shared" ca="1" si="24"/>
        <v/>
      </c>
      <c r="Z300" s="419" t="str">
        <f t="shared" ca="1" si="25"/>
        <v/>
      </c>
      <c r="AA300" s="418" t="str">
        <f t="shared" ca="1" si="26"/>
        <v/>
      </c>
      <c r="AB300" s="420" t="str">
        <f t="shared" ca="1" si="27"/>
        <v/>
      </c>
      <c r="AC300" s="419" t="str">
        <f t="shared" ca="1" si="28"/>
        <v/>
      </c>
      <c r="AD300" s="220"/>
    </row>
    <row r="301" spans="1:30" customFormat="1" ht="15">
      <c r="A301" s="220"/>
      <c r="B301" s="268">
        <v>263</v>
      </c>
      <c r="C301" s="246"/>
      <c r="D301" s="247"/>
      <c r="E301" s="239"/>
      <c r="F301" s="225"/>
      <c r="G301" s="231"/>
      <c r="H301" s="378">
        <v>287</v>
      </c>
      <c r="I301" s="396"/>
      <c r="J301" s="396"/>
      <c r="K301" s="405"/>
      <c r="L301" s="405"/>
      <c r="M301" s="405"/>
      <c r="N301" s="655"/>
      <c r="O301" s="405"/>
      <c r="P301" s="405"/>
      <c r="Q301" s="405"/>
      <c r="R301" s="443"/>
      <c r="S301" s="435"/>
      <c r="T301" s="414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5"/>
      <c r="V301" s="415"/>
      <c r="W301" s="416"/>
      <c r="X301" s="417"/>
      <c r="Y301" s="418" t="str">
        <f t="shared" ca="1" si="24"/>
        <v/>
      </c>
      <c r="Z301" s="419" t="str">
        <f t="shared" ca="1" si="25"/>
        <v/>
      </c>
      <c r="AA301" s="418" t="str">
        <f t="shared" ca="1" si="26"/>
        <v/>
      </c>
      <c r="AB301" s="420" t="str">
        <f t="shared" ca="1" si="27"/>
        <v/>
      </c>
      <c r="AC301" s="419" t="str">
        <f t="shared" ca="1" si="28"/>
        <v/>
      </c>
      <c r="AD301" s="220"/>
    </row>
    <row r="302" spans="1:30" customFormat="1" ht="15">
      <c r="A302" s="220"/>
      <c r="B302" s="268">
        <v>264</v>
      </c>
      <c r="C302" s="246"/>
      <c r="D302" s="247"/>
      <c r="E302" s="239"/>
      <c r="F302" s="225"/>
      <c r="G302" s="231"/>
      <c r="H302" s="378">
        <v>288</v>
      </c>
      <c r="I302" s="396"/>
      <c r="J302" s="396"/>
      <c r="K302" s="405"/>
      <c r="L302" s="405"/>
      <c r="M302" s="405"/>
      <c r="N302" s="655"/>
      <c r="O302" s="405"/>
      <c r="P302" s="405"/>
      <c r="Q302" s="405"/>
      <c r="R302" s="443"/>
      <c r="S302" s="435"/>
      <c r="T302" s="414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5"/>
      <c r="V302" s="415"/>
      <c r="W302" s="416"/>
      <c r="X302" s="417"/>
      <c r="Y302" s="418" t="str">
        <f t="shared" ca="1" si="24"/>
        <v/>
      </c>
      <c r="Z302" s="419" t="str">
        <f t="shared" ca="1" si="25"/>
        <v/>
      </c>
      <c r="AA302" s="418" t="str">
        <f t="shared" ca="1" si="26"/>
        <v/>
      </c>
      <c r="AB302" s="420" t="str">
        <f t="shared" ca="1" si="27"/>
        <v/>
      </c>
      <c r="AC302" s="419" t="str">
        <f t="shared" ca="1" si="28"/>
        <v/>
      </c>
      <c r="AD302" s="220"/>
    </row>
    <row r="303" spans="1:30" customFormat="1" ht="15">
      <c r="A303" s="220"/>
      <c r="B303" s="268">
        <v>265</v>
      </c>
      <c r="C303" s="246"/>
      <c r="D303" s="247"/>
      <c r="E303" s="239"/>
      <c r="F303" s="225"/>
      <c r="G303" s="231"/>
      <c r="H303" s="378">
        <v>289</v>
      </c>
      <c r="I303" s="396"/>
      <c r="J303" s="396"/>
      <c r="K303" s="405"/>
      <c r="L303" s="405"/>
      <c r="M303" s="405"/>
      <c r="N303" s="655"/>
      <c r="O303" s="405"/>
      <c r="P303" s="405"/>
      <c r="Q303" s="405"/>
      <c r="R303" s="443"/>
      <c r="S303" s="435"/>
      <c r="T303" s="414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5"/>
      <c r="V303" s="415"/>
      <c r="W303" s="416"/>
      <c r="X303" s="417"/>
      <c r="Y303" s="418" t="str">
        <f t="shared" ca="1" si="24"/>
        <v/>
      </c>
      <c r="Z303" s="419" t="str">
        <f t="shared" ca="1" si="25"/>
        <v/>
      </c>
      <c r="AA303" s="418" t="str">
        <f t="shared" ca="1" si="26"/>
        <v/>
      </c>
      <c r="AB303" s="420" t="str">
        <f t="shared" ca="1" si="27"/>
        <v/>
      </c>
      <c r="AC303" s="419" t="str">
        <f t="shared" ca="1" si="28"/>
        <v/>
      </c>
      <c r="AD303" s="220"/>
    </row>
    <row r="304" spans="1:30" customFormat="1" ht="15">
      <c r="A304" s="220"/>
      <c r="B304" s="268">
        <v>266</v>
      </c>
      <c r="C304" s="246"/>
      <c r="D304" s="247"/>
      <c r="E304" s="239"/>
      <c r="F304" s="225"/>
      <c r="G304" s="231"/>
      <c r="H304" s="378">
        <v>290</v>
      </c>
      <c r="I304" s="396"/>
      <c r="J304" s="396"/>
      <c r="K304" s="405"/>
      <c r="L304" s="405"/>
      <c r="M304" s="405"/>
      <c r="N304" s="655"/>
      <c r="O304" s="405"/>
      <c r="P304" s="405"/>
      <c r="Q304" s="405"/>
      <c r="R304" s="443"/>
      <c r="S304" s="435"/>
      <c r="T304" s="414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5"/>
      <c r="V304" s="415"/>
      <c r="W304" s="416"/>
      <c r="X304" s="417"/>
      <c r="Y304" s="418" t="str">
        <f t="shared" ca="1" si="24"/>
        <v/>
      </c>
      <c r="Z304" s="419" t="str">
        <f t="shared" ca="1" si="25"/>
        <v/>
      </c>
      <c r="AA304" s="418" t="str">
        <f t="shared" ca="1" si="26"/>
        <v/>
      </c>
      <c r="AB304" s="420" t="str">
        <f t="shared" ca="1" si="27"/>
        <v/>
      </c>
      <c r="AC304" s="419" t="str">
        <f t="shared" ca="1" si="28"/>
        <v/>
      </c>
      <c r="AD304" s="220"/>
    </row>
    <row r="305" spans="1:30" customFormat="1" ht="15">
      <c r="A305" s="220"/>
      <c r="B305" s="268">
        <v>267</v>
      </c>
      <c r="C305" s="246"/>
      <c r="D305" s="247"/>
      <c r="E305" s="239"/>
      <c r="F305" s="225"/>
      <c r="G305" s="231"/>
      <c r="H305" s="378">
        <v>291</v>
      </c>
      <c r="I305" s="396"/>
      <c r="J305" s="396"/>
      <c r="K305" s="405"/>
      <c r="L305" s="405"/>
      <c r="M305" s="405"/>
      <c r="N305" s="655"/>
      <c r="O305" s="405"/>
      <c r="P305" s="405"/>
      <c r="Q305" s="405"/>
      <c r="R305" s="443"/>
      <c r="S305" s="435"/>
      <c r="T305" s="414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5"/>
      <c r="V305" s="415"/>
      <c r="W305" s="416"/>
      <c r="X305" s="417"/>
      <c r="Y305" s="418" t="str">
        <f t="shared" ca="1" si="24"/>
        <v/>
      </c>
      <c r="Z305" s="419" t="str">
        <f t="shared" ca="1" si="25"/>
        <v/>
      </c>
      <c r="AA305" s="418" t="str">
        <f t="shared" ca="1" si="26"/>
        <v/>
      </c>
      <c r="AB305" s="420" t="str">
        <f t="shared" ca="1" si="27"/>
        <v/>
      </c>
      <c r="AC305" s="419" t="str">
        <f t="shared" ca="1" si="28"/>
        <v/>
      </c>
      <c r="AD305" s="220"/>
    </row>
    <row r="306" spans="1:30" customFormat="1" ht="15">
      <c r="A306" s="220"/>
      <c r="B306" s="268">
        <v>268</v>
      </c>
      <c r="C306" s="246"/>
      <c r="D306" s="247"/>
      <c r="E306" s="239"/>
      <c r="F306" s="225"/>
      <c r="G306" s="231"/>
      <c r="H306" s="378">
        <v>292</v>
      </c>
      <c r="I306" s="396"/>
      <c r="J306" s="396"/>
      <c r="K306" s="405"/>
      <c r="L306" s="405"/>
      <c r="M306" s="405"/>
      <c r="N306" s="655"/>
      <c r="O306" s="405"/>
      <c r="P306" s="405"/>
      <c r="Q306" s="405"/>
      <c r="R306" s="443"/>
      <c r="S306" s="435"/>
      <c r="T306" s="414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5"/>
      <c r="V306" s="415"/>
      <c r="W306" s="416"/>
      <c r="X306" s="417"/>
      <c r="Y306" s="418" t="str">
        <f t="shared" ca="1" si="24"/>
        <v/>
      </c>
      <c r="Z306" s="419" t="str">
        <f t="shared" ca="1" si="25"/>
        <v/>
      </c>
      <c r="AA306" s="418" t="str">
        <f t="shared" ca="1" si="26"/>
        <v/>
      </c>
      <c r="AB306" s="420" t="str">
        <f t="shared" ca="1" si="27"/>
        <v/>
      </c>
      <c r="AC306" s="419" t="str">
        <f t="shared" ca="1" si="28"/>
        <v/>
      </c>
      <c r="AD306" s="220"/>
    </row>
    <row r="307" spans="1:30" customFormat="1" ht="15">
      <c r="A307" s="220"/>
      <c r="B307" s="268">
        <v>269</v>
      </c>
      <c r="C307" s="246"/>
      <c r="D307" s="247"/>
      <c r="E307" s="239"/>
      <c r="F307" s="225"/>
      <c r="G307" s="231"/>
      <c r="H307" s="378">
        <v>293</v>
      </c>
      <c r="I307" s="396"/>
      <c r="J307" s="396"/>
      <c r="K307" s="405"/>
      <c r="L307" s="405"/>
      <c r="M307" s="405"/>
      <c r="N307" s="655"/>
      <c r="O307" s="405"/>
      <c r="P307" s="405"/>
      <c r="Q307" s="405"/>
      <c r="R307" s="443"/>
      <c r="S307" s="435"/>
      <c r="T307" s="414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5"/>
      <c r="V307" s="415"/>
      <c r="W307" s="416"/>
      <c r="X307" s="417"/>
      <c r="Y307" s="418" t="str">
        <f t="shared" ca="1" si="24"/>
        <v/>
      </c>
      <c r="Z307" s="419" t="str">
        <f t="shared" ca="1" si="25"/>
        <v/>
      </c>
      <c r="AA307" s="418" t="str">
        <f t="shared" ca="1" si="26"/>
        <v/>
      </c>
      <c r="AB307" s="420" t="str">
        <f t="shared" ca="1" si="27"/>
        <v/>
      </c>
      <c r="AC307" s="419" t="str">
        <f t="shared" ca="1" si="28"/>
        <v/>
      </c>
      <c r="AD307" s="220"/>
    </row>
    <row r="308" spans="1:30" customFormat="1" ht="15">
      <c r="A308" s="220"/>
      <c r="B308" s="268">
        <v>270</v>
      </c>
      <c r="C308" s="246"/>
      <c r="D308" s="247"/>
      <c r="E308" s="239"/>
      <c r="F308" s="225"/>
      <c r="G308" s="231"/>
      <c r="H308" s="378">
        <v>294</v>
      </c>
      <c r="I308" s="396"/>
      <c r="J308" s="396"/>
      <c r="K308" s="405"/>
      <c r="L308" s="405"/>
      <c r="M308" s="405"/>
      <c r="N308" s="655"/>
      <c r="O308" s="405"/>
      <c r="P308" s="405"/>
      <c r="Q308" s="405"/>
      <c r="R308" s="443"/>
      <c r="S308" s="435"/>
      <c r="T308" s="414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5"/>
      <c r="V308" s="415"/>
      <c r="W308" s="416"/>
      <c r="X308" s="417"/>
      <c r="Y308" s="418" t="str">
        <f t="shared" ca="1" si="24"/>
        <v/>
      </c>
      <c r="Z308" s="419" t="str">
        <f t="shared" ca="1" si="25"/>
        <v/>
      </c>
      <c r="AA308" s="418" t="str">
        <f t="shared" ca="1" si="26"/>
        <v/>
      </c>
      <c r="AB308" s="420" t="str">
        <f t="shared" ca="1" si="27"/>
        <v/>
      </c>
      <c r="AC308" s="419" t="str">
        <f t="shared" ca="1" si="28"/>
        <v/>
      </c>
      <c r="AD308" s="220"/>
    </row>
    <row r="309" spans="1:30" customFormat="1" ht="15">
      <c r="A309" s="220"/>
      <c r="B309" s="268">
        <v>271</v>
      </c>
      <c r="C309" s="246"/>
      <c r="D309" s="247"/>
      <c r="E309" s="239"/>
      <c r="F309" s="225"/>
      <c r="G309" s="231"/>
      <c r="H309" s="378">
        <v>295</v>
      </c>
      <c r="I309" s="396"/>
      <c r="J309" s="396"/>
      <c r="K309" s="405"/>
      <c r="L309" s="405"/>
      <c r="M309" s="405"/>
      <c r="N309" s="655"/>
      <c r="O309" s="405"/>
      <c r="P309" s="405"/>
      <c r="Q309" s="405"/>
      <c r="R309" s="443"/>
      <c r="S309" s="435"/>
      <c r="T309" s="414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5"/>
      <c r="V309" s="415"/>
      <c r="W309" s="416"/>
      <c r="X309" s="417"/>
      <c r="Y309" s="418" t="str">
        <f t="shared" ca="1" si="24"/>
        <v/>
      </c>
      <c r="Z309" s="419" t="str">
        <f t="shared" ca="1" si="25"/>
        <v/>
      </c>
      <c r="AA309" s="418" t="str">
        <f t="shared" ca="1" si="26"/>
        <v/>
      </c>
      <c r="AB309" s="420" t="str">
        <f t="shared" ca="1" si="27"/>
        <v/>
      </c>
      <c r="AC309" s="419" t="str">
        <f t="shared" ca="1" si="28"/>
        <v/>
      </c>
      <c r="AD309" s="220"/>
    </row>
    <row r="310" spans="1:30" customFormat="1" ht="15">
      <c r="A310" s="220"/>
      <c r="B310" s="268">
        <v>272</v>
      </c>
      <c r="C310" s="246"/>
      <c r="D310" s="247"/>
      <c r="E310" s="239"/>
      <c r="F310" s="225"/>
      <c r="G310" s="231"/>
      <c r="H310" s="378">
        <v>296</v>
      </c>
      <c r="I310" s="396"/>
      <c r="J310" s="396"/>
      <c r="K310" s="405"/>
      <c r="L310" s="405"/>
      <c r="M310" s="405"/>
      <c r="N310" s="655"/>
      <c r="O310" s="405"/>
      <c r="P310" s="405"/>
      <c r="Q310" s="405"/>
      <c r="R310" s="443"/>
      <c r="S310" s="435"/>
      <c r="T310" s="414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5"/>
      <c r="V310" s="415"/>
      <c r="W310" s="416"/>
      <c r="X310" s="417"/>
      <c r="Y310" s="418" t="str">
        <f t="shared" ca="1" si="24"/>
        <v/>
      </c>
      <c r="Z310" s="419" t="str">
        <f t="shared" ca="1" si="25"/>
        <v/>
      </c>
      <c r="AA310" s="418" t="str">
        <f t="shared" ca="1" si="26"/>
        <v/>
      </c>
      <c r="AB310" s="420" t="str">
        <f t="shared" ca="1" si="27"/>
        <v/>
      </c>
      <c r="AC310" s="419" t="str">
        <f t="shared" ca="1" si="28"/>
        <v/>
      </c>
      <c r="AD310" s="220"/>
    </row>
    <row r="311" spans="1:30" customFormat="1" ht="15">
      <c r="A311" s="220"/>
      <c r="B311" s="268">
        <v>273</v>
      </c>
      <c r="C311" s="246"/>
      <c r="D311" s="247"/>
      <c r="E311" s="239"/>
      <c r="F311" s="225"/>
      <c r="G311" s="231"/>
      <c r="H311" s="378">
        <v>297</v>
      </c>
      <c r="I311" s="396"/>
      <c r="J311" s="396"/>
      <c r="K311" s="405"/>
      <c r="L311" s="405"/>
      <c r="M311" s="405"/>
      <c r="N311" s="655"/>
      <c r="O311" s="405"/>
      <c r="P311" s="405"/>
      <c r="Q311" s="405"/>
      <c r="R311" s="443"/>
      <c r="S311" s="435"/>
      <c r="T311" s="414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5"/>
      <c r="V311" s="415"/>
      <c r="W311" s="416"/>
      <c r="X311" s="417"/>
      <c r="Y311" s="418" t="str">
        <f t="shared" ca="1" si="24"/>
        <v/>
      </c>
      <c r="Z311" s="419" t="str">
        <f t="shared" ca="1" si="25"/>
        <v/>
      </c>
      <c r="AA311" s="418" t="str">
        <f t="shared" ca="1" si="26"/>
        <v/>
      </c>
      <c r="AB311" s="420" t="str">
        <f t="shared" ca="1" si="27"/>
        <v/>
      </c>
      <c r="AC311" s="419" t="str">
        <f t="shared" ca="1" si="28"/>
        <v/>
      </c>
      <c r="AD311" s="220"/>
    </row>
    <row r="312" spans="1:30" customFormat="1" ht="15">
      <c r="A312" s="220"/>
      <c r="B312" s="268">
        <v>274</v>
      </c>
      <c r="C312" s="246"/>
      <c r="D312" s="247"/>
      <c r="E312" s="239"/>
      <c r="F312" s="225"/>
      <c r="G312" s="231"/>
      <c r="H312" s="378">
        <v>298</v>
      </c>
      <c r="I312" s="396"/>
      <c r="J312" s="396"/>
      <c r="K312" s="405"/>
      <c r="L312" s="405"/>
      <c r="M312" s="405"/>
      <c r="N312" s="655"/>
      <c r="O312" s="405"/>
      <c r="P312" s="405"/>
      <c r="Q312" s="405"/>
      <c r="R312" s="443"/>
      <c r="S312" s="435"/>
      <c r="T312" s="414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5"/>
      <c r="V312" s="415"/>
      <c r="W312" s="416"/>
      <c r="X312" s="417"/>
      <c r="Y312" s="418" t="str">
        <f t="shared" ca="1" si="24"/>
        <v/>
      </c>
      <c r="Z312" s="419" t="str">
        <f t="shared" ca="1" si="25"/>
        <v/>
      </c>
      <c r="AA312" s="418" t="str">
        <f t="shared" ca="1" si="26"/>
        <v/>
      </c>
      <c r="AB312" s="420" t="str">
        <f t="shared" ca="1" si="27"/>
        <v/>
      </c>
      <c r="AC312" s="419" t="str">
        <f t="shared" ca="1" si="28"/>
        <v/>
      </c>
      <c r="AD312" s="220"/>
    </row>
    <row r="313" spans="1:30" customFormat="1" ht="15">
      <c r="A313" s="220"/>
      <c r="B313" s="268">
        <v>275</v>
      </c>
      <c r="C313" s="246"/>
      <c r="D313" s="247"/>
      <c r="E313" s="239"/>
      <c r="F313" s="225"/>
      <c r="G313" s="231"/>
      <c r="H313" s="378">
        <v>299</v>
      </c>
      <c r="I313" s="396"/>
      <c r="J313" s="396"/>
      <c r="K313" s="405"/>
      <c r="L313" s="405"/>
      <c r="M313" s="405"/>
      <c r="N313" s="655"/>
      <c r="O313" s="405"/>
      <c r="P313" s="405"/>
      <c r="Q313" s="405"/>
      <c r="R313" s="443"/>
      <c r="S313" s="435"/>
      <c r="T313" s="414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5"/>
      <c r="V313" s="415"/>
      <c r="W313" s="416"/>
      <c r="X313" s="417"/>
      <c r="Y313" s="418" t="str">
        <f t="shared" ca="1" si="24"/>
        <v/>
      </c>
      <c r="Z313" s="419" t="str">
        <f t="shared" ca="1" si="25"/>
        <v/>
      </c>
      <c r="AA313" s="418" t="str">
        <f t="shared" ca="1" si="26"/>
        <v/>
      </c>
      <c r="AB313" s="420" t="str">
        <f t="shared" ca="1" si="27"/>
        <v/>
      </c>
      <c r="AC313" s="419" t="str">
        <f t="shared" ca="1" si="28"/>
        <v/>
      </c>
      <c r="AD313" s="220"/>
    </row>
    <row r="314" spans="1:30" customFormat="1" ht="15.75" thickBot="1">
      <c r="A314" s="220"/>
      <c r="B314" s="268">
        <v>276</v>
      </c>
      <c r="C314" s="246"/>
      <c r="D314" s="247"/>
      <c r="E314" s="239"/>
      <c r="F314" s="225"/>
      <c r="G314" s="231"/>
      <c r="H314" s="381">
        <v>300</v>
      </c>
      <c r="I314" s="406"/>
      <c r="J314" s="406"/>
      <c r="K314" s="407"/>
      <c r="L314" s="407"/>
      <c r="M314" s="407"/>
      <c r="N314" s="407"/>
      <c r="O314" s="407"/>
      <c r="P314" s="407"/>
      <c r="Q314" s="407"/>
      <c r="R314" s="408"/>
      <c r="S314" s="445"/>
      <c r="T314" s="422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1"/>
      <c r="V314" s="421"/>
      <c r="W314" s="422"/>
      <c r="X314" s="423"/>
      <c r="Y314" s="418" t="str">
        <f t="shared" ca="1" si="24"/>
        <v/>
      </c>
      <c r="Z314" s="419" t="str">
        <f t="shared" ca="1" si="25"/>
        <v/>
      </c>
      <c r="AA314" s="422"/>
      <c r="AB314" s="422"/>
      <c r="AC314" s="408"/>
      <c r="AD314" s="220"/>
    </row>
    <row r="315" spans="1:30" customFormat="1" ht="15">
      <c r="A315" s="220"/>
      <c r="B315" s="268">
        <v>277</v>
      </c>
      <c r="C315" s="246"/>
      <c r="D315" s="247"/>
      <c r="E315" s="239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8">
        <v>278</v>
      </c>
      <c r="C316" s="246"/>
      <c r="D316" s="247"/>
      <c r="E316" s="239"/>
      <c r="F316" s="225"/>
      <c r="G316" s="231"/>
      <c r="S316" s="436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8">
        <v>279</v>
      </c>
      <c r="C317" s="246"/>
      <c r="D317" s="247"/>
      <c r="E317" s="239"/>
      <c r="F317" s="225"/>
      <c r="G317" s="231"/>
      <c r="S317" s="436"/>
    </row>
    <row r="318" spans="1:30" customFormat="1" ht="15">
      <c r="A318" s="220"/>
      <c r="B318" s="268">
        <v>280</v>
      </c>
      <c r="C318" s="246"/>
      <c r="D318" s="247"/>
      <c r="E318" s="239"/>
      <c r="F318" s="225"/>
      <c r="G318" s="231"/>
      <c r="S318" s="436"/>
    </row>
    <row r="319" spans="1:30" customFormat="1" ht="15">
      <c r="A319" s="220"/>
      <c r="B319" s="268">
        <v>281</v>
      </c>
      <c r="C319" s="246"/>
      <c r="D319" s="247"/>
      <c r="E319" s="239"/>
      <c r="F319" s="225"/>
      <c r="G319" s="231"/>
      <c r="S319" s="436"/>
    </row>
    <row r="320" spans="1:30" customFormat="1" ht="15">
      <c r="A320" s="220"/>
      <c r="B320" s="268">
        <v>282</v>
      </c>
      <c r="C320" s="246"/>
      <c r="D320" s="247"/>
      <c r="E320" s="239"/>
      <c r="F320" s="225"/>
      <c r="G320" s="231"/>
      <c r="S320" s="436"/>
    </row>
    <row r="321" spans="1:19" customFormat="1" ht="15">
      <c r="A321" s="220"/>
      <c r="B321" s="268">
        <v>283</v>
      </c>
      <c r="C321" s="246"/>
      <c r="D321" s="247"/>
      <c r="E321" s="239"/>
      <c r="F321" s="225"/>
      <c r="G321" s="231"/>
      <c r="S321" s="436"/>
    </row>
    <row r="322" spans="1:19" customFormat="1" ht="15">
      <c r="A322" s="220"/>
      <c r="B322" s="268">
        <v>284</v>
      </c>
      <c r="C322" s="246"/>
      <c r="D322" s="247"/>
      <c r="E322" s="239"/>
      <c r="F322" s="225"/>
      <c r="G322" s="231"/>
      <c r="S322" s="436"/>
    </row>
    <row r="323" spans="1:19" customFormat="1" ht="15">
      <c r="A323" s="220"/>
      <c r="B323" s="268">
        <v>285</v>
      </c>
      <c r="C323" s="246"/>
      <c r="D323" s="247"/>
      <c r="E323" s="239"/>
      <c r="F323" s="225"/>
      <c r="G323" s="231"/>
      <c r="S323" s="436"/>
    </row>
    <row r="324" spans="1:19" customFormat="1" ht="15">
      <c r="A324" s="220"/>
      <c r="B324" s="268">
        <v>286</v>
      </c>
      <c r="C324" s="246"/>
      <c r="D324" s="247"/>
      <c r="E324" s="239"/>
      <c r="F324" s="225"/>
      <c r="G324" s="231"/>
      <c r="S324" s="436"/>
    </row>
    <row r="325" spans="1:19" customFormat="1" ht="15">
      <c r="A325" s="220"/>
      <c r="B325" s="268">
        <v>287</v>
      </c>
      <c r="C325" s="246"/>
      <c r="D325" s="247"/>
      <c r="E325" s="239"/>
      <c r="F325" s="225"/>
      <c r="G325" s="231"/>
      <c r="S325" s="436"/>
    </row>
    <row r="326" spans="1:19" customFormat="1" ht="15">
      <c r="A326" s="220"/>
      <c r="B326" s="268">
        <v>288</v>
      </c>
      <c r="C326" s="246"/>
      <c r="D326" s="247"/>
      <c r="E326" s="239"/>
      <c r="F326" s="225"/>
      <c r="G326" s="231"/>
      <c r="S326" s="436"/>
    </row>
    <row r="327" spans="1:19" customFormat="1" ht="15">
      <c r="A327" s="220"/>
      <c r="B327" s="268">
        <v>289</v>
      </c>
      <c r="C327" s="246"/>
      <c r="D327" s="247"/>
      <c r="E327" s="239"/>
      <c r="F327" s="225"/>
      <c r="G327" s="231"/>
      <c r="S327" s="436"/>
    </row>
    <row r="328" spans="1:19" customFormat="1" ht="15">
      <c r="A328" s="220"/>
      <c r="B328" s="268">
        <v>290</v>
      </c>
      <c r="C328" s="246"/>
      <c r="D328" s="247"/>
      <c r="E328" s="239"/>
      <c r="F328" s="225"/>
      <c r="G328" s="231"/>
    </row>
    <row r="329" spans="1:19" customFormat="1" ht="15">
      <c r="A329" s="220"/>
      <c r="B329" s="268">
        <v>291</v>
      </c>
      <c r="C329" s="246"/>
      <c r="D329" s="247"/>
      <c r="E329" s="239"/>
      <c r="F329" s="225"/>
      <c r="G329" s="231"/>
    </row>
    <row r="330" spans="1:19" customFormat="1" ht="15">
      <c r="A330" s="220"/>
      <c r="B330" s="268">
        <v>292</v>
      </c>
      <c r="C330" s="246"/>
      <c r="D330" s="247"/>
      <c r="E330" s="239"/>
      <c r="F330" s="225"/>
      <c r="G330" s="231"/>
    </row>
    <row r="331" spans="1:19" customFormat="1" ht="15">
      <c r="A331" s="220"/>
      <c r="B331" s="268">
        <v>293</v>
      </c>
      <c r="C331" s="246"/>
      <c r="D331" s="247"/>
      <c r="E331" s="239"/>
      <c r="F331" s="225"/>
      <c r="G331" s="231"/>
    </row>
    <row r="332" spans="1:19" customFormat="1" ht="15">
      <c r="A332" s="220"/>
      <c r="B332" s="268">
        <v>294</v>
      </c>
      <c r="C332" s="246"/>
      <c r="D332" s="247"/>
      <c r="E332" s="239"/>
      <c r="F332" s="225"/>
      <c r="G332" s="231"/>
    </row>
    <row r="333" spans="1:19" customFormat="1" ht="15">
      <c r="A333" s="220"/>
      <c r="B333" s="268">
        <v>295</v>
      </c>
      <c r="C333" s="246"/>
      <c r="D333" s="247"/>
      <c r="E333" s="239"/>
      <c r="F333" s="225"/>
      <c r="G333" s="231"/>
    </row>
    <row r="334" spans="1:19" customFormat="1" ht="15">
      <c r="A334" s="220"/>
      <c r="B334" s="268">
        <v>296</v>
      </c>
      <c r="C334" s="246"/>
      <c r="D334" s="247"/>
      <c r="E334" s="239"/>
      <c r="F334" s="225"/>
      <c r="G334" s="231"/>
    </row>
    <row r="335" spans="1:19" customFormat="1" ht="15">
      <c r="A335" s="220"/>
      <c r="B335" s="268">
        <v>297</v>
      </c>
      <c r="C335" s="246"/>
      <c r="D335" s="247"/>
      <c r="E335" s="239"/>
      <c r="F335" s="225"/>
      <c r="G335" s="231"/>
    </row>
    <row r="336" spans="1:19" customFormat="1" ht="15">
      <c r="A336" s="220"/>
      <c r="B336" s="268">
        <v>298</v>
      </c>
      <c r="C336" s="246"/>
      <c r="D336" s="247"/>
      <c r="E336" s="239"/>
      <c r="F336" s="225"/>
      <c r="G336" s="231"/>
    </row>
    <row r="337" spans="1:7" customFormat="1" ht="15">
      <c r="A337" s="220"/>
      <c r="B337" s="268">
        <v>299</v>
      </c>
      <c r="C337" s="246"/>
      <c r="D337" s="247"/>
      <c r="E337" s="239"/>
      <c r="F337" s="225"/>
      <c r="G337" s="231"/>
    </row>
    <row r="338" spans="1:7" customFormat="1" ht="15.75" thickBot="1">
      <c r="A338" s="220"/>
      <c r="B338" s="431">
        <v>300</v>
      </c>
      <c r="C338" s="432"/>
      <c r="D338" s="432"/>
      <c r="E338" s="432"/>
      <c r="F338" s="432"/>
      <c r="G338" s="432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8"/>
      <c r="K2" s="168"/>
    </row>
    <row r="3" spans="2:11">
      <c r="J3" s="258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29">
        <v>1</v>
      </c>
      <c r="J6" s="630"/>
      <c r="K6" s="631"/>
    </row>
    <row r="7" spans="2:11" ht="15.75" thickBot="1">
      <c r="D7" s="162"/>
      <c r="H7" s="174" t="s">
        <v>425</v>
      </c>
      <c r="I7" s="632" t="str" cm="1">
        <f t="array" aca="1" ref="I7" ca="1">GetGetCDSName(I6)</f>
        <v>ABNAMRO_MMR.EUR.SU</v>
      </c>
      <c r="J7" s="633"/>
      <c r="K7" s="634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3.0567789593183292E-4</v>
      </c>
      <c r="E10" s="207">
        <f ca="1">IF(NOT($C$6),"",IF(C11=0,0,-LN(1-D11)/$C11))</f>
        <v>2.2317897620828526E-3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4.9515126453880676E-4</v>
      </c>
      <c r="E11" s="170">
        <f ca="1">IF(NOT($C$6),"",IF(C11=0,0,-LN((1-D11)/(1-D10))/($C11-$C10)))</f>
        <v>2.2317897620836372E-3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6.7236803411530044E-4</v>
      </c>
      <c r="E12" s="170">
        <f ca="1">IF(NOT($C$6),"",IF(C12=0,0,-LN((1-D12)/(1-D11))/($C12-$C11)))</f>
        <v>2.2317897620821071E-3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8.617719034621496E-4</v>
      </c>
      <c r="E13" s="170">
        <f t="shared" ref="E13:E75" ca="1" si="2">IF(NOT($C$6),"",IF(C13=0,0,-LN((1-D13)/(1-D12))/($C13-$C12)))</f>
        <v>2.2317897620836367E-3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1.0450317908606843E-3</v>
      </c>
      <c r="E14" s="170">
        <f t="shared" ca="1" si="2"/>
        <v>2.2317897620818448E-3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1.2343650287596208E-3</v>
      </c>
      <c r="E15" s="170">
        <f t="shared" ca="1" si="2"/>
        <v>2.2317897620823318E-3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1.6141946362211446E-3</v>
      </c>
      <c r="E16" s="170">
        <f t="shared" ca="1" si="2"/>
        <v>4.6278516355851094E-3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2.0065334797150225E-3</v>
      </c>
      <c r="E17" s="170">
        <f t="shared" ca="1" si="2"/>
        <v>4.6278516355857157E-3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2.3987181445664918E-3</v>
      </c>
      <c r="E18" s="170">
        <f t="shared" ca="1" si="2"/>
        <v>4.6278516355857157E-3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2.778104949661242E-3</v>
      </c>
      <c r="E19" s="170">
        <f t="shared" ca="1" si="2"/>
        <v>4.6278516355837641E-3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3.1699864076195627E-3</v>
      </c>
      <c r="E20" s="170">
        <f t="shared" ca="1" si="2"/>
        <v>4.6278516355857157E-3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3.5490799001379747E-3</v>
      </c>
      <c r="E21" s="170">
        <f t="shared" ca="1" si="2"/>
        <v>4.6278516355851155E-3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4.0126981613827217E-3</v>
      </c>
      <c r="E22" s="170">
        <f t="shared" ca="1" si="2"/>
        <v>5.4794484254279017E-3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4.4761007151722376E-3</v>
      </c>
      <c r="E23" s="170">
        <f t="shared" ca="1" si="2"/>
        <v>5.4794484254265937E-3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4.8944725388531118E-3</v>
      </c>
      <c r="E24" s="170">
        <f t="shared" ca="1" si="2"/>
        <v>5.4794484254293745E-3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5.3574648298836403E-3</v>
      </c>
      <c r="E25" s="170">
        <f t="shared" ca="1" si="2"/>
        <v>5.4794484254279017E-3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5.8053167797690319E-3</v>
      </c>
      <c r="E26" s="170">
        <f t="shared" ca="1" si="2"/>
        <v>5.479448425428495E-3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6.2678852827185993E-3</v>
      </c>
      <c r="E27" s="170">
        <f t="shared" ca="1" si="2"/>
        <v>5.4794484254279017E-3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6.7153273028447424E-3</v>
      </c>
      <c r="E28" s="170">
        <f t="shared" ca="1" si="2"/>
        <v>5.4794484254284802E-3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7.177472405616836E-3</v>
      </c>
      <c r="E29" s="170">
        <f t="shared" ca="1" si="2"/>
        <v>5.4794484254279017E-3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7.6394024863496446E-3</v>
      </c>
      <c r="E30" s="170">
        <f t="shared" ca="1" si="2"/>
        <v>5.4794484254292097E-3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8.0862269613453108E-3</v>
      </c>
      <c r="E31" s="170">
        <f t="shared" ca="1" si="2"/>
        <v>5.4794484254257923E-3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8.547734226263981E-3</v>
      </c>
      <c r="E32" s="170">
        <f t="shared" ca="1" si="2"/>
        <v>5.4794484254292097E-3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8.9941497119730984E-3</v>
      </c>
      <c r="E33" s="170">
        <f t="shared" ca="1" si="2"/>
        <v>5.4794484254271142E-3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9.6610067969516988E-3</v>
      </c>
      <c r="E34" s="170">
        <f t="shared" ca="1" si="2"/>
        <v>7.9256316334030165E-3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1.0327415147574515E-2</v>
      </c>
      <c r="E35" s="170">
        <f t="shared" ca="1" si="2"/>
        <v>7.9256316334030165E-3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1.0928946921911598E-2</v>
      </c>
      <c r="E36" s="170">
        <f t="shared" ca="1" si="2"/>
        <v>7.9256316334033339E-3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1.1594502063791645E-2</v>
      </c>
      <c r="E37" s="170">
        <f t="shared" ca="1" si="2"/>
        <v>7.9256316334030165E-3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1.2238161261158398E-2</v>
      </c>
      <c r="E38" s="170">
        <f t="shared" ca="1" si="2"/>
        <v>7.9256316334045864E-3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1.2902835420491532E-2</v>
      </c>
      <c r="E39" s="170">
        <f t="shared" ca="1" si="2"/>
        <v>7.9256316334017102E-3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1.3545642618552178E-2</v>
      </c>
      <c r="E40" s="170">
        <f t="shared" ca="1" si="2"/>
        <v>7.9256316334032784E-3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1.4209436961478361E-2</v>
      </c>
      <c r="E41" s="170">
        <f t="shared" ca="1" si="2"/>
        <v>7.9256316334043262E-3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1.4872784630996283E-2</v>
      </c>
      <c r="E42" s="170">
        <f t="shared" ca="1" si="2"/>
        <v>7.9256316334017102E-3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1.5514308979123204E-2</v>
      </c>
      <c r="E43" s="170">
        <f t="shared" ca="1" si="2"/>
        <v>7.9256316334046298E-3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1.6176778588083085E-2</v>
      </c>
      <c r="E44" s="170">
        <f t="shared" ca="1" si="2"/>
        <v>7.9256316334017102E-3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1.681745376276278E-2</v>
      </c>
      <c r="E45" s="170">
        <f t="shared" ca="1" si="2"/>
        <v>7.9256316334032351E-3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1.7557831968843751E-2</v>
      </c>
      <c r="E46" s="170">
        <f t="shared" ca="1" si="2"/>
        <v>8.8698077983905051E-3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1.8297652638696982E-2</v>
      </c>
      <c r="E47" s="170">
        <f t="shared" ca="1" si="2"/>
        <v>8.8698077983905051E-3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1.896539889480775E-2</v>
      </c>
      <c r="E48" s="170">
        <f t="shared" ca="1" si="2"/>
        <v>8.8698077983906769E-3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1.9704159606996452E-2</v>
      </c>
      <c r="E49" s="170">
        <f t="shared" ca="1" si="2"/>
        <v>8.8698077983918131E-3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2.0418559635167588E-2</v>
      </c>
      <c r="E50" s="170">
        <f t="shared" ca="1" si="2"/>
        <v>8.8698077983896065E-3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2.1156226055613292E-2</v>
      </c>
      <c r="E51" s="170">
        <f t="shared" ca="1" si="2"/>
        <v>8.8698077983905051E-3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2.1869567876385165E-2</v>
      </c>
      <c r="E52" s="170">
        <f t="shared" ca="1" si="2"/>
        <v>8.8698077983910065E-3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2.2606141626011267E-2</v>
      </c>
      <c r="E53" s="170">
        <f t="shared" ca="1" si="2"/>
        <v>8.8698077983905051E-3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2.3342160704326931E-2</v>
      </c>
      <c r="E54" s="170">
        <f t="shared" ca="1" si="2"/>
        <v>8.8698077983918131E-3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2.4053909504185844E-2</v>
      </c>
      <c r="E55" s="170">
        <f t="shared" ca="1" si="2"/>
        <v>8.8698077983910065E-3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2.4788838351812781E-2</v>
      </c>
      <c r="E56" s="170">
        <f t="shared" ca="1" si="2"/>
        <v>8.8698077983905051E-3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2.5499532871413044E-2</v>
      </c>
      <c r="E57" s="170">
        <f t="shared" ca="1" si="2"/>
        <v>8.8698077983896065E-3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2.6233373103259239E-2</v>
      </c>
      <c r="E58" s="170">
        <f t="shared" ca="1" si="2"/>
        <v>8.8698077983918582E-3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2.6966660722249736E-2</v>
      </c>
      <c r="E59" s="170">
        <f t="shared" ca="1" si="2"/>
        <v>8.8698077983904583E-3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2.7652139546962662E-2</v>
      </c>
      <c r="E60" s="170">
        <f t="shared" ca="1" si="2"/>
        <v>8.8698077983900211E-3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2.8384358774576235E-2</v>
      </c>
      <c r="E61" s="170">
        <f t="shared" ca="1" si="2"/>
        <v>8.8698077983918582E-3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2.9092433024064723E-2</v>
      </c>
      <c r="E62" s="170">
        <f t="shared" ca="1" si="2"/>
        <v>8.8698077983896065E-3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2.982356764953098E-2</v>
      </c>
      <c r="E63" s="170">
        <f t="shared" ca="1" si="2"/>
        <v>8.869807798390552E-3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3.0530593061700806E-2</v>
      </c>
      <c r="E64" s="170">
        <f t="shared" ca="1" si="2"/>
        <v>8.8698077983909579E-3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3.1260644691590178E-2</v>
      </c>
      <c r="E65" s="170">
        <f t="shared" ca="1" si="2"/>
        <v>8.869807798389244E-3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3.1990146561602373E-2</v>
      </c>
      <c r="E66" s="170">
        <f t="shared" ca="1" si="2"/>
        <v>8.8698077983917663E-3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3.269559305853853E-2</v>
      </c>
      <c r="E67" s="170">
        <f t="shared" ca="1" si="2"/>
        <v>8.869807798389702E-3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3.3424014351498221E-2</v>
      </c>
      <c r="E68" s="170">
        <f t="shared" ca="1" si="2"/>
        <v>8.8698077983904583E-3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3.4128415903482923E-2</v>
      </c>
      <c r="E69" s="170">
        <f t="shared" ca="1" si="2"/>
        <v>8.8698077983923092E-3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3.4901871436811782E-2</v>
      </c>
      <c r="E70" s="170">
        <f t="shared" ca="1" si="2"/>
        <v>9.4323754306655499E-3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3.5674707598505662E-2</v>
      </c>
      <c r="E71" s="170">
        <f t="shared" ca="1" si="2"/>
        <v>9.4323754306628333E-3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3.6372221213338829E-2</v>
      </c>
      <c r="E72" s="170">
        <f t="shared" ca="1" si="2"/>
        <v>9.4323754306659419E-3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3.7143879940900515E-2</v>
      </c>
      <c r="E73" s="170">
        <f t="shared" ca="1" si="2"/>
        <v>9.4323754306655499E-3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3.789005809206536E-2</v>
      </c>
      <c r="E74" s="170">
        <f t="shared" ca="1" si="2"/>
        <v>9.4323754306629842E-3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3.8660501358532828E-2</v>
      </c>
      <c r="E75" s="170">
        <f t="shared" ca="1" si="2"/>
        <v>9.4323754306655499E-3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3.9405504183767093E-2</v>
      </c>
      <c r="E76" s="170">
        <f t="shared" ref="E76:E129" ca="1" si="6">IF(NOT($C$6),"",IF(C76=0,0,-LN((1-D76)/(1-D75))/($C76-$C75)))</f>
        <v>9.4323754306643356E-3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4.0174733903646676E-2</v>
      </c>
      <c r="E77" s="170">
        <f t="shared" ca="1" si="6"/>
        <v>9.4323754306642402E-3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4.0943347635859717E-2</v>
      </c>
      <c r="E78" s="170">
        <f t="shared" ca="1" si="6"/>
        <v>9.4323754306641413E-3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4.1686581339021589E-2</v>
      </c>
      <c r="E79" s="170">
        <f t="shared" ca="1" si="6"/>
        <v>9.4323754306657893E-3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4.2453984406397138E-2</v>
      </c>
      <c r="E80" s="170">
        <f t="shared" ca="1" si="6"/>
        <v>9.4323754306641413E-3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4.3196047421510064E-2</v>
      </c>
      <c r="E81" s="170">
        <f t="shared" ca="1" si="6"/>
        <v>9.4323754306643356E-3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4.396224173099994E-2</v>
      </c>
      <c r="E82" s="170">
        <f t="shared" ca="1" si="6"/>
        <v>9.4323754306655499E-3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4.4727822483534574E-2</v>
      </c>
      <c r="E83" s="170">
        <f t="shared" ca="1" si="6"/>
        <v>9.432375430665451E-3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4.5418787819546447E-2</v>
      </c>
      <c r="E84" s="170">
        <f t="shared" ca="1" si="6"/>
        <v>9.4323754306644934E-3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4.6183202191735884E-2</v>
      </c>
      <c r="E85" s="170">
        <f t="shared" ca="1" si="6"/>
        <v>9.4323754306655499E-3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4.692237519994702E-2</v>
      </c>
      <c r="E86" s="170">
        <f t="shared" ca="1" si="6"/>
        <v>9.4323754306643356E-3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4.7685585521827445E-2</v>
      </c>
      <c r="E87" s="170">
        <f t="shared" ca="1" si="6"/>
        <v>9.4323754306642402E-3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4.8423594238103163E-2</v>
      </c>
      <c r="E88" s="170">
        <f t="shared" ca="1" si="6"/>
        <v>9.4323754306643356E-3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4.918560240620784E-2</v>
      </c>
      <c r="E89" s="170">
        <f t="shared" ca="1" si="6"/>
        <v>9.4323754306655499E-3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4.9947000369556682E-2</v>
      </c>
      <c r="E90" s="170">
        <f t="shared" ca="1" si="6"/>
        <v>9.432375430665451E-3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5.0683256572331192E-2</v>
      </c>
      <c r="E91" s="170">
        <f t="shared" ca="1" si="6"/>
        <v>9.4323754306644379E-3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5.1443455236600433E-2</v>
      </c>
      <c r="E92" s="170">
        <f t="shared" ca="1" si="6"/>
        <v>9.4323754306641413E-3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5.2178551741780876E-2</v>
      </c>
      <c r="E93" s="170">
        <f t="shared" ca="1" si="6"/>
        <v>9.4323754306656887E-3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5.2994790598993258E-2</v>
      </c>
      <c r="E94" s="170">
        <f t="shared" ca="1" si="6"/>
        <v>1.014399374438388E-2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5.3810326532808817E-2</v>
      </c>
      <c r="E95" s="170">
        <f t="shared" ca="1" si="6"/>
        <v>1.0143993744383774E-2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5.4546335960193759E-2</v>
      </c>
      <c r="E96" s="170">
        <f t="shared" ca="1" si="6"/>
        <v>1.014399374438329E-2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5.5360535744025663E-2</v>
      </c>
      <c r="E97" s="170">
        <f t="shared" ca="1" si="6"/>
        <v>1.0143993744382573E-2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5.6147803407761376E-2</v>
      </c>
      <c r="E98" s="170">
        <f t="shared" ca="1" si="6"/>
        <v>1.01439937443839E-2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5.6960624050024333E-2</v>
      </c>
      <c r="E99" s="170">
        <f t="shared" ca="1" si="6"/>
        <v>1.014399374438388E-2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5.7746558191469011E-2</v>
      </c>
      <c r="E100" s="170">
        <f t="shared" ca="1" si="6"/>
        <v>1.0143993744382549E-2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5.8558002028237688E-2</v>
      </c>
      <c r="E101" s="170">
        <f t="shared" ca="1" si="6"/>
        <v>1.014399374438388E-2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5.9368747070954742E-2</v>
      </c>
      <c r="E102" s="170">
        <f t="shared" ca="1" si="6"/>
        <v>1.0143993744383774E-2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6.0152674269585482E-2</v>
      </c>
      <c r="E103" s="170">
        <f t="shared" ca="1" si="6"/>
        <v>1.014399374438401E-2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6.0962046022586036E-2</v>
      </c>
      <c r="E104" s="170">
        <f t="shared" ca="1" si="6"/>
        <v>1.0143993744382468E-2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6.1744645357210692E-2</v>
      </c>
      <c r="E105" s="170">
        <f t="shared" ca="1" si="6"/>
        <v>1.014399374438401E-2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6.2552646146657342E-2</v>
      </c>
      <c r="E106" s="170">
        <f t="shared" ca="1" si="6"/>
        <v>1.0143993744385084E-2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6.3359951107113899E-2</v>
      </c>
      <c r="E107" s="170">
        <f t="shared" ca="1" si="6"/>
        <v>1.0143993744382468E-2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6.4114542468565183E-2</v>
      </c>
      <c r="E108" s="170">
        <f t="shared" ca="1" si="6"/>
        <v>1.0143993744383661E-2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6.4920502365063526E-2</v>
      </c>
      <c r="E109" s="170">
        <f t="shared" ca="1" si="6"/>
        <v>1.0143993744382679E-2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6.5699802700657783E-2</v>
      </c>
      <c r="E110" s="170">
        <f t="shared" ca="1" si="6"/>
        <v>1.0143993744385143E-2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6.6504397412814109E-2</v>
      </c>
      <c r="E111" s="170">
        <f t="shared" ca="1" si="6"/>
        <v>1.0143993744383774E-2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6.7282377721666786E-2</v>
      </c>
      <c r="E112" s="170">
        <f t="shared" ca="1" si="6"/>
        <v>1.0143993744382658E-2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6.8085609561914118E-2</v>
      </c>
      <c r="E113" s="170">
        <f t="shared" ca="1" si="6"/>
        <v>1.0143993744383774E-2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6.8888149680064847E-2</v>
      </c>
      <c r="E114" s="170">
        <f t="shared" ca="1" si="6"/>
        <v>1.0143993744383987E-2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6.9664143356822139E-2</v>
      </c>
      <c r="E115" s="170">
        <f t="shared" ca="1" si="6"/>
        <v>1.0143993744383791E-2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7.0465324083261338E-2</v>
      </c>
      <c r="E116" s="170">
        <f t="shared" ca="1" si="6"/>
        <v>1.0143993744383987E-2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7.1240003334298696E-2</v>
      </c>
      <c r="E117" s="170">
        <f t="shared" ca="1" si="6"/>
        <v>1.014399374438244E-2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7.2039826971647458E-2</v>
      </c>
      <c r="E118" s="170">
        <f t="shared" ca="1" si="6"/>
        <v>1.0143993744383774E-2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7.2838961821954151E-2</v>
      </c>
      <c r="E119" s="170">
        <f t="shared" ca="1" si="6"/>
        <v>1.0143993744383987E-2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7.3560169507832174E-2</v>
      </c>
      <c r="E120" s="170">
        <f t="shared" ca="1" si="6"/>
        <v>1.0143993744381723E-2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7.4357995079206041E-2</v>
      </c>
      <c r="E121" s="170">
        <f t="shared" ca="1" si="6"/>
        <v>1.0143993744383987E-2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7.5129430157078403E-2</v>
      </c>
      <c r="E122" s="170">
        <f t="shared" ca="1" si="6"/>
        <v>1.0143993744383791E-2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7.5925904322529325E-2</v>
      </c>
      <c r="E123" s="170">
        <f t="shared" ca="1" si="6"/>
        <v>1.0143993744383774E-2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7.6696032696316419E-2</v>
      </c>
      <c r="E124" s="170">
        <f t="shared" ca="1" si="6"/>
        <v>1.0143993744382658E-2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7.7491157744938866E-2</v>
      </c>
      <c r="E125" s="170">
        <f t="shared" ca="1" si="6"/>
        <v>1.0143993744385084E-2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7.8285598052819982E-2</v>
      </c>
      <c r="E126" s="170">
        <f t="shared" ca="1" si="6"/>
        <v>1.0143993744383987E-2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7.9053759845027161E-2</v>
      </c>
      <c r="E127" s="170">
        <f t="shared" ca="1" si="6"/>
        <v>1.0143993744383791E-2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7.9846854481152474E-2</v>
      </c>
      <c r="E128" s="170">
        <f t="shared" ca="1" si="6"/>
        <v>1.0143993744383987E-2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8.0613715113766693E-2</v>
      </c>
      <c r="E129" s="210">
        <f t="shared" ca="1" si="6"/>
        <v>1.0143993744383791E-2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37" t="s">
        <v>456</v>
      </c>
      <c r="D3" s="638"/>
      <c r="E3" s="639"/>
    </row>
    <row r="4" spans="2:11">
      <c r="C4" s="640"/>
      <c r="D4" s="641"/>
      <c r="E4" s="642"/>
    </row>
    <row r="5" spans="2:11" ht="15.75" thickBot="1">
      <c r="C5" s="643"/>
      <c r="D5" s="644"/>
      <c r="E5" s="645"/>
      <c r="G5" s="463"/>
    </row>
    <row r="6" spans="2:11" ht="15.75" thickBot="1"/>
    <row r="7" spans="2:11" ht="16.5" thickBot="1">
      <c r="B7" s="635" t="s">
        <v>454</v>
      </c>
      <c r="C7" s="636"/>
      <c r="D7" s="79"/>
      <c r="E7" s="635" t="s">
        <v>455</v>
      </c>
      <c r="F7" s="636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60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45646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9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7"/>
      <c r="H12" s="469"/>
      <c r="I12" s="79"/>
      <c r="J12" s="79"/>
      <c r="K12" s="79"/>
    </row>
    <row r="13" spans="2:11" ht="15.75" thickBot="1">
      <c r="B13" s="201" t="s">
        <v>496</v>
      </c>
      <c r="C13" s="438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6" cm="1">
        <f t="array" aca="1" ref="F15:K22" ca="1">IF(NOT($F$9),"",getcds(C9,C10,C11,C12,C13,C19,C20,C21,C15,C16,C17,C23,C24,C26,C28:C30,C32))</f>
        <v>-2.51349846830622E-2</v>
      </c>
      <c r="G15" s="252">
        <f ca="1"/>
        <v>-2.51349846830622E-2</v>
      </c>
      <c r="H15" s="248">
        <f ca="1"/>
        <v>0</v>
      </c>
      <c r="I15" s="449">
        <f ca="1"/>
        <v>0</v>
      </c>
      <c r="J15" s="252">
        <f ca="1"/>
        <v>0</v>
      </c>
      <c r="K15" s="248">
        <f ca="1"/>
        <v>0</v>
      </c>
    </row>
    <row r="16" spans="2:11">
      <c r="B16" s="200" t="s">
        <v>437</v>
      </c>
      <c r="C16" s="69">
        <v>0</v>
      </c>
      <c r="E16" s="217" t="s">
        <v>436</v>
      </c>
      <c r="F16" s="448">
        <f ca="1"/>
        <v>1.8084373010894401E-2</v>
      </c>
      <c r="G16" s="253">
        <f ca="1"/>
        <v>1.8084373010894401E-2</v>
      </c>
      <c r="H16" s="249">
        <f ca="1"/>
        <v>0</v>
      </c>
      <c r="I16" s="450">
        <f ca="1"/>
        <v>0</v>
      </c>
      <c r="J16" s="253">
        <f ca="1"/>
        <v>0</v>
      </c>
      <c r="K16" s="249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8">
        <f ca="1"/>
        <v>4.32193576939566E-2</v>
      </c>
      <c r="G17" s="253">
        <f ca="1"/>
        <v>4.32193576939566E-2</v>
      </c>
      <c r="H17" s="249">
        <f ca="1"/>
        <v>0</v>
      </c>
      <c r="I17" s="450">
        <f ca="1"/>
        <v>0</v>
      </c>
      <c r="J17" s="253">
        <f ca="1"/>
        <v>0</v>
      </c>
      <c r="K17" s="249">
        <f ca="1"/>
        <v>0</v>
      </c>
    </row>
    <row r="18" spans="2:11" ht="15.75" thickBot="1">
      <c r="B18" s="194"/>
      <c r="C18" s="79"/>
      <c r="E18" s="217" t="s">
        <v>440</v>
      </c>
      <c r="F18" s="462">
        <f ca="1"/>
        <v>4.1843224832152403E-3</v>
      </c>
      <c r="G18" s="253">
        <f ca="1"/>
        <v>4.1843224832152403E-3</v>
      </c>
      <c r="H18" s="249">
        <f ca="1"/>
        <v>0</v>
      </c>
      <c r="I18" s="450">
        <f ca="1"/>
        <v>0</v>
      </c>
      <c r="J18" s="253">
        <f ca="1"/>
        <v>0</v>
      </c>
      <c r="K18" s="249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8">
        <f ca="1"/>
        <v>4.3219357693956599</v>
      </c>
      <c r="G19" s="254">
        <f ca="1"/>
        <v>4.3219357693956599</v>
      </c>
      <c r="H19" s="249">
        <f ca="1"/>
        <v>0</v>
      </c>
      <c r="I19" s="451">
        <f ca="1"/>
        <v>0</v>
      </c>
      <c r="J19" s="254">
        <f ca="1"/>
        <v>0</v>
      </c>
      <c r="K19" s="249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9" t="str">
        <f ca="1"/>
        <v>00:00:00.0139484</v>
      </c>
      <c r="G20" s="255" t="str">
        <f ca="1"/>
        <v>00:00:00.0139484</v>
      </c>
      <c r="H20" s="249">
        <f ca="1"/>
        <v>0</v>
      </c>
      <c r="I20" s="452">
        <f ca="1"/>
        <v>0</v>
      </c>
      <c r="J20" s="255">
        <f ca="1"/>
        <v>0</v>
      </c>
      <c r="K20" s="249">
        <f ca="1"/>
        <v>0</v>
      </c>
    </row>
    <row r="21" spans="2:11" ht="15.75" thickBot="1">
      <c r="B21" s="201" t="s">
        <v>446</v>
      </c>
      <c r="C21" s="464"/>
      <c r="E21" s="218"/>
      <c r="F21" s="250" t="str">
        <f ca="1"/>
        <v>dPV</v>
      </c>
      <c r="G21" s="250" t="str">
        <f ca="1"/>
        <v>dHedge</v>
      </c>
      <c r="H21" s="251" t="str">
        <f ca="1"/>
        <v>delta not. (Hedge Crncy)</v>
      </c>
      <c r="I21" s="250" t="str">
        <f ca="1"/>
        <v>delta not. (Product CCY)</v>
      </c>
      <c r="J21" s="250" t="str">
        <f ca="1"/>
        <v>dPV(dBeta)</v>
      </c>
      <c r="K21" s="251" t="str">
        <f ca="1"/>
        <v>Name</v>
      </c>
    </row>
    <row r="22" spans="2:11" ht="15.75" thickBot="1">
      <c r="B22" s="194"/>
      <c r="C22" s="79"/>
      <c r="E22" s="219"/>
      <c r="F22" s="460">
        <f ca="1"/>
        <v>4.4996696308576603E-4</v>
      </c>
      <c r="G22" s="256">
        <f ca="1"/>
        <v>4.4050838351955101E-4</v>
      </c>
      <c r="H22" s="257">
        <f ca="1"/>
        <v>1.02147196266878</v>
      </c>
      <c r="I22" s="256">
        <f ca="1"/>
        <v>1.02147196266878</v>
      </c>
      <c r="J22" s="256">
        <f ca="1"/>
        <v>-1.8084373010894401E-2</v>
      </c>
      <c r="K22" s="257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F25" s="504"/>
    </row>
    <row r="26" spans="2:11" ht="15.75" thickBot="1">
      <c r="B26" s="172" t="s">
        <v>449</v>
      </c>
      <c r="C26" s="189" t="b">
        <v>1</v>
      </c>
      <c r="D26" s="85"/>
      <c r="F26" s="504"/>
    </row>
    <row r="27" spans="2:11" ht="15.75" thickBot="1">
      <c r="B27" s="197" t="s">
        <v>450</v>
      </c>
      <c r="C27" s="211"/>
      <c r="D27" s="85"/>
      <c r="F27" s="469"/>
      <c r="G27" s="469"/>
    </row>
    <row r="28" spans="2:11">
      <c r="B28" s="197" t="s">
        <v>434</v>
      </c>
      <c r="C28" s="215"/>
      <c r="D28" s="85"/>
      <c r="F28" s="469"/>
      <c r="G28" s="469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9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opLeftCell="A2" zoomScale="115" zoomScaleNormal="115" workbookViewId="0">
      <selection activeCell="J14" sqref="J14"/>
    </sheetView>
  </sheetViews>
  <sheetFormatPr defaultColWidth="9.140625" defaultRowHeight="11.25"/>
  <cols>
    <col min="1" max="1" width="2.85546875" style="273" customWidth="1"/>
    <col min="2" max="2" width="17" style="273" bestFit="1" customWidth="1"/>
    <col min="3" max="3" width="10.42578125" style="273" bestFit="1" customWidth="1"/>
    <col min="4" max="4" width="10.5703125" style="274" customWidth="1"/>
    <col min="5" max="5" width="9.85546875" style="274" customWidth="1"/>
    <col min="6" max="6" width="22.5703125" style="274" bestFit="1" customWidth="1"/>
    <col min="7" max="12" width="12.42578125" style="274" customWidth="1"/>
    <col min="13" max="13" width="36.28515625" style="274" bestFit="1" customWidth="1"/>
    <col min="14" max="14" width="12.42578125" style="274" customWidth="1"/>
    <col min="15" max="15" width="9.85546875" style="274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25" width="10.28515625" style="79" bestFit="1" customWidth="1"/>
    <col min="26" max="26" width="9.140625" style="79"/>
    <col min="27" max="27" width="10.28515625" style="79" bestFit="1" customWidth="1"/>
    <col min="28" max="32" width="8.5703125" style="79" customWidth="1"/>
    <col min="33" max="33" width="28.5703125" style="273" customWidth="1"/>
    <col min="34" max="48" width="8.5703125" style="273" customWidth="1"/>
    <col min="49" max="54" width="9.140625" style="273"/>
    <col min="55" max="55" width="20.5703125" style="273" bestFit="1" customWidth="1"/>
    <col min="56" max="16384" width="9.140625" style="273"/>
  </cols>
  <sheetData>
    <row r="1" spans="1:229" s="480" customFormat="1" ht="29.25" customHeight="1">
      <c r="A1" s="479"/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479"/>
      <c r="AD1" s="479"/>
      <c r="AE1" s="479"/>
      <c r="AF1" s="479"/>
      <c r="AG1" s="479"/>
      <c r="AH1" s="479"/>
      <c r="AI1" s="479"/>
      <c r="AJ1" s="479"/>
      <c r="AK1" s="479"/>
      <c r="AL1" s="479"/>
      <c r="AM1" s="479"/>
      <c r="AN1" s="479"/>
      <c r="AO1" s="479"/>
      <c r="AP1" s="479"/>
      <c r="AQ1" s="479"/>
      <c r="AR1" s="479"/>
      <c r="AS1" s="479"/>
      <c r="AT1" s="479"/>
      <c r="AU1" s="479"/>
      <c r="AV1" s="479"/>
      <c r="AW1" s="479"/>
      <c r="AX1" s="479"/>
      <c r="AY1" s="479"/>
      <c r="AZ1" s="479"/>
      <c r="BA1" s="479"/>
      <c r="BB1" s="479"/>
      <c r="BC1" s="479"/>
      <c r="BD1" s="479"/>
      <c r="BE1" s="479"/>
      <c r="BF1" s="479"/>
      <c r="BG1" s="479"/>
      <c r="BH1" s="479"/>
      <c r="BI1" s="479"/>
      <c r="BJ1" s="479"/>
      <c r="BK1" s="479"/>
      <c r="BL1" s="479"/>
      <c r="BM1" s="479"/>
      <c r="BN1" s="479"/>
      <c r="BO1" s="479"/>
      <c r="BP1" s="479"/>
      <c r="BQ1" s="479"/>
      <c r="BR1" s="479"/>
      <c r="BS1" s="479"/>
      <c r="BT1" s="479"/>
      <c r="BU1" s="479"/>
      <c r="BV1" s="479"/>
      <c r="BW1" s="479"/>
      <c r="BX1" s="479"/>
      <c r="BY1" s="479"/>
      <c r="BZ1" s="479"/>
      <c r="CA1" s="479"/>
      <c r="CB1" s="479"/>
      <c r="CC1" s="479"/>
      <c r="CD1" s="479"/>
      <c r="CE1" s="479"/>
      <c r="CF1" s="479"/>
      <c r="CG1" s="479"/>
      <c r="CH1" s="479"/>
      <c r="CI1" s="479"/>
      <c r="CJ1" s="479"/>
      <c r="CK1" s="479"/>
      <c r="CL1" s="479"/>
      <c r="CM1" s="479"/>
      <c r="CN1" s="479"/>
      <c r="CO1" s="479"/>
      <c r="CP1" s="479"/>
      <c r="CQ1" s="479"/>
      <c r="CR1" s="479"/>
      <c r="CS1" s="479"/>
      <c r="CT1" s="479"/>
      <c r="CU1" s="479"/>
      <c r="CV1" s="479"/>
      <c r="CW1" s="479"/>
      <c r="CX1" s="479"/>
      <c r="CY1" s="479"/>
      <c r="CZ1" s="479"/>
      <c r="DA1" s="479"/>
      <c r="DB1" s="479"/>
      <c r="DC1" s="479"/>
      <c r="DD1" s="479"/>
      <c r="DE1" s="479"/>
      <c r="DF1" s="479"/>
      <c r="DG1" s="479"/>
      <c r="DH1" s="479"/>
      <c r="DI1" s="479"/>
      <c r="DJ1" s="479"/>
      <c r="DK1" s="479"/>
      <c r="DL1" s="479"/>
      <c r="DM1" s="479"/>
      <c r="DN1" s="479"/>
      <c r="DO1" s="479"/>
      <c r="DP1" s="479"/>
      <c r="DQ1" s="479"/>
      <c r="DR1" s="479"/>
      <c r="DS1" s="479"/>
      <c r="DT1" s="479"/>
      <c r="DU1" s="479"/>
      <c r="DV1" s="479"/>
      <c r="DW1" s="479"/>
      <c r="DX1" s="479"/>
      <c r="DY1" s="479"/>
      <c r="DZ1" s="479"/>
      <c r="EA1" s="479"/>
      <c r="EB1" s="479"/>
      <c r="EC1" s="479"/>
      <c r="ED1" s="479"/>
      <c r="EE1" s="479"/>
      <c r="EF1" s="479"/>
      <c r="EG1" s="479"/>
      <c r="EH1" s="479"/>
      <c r="EI1" s="479"/>
      <c r="EJ1" s="479"/>
      <c r="EK1" s="479"/>
      <c r="EL1" s="479"/>
      <c r="EM1" s="479"/>
      <c r="EN1" s="479"/>
      <c r="EO1" s="479"/>
      <c r="EP1" s="479"/>
      <c r="EQ1" s="479"/>
      <c r="ER1" s="479"/>
      <c r="ES1" s="479"/>
      <c r="ET1" s="479"/>
      <c r="EU1" s="479"/>
      <c r="EV1" s="479"/>
      <c r="EW1" s="479"/>
      <c r="EX1" s="479"/>
      <c r="EY1" s="479"/>
      <c r="EZ1" s="479"/>
      <c r="FA1" s="479"/>
      <c r="FB1" s="479"/>
      <c r="FC1" s="479"/>
      <c r="FD1" s="479"/>
      <c r="FE1" s="479"/>
      <c r="FF1" s="479"/>
      <c r="FG1" s="479"/>
      <c r="FH1" s="479"/>
      <c r="FI1" s="479"/>
      <c r="FJ1" s="479"/>
      <c r="FK1" s="479"/>
      <c r="FL1" s="479"/>
      <c r="FM1" s="479"/>
      <c r="FN1" s="479"/>
      <c r="FO1" s="479"/>
      <c r="FP1" s="479"/>
      <c r="FQ1" s="479"/>
      <c r="FR1" s="479"/>
      <c r="FS1" s="479"/>
      <c r="FT1" s="479"/>
      <c r="FU1" s="479"/>
      <c r="FV1" s="479"/>
      <c r="FW1" s="479"/>
      <c r="FX1" s="479"/>
      <c r="FY1" s="479"/>
      <c r="FZ1" s="479"/>
      <c r="GA1" s="479"/>
      <c r="GB1" s="479"/>
      <c r="GC1" s="479"/>
      <c r="GD1" s="479"/>
      <c r="GE1" s="479"/>
      <c r="GF1" s="479"/>
      <c r="GG1" s="479"/>
      <c r="GH1" s="479"/>
      <c r="GI1" s="479"/>
      <c r="GJ1" s="479"/>
      <c r="GK1" s="479"/>
      <c r="GL1" s="479"/>
      <c r="GM1" s="479"/>
      <c r="GN1" s="479"/>
      <c r="GO1" s="479"/>
      <c r="GP1" s="479"/>
      <c r="GQ1" s="479"/>
      <c r="GR1" s="479"/>
      <c r="GS1" s="479"/>
      <c r="GT1" s="479"/>
      <c r="GU1" s="479"/>
      <c r="GV1" s="479"/>
      <c r="GW1" s="479"/>
      <c r="GX1" s="479"/>
      <c r="GY1" s="479"/>
      <c r="GZ1" s="479"/>
      <c r="HA1" s="479"/>
      <c r="HB1" s="479"/>
      <c r="HC1" s="479"/>
      <c r="HD1" s="479"/>
      <c r="HE1" s="479"/>
      <c r="HF1" s="479"/>
      <c r="HG1" s="479"/>
      <c r="HH1" s="479"/>
      <c r="HI1" s="479"/>
      <c r="HJ1" s="479"/>
      <c r="HK1" s="479"/>
      <c r="HL1" s="479"/>
      <c r="HM1" s="479"/>
      <c r="HN1" s="479"/>
      <c r="HO1" s="479"/>
      <c r="HP1" s="479"/>
      <c r="HQ1" s="479"/>
      <c r="HR1" s="479"/>
      <c r="HS1" s="479"/>
      <c r="HT1" s="479"/>
      <c r="HU1" s="479"/>
    </row>
    <row r="2" spans="1:229" s="480" customFormat="1" ht="54.75" customHeight="1">
      <c r="A2" s="479"/>
      <c r="B2" s="479"/>
      <c r="C2" s="481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  <c r="R2" s="479"/>
      <c r="S2" s="479"/>
      <c r="T2" s="479"/>
      <c r="U2" s="479"/>
      <c r="V2" s="479"/>
      <c r="W2" s="479"/>
      <c r="X2" s="479"/>
      <c r="Y2" s="479"/>
      <c r="Z2" s="479"/>
      <c r="AA2" s="479"/>
      <c r="AB2" s="479"/>
      <c r="AC2" s="479"/>
      <c r="AD2" s="479"/>
      <c r="AE2" s="479"/>
      <c r="AF2" s="479"/>
      <c r="AG2" s="479"/>
      <c r="AH2" s="479"/>
      <c r="AI2" s="479"/>
      <c r="AJ2" s="479"/>
      <c r="AK2" s="479"/>
      <c r="AL2" s="479"/>
      <c r="AM2" s="479"/>
      <c r="AN2" s="479"/>
      <c r="AO2" s="479"/>
      <c r="AP2" s="479"/>
      <c r="AQ2" s="479"/>
      <c r="AR2" s="479"/>
      <c r="AS2" s="479"/>
      <c r="AT2" s="479"/>
      <c r="AU2" s="479"/>
      <c r="AV2" s="479"/>
      <c r="AW2" s="479"/>
      <c r="AX2" s="479"/>
      <c r="AY2" s="479"/>
      <c r="AZ2" s="479"/>
      <c r="BA2" s="479"/>
      <c r="BB2" s="479"/>
      <c r="BC2" s="479"/>
      <c r="BD2" s="479"/>
      <c r="BE2" s="479"/>
      <c r="BF2" s="479"/>
      <c r="BG2" s="479"/>
      <c r="BH2" s="479"/>
      <c r="BI2" s="479"/>
      <c r="BJ2" s="479"/>
      <c r="BK2" s="479"/>
      <c r="BL2" s="479"/>
      <c r="BM2" s="479"/>
      <c r="BN2" s="479"/>
      <c r="BO2" s="479"/>
      <c r="BP2" s="479"/>
      <c r="BQ2" s="479"/>
      <c r="BR2" s="479"/>
      <c r="BS2" s="479"/>
      <c r="BT2" s="479"/>
      <c r="BU2" s="479"/>
      <c r="BV2" s="479"/>
      <c r="BW2" s="479"/>
      <c r="BX2" s="479"/>
      <c r="BY2" s="479"/>
      <c r="BZ2" s="479"/>
      <c r="CA2" s="479"/>
      <c r="CB2" s="479"/>
      <c r="CC2" s="479"/>
      <c r="CD2" s="479"/>
      <c r="CE2" s="479"/>
      <c r="CF2" s="479"/>
      <c r="CG2" s="479"/>
      <c r="CH2" s="479"/>
      <c r="CI2" s="479"/>
      <c r="CJ2" s="479"/>
      <c r="CK2" s="479"/>
      <c r="CL2" s="479"/>
      <c r="CM2" s="479"/>
      <c r="CN2" s="479"/>
      <c r="CO2" s="479"/>
      <c r="CP2" s="479"/>
      <c r="CQ2" s="479"/>
      <c r="CR2" s="479"/>
      <c r="CS2" s="479"/>
      <c r="CT2" s="479"/>
      <c r="CU2" s="479"/>
      <c r="CV2" s="479"/>
      <c r="CW2" s="479"/>
      <c r="CX2" s="479"/>
      <c r="CY2" s="479"/>
      <c r="CZ2" s="479"/>
      <c r="DA2" s="479"/>
      <c r="DB2" s="479"/>
      <c r="DC2" s="479"/>
      <c r="DD2" s="479"/>
      <c r="DE2" s="479"/>
      <c r="DF2" s="479"/>
      <c r="DG2" s="479"/>
      <c r="DH2" s="479"/>
      <c r="DI2" s="479"/>
      <c r="DJ2" s="479"/>
      <c r="DK2" s="479"/>
      <c r="DL2" s="479"/>
      <c r="DM2" s="479"/>
      <c r="DN2" s="479"/>
      <c r="DO2" s="479"/>
      <c r="DP2" s="479"/>
      <c r="DQ2" s="479"/>
      <c r="DR2" s="479"/>
      <c r="DS2" s="479"/>
      <c r="DT2" s="479"/>
      <c r="DU2" s="479"/>
      <c r="DV2" s="479"/>
      <c r="DW2" s="479"/>
      <c r="DX2" s="479"/>
      <c r="DY2" s="479"/>
      <c r="DZ2" s="479"/>
      <c r="EA2" s="479"/>
      <c r="EB2" s="479"/>
      <c r="EC2" s="479"/>
      <c r="ED2" s="479"/>
      <c r="EE2" s="479"/>
      <c r="EF2" s="479"/>
      <c r="EG2" s="479"/>
      <c r="EH2" s="479"/>
      <c r="EI2" s="479"/>
      <c r="EJ2" s="479"/>
      <c r="EK2" s="479"/>
      <c r="EL2" s="479"/>
      <c r="EM2" s="479"/>
      <c r="EN2" s="479"/>
      <c r="EO2" s="479"/>
      <c r="EP2" s="479"/>
      <c r="EQ2" s="479"/>
      <c r="ER2" s="479"/>
      <c r="ES2" s="479"/>
      <c r="ET2" s="479"/>
      <c r="EU2" s="479"/>
      <c r="EV2" s="479"/>
      <c r="EW2" s="479"/>
      <c r="EX2" s="479"/>
      <c r="EY2" s="479"/>
      <c r="EZ2" s="479"/>
      <c r="FA2" s="479"/>
      <c r="FB2" s="479"/>
      <c r="FC2" s="479"/>
      <c r="FD2" s="479"/>
      <c r="FE2" s="479"/>
      <c r="FF2" s="479"/>
      <c r="FG2" s="479"/>
      <c r="FH2" s="479"/>
      <c r="FI2" s="479"/>
      <c r="FJ2" s="479"/>
      <c r="FK2" s="479"/>
      <c r="FL2" s="479"/>
      <c r="FM2" s="479"/>
      <c r="FN2" s="479"/>
      <c r="FO2" s="479"/>
      <c r="FP2" s="479"/>
      <c r="FQ2" s="479"/>
      <c r="FR2" s="479"/>
      <c r="FS2" s="479"/>
      <c r="FT2" s="479"/>
      <c r="FU2" s="479"/>
      <c r="FV2" s="479"/>
      <c r="FW2" s="479"/>
      <c r="FX2" s="479"/>
      <c r="FY2" s="479"/>
      <c r="FZ2" s="479"/>
      <c r="GA2" s="479"/>
      <c r="GB2" s="479"/>
      <c r="GC2" s="479"/>
      <c r="GD2" s="479"/>
      <c r="GE2" s="479"/>
      <c r="GF2" s="479"/>
      <c r="GG2" s="479"/>
      <c r="GH2" s="479"/>
      <c r="GI2" s="479"/>
      <c r="GJ2" s="479"/>
      <c r="GK2" s="479"/>
      <c r="GL2" s="479"/>
      <c r="GM2" s="479"/>
      <c r="GN2" s="479"/>
      <c r="GO2" s="479"/>
      <c r="GP2" s="479"/>
      <c r="GQ2" s="479"/>
      <c r="GR2" s="479"/>
      <c r="GS2" s="479"/>
      <c r="GT2" s="479"/>
      <c r="GU2" s="479"/>
      <c r="GV2" s="479"/>
      <c r="GW2" s="479"/>
      <c r="GX2" s="479"/>
      <c r="GY2" s="479"/>
      <c r="GZ2" s="479"/>
      <c r="HA2" s="479"/>
      <c r="HB2" s="479"/>
      <c r="HC2" s="479"/>
      <c r="HD2" s="479"/>
      <c r="HE2" s="479"/>
      <c r="HF2" s="479"/>
      <c r="HG2" s="479"/>
      <c r="HH2" s="479"/>
      <c r="HI2" s="479"/>
      <c r="HJ2" s="479"/>
      <c r="HK2" s="479"/>
      <c r="HL2" s="479"/>
      <c r="HM2" s="479"/>
      <c r="HN2" s="479"/>
      <c r="HO2" s="479"/>
      <c r="HP2" s="479"/>
      <c r="HQ2" s="479"/>
      <c r="HR2" s="479"/>
      <c r="HS2" s="479"/>
      <c r="HT2" s="479"/>
      <c r="HU2" s="479"/>
    </row>
    <row r="3" spans="1:229" s="480" customFormat="1" ht="36.75" customHeight="1">
      <c r="A3" s="479"/>
      <c r="B3" s="479"/>
      <c r="C3" s="479"/>
      <c r="D3" s="479"/>
      <c r="E3" s="479"/>
      <c r="F3" s="479"/>
      <c r="G3" s="479"/>
      <c r="H3" s="479"/>
      <c r="I3" s="482"/>
      <c r="J3" s="482"/>
      <c r="K3" s="482"/>
      <c r="L3" s="482"/>
      <c r="M3" s="482"/>
      <c r="N3" s="482"/>
      <c r="O3" s="482"/>
      <c r="P3" s="482"/>
      <c r="Q3" s="482"/>
      <c r="R3" s="479"/>
      <c r="S3" s="479"/>
      <c r="T3" s="479"/>
      <c r="U3" s="479"/>
      <c r="V3" s="479"/>
      <c r="W3" s="479"/>
      <c r="X3" s="479"/>
      <c r="Y3" s="479"/>
      <c r="Z3" s="479"/>
      <c r="AA3" s="479"/>
      <c r="AB3" s="479"/>
      <c r="AC3" s="482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79"/>
      <c r="AP3" s="479"/>
      <c r="AQ3" s="479"/>
      <c r="AR3" s="479"/>
      <c r="AS3" s="479"/>
      <c r="AT3" s="479"/>
      <c r="AU3" s="479"/>
      <c r="AV3" s="479"/>
      <c r="AW3" s="479"/>
      <c r="AX3" s="479"/>
      <c r="AY3" s="479"/>
      <c r="AZ3" s="479"/>
      <c r="BA3" s="479"/>
      <c r="BB3" s="479"/>
      <c r="BC3" s="479"/>
      <c r="BD3" s="479"/>
      <c r="BE3" s="479"/>
      <c r="BF3" s="479"/>
      <c r="BG3" s="479"/>
      <c r="BH3" s="479"/>
      <c r="BI3" s="479"/>
      <c r="BJ3" s="479"/>
      <c r="BK3" s="479"/>
      <c r="BL3" s="479"/>
      <c r="BM3" s="479"/>
      <c r="BN3" s="479"/>
      <c r="BO3" s="479"/>
      <c r="BP3" s="479"/>
      <c r="BQ3" s="479"/>
      <c r="BR3" s="479"/>
      <c r="BS3" s="479"/>
      <c r="BT3" s="479"/>
      <c r="BU3" s="479"/>
      <c r="BV3" s="479"/>
      <c r="BW3" s="479"/>
      <c r="BX3" s="479"/>
      <c r="BY3" s="479"/>
      <c r="BZ3" s="479"/>
      <c r="CA3" s="479"/>
      <c r="CB3" s="479"/>
      <c r="CC3" s="479"/>
      <c r="CD3" s="479"/>
      <c r="CE3" s="479"/>
      <c r="CF3" s="479"/>
      <c r="CG3" s="479"/>
      <c r="CH3" s="479"/>
      <c r="CI3" s="479"/>
      <c r="CJ3" s="479"/>
      <c r="CK3" s="479"/>
      <c r="CL3" s="479"/>
      <c r="CM3" s="479"/>
      <c r="CN3" s="479"/>
      <c r="CO3" s="479"/>
      <c r="CP3" s="479"/>
      <c r="CQ3" s="479"/>
      <c r="CR3" s="479"/>
      <c r="CS3" s="479"/>
      <c r="CT3" s="479"/>
      <c r="CU3" s="479"/>
      <c r="CV3" s="479"/>
      <c r="CW3" s="479"/>
      <c r="CX3" s="479"/>
      <c r="CY3" s="479"/>
      <c r="CZ3" s="479"/>
      <c r="DA3" s="479"/>
      <c r="DB3" s="479"/>
      <c r="DC3" s="479"/>
      <c r="DD3" s="479"/>
      <c r="DE3" s="479"/>
      <c r="DF3" s="479"/>
      <c r="DG3" s="479"/>
      <c r="DH3" s="479"/>
      <c r="DI3" s="479"/>
      <c r="DJ3" s="479"/>
      <c r="DK3" s="479"/>
      <c r="DL3" s="479"/>
      <c r="DM3" s="479"/>
      <c r="DN3" s="479"/>
      <c r="DO3" s="479"/>
      <c r="DP3" s="479"/>
      <c r="DQ3" s="479"/>
      <c r="DR3" s="479"/>
      <c r="DS3" s="479"/>
      <c r="DT3" s="479"/>
      <c r="DU3" s="479"/>
      <c r="DV3" s="479"/>
      <c r="DW3" s="479"/>
      <c r="DX3" s="479"/>
      <c r="DY3" s="479"/>
      <c r="DZ3" s="479"/>
      <c r="EA3" s="479"/>
      <c r="EB3" s="479"/>
      <c r="EC3" s="479"/>
      <c r="ED3" s="479"/>
      <c r="EE3" s="479"/>
      <c r="EF3" s="479"/>
      <c r="EG3" s="479"/>
      <c r="EH3" s="479"/>
      <c r="EI3" s="479"/>
      <c r="EJ3" s="479"/>
      <c r="EK3" s="479"/>
      <c r="EL3" s="479"/>
      <c r="EM3" s="479"/>
      <c r="EN3" s="479"/>
      <c r="EO3" s="479"/>
      <c r="EP3" s="479"/>
      <c r="EQ3" s="479"/>
      <c r="ER3" s="479"/>
      <c r="ES3" s="479"/>
      <c r="ET3" s="479"/>
      <c r="EU3" s="479"/>
      <c r="EV3" s="479"/>
      <c r="EW3" s="479"/>
      <c r="EX3" s="479"/>
      <c r="EY3" s="479"/>
      <c r="EZ3" s="479"/>
      <c r="FA3" s="479"/>
      <c r="FB3" s="479"/>
      <c r="FC3" s="479"/>
      <c r="FD3" s="479"/>
      <c r="FE3" s="479"/>
      <c r="FF3" s="479"/>
      <c r="FG3" s="479"/>
      <c r="FH3" s="479"/>
      <c r="FI3" s="479"/>
      <c r="FJ3" s="479"/>
      <c r="FK3" s="479"/>
      <c r="FL3" s="479"/>
      <c r="FM3" s="479"/>
      <c r="FN3" s="479"/>
      <c r="FO3" s="479"/>
      <c r="FP3" s="479"/>
      <c r="FQ3" s="479"/>
      <c r="FR3" s="479"/>
      <c r="FS3" s="479"/>
      <c r="FT3" s="479"/>
      <c r="FU3" s="479"/>
      <c r="FV3" s="479"/>
      <c r="FW3" s="479"/>
      <c r="FX3" s="479"/>
      <c r="FY3" s="479"/>
      <c r="FZ3" s="479"/>
      <c r="GA3" s="479"/>
      <c r="GB3" s="479"/>
      <c r="GC3" s="479"/>
      <c r="GD3" s="479"/>
      <c r="GE3" s="479"/>
      <c r="GF3" s="479"/>
      <c r="GG3" s="479"/>
      <c r="GH3" s="479"/>
      <c r="GI3" s="479"/>
      <c r="GJ3" s="479"/>
      <c r="GK3" s="479"/>
      <c r="GL3" s="479"/>
      <c r="GM3" s="479"/>
      <c r="GN3" s="479"/>
      <c r="GO3" s="479"/>
      <c r="GP3" s="479"/>
      <c r="GQ3" s="479"/>
      <c r="GR3" s="479"/>
      <c r="GS3" s="479"/>
      <c r="GT3" s="479"/>
      <c r="GU3" s="479"/>
      <c r="GV3" s="479"/>
      <c r="GW3" s="479"/>
      <c r="GX3" s="479"/>
      <c r="GY3" s="479"/>
      <c r="GZ3" s="479"/>
      <c r="HA3" s="479"/>
      <c r="HB3" s="479"/>
      <c r="HC3" s="479"/>
      <c r="HD3" s="479"/>
      <c r="HE3" s="479"/>
      <c r="HF3" s="479"/>
      <c r="HG3" s="479"/>
      <c r="HH3" s="479"/>
      <c r="HI3" s="479"/>
      <c r="HJ3" s="479"/>
      <c r="HK3" s="479"/>
      <c r="HL3" s="479"/>
      <c r="HM3" s="479"/>
      <c r="HN3" s="479"/>
      <c r="HO3" s="479"/>
      <c r="HP3" s="479"/>
      <c r="HQ3" s="479"/>
      <c r="HR3" s="479"/>
      <c r="HS3" s="479"/>
      <c r="HT3" s="479"/>
      <c r="HU3" s="479"/>
    </row>
    <row r="4" spans="1:229"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3"/>
      <c r="U4" s="273"/>
      <c r="V4" s="273"/>
      <c r="W4" s="273"/>
      <c r="X4" s="273"/>
      <c r="Y4" s="273"/>
      <c r="Z4" s="273"/>
      <c r="AA4" s="273"/>
      <c r="AB4" s="273"/>
      <c r="AC4" s="273"/>
      <c r="AD4" s="273"/>
      <c r="AE4" s="273"/>
      <c r="AF4" s="273"/>
    </row>
    <row r="5" spans="1:229"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  <c r="O5" s="273"/>
      <c r="P5" s="273"/>
      <c r="Q5" s="273"/>
      <c r="R5" s="273"/>
      <c r="S5" s="273"/>
      <c r="T5" s="273"/>
      <c r="U5" s="273"/>
      <c r="V5" s="273"/>
      <c r="W5" s="273"/>
      <c r="X5" s="273"/>
      <c r="Y5" s="273"/>
      <c r="Z5" s="273"/>
      <c r="AA5" s="273"/>
      <c r="AB5" s="273"/>
      <c r="AC5" s="273"/>
      <c r="AD5" s="273"/>
      <c r="AE5" s="273"/>
      <c r="AF5" s="273"/>
    </row>
    <row r="6" spans="1:229">
      <c r="D6" s="273"/>
      <c r="E6" s="273"/>
      <c r="F6" s="273"/>
      <c r="G6" s="273"/>
      <c r="H6" s="273"/>
      <c r="I6" s="273"/>
      <c r="J6" s="273"/>
      <c r="K6" s="273"/>
      <c r="L6" s="273"/>
      <c r="M6" s="273"/>
      <c r="P6" s="274"/>
      <c r="Q6" s="274"/>
      <c r="R6" s="273"/>
      <c r="S6" s="273"/>
      <c r="T6" s="273"/>
      <c r="U6" s="273"/>
      <c r="V6" s="273"/>
      <c r="W6" s="273"/>
      <c r="X6" s="273"/>
      <c r="Y6" s="273"/>
      <c r="Z6" s="273"/>
      <c r="AA6" s="273"/>
      <c r="AB6" s="273"/>
      <c r="AC6" s="273"/>
      <c r="AD6" s="273"/>
      <c r="AE6" s="273"/>
      <c r="AF6" s="273"/>
    </row>
    <row r="7" spans="1:229" ht="12" thickBot="1">
      <c r="D7" s="273"/>
      <c r="E7" s="273"/>
      <c r="F7" s="273"/>
      <c r="G7" s="273"/>
      <c r="H7" s="273"/>
      <c r="I7" s="273"/>
      <c r="J7" s="273"/>
      <c r="K7" s="273"/>
      <c r="P7" s="274"/>
      <c r="Q7" s="274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580"/>
      <c r="AJ7" s="79"/>
    </row>
    <row r="8" spans="1:229" ht="12" thickBot="1">
      <c r="B8" s="470" t="s">
        <v>627</v>
      </c>
      <c r="C8" s="478" t="s">
        <v>628</v>
      </c>
      <c r="D8" s="273"/>
      <c r="E8" s="273"/>
      <c r="F8" s="273"/>
      <c r="G8" s="273"/>
      <c r="H8" s="273"/>
      <c r="I8" s="273"/>
      <c r="J8" s="273"/>
      <c r="K8" s="273"/>
      <c r="P8" s="274"/>
      <c r="Q8" s="274"/>
      <c r="R8" s="274"/>
      <c r="S8" s="274"/>
      <c r="T8" s="470" t="s">
        <v>666</v>
      </c>
      <c r="U8" s="478" t="s">
        <v>655</v>
      </c>
      <c r="V8" s="478" t="s">
        <v>667</v>
      </c>
      <c r="W8" s="478" t="s">
        <v>668</v>
      </c>
      <c r="X8" s="470" t="s">
        <v>607</v>
      </c>
      <c r="Y8" s="144" t="b">
        <v>1</v>
      </c>
      <c r="Z8" s="273"/>
      <c r="AA8" s="273"/>
      <c r="AB8" s="273"/>
      <c r="AC8" s="273"/>
      <c r="AD8" s="273"/>
      <c r="AE8" s="273"/>
      <c r="AF8" s="273"/>
      <c r="AM8" s="79"/>
    </row>
    <row r="9" spans="1:229" ht="12" thickBot="1">
      <c r="B9" s="470" t="s">
        <v>629</v>
      </c>
      <c r="C9" s="526">
        <v>45412</v>
      </c>
      <c r="D9" s="273"/>
      <c r="E9" s="273"/>
      <c r="F9" s="273"/>
      <c r="G9" s="273"/>
      <c r="H9" s="273"/>
      <c r="I9" s="273"/>
      <c r="J9" s="273"/>
      <c r="K9" s="273"/>
      <c r="P9" s="274"/>
      <c r="Q9" s="274"/>
      <c r="R9" s="274"/>
      <c r="S9" s="274"/>
      <c r="T9" s="577" cm="1">
        <f t="array" aca="1" ref="T9:U133" ca="1">riskWeight(E25:E399)</f>
        <v>0.03</v>
      </c>
      <c r="U9" s="574">
        <f ca="1"/>
        <v>1</v>
      </c>
      <c r="V9" s="578">
        <f t="shared" ref="V9:V40" ca="1" si="0">AA14*T9</f>
        <v>0</v>
      </c>
      <c r="W9" s="578">
        <f t="shared" ref="W9:W40" ca="1" si="1">AE14*T9</f>
        <v>0</v>
      </c>
      <c r="X9" s="467" t="s">
        <v>601</v>
      </c>
      <c r="Y9" s="483"/>
      <c r="Z9" s="273"/>
      <c r="AA9" s="273"/>
      <c r="AB9" s="467" t="s">
        <v>602</v>
      </c>
      <c r="AC9" s="485"/>
      <c r="AD9" s="273"/>
      <c r="AE9" s="273"/>
      <c r="AF9" s="273"/>
    </row>
    <row r="10" spans="1:229" ht="12" thickBot="1">
      <c r="B10" s="470" t="s">
        <v>630</v>
      </c>
      <c r="C10" s="470" t="s">
        <v>82</v>
      </c>
      <c r="D10" s="470" t="s">
        <v>432</v>
      </c>
      <c r="E10" s="470" t="s">
        <v>631</v>
      </c>
      <c r="F10" s="470" t="s">
        <v>632</v>
      </c>
      <c r="G10" s="470" t="s">
        <v>633</v>
      </c>
      <c r="H10" s="470" t="s">
        <v>634</v>
      </c>
      <c r="I10" s="470" t="s">
        <v>635</v>
      </c>
      <c r="J10" s="470" t="s">
        <v>636</v>
      </c>
      <c r="K10" s="273" t="s">
        <v>695</v>
      </c>
      <c r="M10" s="470" t="s">
        <v>678</v>
      </c>
      <c r="N10" s="470" t="s">
        <v>692</v>
      </c>
      <c r="P10" s="274"/>
      <c r="Q10" s="274"/>
      <c r="R10" s="274"/>
      <c r="S10" s="274"/>
      <c r="T10" s="578">
        <f ca="1"/>
        <v>0.03</v>
      </c>
      <c r="U10" s="575">
        <f ca="1"/>
        <v>2</v>
      </c>
      <c r="V10" s="578">
        <f t="shared" ca="1" si="0"/>
        <v>0</v>
      </c>
      <c r="W10" s="578">
        <f t="shared" ca="1" si="1"/>
        <v>0</v>
      </c>
      <c r="X10" s="468" t="s">
        <v>604</v>
      </c>
      <c r="Y10" s="495">
        <f ca="1">MAX(MAX(Y11,0)+0.5*MIN(Y11,0),0)</f>
        <v>8.8874266759939299E-2</v>
      </c>
      <c r="Z10" s="273"/>
      <c r="AA10" s="273"/>
      <c r="AB10" s="468" t="s">
        <v>604</v>
      </c>
      <c r="AC10" s="495">
        <f ca="1">MAX(MAX(AC11,0)+0.5*MIN(AC11,0),0)</f>
        <v>13.291921784362536</v>
      </c>
      <c r="AD10" s="273"/>
      <c r="AE10" s="273"/>
      <c r="AF10" s="273"/>
      <c r="AG10" s="79"/>
    </row>
    <row r="11" spans="1:229" ht="12" thickBot="1">
      <c r="B11" s="531" t="s">
        <v>637</v>
      </c>
      <c r="C11" s="532" t="s">
        <v>66</v>
      </c>
      <c r="D11" s="532" t="s">
        <v>55</v>
      </c>
      <c r="E11" s="532">
        <v>0.12</v>
      </c>
      <c r="F11" s="532">
        <v>1</v>
      </c>
      <c r="G11" s="532" t="s">
        <v>434</v>
      </c>
      <c r="H11" s="532">
        <v>100</v>
      </c>
      <c r="I11" s="532">
        <v>9.4748000000000001</v>
      </c>
      <c r="J11" s="546">
        <v>46376</v>
      </c>
      <c r="K11" s="273"/>
      <c r="M11" s="590" t="s">
        <v>679</v>
      </c>
      <c r="N11" s="592">
        <v>1</v>
      </c>
      <c r="P11" s="274"/>
      <c r="Q11" s="274"/>
      <c r="R11" s="274"/>
      <c r="S11" s="274"/>
      <c r="T11" s="578">
        <f ca="1"/>
        <v>0.06</v>
      </c>
      <c r="U11" s="575">
        <f ca="1"/>
        <v>3</v>
      </c>
      <c r="V11" s="578">
        <f t="shared" ca="1" si="0"/>
        <v>0</v>
      </c>
      <c r="W11" s="578">
        <f t="shared" ca="1" si="1"/>
        <v>0</v>
      </c>
      <c r="X11" s="468" t="s">
        <v>603</v>
      </c>
      <c r="Y11" s="495">
        <f ca="1">15%*SUM(Z14:Z313)-Y12*SUM(V9:V133)</f>
        <v>8.8874266759939299E-2</v>
      </c>
      <c r="Z11" s="273"/>
      <c r="AA11" s="273"/>
      <c r="AB11" s="468" t="s">
        <v>603</v>
      </c>
      <c r="AC11" s="495">
        <f ca="1">15%*SUM(AD14:AD313)-AC12*SUM(W9:W133)</f>
        <v>13.291921784362536</v>
      </c>
      <c r="AD11" s="273"/>
      <c r="AE11" s="273"/>
      <c r="AF11" s="273"/>
    </row>
    <row r="12" spans="1:229" ht="12" thickBot="1">
      <c r="B12" s="519" t="s">
        <v>637</v>
      </c>
      <c r="C12" s="520" t="s">
        <v>66</v>
      </c>
      <c r="D12" s="520" t="s">
        <v>57</v>
      </c>
      <c r="E12" s="520">
        <v>0.12</v>
      </c>
      <c r="F12" s="520">
        <v>1</v>
      </c>
      <c r="G12" s="520" t="s">
        <v>434</v>
      </c>
      <c r="H12" s="520">
        <v>100</v>
      </c>
      <c r="I12" s="520">
        <v>22.439800000000002</v>
      </c>
      <c r="J12" s="525">
        <v>47107</v>
      </c>
      <c r="K12" s="273"/>
      <c r="M12" s="600" t="s">
        <v>680</v>
      </c>
      <c r="N12" s="601">
        <v>1</v>
      </c>
      <c r="P12" s="274"/>
      <c r="Q12" s="274"/>
      <c r="R12" s="274"/>
      <c r="S12" s="274"/>
      <c r="T12" s="578">
        <f ca="1"/>
        <v>0.06</v>
      </c>
      <c r="U12" s="575">
        <f ca="1"/>
        <v>4</v>
      </c>
      <c r="V12" s="578">
        <f t="shared" ca="1" si="0"/>
        <v>0</v>
      </c>
      <c r="W12" s="578">
        <f t="shared" ca="1" si="1"/>
        <v>0</v>
      </c>
      <c r="X12" s="468" t="s">
        <v>600</v>
      </c>
      <c r="Y12" s="495">
        <f ca="1">SUM(Z14:Z313)/(SUM(Z14:Z313)+SUM(AA14:AA313))</f>
        <v>1</v>
      </c>
      <c r="Z12" s="273"/>
      <c r="AA12" s="273"/>
      <c r="AB12" s="468" t="s">
        <v>600</v>
      </c>
      <c r="AC12" s="495">
        <f ca="1">SUM(AD14:AD313)/(SUM(AD14:AD313)+SUM(AE14:AE313))</f>
        <v>1</v>
      </c>
      <c r="AD12" s="273"/>
      <c r="AE12" s="273"/>
      <c r="AF12" s="273"/>
      <c r="AH12" s="478" t="s">
        <v>670</v>
      </c>
      <c r="AM12" s="478" t="s">
        <v>609</v>
      </c>
      <c r="AO12" s="582"/>
      <c r="AP12" s="582"/>
      <c r="AQ12" s="582"/>
      <c r="AR12" s="582"/>
      <c r="AS12" s="582"/>
      <c r="AT12" s="582"/>
      <c r="AU12" s="582"/>
      <c r="AV12" s="582"/>
      <c r="AW12" s="582"/>
      <c r="AZ12" s="549"/>
    </row>
    <row r="13" spans="1:229" ht="12" thickBot="1">
      <c r="B13" s="536" t="s">
        <v>637</v>
      </c>
      <c r="C13" s="537" t="s">
        <v>66</v>
      </c>
      <c r="D13" s="537" t="s">
        <v>59</v>
      </c>
      <c r="E13" s="537">
        <v>0.12</v>
      </c>
      <c r="F13" s="537">
        <v>1</v>
      </c>
      <c r="G13" s="537" t="s">
        <v>434</v>
      </c>
      <c r="H13" s="537">
        <v>100</v>
      </c>
      <c r="I13" s="537">
        <v>37.011200000000002</v>
      </c>
      <c r="J13" s="547">
        <v>47837</v>
      </c>
      <c r="K13" s="273"/>
      <c r="M13" s="598" t="s">
        <v>681</v>
      </c>
      <c r="N13" s="599">
        <v>2</v>
      </c>
      <c r="P13" s="274"/>
      <c r="Q13" s="274"/>
      <c r="R13" s="274"/>
      <c r="S13" s="274"/>
      <c r="T13" s="578">
        <f ca="1"/>
        <v>0.06</v>
      </c>
      <c r="U13" s="575">
        <f ca="1"/>
        <v>5</v>
      </c>
      <c r="V13" s="578">
        <f t="shared" ca="1" si="0"/>
        <v>0</v>
      </c>
      <c r="W13" s="578">
        <f t="shared" ca="1" si="1"/>
        <v>0</v>
      </c>
      <c r="X13" s="470" t="s">
        <v>598</v>
      </c>
      <c r="Y13" s="478" t="s">
        <v>599</v>
      </c>
      <c r="Z13" s="484" t="s">
        <v>605</v>
      </c>
      <c r="AA13" s="478" t="s">
        <v>606</v>
      </c>
      <c r="AB13" s="484" t="s">
        <v>598</v>
      </c>
      <c r="AC13" s="478" t="s">
        <v>599</v>
      </c>
      <c r="AD13" s="484" t="s">
        <v>605</v>
      </c>
      <c r="AE13" s="478" t="s">
        <v>606</v>
      </c>
      <c r="AF13" s="273"/>
      <c r="AG13" s="478" t="s">
        <v>80</v>
      </c>
      <c r="AH13" s="478" t="s">
        <v>84</v>
      </c>
      <c r="AI13" s="478" t="s">
        <v>53</v>
      </c>
      <c r="AJ13" s="478" t="s">
        <v>55</v>
      </c>
      <c r="AK13" s="478" t="s">
        <v>57</v>
      </c>
      <c r="AL13" s="478" t="s">
        <v>62</v>
      </c>
      <c r="AM13" s="478" t="s">
        <v>84</v>
      </c>
      <c r="AN13" s="478" t="s">
        <v>53</v>
      </c>
      <c r="AO13" s="478" t="s">
        <v>55</v>
      </c>
      <c r="AP13" s="478" t="s">
        <v>57</v>
      </c>
      <c r="AQ13" s="478" t="s">
        <v>59</v>
      </c>
      <c r="AR13" s="331" t="s">
        <v>83</v>
      </c>
      <c r="AS13" s="503" t="s">
        <v>84</v>
      </c>
      <c r="AT13" s="503" t="s">
        <v>53</v>
      </c>
      <c r="AU13" s="503" t="s">
        <v>54</v>
      </c>
      <c r="AV13" s="503" t="s">
        <v>55</v>
      </c>
      <c r="AW13" s="503" t="s">
        <v>57</v>
      </c>
      <c r="AX13" s="503" t="s">
        <v>62</v>
      </c>
      <c r="AY13" s="503" t="s">
        <v>63</v>
      </c>
      <c r="AZ13" s="503" t="s">
        <v>64</v>
      </c>
      <c r="BA13" s="503" t="s">
        <v>608</v>
      </c>
      <c r="BB13" s="583" t="s">
        <v>499</v>
      </c>
      <c r="BC13" s="478" t="s">
        <v>669</v>
      </c>
    </row>
    <row r="14" spans="1:229" ht="12" thickBot="1">
      <c r="B14" s="541" t="s">
        <v>638</v>
      </c>
      <c r="C14" s="542" t="s">
        <v>66</v>
      </c>
      <c r="D14" s="542" t="s">
        <v>55</v>
      </c>
      <c r="E14" s="542">
        <v>0.06</v>
      </c>
      <c r="F14" s="542">
        <v>0.12</v>
      </c>
      <c r="G14" s="542" t="s">
        <v>434</v>
      </c>
      <c r="H14" s="542">
        <v>100</v>
      </c>
      <c r="I14" s="542">
        <v>35.963500000000003</v>
      </c>
      <c r="J14" s="548">
        <v>46376</v>
      </c>
      <c r="K14" s="273"/>
      <c r="M14" s="589" t="s">
        <v>682</v>
      </c>
      <c r="N14" s="593">
        <v>2</v>
      </c>
      <c r="P14" s="274"/>
      <c r="Q14" s="274"/>
      <c r="R14" s="274"/>
      <c r="S14" s="274"/>
      <c r="T14" s="578">
        <f ca="1"/>
        <v>0.06</v>
      </c>
      <c r="U14" s="575">
        <f ca="1"/>
        <v>6</v>
      </c>
      <c r="V14" s="578">
        <f t="shared" ca="1" si="0"/>
        <v>0</v>
      </c>
      <c r="W14" s="578">
        <f t="shared" ca="1" si="1"/>
        <v>0</v>
      </c>
      <c r="X14" s="488">
        <f ca="1">IF('CDO Bespoke'!O15&lt;&gt;"",'CDO Bespoke'!O15,"")</f>
        <v>1.1947389585969099</v>
      </c>
      <c r="Y14" s="489">
        <f ca="1">IF(X14&lt;&gt;"",ABS(MIN(-0.75*('CDO Bespoke'!Q15)+'CDO Bespoke'!T15,0)),"")</f>
        <v>1.1880812580678877</v>
      </c>
      <c r="Z14" s="489">
        <f t="shared" ref="Z14:Z77" ca="1" si="2">IF(X14&lt;&gt;"",IF($Y$8,MAX(X14-Y14,0),X14),0)</f>
        <v>6.6577005290222591E-3</v>
      </c>
      <c r="AA14" s="489">
        <f t="shared" ref="AA14:AA77" ca="1" si="3">IF(X14&lt;&gt;"",IF($Y$8,0,Y14),0)</f>
        <v>0</v>
      </c>
      <c r="AB14" s="488">
        <f ca="1">IF('CDO Bespoke'!O15&lt;&gt;"",'CDO Bespoke'!O15,"")</f>
        <v>1.1947389585969099</v>
      </c>
      <c r="AC14" s="489">
        <f ca="1">IF(AB14&lt;&gt;"",ABS(MIN(-0.75*'CDO Bespoke'!K15+'CDO Bespoke'!T15,0)),"")</f>
        <v>0.26031838191441597</v>
      </c>
      <c r="AD14" s="489">
        <f t="shared" ref="AD14:AD77" ca="1" si="4">IF(AB14&lt;&gt;"",IF($Y$8,MAX(AB14-AC14,0),AB14),0)</f>
        <v>0.93442057668249401</v>
      </c>
      <c r="AE14" s="490">
        <f t="shared" ref="AE14:AE77" ca="1" si="5">IF(AB14&lt;&gt;"",IF($Y$8,0,AC14),0)</f>
        <v>0</v>
      </c>
      <c r="AF14" s="273"/>
      <c r="AG14" s="473" t="str">
        <f ca="1">IF('CDO Bespoke'!C39&lt;&gt;"",'CDO Bespoke'!C39,"")</f>
        <v>Airbus SE</v>
      </c>
      <c r="AH14" s="505" cm="1">
        <f t="array" aca="1" ref="AH14:AQ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3.8903149102154089E-3</v>
      </c>
      <c r="AI14" s="506">
        <f ca="1"/>
        <v>1.2694197550899844E-2</v>
      </c>
      <c r="AJ14" s="506">
        <f ca="1"/>
        <v>3.6011112810596657E-2</v>
      </c>
      <c r="AK14" s="506">
        <f ca="1"/>
        <v>0.33748799068034074</v>
      </c>
      <c r="AL14" s="507">
        <f ca="1"/>
        <v>0</v>
      </c>
      <c r="AM14" s="505">
        <f ca="1"/>
        <v>6.5567771189573021E-5</v>
      </c>
      <c r="AN14" s="506">
        <f ca="1"/>
        <v>3.067544462401206E-4</v>
      </c>
      <c r="AO14" s="506">
        <f ca="1"/>
        <v>1.3734914433294332E-3</v>
      </c>
      <c r="AP14" s="506">
        <f ca="1"/>
        <v>0.13608908002745965</v>
      </c>
      <c r="AQ14" s="507">
        <f ca="1"/>
        <v>0</v>
      </c>
      <c r="AR14" s="508" cm="1">
        <f t="array" aca="1" ref="AR14:BB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7.5053952844838378E-5</v>
      </c>
      <c r="AS14" s="582">
        <f ca="1"/>
        <v>1.5774402567885035E-4</v>
      </c>
      <c r="AT14" s="582">
        <f ca="1"/>
        <v>1.4556616706500177E-4</v>
      </c>
      <c r="AU14" s="582">
        <f ca="1"/>
        <v>2.6182418154184467E-4</v>
      </c>
      <c r="AV14" s="582">
        <f ca="1"/>
        <v>3.680316745034609E-4</v>
      </c>
      <c r="AW14" s="582">
        <f ca="1"/>
        <v>2.2174911048993698E-3</v>
      </c>
      <c r="AX14" s="582">
        <f ca="1"/>
        <v>0</v>
      </c>
      <c r="AY14" s="582">
        <f ca="1"/>
        <v>0</v>
      </c>
      <c r="AZ14" s="582">
        <f ca="1"/>
        <v>0</v>
      </c>
      <c r="BA14" s="582">
        <f ca="1"/>
        <v>0</v>
      </c>
      <c r="BB14" s="585">
        <f ca="1"/>
        <v>0</v>
      </c>
      <c r="BC14" s="477" t="str">
        <f ca="1">IF('IRS Strip'!F21="","",'IRS Strip'!F21)</f>
        <v>6-month EURIBOR Swaps</v>
      </c>
      <c r="BD14" s="477" t="str">
        <f ca="1">IF('IRS Strip'!B21="","",'IRS Strip'!B21)</f>
        <v>EUR</v>
      </c>
    </row>
    <row r="15" spans="1:229" ht="12" thickBot="1">
      <c r="B15" s="519" t="s">
        <v>638</v>
      </c>
      <c r="C15" s="520" t="s">
        <v>66</v>
      </c>
      <c r="D15" s="520" t="s">
        <v>57</v>
      </c>
      <c r="E15" s="520">
        <v>0.06</v>
      </c>
      <c r="F15" s="520">
        <v>0.12</v>
      </c>
      <c r="G15" s="520" t="s">
        <v>434</v>
      </c>
      <c r="H15" s="520">
        <v>100</v>
      </c>
      <c r="I15" s="520">
        <v>92.850899999999996</v>
      </c>
      <c r="J15" s="525">
        <v>47107</v>
      </c>
      <c r="K15" s="273"/>
      <c r="M15" s="589" t="s">
        <v>683</v>
      </c>
      <c r="N15" s="593">
        <v>2</v>
      </c>
      <c r="P15" s="274"/>
      <c r="Q15" s="274"/>
      <c r="R15" s="274"/>
      <c r="S15" s="274"/>
      <c r="T15" s="578">
        <f ca="1"/>
        <v>0.03</v>
      </c>
      <c r="U15" s="575">
        <f ca="1"/>
        <v>7</v>
      </c>
      <c r="V15" s="578">
        <f t="shared" ca="1" si="0"/>
        <v>0</v>
      </c>
      <c r="W15" s="578">
        <f t="shared" ca="1" si="1"/>
        <v>0</v>
      </c>
      <c r="X15" s="486">
        <f ca="1">IF('CDO Bespoke'!O16&lt;&gt;"",'CDO Bespoke'!O16,"")</f>
        <v>1.19481178926761</v>
      </c>
      <c r="Y15" s="487">
        <f ca="1">IF(X15&lt;&gt;"",ABS(MIN(-0.75*('CDO Bespoke'!Q16)+'CDO Bespoke'!T16,0)),"")</f>
        <v>1.1879925998998448</v>
      </c>
      <c r="Z15" s="487">
        <f t="shared" ca="1" si="2"/>
        <v>6.8191893677651549E-3</v>
      </c>
      <c r="AA15" s="487">
        <f t="shared" ca="1" si="3"/>
        <v>0</v>
      </c>
      <c r="AB15" s="486">
        <f ca="1">IF('CDO Bespoke'!O16&lt;&gt;"",'CDO Bespoke'!O16,"")</f>
        <v>1.19481178926761</v>
      </c>
      <c r="AC15" s="487">
        <f ca="1">IF(AB15&lt;&gt;"",ABS(MIN(-0.75*('CDO Bespoke'!K16)+'CDO Bespoke'!T16,0)),"")</f>
        <v>0.25526712636831683</v>
      </c>
      <c r="AD15" s="487">
        <f t="shared" ca="1" si="4"/>
        <v>0.93954466289929317</v>
      </c>
      <c r="AE15" s="491">
        <f t="shared" ca="1" si="5"/>
        <v>0</v>
      </c>
      <c r="AF15" s="273"/>
      <c r="AG15" s="496" t="str">
        <f ca="1">IF('CDO Bespoke'!C40&lt;&gt;"",'CDO Bespoke'!C40,"")</f>
        <v>Aktiebolaget Volvo</v>
      </c>
      <c r="AH15" s="498">
        <f ca="1"/>
        <v>3.6368002709341596E-3</v>
      </c>
      <c r="AI15" s="587">
        <f ca="1"/>
        <v>1.1573013380949959E-2</v>
      </c>
      <c r="AJ15" s="587">
        <f ca="1"/>
        <v>3.2382531750529964E-2</v>
      </c>
      <c r="AK15" s="587">
        <f ca="1"/>
        <v>0.37452551011063484</v>
      </c>
      <c r="AL15" s="499">
        <f ca="1"/>
        <v>0</v>
      </c>
      <c r="AM15" s="498">
        <f ca="1"/>
        <v>6.136717541939396E-5</v>
      </c>
      <c r="AN15" s="587">
        <f ca="1"/>
        <v>2.8729574075986308E-4</v>
      </c>
      <c r="AO15" s="587">
        <f ca="1"/>
        <v>1.2728739547197832E-3</v>
      </c>
      <c r="AP15" s="587">
        <f ca="1"/>
        <v>0.13599298312367938</v>
      </c>
      <c r="AQ15" s="499">
        <f ca="1"/>
        <v>0</v>
      </c>
      <c r="AR15" s="508">
        <f ca="1"/>
        <v>7.5053952844838378E-5</v>
      </c>
      <c r="AS15" s="582">
        <f ca="1"/>
        <v>1.5774402567885035E-4</v>
      </c>
      <c r="AT15" s="582">
        <f ca="1"/>
        <v>1.4556616706500177E-4</v>
      </c>
      <c r="AU15" s="582">
        <f ca="1"/>
        <v>2.6182418154184467E-4</v>
      </c>
      <c r="AV15" s="582">
        <f ca="1"/>
        <v>3.680316745034609E-4</v>
      </c>
      <c r="AW15" s="582">
        <f ca="1"/>
        <v>2.2174911048993698E-3</v>
      </c>
      <c r="AX15" s="582">
        <f ca="1"/>
        <v>0</v>
      </c>
      <c r="AY15" s="582">
        <f ca="1"/>
        <v>0</v>
      </c>
      <c r="AZ15" s="582">
        <f ca="1"/>
        <v>0</v>
      </c>
      <c r="BA15" s="582">
        <f ca="1"/>
        <v>0</v>
      </c>
      <c r="BB15" s="584">
        <f ca="1"/>
        <v>0</v>
      </c>
      <c r="BC15" s="477" t="str">
        <f ca="1">IF('IRS Strip'!F22="","",'IRS Strip'!F22)</f>
        <v>3-month EURIBOR Swaps</v>
      </c>
      <c r="BD15" s="477" t="str">
        <f ca="1">IF('IRS Strip'!B22="","",'IRS Strip'!B22)</f>
        <v>EUR</v>
      </c>
    </row>
    <row r="16" spans="1:229" ht="12" thickBot="1">
      <c r="B16" s="536" t="s">
        <v>638</v>
      </c>
      <c r="C16" s="537" t="s">
        <v>66</v>
      </c>
      <c r="D16" s="537" t="s">
        <v>59</v>
      </c>
      <c r="E16" s="537">
        <v>0.06</v>
      </c>
      <c r="F16" s="537">
        <v>0.12</v>
      </c>
      <c r="G16" s="537" t="s">
        <v>434</v>
      </c>
      <c r="H16" s="537">
        <v>100</v>
      </c>
      <c r="I16" s="537">
        <v>155.51650000000001</v>
      </c>
      <c r="J16" s="547">
        <v>47837</v>
      </c>
      <c r="K16" s="273"/>
      <c r="M16" s="600" t="s">
        <v>684</v>
      </c>
      <c r="N16" s="601">
        <v>2</v>
      </c>
      <c r="P16" s="274"/>
      <c r="Q16" s="274"/>
      <c r="R16" s="274"/>
      <c r="S16" s="274"/>
      <c r="T16" s="578">
        <f ca="1"/>
        <v>0.06</v>
      </c>
      <c r="U16" s="575">
        <f ca="1"/>
        <v>8</v>
      </c>
      <c r="V16" s="578">
        <f t="shared" ca="1" si="0"/>
        <v>0</v>
      </c>
      <c r="W16" s="578">
        <f t="shared" ca="1" si="1"/>
        <v>0</v>
      </c>
      <c r="X16" s="486">
        <f ca="1">IF('CDO Bespoke'!O17&lt;&gt;"",'CDO Bespoke'!O17,"")</f>
        <v>1.19476330836088</v>
      </c>
      <c r="Y16" s="487">
        <f ca="1">IF(X16&lt;&gt;"",ABS(MIN(-0.75*('CDO Bespoke'!Q17)+'CDO Bespoke'!T17,0)),"")</f>
        <v>1.188052105758584</v>
      </c>
      <c r="Z16" s="487">
        <f t="shared" ca="1" si="2"/>
        <v>6.7112026022959625E-3</v>
      </c>
      <c r="AA16" s="487">
        <f t="shared" ca="1" si="3"/>
        <v>0</v>
      </c>
      <c r="AB16" s="486">
        <f ca="1">IF('CDO Bespoke'!O17&lt;&gt;"",'CDO Bespoke'!O17,"")</f>
        <v>1.19476330836088</v>
      </c>
      <c r="AC16" s="487">
        <f ca="1">IF(AB16&lt;&gt;"",ABS(MIN(-0.75*('CDO Bespoke'!K17)+'CDO Bespoke'!T17,0)),"")</f>
        <v>0.25866721420277139</v>
      </c>
      <c r="AD16" s="487">
        <f t="shared" ca="1" si="4"/>
        <v>0.93609609415810857</v>
      </c>
      <c r="AE16" s="491">
        <f t="shared" ca="1" si="5"/>
        <v>0</v>
      </c>
      <c r="AF16" s="273"/>
      <c r="AG16" s="496" t="str">
        <f ca="1">IF('CDO Bespoke'!C41&lt;&gt;"",'CDO Bespoke'!C41,"")</f>
        <v>Akzo Nobel N.V.</v>
      </c>
      <c r="AH16" s="498">
        <f ca="1"/>
        <v>3.6545338499838209E-3</v>
      </c>
      <c r="AI16" s="587">
        <f ca="1"/>
        <v>1.1646366920858853E-2</v>
      </c>
      <c r="AJ16" s="587">
        <f ca="1"/>
        <v>3.2604740810571187E-2</v>
      </c>
      <c r="AK16" s="587">
        <f ca="1"/>
        <v>0.39465240197045226</v>
      </c>
      <c r="AL16" s="499">
        <f ca="1"/>
        <v>0</v>
      </c>
      <c r="AM16" s="498">
        <f ca="1"/>
        <v>5.8868867459926921E-5</v>
      </c>
      <c r="AN16" s="587">
        <f ca="1"/>
        <v>2.7580045355961313E-4</v>
      </c>
      <c r="AO16" s="587">
        <f ca="1"/>
        <v>1.2159161861400453E-3</v>
      </c>
      <c r="AP16" s="587">
        <f ca="1"/>
        <v>0.13586933702373</v>
      </c>
      <c r="AQ16" s="499">
        <f ca="1"/>
        <v>0</v>
      </c>
      <c r="AR16" s="508">
        <f ca="1"/>
        <v>0</v>
      </c>
      <c r="AS16" s="582">
        <f ca="1"/>
        <v>0</v>
      </c>
      <c r="AT16" s="582">
        <f ca="1"/>
        <v>0</v>
      </c>
      <c r="AU16" s="582">
        <f ca="1"/>
        <v>0</v>
      </c>
      <c r="AV16" s="582">
        <f ca="1"/>
        <v>0</v>
      </c>
      <c r="AW16" s="582">
        <f ca="1"/>
        <v>0</v>
      </c>
      <c r="AX16" s="582">
        <f ca="1"/>
        <v>0</v>
      </c>
      <c r="AY16" s="582">
        <f ca="1"/>
        <v>0</v>
      </c>
      <c r="AZ16" s="582">
        <f ca="1"/>
        <v>0</v>
      </c>
      <c r="BA16" s="582">
        <f ca="1"/>
        <v>0</v>
      </c>
      <c r="BB16" s="584">
        <f ca="1"/>
        <v>0</v>
      </c>
      <c r="BC16" s="477" t="str">
        <f ca="1">IF('IRS Strip'!F23="","",'IRS Strip'!F23)</f>
        <v>1-month Term SOFR Swaps</v>
      </c>
      <c r="BD16" s="477" t="str">
        <f ca="1">IF('IRS Strip'!B23="","",'IRS Strip'!B23)</f>
        <v>USD</v>
      </c>
    </row>
    <row r="17" spans="2:56" ht="12" thickBot="1">
      <c r="B17" s="541" t="s">
        <v>639</v>
      </c>
      <c r="C17" s="542" t="s">
        <v>66</v>
      </c>
      <c r="D17" s="542" t="s">
        <v>55</v>
      </c>
      <c r="E17" s="542">
        <v>0.03</v>
      </c>
      <c r="F17" s="542">
        <v>0.06</v>
      </c>
      <c r="G17" s="542" t="s">
        <v>640</v>
      </c>
      <c r="H17" s="542">
        <v>100</v>
      </c>
      <c r="I17" s="543">
        <v>-6.1151900000000004E-3</v>
      </c>
      <c r="J17" s="548">
        <v>46376</v>
      </c>
      <c r="K17" s="273"/>
      <c r="L17" s="273"/>
      <c r="M17" s="602" t="s">
        <v>676</v>
      </c>
      <c r="N17" s="603">
        <v>3</v>
      </c>
      <c r="P17" s="274"/>
      <c r="Q17" s="274"/>
      <c r="R17" s="274"/>
      <c r="S17" s="274"/>
      <c r="T17" s="578">
        <f ca="1"/>
        <v>0.03</v>
      </c>
      <c r="U17" s="575">
        <f ca="1"/>
        <v>9</v>
      </c>
      <c r="V17" s="578">
        <f t="shared" ca="1" si="0"/>
        <v>0</v>
      </c>
      <c r="W17" s="578">
        <f t="shared" ca="1" si="1"/>
        <v>0</v>
      </c>
      <c r="X17" s="486">
        <f ca="1">IF('CDO Bespoke'!O18&lt;&gt;"",'CDO Bespoke'!O18,"")</f>
        <v>1.1897092296084699</v>
      </c>
      <c r="Y17" s="487">
        <f ca="1">IF(X17&lt;&gt;"",ABS(MIN(-0.75*('CDO Bespoke'!Q18)+'CDO Bespoke'!T18,0)),"")</f>
        <v>1.1906917042126934</v>
      </c>
      <c r="Z17" s="487">
        <f t="shared" ca="1" si="2"/>
        <v>0</v>
      </c>
      <c r="AA17" s="487">
        <f t="shared" ca="1" si="3"/>
        <v>0</v>
      </c>
      <c r="AB17" s="486">
        <f ca="1">IF('CDO Bespoke'!O18&lt;&gt;"",'CDO Bespoke'!O18,"")</f>
        <v>1.1897092296084699</v>
      </c>
      <c r="AC17" s="487">
        <f ca="1">IF(AB17&lt;&gt;"",ABS(MIN(-0.75*('CDO Bespoke'!K18)+'CDO Bespoke'!T18,0)),"")</f>
        <v>0.38875320182118894</v>
      </c>
      <c r="AD17" s="487">
        <f t="shared" ca="1" si="4"/>
        <v>0.80095602778728092</v>
      </c>
      <c r="AE17" s="491">
        <f t="shared" ca="1" si="5"/>
        <v>0</v>
      </c>
      <c r="AF17" s="273"/>
      <c r="AG17" s="496" t="str">
        <f ca="1">IF('CDO Bespoke'!C42&lt;&gt;"",'CDO Bespoke'!C42,"")</f>
        <v>ALSTOM</v>
      </c>
      <c r="AH17" s="498">
        <f ca="1"/>
        <v>3.1655648702333394E-3</v>
      </c>
      <c r="AI17" s="587">
        <f ca="1"/>
        <v>1.0680456360434576E-2</v>
      </c>
      <c r="AJ17" s="587">
        <f ca="1"/>
        <v>2.6350143110809299E-2</v>
      </c>
      <c r="AK17" s="587">
        <f ca="1"/>
        <v>1.2833523985700257</v>
      </c>
      <c r="AL17" s="499">
        <f ca="1"/>
        <v>0</v>
      </c>
      <c r="AM17" s="498">
        <f ca="1"/>
        <v>-4.9698766830044705E-5</v>
      </c>
      <c r="AN17" s="587">
        <f ca="1"/>
        <v>-2.2794739589944435E-4</v>
      </c>
      <c r="AO17" s="587">
        <f ca="1"/>
        <v>-1.1433581014495126E-3</v>
      </c>
      <c r="AP17" s="587">
        <f ca="1"/>
        <v>0.1292986365201306</v>
      </c>
      <c r="AQ17" s="499">
        <f ca="1"/>
        <v>0</v>
      </c>
      <c r="AR17" s="508"/>
      <c r="AS17" s="582"/>
      <c r="AT17" s="582"/>
      <c r="AU17" s="582"/>
      <c r="AV17" s="582"/>
      <c r="AW17" s="582"/>
      <c r="AX17" s="581"/>
      <c r="AY17" s="581"/>
      <c r="AZ17" s="581"/>
      <c r="BA17" s="549"/>
      <c r="BC17" s="477" t="str">
        <f ca="1">IF('IRS Strip'!F24="","",'IRS Strip'!F24)</f>
        <v/>
      </c>
      <c r="BD17" s="477" t="str">
        <f ca="1">IF('IRS Strip'!B24="","",'IRS Strip'!B24)</f>
        <v/>
      </c>
    </row>
    <row r="18" spans="2:56" ht="12" thickBot="1">
      <c r="B18" s="519" t="s">
        <v>639</v>
      </c>
      <c r="C18" s="520" t="s">
        <v>66</v>
      </c>
      <c r="D18" s="520" t="s">
        <v>57</v>
      </c>
      <c r="E18" s="520">
        <v>0.03</v>
      </c>
      <c r="F18" s="520">
        <v>0.06</v>
      </c>
      <c r="G18" s="520" t="s">
        <v>640</v>
      </c>
      <c r="H18" s="520">
        <v>100</v>
      </c>
      <c r="I18" s="527">
        <v>3.497422E-2</v>
      </c>
      <c r="J18" s="525">
        <v>47107</v>
      </c>
      <c r="K18" s="273"/>
      <c r="L18" s="273"/>
      <c r="M18" s="598" t="s">
        <v>675</v>
      </c>
      <c r="N18" s="599">
        <v>4</v>
      </c>
      <c r="P18" s="274"/>
      <c r="Q18" s="274"/>
      <c r="R18" s="274"/>
      <c r="S18" s="274"/>
      <c r="T18" s="578">
        <f ca="1"/>
        <v>0.06</v>
      </c>
      <c r="U18" s="575">
        <f ca="1"/>
        <v>10</v>
      </c>
      <c r="V18" s="578">
        <f t="shared" ca="1" si="0"/>
        <v>0</v>
      </c>
      <c r="W18" s="578">
        <f t="shared" ca="1" si="1"/>
        <v>0</v>
      </c>
      <c r="X18" s="486">
        <f ca="1">IF('CDO Bespoke'!O19&lt;&gt;"",'CDO Bespoke'!O19,"")</f>
        <v>1.1937767124457199</v>
      </c>
      <c r="Y18" s="487">
        <f ca="1">IF(X18&lt;&gt;"",ABS(MIN(-0.75*('CDO Bespoke'!Q19)+'CDO Bespoke'!T19,0)),"")</f>
        <v>1.1889707626823978</v>
      </c>
      <c r="Z18" s="487">
        <f t="shared" ca="1" si="2"/>
        <v>4.8059497633221593E-3</v>
      </c>
      <c r="AA18" s="487">
        <f t="shared" ca="1" si="3"/>
        <v>0</v>
      </c>
      <c r="AB18" s="486">
        <f ca="1">IF('CDO Bespoke'!O19&lt;&gt;"",'CDO Bespoke'!O19,"")</f>
        <v>1.1937767124457199</v>
      </c>
      <c r="AC18" s="487">
        <f ca="1">IF(AB18&lt;&gt;"",ABS(MIN(-0.75*('CDO Bespoke'!K19)+'CDO Bespoke'!T19,0)),"")</f>
        <v>0.30705993776959067</v>
      </c>
      <c r="AD18" s="487">
        <f t="shared" ca="1" si="4"/>
        <v>0.8867167746761293</v>
      </c>
      <c r="AE18" s="491">
        <f t="shared" ca="1" si="5"/>
        <v>0</v>
      </c>
      <c r="AF18" s="273"/>
      <c r="AG18" s="496" t="str">
        <f ca="1">IF('CDO Bespoke'!C43&lt;&gt;"",'CDO Bespoke'!C43,"")</f>
        <v>Anglo American plc</v>
      </c>
      <c r="AH18" s="498">
        <f ca="1"/>
        <v>2.9788255706542088E-3</v>
      </c>
      <c r="AI18" s="587">
        <f ca="1"/>
        <v>8.7377143709321814E-3</v>
      </c>
      <c r="AJ18" s="587">
        <f ca="1"/>
        <v>2.1435025250315931E-2</v>
      </c>
      <c r="AK18" s="587">
        <f ca="1"/>
        <v>0.88758911865105539</v>
      </c>
      <c r="AL18" s="499">
        <f ca="1"/>
        <v>0</v>
      </c>
      <c r="AM18" s="498">
        <f ca="1"/>
        <v>1.0700917200522769E-6</v>
      </c>
      <c r="AN18" s="587">
        <f ca="1"/>
        <v>8.8942240500985287E-6</v>
      </c>
      <c r="AO18" s="587">
        <f ca="1"/>
        <v>-1.0016167229995321E-5</v>
      </c>
      <c r="AP18" s="587">
        <f ca="1"/>
        <v>0.13300994286360002</v>
      </c>
      <c r="AQ18" s="499">
        <f ca="1"/>
        <v>0</v>
      </c>
      <c r="AR18" s="508"/>
      <c r="AS18" s="582"/>
      <c r="AT18" s="582"/>
      <c r="AU18" s="582"/>
      <c r="AV18" s="582"/>
      <c r="AW18" s="582"/>
      <c r="AX18" s="581"/>
      <c r="AY18" s="581"/>
      <c r="AZ18" s="581"/>
      <c r="BA18" s="549"/>
      <c r="BC18" s="477" t="str">
        <f ca="1">IF('IRS Strip'!F25="","",'IRS Strip'!F25)</f>
        <v/>
      </c>
      <c r="BD18" s="477" t="str">
        <f ca="1">IF('IRS Strip'!B25="","",'IRS Strip'!B25)</f>
        <v/>
      </c>
    </row>
    <row r="19" spans="2:56" ht="12" thickBot="1">
      <c r="B19" s="536" t="s">
        <v>639</v>
      </c>
      <c r="C19" s="537" t="s">
        <v>66</v>
      </c>
      <c r="D19" s="537" t="s">
        <v>59</v>
      </c>
      <c r="E19" s="537">
        <v>0.03</v>
      </c>
      <c r="F19" s="537">
        <v>0.06</v>
      </c>
      <c r="G19" s="537" t="s">
        <v>640</v>
      </c>
      <c r="H19" s="537">
        <v>100</v>
      </c>
      <c r="I19" s="538">
        <v>0.10563547</v>
      </c>
      <c r="J19" s="547">
        <v>47837</v>
      </c>
      <c r="K19" s="273"/>
      <c r="L19" s="273"/>
      <c r="M19" s="589" t="s">
        <v>652</v>
      </c>
      <c r="N19" s="593">
        <v>4</v>
      </c>
      <c r="P19" s="274"/>
      <c r="Q19" s="274"/>
      <c r="R19" s="274"/>
      <c r="S19" s="274"/>
      <c r="T19" s="578">
        <f ca="1"/>
        <v>0.03</v>
      </c>
      <c r="U19" s="575">
        <f ca="1"/>
        <v>11</v>
      </c>
      <c r="V19" s="578">
        <f t="shared" ca="1" si="0"/>
        <v>0</v>
      </c>
      <c r="W19" s="578">
        <f t="shared" ca="1" si="1"/>
        <v>0</v>
      </c>
      <c r="X19" s="486">
        <f ca="1">IF('CDO Bespoke'!O20&lt;&gt;"",'CDO Bespoke'!O20,"")</f>
        <v>1.1923059383874099</v>
      </c>
      <c r="Y19" s="487">
        <f ca="1">IF(X19&lt;&gt;"",ABS(MIN(-0.75*('CDO Bespoke'!Q20)+'CDO Bespoke'!T20,0)),"")</f>
        <v>1.1898208789148816</v>
      </c>
      <c r="Z19" s="487">
        <f t="shared" ca="1" si="2"/>
        <v>2.4850594725283059E-3</v>
      </c>
      <c r="AA19" s="487">
        <f t="shared" ca="1" si="3"/>
        <v>0</v>
      </c>
      <c r="AB19" s="486">
        <f ca="1">IF('CDO Bespoke'!O20&lt;&gt;"",'CDO Bespoke'!O20,"")</f>
        <v>1.1923059383874099</v>
      </c>
      <c r="AC19" s="487">
        <f ca="1">IF(AB19&lt;&gt;"",ABS(MIN(-0.75*('CDO Bespoke'!K20)+'CDO Bespoke'!T20,0)),"")</f>
        <v>0.34762612329150094</v>
      </c>
      <c r="AD19" s="487">
        <f t="shared" ca="1" si="4"/>
        <v>0.84467981509590895</v>
      </c>
      <c r="AE19" s="491">
        <f t="shared" ca="1" si="5"/>
        <v>0</v>
      </c>
      <c r="AF19" s="273"/>
      <c r="AG19" s="496" t="str">
        <f ca="1">IF('CDO Bespoke'!C44&lt;&gt;"",'CDO Bespoke'!C44,"")</f>
        <v>ArcelorMittal</v>
      </c>
      <c r="AH19" s="498">
        <f ca="1"/>
        <v>2.2998461002288195E-3</v>
      </c>
      <c r="AI19" s="587">
        <f ca="1"/>
        <v>6.0593807105213671E-3</v>
      </c>
      <c r="AJ19" s="587">
        <f ca="1"/>
        <v>9.5307026604096734E-3</v>
      </c>
      <c r="AK19" s="587">
        <f ca="1"/>
        <v>1.2511931790704089</v>
      </c>
      <c r="AL19" s="499">
        <f ca="1"/>
        <v>0</v>
      </c>
      <c r="AM19" s="498">
        <f ca="1"/>
        <v>-4.2610900320705358E-5</v>
      </c>
      <c r="AN19" s="587">
        <f ca="1"/>
        <v>-1.9398907767018136E-4</v>
      </c>
      <c r="AO19" s="587">
        <f ca="1"/>
        <v>-9.7283304480028088E-4</v>
      </c>
      <c r="AP19" s="587">
        <f ca="1"/>
        <v>0.13061057570745022</v>
      </c>
      <c r="AQ19" s="499">
        <f ca="1"/>
        <v>0</v>
      </c>
      <c r="AR19" s="508"/>
      <c r="AS19" s="582"/>
      <c r="AT19" s="582"/>
      <c r="AU19" s="582"/>
      <c r="AV19" s="582"/>
      <c r="AW19" s="582"/>
      <c r="AX19" s="581"/>
      <c r="AY19" s="581"/>
      <c r="AZ19" s="581"/>
      <c r="BA19" s="549"/>
      <c r="BC19" s="477" t="str">
        <f ca="1">IF('IRS Strip'!F26="","",'IRS Strip'!F26)</f>
        <v/>
      </c>
      <c r="BD19" s="477" t="str">
        <f ca="1">IF('IRS Strip'!B26="","",'IRS Strip'!B26)</f>
        <v/>
      </c>
    </row>
    <row r="20" spans="2:56" ht="12" thickBot="1">
      <c r="B20" s="519" t="s">
        <v>641</v>
      </c>
      <c r="C20" s="520" t="s">
        <v>66</v>
      </c>
      <c r="D20" s="520" t="s">
        <v>55</v>
      </c>
      <c r="E20" s="520">
        <v>0</v>
      </c>
      <c r="F20" s="520">
        <v>0.03</v>
      </c>
      <c r="G20" s="520" t="s">
        <v>640</v>
      </c>
      <c r="H20" s="520">
        <v>100</v>
      </c>
      <c r="I20" s="607">
        <v>0.1057844</v>
      </c>
      <c r="J20" s="525">
        <v>46376</v>
      </c>
      <c r="K20" s="273">
        <v>28</v>
      </c>
      <c r="L20" s="567"/>
      <c r="M20" s="589" t="s">
        <v>648</v>
      </c>
      <c r="N20" s="593">
        <v>4</v>
      </c>
      <c r="P20" s="274"/>
      <c r="Q20" s="274"/>
      <c r="R20" s="274"/>
      <c r="S20" s="274"/>
      <c r="T20" s="578">
        <f ca="1"/>
        <v>0.03</v>
      </c>
      <c r="U20" s="575">
        <f ca="1"/>
        <v>12</v>
      </c>
      <c r="V20" s="578">
        <f t="shared" ca="1" si="0"/>
        <v>0</v>
      </c>
      <c r="W20" s="578">
        <f t="shared" ca="1" si="1"/>
        <v>0</v>
      </c>
      <c r="X20" s="486">
        <f ca="1">IF('CDO Bespoke'!O21&lt;&gt;"",'CDO Bespoke'!O21,"")</f>
        <v>1.19514460132804</v>
      </c>
      <c r="Y20" s="487">
        <f ca="1">IF(X20&lt;&gt;"",ABS(MIN(-0.75*('CDO Bespoke'!Q21)+'CDO Bespoke'!T21,0)),"")</f>
        <v>1.1875165091048103</v>
      </c>
      <c r="Z20" s="487">
        <f t="shared" ca="1" si="2"/>
        <v>7.6280922232296877E-3</v>
      </c>
      <c r="AA20" s="487">
        <f t="shared" ca="1" si="3"/>
        <v>0</v>
      </c>
      <c r="AB20" s="486">
        <f ca="1">IF('CDO Bespoke'!O21&lt;&gt;"",'CDO Bespoke'!O21,"")</f>
        <v>1.19514460132804</v>
      </c>
      <c r="AC20" s="487">
        <f ca="1">IF(AB20&lt;&gt;"",ABS(MIN(-0.75*('CDO Bespoke'!K21)+'CDO Bespoke'!T21,0)),"")</f>
        <v>0.22639146723817313</v>
      </c>
      <c r="AD20" s="487">
        <f t="shared" ca="1" si="4"/>
        <v>0.96875313408986685</v>
      </c>
      <c r="AE20" s="491">
        <f t="shared" ca="1" si="5"/>
        <v>0</v>
      </c>
      <c r="AF20" s="273"/>
      <c r="AG20" s="496" t="str">
        <f ca="1">IF('CDO Bespoke'!C45&lt;&gt;"",'CDO Bespoke'!C45,"")</f>
        <v>ASTRAZENECA PLC</v>
      </c>
      <c r="AH20" s="498">
        <f ca="1"/>
        <v>3.4712401708603124E-3</v>
      </c>
      <c r="AI20" s="587">
        <f ca="1"/>
        <v>1.0961635040773743E-2</v>
      </c>
      <c r="AJ20" s="587">
        <f ca="1"/>
        <v>3.0285158920673183E-2</v>
      </c>
      <c r="AK20" s="587">
        <f ca="1"/>
        <v>0.20147544901094605</v>
      </c>
      <c r="AL20" s="499">
        <f ca="1"/>
        <v>0</v>
      </c>
      <c r="AM20" s="498">
        <f ca="1"/>
        <v>4.1894777339998579E-5</v>
      </c>
      <c r="AN20" s="587">
        <f ca="1"/>
        <v>1.9518650044517832E-4</v>
      </c>
      <c r="AO20" s="587">
        <f ca="1"/>
        <v>8.9218923601478567E-4</v>
      </c>
      <c r="AP20" s="587">
        <f ca="1"/>
        <v>6.8525382541860178E-2</v>
      </c>
      <c r="AQ20" s="499">
        <f ca="1"/>
        <v>0</v>
      </c>
      <c r="AR20" s="508"/>
      <c r="AS20" s="582"/>
      <c r="AT20" s="582"/>
      <c r="AU20" s="582"/>
      <c r="AV20" s="582"/>
      <c r="AW20" s="582"/>
      <c r="AX20" s="581"/>
      <c r="AY20" s="581"/>
      <c r="AZ20" s="581"/>
      <c r="BA20" s="549"/>
      <c r="BC20" s="477" t="str">
        <f ca="1">IF('IRS Strip'!F27="","",'IRS Strip'!F27)</f>
        <v/>
      </c>
      <c r="BD20" s="477" t="str">
        <f ca="1">IF('IRS Strip'!B27="","",'IRS Strip'!B27)</f>
        <v/>
      </c>
    </row>
    <row r="21" spans="2:56" ht="12" thickBot="1">
      <c r="B21" s="519" t="s">
        <v>641</v>
      </c>
      <c r="C21" s="520" t="s">
        <v>66</v>
      </c>
      <c r="D21" s="520" t="s">
        <v>57</v>
      </c>
      <c r="E21" s="520">
        <v>0</v>
      </c>
      <c r="F21" s="520">
        <v>0.03</v>
      </c>
      <c r="G21" s="520" t="s">
        <v>640</v>
      </c>
      <c r="H21" s="520">
        <v>100</v>
      </c>
      <c r="I21" s="527">
        <v>0.25752876000000002</v>
      </c>
      <c r="J21" s="525">
        <v>47107</v>
      </c>
      <c r="K21" s="273"/>
      <c r="L21" s="567"/>
      <c r="M21" s="589" t="s">
        <v>685</v>
      </c>
      <c r="N21" s="593">
        <v>4</v>
      </c>
      <c r="P21" s="274"/>
      <c r="Q21" s="274"/>
      <c r="R21" s="274"/>
      <c r="S21" s="274"/>
      <c r="T21" s="578">
        <f ca="1"/>
        <v>0.06</v>
      </c>
      <c r="U21" s="575">
        <f ca="1"/>
        <v>13</v>
      </c>
      <c r="V21" s="578">
        <f t="shared" ca="1" si="0"/>
        <v>0</v>
      </c>
      <c r="W21" s="578">
        <f t="shared" ca="1" si="1"/>
        <v>0</v>
      </c>
      <c r="X21" s="486">
        <f ca="1">IF('CDO Bespoke'!O22&lt;&gt;"",'CDO Bespoke'!O22,"")</f>
        <v>1.1952157117095901</v>
      </c>
      <c r="Y21" s="487">
        <f ca="1">IF(X21&lt;&gt;"",ABS(MIN(-0.75*('CDO Bespoke'!Q22)+'CDO Bespoke'!T22,0)),"")</f>
        <v>1.1873937530959269</v>
      </c>
      <c r="Z21" s="487">
        <f t="shared" ca="1" si="2"/>
        <v>7.8219586136631936E-3</v>
      </c>
      <c r="AA21" s="487">
        <f t="shared" ca="1" si="3"/>
        <v>0</v>
      </c>
      <c r="AB21" s="486">
        <f ca="1">IF('CDO Bespoke'!O22&lt;&gt;"",'CDO Bespoke'!O22,"")</f>
        <v>1.1952157117095901</v>
      </c>
      <c r="AC21" s="487">
        <f ca="1">IF(AB21&lt;&gt;"",ABS(MIN(-0.75*('CDO Bespoke'!K22)+'CDO Bespoke'!T22,0)),"")</f>
        <v>0.21836816350650973</v>
      </c>
      <c r="AD21" s="487">
        <f t="shared" ca="1" si="4"/>
        <v>0.97684754820308028</v>
      </c>
      <c r="AE21" s="491">
        <f t="shared" ca="1" si="5"/>
        <v>0</v>
      </c>
      <c r="AF21" s="273"/>
      <c r="AG21" s="496" t="str">
        <f ca="1">IF('CDO Bespoke'!C46&lt;&gt;"",'CDO Bespoke'!C46,"")</f>
        <v>BAE SYSTEMS PLC</v>
      </c>
      <c r="AH21" s="498">
        <f ca="1"/>
        <v>3.1824002200142587E-3</v>
      </c>
      <c r="AI21" s="587">
        <f ca="1"/>
        <v>9.7405606203082584E-3</v>
      </c>
      <c r="AJ21" s="587">
        <f ca="1"/>
        <v>2.6600639490004241E-2</v>
      </c>
      <c r="AK21" s="587">
        <f ca="1"/>
        <v>0.23018933746010717</v>
      </c>
      <c r="AL21" s="499">
        <f ca="1"/>
        <v>0</v>
      </c>
      <c r="AM21" s="498">
        <f ca="1"/>
        <v>8.0305806390151835E-5</v>
      </c>
      <c r="AN21" s="587">
        <f ca="1"/>
        <v>3.7420441308007313E-4</v>
      </c>
      <c r="AO21" s="587">
        <f ca="1"/>
        <v>1.7000210774401059E-3</v>
      </c>
      <c r="AP21" s="587">
        <f ca="1"/>
        <v>0.13699116153272972</v>
      </c>
      <c r="AQ21" s="499">
        <f ca="1"/>
        <v>0</v>
      </c>
      <c r="AR21" s="508"/>
      <c r="AS21" s="582"/>
      <c r="AT21" s="582"/>
      <c r="AU21" s="582"/>
      <c r="AV21" s="582"/>
      <c r="AW21" s="582"/>
      <c r="AX21" s="581"/>
      <c r="AY21" s="581"/>
      <c r="AZ21" s="581"/>
      <c r="BA21" s="549"/>
      <c r="BC21" s="477" t="str">
        <f ca="1">IF('IRS Strip'!F28="","",'IRS Strip'!F28)</f>
        <v/>
      </c>
      <c r="BD21" s="477" t="str">
        <f ca="1">IF('IRS Strip'!B28="","",'IRS Strip'!B28)</f>
        <v/>
      </c>
    </row>
    <row r="22" spans="2:56" ht="12" thickBot="1">
      <c r="B22" s="522" t="s">
        <v>641</v>
      </c>
      <c r="C22" s="523" t="s">
        <v>66</v>
      </c>
      <c r="D22" s="523" t="s">
        <v>59</v>
      </c>
      <c r="E22" s="523">
        <v>0</v>
      </c>
      <c r="F22" s="523">
        <v>0.03</v>
      </c>
      <c r="G22" s="523" t="s">
        <v>640</v>
      </c>
      <c r="H22" s="523">
        <v>100</v>
      </c>
      <c r="I22" s="528">
        <v>0.38828527000000002</v>
      </c>
      <c r="J22" s="526">
        <v>47837</v>
      </c>
      <c r="K22" s="273"/>
      <c r="L22" s="567"/>
      <c r="M22" s="589" t="s">
        <v>686</v>
      </c>
      <c r="N22" s="593">
        <v>4</v>
      </c>
      <c r="P22" s="274"/>
      <c r="Q22" s="274"/>
      <c r="R22" s="274"/>
      <c r="S22" s="274"/>
      <c r="T22" s="578">
        <f ca="1"/>
        <v>0.06</v>
      </c>
      <c r="U22" s="575">
        <f ca="1"/>
        <v>14</v>
      </c>
      <c r="V22" s="578">
        <f t="shared" ca="1" si="0"/>
        <v>0</v>
      </c>
      <c r="W22" s="578">
        <f t="shared" ca="1" si="1"/>
        <v>0</v>
      </c>
      <c r="X22" s="486">
        <f ca="1">IF('CDO Bespoke'!O23&lt;&gt;"",'CDO Bespoke'!O23,"")</f>
        <v>1.19513401946859</v>
      </c>
      <c r="Y22" s="487">
        <f ca="1">IF(X22&lt;&gt;"",ABS(MIN(-0.75*('CDO Bespoke'!Q23)+'CDO Bespoke'!T23,0)),"")</f>
        <v>1.18753397321928</v>
      </c>
      <c r="Z22" s="487">
        <f t="shared" ca="1" si="2"/>
        <v>7.6000462493099885E-3</v>
      </c>
      <c r="AA22" s="487">
        <f t="shared" ca="1" si="3"/>
        <v>0</v>
      </c>
      <c r="AB22" s="486">
        <f ca="1">IF('CDO Bespoke'!O23&lt;&gt;"",'CDO Bespoke'!O23,"")</f>
        <v>1.19513401946859</v>
      </c>
      <c r="AC22" s="487">
        <f ca="1">IF(AB22&lt;&gt;"",ABS(MIN(-0.75*('CDO Bespoke'!K23)+'CDO Bespoke'!T23,0)),"")</f>
        <v>0.22751109461173874</v>
      </c>
      <c r="AD22" s="487">
        <f t="shared" ca="1" si="4"/>
        <v>0.96762292485685131</v>
      </c>
      <c r="AE22" s="491">
        <f t="shared" ca="1" si="5"/>
        <v>0</v>
      </c>
      <c r="AF22" s="273"/>
      <c r="AG22" s="496" t="str">
        <f ca="1">IF('CDO Bespoke'!C47&lt;&gt;"",'CDO Bespoke'!C47,"")</f>
        <v>BASF SE</v>
      </c>
      <c r="AH22" s="498">
        <f ca="1"/>
        <v>3.1521901899811411E-3</v>
      </c>
      <c r="AI22" s="587">
        <f ca="1"/>
        <v>9.53852645091402E-3</v>
      </c>
      <c r="AJ22" s="587">
        <f ca="1"/>
        <v>2.6007535630645506E-2</v>
      </c>
      <c r="AK22" s="587">
        <f ca="1"/>
        <v>0.310166879480267</v>
      </c>
      <c r="AL22" s="499">
        <f ca="1"/>
        <v>0</v>
      </c>
      <c r="AM22" s="498">
        <f ca="1"/>
        <v>7.0051793279665708E-5</v>
      </c>
      <c r="AN22" s="587">
        <f ca="1"/>
        <v>3.2702697830983007E-4</v>
      </c>
      <c r="AO22" s="587">
        <f ca="1"/>
        <v>1.4643038523293878E-3</v>
      </c>
      <c r="AP22" s="587">
        <f ca="1"/>
        <v>0.13655592105479944</v>
      </c>
      <c r="AQ22" s="499">
        <f ca="1"/>
        <v>0</v>
      </c>
      <c r="AR22" s="508"/>
      <c r="AS22" s="582"/>
      <c r="AT22" s="582"/>
      <c r="AU22" s="582"/>
      <c r="AV22" s="582"/>
      <c r="AW22" s="582"/>
      <c r="AX22" s="581"/>
      <c r="AY22" s="581"/>
      <c r="AZ22" s="581"/>
      <c r="BA22" s="549"/>
      <c r="BC22" s="477" t="str">
        <f ca="1">IF('IRS Strip'!F29="","",'IRS Strip'!F29)</f>
        <v/>
      </c>
      <c r="BD22" s="477" t="str">
        <f ca="1">IF('IRS Strip'!B29="","",'IRS Strip'!B29)</f>
        <v/>
      </c>
    </row>
    <row r="23" spans="2:56" ht="12" thickBot="1">
      <c r="D23" s="273"/>
      <c r="E23" s="273"/>
      <c r="F23" s="273"/>
      <c r="G23" s="273"/>
      <c r="H23" s="273"/>
      <c r="I23" s="273"/>
      <c r="J23" s="273"/>
      <c r="K23" s="273"/>
      <c r="L23" s="273"/>
      <c r="M23" s="600" t="s">
        <v>687</v>
      </c>
      <c r="N23" s="601">
        <v>4</v>
      </c>
      <c r="P23" s="274"/>
      <c r="Q23" s="274"/>
      <c r="R23" s="274"/>
      <c r="S23" s="274"/>
      <c r="T23" s="578">
        <f ca="1"/>
        <v>0.06</v>
      </c>
      <c r="U23" s="575">
        <f ca="1"/>
        <v>15</v>
      </c>
      <c r="V23" s="578">
        <f t="shared" ca="1" si="0"/>
        <v>0</v>
      </c>
      <c r="W23" s="578">
        <f t="shared" ca="1" si="1"/>
        <v>0</v>
      </c>
      <c r="X23" s="486">
        <f ca="1">IF('CDO Bespoke'!O24&lt;&gt;"",'CDO Bespoke'!O24,"")</f>
        <v>1.1916555861675699</v>
      </c>
      <c r="Y23" s="487">
        <f ca="1">IF(X23&lt;&gt;"",ABS(MIN(-0.75*('CDO Bespoke'!Q24)+'CDO Bespoke'!T24,0)),"")</f>
        <v>1.1900940175033672</v>
      </c>
      <c r="Z23" s="487">
        <f t="shared" ca="1" si="2"/>
        <v>1.5615686642027615E-3</v>
      </c>
      <c r="AA23" s="487">
        <f t="shared" ca="1" si="3"/>
        <v>0</v>
      </c>
      <c r="AB23" s="486">
        <f ca="1">IF('CDO Bespoke'!O24&lt;&gt;"",'CDO Bespoke'!O24,"")</f>
        <v>1.1916555861675699</v>
      </c>
      <c r="AC23" s="487">
        <f ca="1">IF(AB23&lt;&gt;"",ABS(MIN(-0.75*('CDO Bespoke'!K24)+'CDO Bespoke'!T24,0)),"")</f>
        <v>0.3603467297437718</v>
      </c>
      <c r="AD23" s="487">
        <f t="shared" ca="1" si="4"/>
        <v>0.83130885642379815</v>
      </c>
      <c r="AE23" s="491">
        <f t="shared" ca="1" si="5"/>
        <v>0</v>
      </c>
      <c r="AF23" s="273"/>
      <c r="AG23" s="496" t="str">
        <f ca="1">IF('CDO Bespoke'!C48&lt;&gt;"",'CDO Bespoke'!C48,"")</f>
        <v>Bayer Aktiengesellschaft</v>
      </c>
      <c r="AH23" s="498">
        <f ca="1"/>
        <v>3.875239150685772E-3</v>
      </c>
      <c r="AI23" s="587">
        <f ca="1"/>
        <v>1.3375953770156102E-2</v>
      </c>
      <c r="AJ23" s="587">
        <f ca="1"/>
        <v>3.7468046470978678E-2</v>
      </c>
      <c r="AK23" s="587">
        <f ca="1"/>
        <v>0.99296319142072598</v>
      </c>
      <c r="AL23" s="499">
        <f ca="1"/>
        <v>0</v>
      </c>
      <c r="AM23" s="498">
        <f ca="1"/>
        <v>-7.0778466147898567E-6</v>
      </c>
      <c r="AN23" s="587">
        <f ca="1"/>
        <v>-3.0939367184901201E-5</v>
      </c>
      <c r="AO23" s="587">
        <f ca="1"/>
        <v>-1.7406213521989344E-4</v>
      </c>
      <c r="AP23" s="587">
        <f ca="1"/>
        <v>6.5720345963280163E-2</v>
      </c>
      <c r="AQ23" s="499">
        <f ca="1"/>
        <v>0</v>
      </c>
      <c r="AR23" s="509"/>
      <c r="AS23" s="510"/>
      <c r="AT23" s="510"/>
      <c r="AU23" s="510"/>
      <c r="AV23" s="510"/>
      <c r="AW23" s="510"/>
      <c r="AX23" s="586"/>
      <c r="AY23" s="586"/>
      <c r="AZ23" s="586"/>
      <c r="BA23" s="588"/>
      <c r="BB23" s="349"/>
      <c r="BC23" s="476" t="str">
        <f ca="1">IF('IRS Strip'!F30="","",'IRS Strip'!F30)</f>
        <v/>
      </c>
      <c r="BD23" s="476" t="str">
        <f ca="1">IF('IRS Strip'!B30="","",'IRS Strip'!B30)</f>
        <v/>
      </c>
    </row>
    <row r="24" spans="2:56" ht="12" thickBot="1">
      <c r="B24" s="470" t="s">
        <v>642</v>
      </c>
      <c r="C24" s="470" t="s">
        <v>82</v>
      </c>
      <c r="D24" s="470" t="s">
        <v>432</v>
      </c>
      <c r="E24" s="470" t="s">
        <v>643</v>
      </c>
      <c r="F24" s="470" t="s">
        <v>644</v>
      </c>
      <c r="G24" s="470" t="s">
        <v>645</v>
      </c>
      <c r="H24" s="470" t="s">
        <v>646</v>
      </c>
      <c r="I24" s="470" t="s">
        <v>85</v>
      </c>
      <c r="J24" s="470" t="s">
        <v>694</v>
      </c>
      <c r="K24" s="478" t="s">
        <v>655</v>
      </c>
      <c r="L24" s="273"/>
      <c r="M24" s="598" t="s">
        <v>673</v>
      </c>
      <c r="N24" s="599">
        <v>5</v>
      </c>
      <c r="P24" s="274"/>
      <c r="Q24" s="274"/>
      <c r="R24" s="274"/>
      <c r="S24" s="274"/>
      <c r="T24" s="578">
        <f ca="1"/>
        <v>0.06</v>
      </c>
      <c r="U24" s="575">
        <f ca="1"/>
        <v>16</v>
      </c>
      <c r="V24" s="578">
        <f t="shared" ca="1" si="0"/>
        <v>0</v>
      </c>
      <c r="W24" s="578">
        <f t="shared" ca="1" si="1"/>
        <v>0</v>
      </c>
      <c r="X24" s="486">
        <f ca="1">IF('CDO Bespoke'!O25&lt;&gt;"",'CDO Bespoke'!O25,"")</f>
        <v>1.1948626212564899</v>
      </c>
      <c r="Y24" s="487">
        <f ca="1">IF(X24&lt;&gt;"",ABS(MIN(-0.75*('CDO Bespoke'!Q25)+'CDO Bespoke'!T25,0)),"")</f>
        <v>1.1879279728092742</v>
      </c>
      <c r="Z24" s="487">
        <f t="shared" ca="1" si="2"/>
        <v>6.9346484472156966E-3</v>
      </c>
      <c r="AA24" s="487">
        <f t="shared" ca="1" si="3"/>
        <v>0</v>
      </c>
      <c r="AB24" s="486">
        <f ca="1">IF('CDO Bespoke'!O25&lt;&gt;"",'CDO Bespoke'!O25,"")</f>
        <v>1.1948626212564899</v>
      </c>
      <c r="AC24" s="487">
        <f ca="1">IF(AB24&lt;&gt;"",ABS(MIN(-0.75*('CDO Bespoke'!K25)+'CDO Bespoke'!T25,0)),"")</f>
        <v>0.25152742104471221</v>
      </c>
      <c r="AD24" s="487">
        <f t="shared" ca="1" si="4"/>
        <v>0.94333520021177764</v>
      </c>
      <c r="AE24" s="491">
        <f t="shared" ca="1" si="5"/>
        <v>0</v>
      </c>
      <c r="AF24" s="273"/>
      <c r="AG24" s="496" t="str">
        <f ca="1">IF('CDO Bespoke'!C49&lt;&gt;"",'CDO Bespoke'!C49,"")</f>
        <v>Bayerische Motoren Werke Aktiengesellschaft</v>
      </c>
      <c r="AH24" s="498">
        <f ca="1"/>
        <v>3.5140720699988748E-3</v>
      </c>
      <c r="AI24" s="587">
        <f ca="1"/>
        <v>1.1035169040773951E-2</v>
      </c>
      <c r="AJ24" s="587">
        <f ca="1"/>
        <v>3.0649026760976028E-2</v>
      </c>
      <c r="AK24" s="587">
        <f ca="1"/>
        <v>0.38263244967029486</v>
      </c>
      <c r="AL24" s="499">
        <f ca="1"/>
        <v>0</v>
      </c>
      <c r="AM24" s="498">
        <f ca="1"/>
        <v>6.0555837419484781E-5</v>
      </c>
      <c r="AN24" s="587">
        <f ca="1"/>
        <v>2.8350424955969622E-4</v>
      </c>
      <c r="AO24" s="587">
        <f ca="1"/>
        <v>1.2522531725098901E-3</v>
      </c>
      <c r="AP24" s="587">
        <f ca="1"/>
        <v>0.1360020417538795</v>
      </c>
      <c r="AQ24" s="499">
        <f ca="1"/>
        <v>0</v>
      </c>
      <c r="AR24" s="582"/>
      <c r="AS24" s="582"/>
      <c r="AT24" s="582"/>
      <c r="AU24" s="582"/>
      <c r="AV24" s="582"/>
      <c r="AW24" s="582"/>
      <c r="AX24" s="581"/>
      <c r="AY24" s="581"/>
      <c r="AZ24" s="581"/>
    </row>
    <row r="25" spans="2:56">
      <c r="B25" s="531" t="s">
        <v>510</v>
      </c>
      <c r="C25" s="532" t="s">
        <v>66</v>
      </c>
      <c r="D25" s="532" t="s">
        <v>55</v>
      </c>
      <c r="E25" s="532" t="s">
        <v>647</v>
      </c>
      <c r="F25" s="532" t="s">
        <v>648</v>
      </c>
      <c r="G25" s="533">
        <v>0.01</v>
      </c>
      <c r="H25" s="533">
        <v>3.0899999999999999E-3</v>
      </c>
      <c r="I25" s="534">
        <v>0.4</v>
      </c>
      <c r="J25" s="595">
        <v>4</v>
      </c>
      <c r="K25" s="535">
        <v>1</v>
      </c>
      <c r="L25" s="273"/>
      <c r="M25" s="589" t="s">
        <v>689</v>
      </c>
      <c r="N25" s="593">
        <v>5</v>
      </c>
      <c r="P25" s="274"/>
      <c r="Q25" s="274"/>
      <c r="R25" s="274"/>
      <c r="S25" s="274"/>
      <c r="T25" s="578">
        <f ca="1"/>
        <v>0.03</v>
      </c>
      <c r="U25" s="575">
        <f ca="1"/>
        <v>17</v>
      </c>
      <c r="V25" s="578">
        <f t="shared" ca="1" si="0"/>
        <v>0</v>
      </c>
      <c r="W25" s="578">
        <f t="shared" ca="1" si="1"/>
        <v>0</v>
      </c>
      <c r="X25" s="486">
        <f ca="1">IF('CDO Bespoke'!O26&lt;&gt;"",'CDO Bespoke'!O26,"")</f>
        <v>1.19514175996612</v>
      </c>
      <c r="Y25" s="487">
        <f ca="1">IF(X25&lt;&gt;"",ABS(MIN(-0.75*('CDO Bespoke'!Q26)+'CDO Bespoke'!T26,0)),"")</f>
        <v>1.1875212175192917</v>
      </c>
      <c r="Z25" s="487">
        <f t="shared" ca="1" si="2"/>
        <v>7.6205424468283045E-3</v>
      </c>
      <c r="AA25" s="487">
        <f t="shared" ca="1" si="3"/>
        <v>0</v>
      </c>
      <c r="AB25" s="486">
        <f ca="1">IF('CDO Bespoke'!O26&lt;&gt;"",'CDO Bespoke'!O26,"")</f>
        <v>1.19514175996612</v>
      </c>
      <c r="AC25" s="487">
        <f ca="1">IF(AB25&lt;&gt;"",ABS(MIN(-0.75*('CDO Bespoke'!K26)+'CDO Bespoke'!T26,0)),"")</f>
        <v>0.22669383961084488</v>
      </c>
      <c r="AD25" s="487">
        <f t="shared" ca="1" si="4"/>
        <v>0.96844792035527516</v>
      </c>
      <c r="AE25" s="491">
        <f t="shared" ca="1" si="5"/>
        <v>0</v>
      </c>
      <c r="AF25" s="273"/>
      <c r="AG25" s="496" t="str">
        <f ca="1">IF('CDO Bespoke'!C50&lt;&gt;"",'CDO Bespoke'!C50,"")</f>
        <v>BOUYGUES</v>
      </c>
      <c r="AH25" s="498">
        <f ca="1"/>
        <v>3.4078312305396707E-3</v>
      </c>
      <c r="AI25" s="587">
        <f ca="1"/>
        <v>1.0678548320042225E-2</v>
      </c>
      <c r="AJ25" s="587">
        <f ca="1"/>
        <v>2.9467855400255871E-2</v>
      </c>
      <c r="AK25" s="587">
        <f ca="1"/>
        <v>0.22426633680017183</v>
      </c>
      <c r="AL25" s="499">
        <f ca="1"/>
        <v>0</v>
      </c>
      <c r="AM25" s="498">
        <f ca="1"/>
        <v>8.08077932401563E-5</v>
      </c>
      <c r="AN25" s="587">
        <f ca="1"/>
        <v>3.7662658466941501E-4</v>
      </c>
      <c r="AO25" s="587">
        <f ca="1"/>
        <v>1.7149465115693513E-3</v>
      </c>
      <c r="AP25" s="587">
        <f ca="1"/>
        <v>0.13694277457850929</v>
      </c>
      <c r="AQ25" s="499">
        <f ca="1"/>
        <v>0</v>
      </c>
      <c r="AR25" s="582"/>
      <c r="AS25" s="582"/>
      <c r="AT25" s="582"/>
      <c r="AU25" s="582"/>
      <c r="AV25" s="582"/>
      <c r="AW25" s="582"/>
      <c r="AX25" s="581"/>
      <c r="AY25" s="581"/>
      <c r="AZ25" s="581"/>
    </row>
    <row r="26" spans="2:56">
      <c r="B26" s="519" t="s">
        <v>510</v>
      </c>
      <c r="C26" s="520" t="s">
        <v>66</v>
      </c>
      <c r="D26" s="520" t="s">
        <v>57</v>
      </c>
      <c r="E26" s="520" t="s">
        <v>647</v>
      </c>
      <c r="F26" s="520" t="s">
        <v>648</v>
      </c>
      <c r="G26" s="527">
        <v>0.01</v>
      </c>
      <c r="H26" s="527">
        <v>4.5950000000000001E-3</v>
      </c>
      <c r="I26" s="529">
        <v>0.4</v>
      </c>
      <c r="J26" s="596">
        <v>4</v>
      </c>
      <c r="K26" s="521">
        <v>1</v>
      </c>
      <c r="L26" s="273"/>
      <c r="M26" s="600" t="s">
        <v>688</v>
      </c>
      <c r="N26" s="601">
        <v>5</v>
      </c>
      <c r="P26" s="274"/>
      <c r="Q26" s="274"/>
      <c r="R26" s="274"/>
      <c r="S26" s="274"/>
      <c r="T26" s="578">
        <f ca="1"/>
        <v>0.06</v>
      </c>
      <c r="U26" s="575">
        <f ca="1"/>
        <v>18</v>
      </c>
      <c r="V26" s="578">
        <f t="shared" ca="1" si="0"/>
        <v>0</v>
      </c>
      <c r="W26" s="578">
        <f t="shared" ca="1" si="1"/>
        <v>0</v>
      </c>
      <c r="X26" s="486">
        <f ca="1">IF('CDO Bespoke'!O27&lt;&gt;"",'CDO Bespoke'!O27,"")</f>
        <v>1.1933674022207501</v>
      </c>
      <c r="Y26" s="487">
        <f ca="1">IF(X26&lt;&gt;"",ABS(MIN(-0.75*('CDO Bespoke'!Q27)+'CDO Bespoke'!T27,0)),"")</f>
        <v>1.1892501014475581</v>
      </c>
      <c r="Z26" s="487">
        <f t="shared" ca="1" si="2"/>
        <v>4.1173007731920563E-3</v>
      </c>
      <c r="AA26" s="487">
        <f t="shared" ca="1" si="3"/>
        <v>0</v>
      </c>
      <c r="AB26" s="486">
        <f ca="1">IF('CDO Bespoke'!O27&lt;&gt;"",'CDO Bespoke'!O27,"")</f>
        <v>1.1933674022207501</v>
      </c>
      <c r="AC26" s="487">
        <f ca="1">IF(AB26&lt;&gt;"",ABS(MIN(-0.75*('CDO Bespoke'!K27)+'CDO Bespoke'!T27,0)),"")</f>
        <v>0.32067269775813484</v>
      </c>
      <c r="AD26" s="487">
        <f t="shared" ca="1" si="4"/>
        <v>0.87269470446261521</v>
      </c>
      <c r="AE26" s="491">
        <f t="shared" ca="1" si="5"/>
        <v>0</v>
      </c>
      <c r="AF26" s="273"/>
      <c r="AG26" s="496" t="str">
        <f ca="1">IF('CDO Bespoke'!C51&lt;&gt;"",'CDO Bespoke'!C51,"")</f>
        <v>CNH Industrial N.V</v>
      </c>
      <c r="AH26" s="498">
        <f ca="1"/>
        <v>3.8976477301222445E-3</v>
      </c>
      <c r="AI26" s="587">
        <f ca="1"/>
        <v>1.2972951159984092E-2</v>
      </c>
      <c r="AJ26" s="587">
        <f ca="1"/>
        <v>3.662054331998732E-2</v>
      </c>
      <c r="AK26" s="587">
        <f ca="1"/>
        <v>0.7533891645805646</v>
      </c>
      <c r="AL26" s="499">
        <f ca="1"/>
        <v>0</v>
      </c>
      <c r="AM26" s="498">
        <f ca="1"/>
        <v>1.524709751996034E-5</v>
      </c>
      <c r="AN26" s="587">
        <f ca="1"/>
        <v>7.4614446989983846E-5</v>
      </c>
      <c r="AO26" s="587">
        <f ca="1"/>
        <v>3.0308933123995331E-4</v>
      </c>
      <c r="AP26" s="587">
        <f ca="1"/>
        <v>0.13334263683797992</v>
      </c>
      <c r="AQ26" s="499">
        <f ca="1"/>
        <v>0</v>
      </c>
      <c r="AR26" s="582"/>
      <c r="AS26" s="582"/>
      <c r="AT26" s="582"/>
      <c r="AU26" s="582"/>
      <c r="AV26" s="582"/>
      <c r="AW26" s="582"/>
      <c r="AX26" s="581"/>
    </row>
    <row r="27" spans="2:56">
      <c r="B27" s="536" t="s">
        <v>510</v>
      </c>
      <c r="C27" s="537" t="s">
        <v>66</v>
      </c>
      <c r="D27" s="537" t="s">
        <v>59</v>
      </c>
      <c r="E27" s="537" t="s">
        <v>647</v>
      </c>
      <c r="F27" s="537" t="s">
        <v>648</v>
      </c>
      <c r="G27" s="538">
        <v>0.01</v>
      </c>
      <c r="H27" s="538">
        <v>6.3160000000000004E-3</v>
      </c>
      <c r="I27" s="539">
        <v>0.4</v>
      </c>
      <c r="J27" s="597">
        <v>4</v>
      </c>
      <c r="K27" s="540">
        <v>1</v>
      </c>
      <c r="L27" s="273"/>
      <c r="M27" s="598" t="s">
        <v>654</v>
      </c>
      <c r="N27" s="599">
        <v>6</v>
      </c>
      <c r="P27" s="274"/>
      <c r="Q27" s="274"/>
      <c r="R27" s="274"/>
      <c r="S27" s="274"/>
      <c r="T27" s="578">
        <f ca="1"/>
        <v>0.06</v>
      </c>
      <c r="U27" s="575">
        <f ca="1"/>
        <v>19</v>
      </c>
      <c r="V27" s="578">
        <f t="shared" ca="1" si="0"/>
        <v>0</v>
      </c>
      <c r="W27" s="578">
        <f t="shared" ca="1" si="1"/>
        <v>0</v>
      </c>
      <c r="X27" s="486">
        <f ca="1">IF('CDO Bespoke'!O28&lt;&gt;"",'CDO Bespoke'!O28,"")</f>
        <v>1.19482966003038</v>
      </c>
      <c r="Y27" s="487">
        <f ca="1">IF(X27&lt;&gt;"",ABS(MIN(-0.75*('CDO Bespoke'!Q28)+'CDO Bespoke'!T28,0)),"")</f>
        <v>1.1879701496762969</v>
      </c>
      <c r="Z27" s="487">
        <f t="shared" ca="1" si="2"/>
        <v>6.8595103540831648E-3</v>
      </c>
      <c r="AA27" s="487">
        <f t="shared" ca="1" si="3"/>
        <v>0</v>
      </c>
      <c r="AB27" s="486">
        <f ca="1">IF('CDO Bespoke'!O28&lt;&gt;"",'CDO Bespoke'!O28,"")</f>
        <v>1.19482966003038</v>
      </c>
      <c r="AC27" s="487">
        <f ca="1">IF(AB27&lt;&gt;"",ABS(MIN(-0.75*('CDO Bespoke'!K28)+'CDO Bespoke'!T28,0)),"")</f>
        <v>0.25397368814804838</v>
      </c>
      <c r="AD27" s="487">
        <f t="shared" ca="1" si="4"/>
        <v>0.94085597188233172</v>
      </c>
      <c r="AE27" s="491">
        <f t="shared" ca="1" si="5"/>
        <v>0</v>
      </c>
      <c r="AF27" s="273"/>
      <c r="AG27" s="496" t="str">
        <f ca="1">IF('CDO Bespoke'!C52&lt;&gt;"",'CDO Bespoke'!C52,"")</f>
        <v>COMPAGNIE DE SAINT-GOBAIN</v>
      </c>
      <c r="AH27" s="498">
        <f ca="1"/>
        <v>-1.9096491069570121E-2</v>
      </c>
      <c r="AI27" s="587">
        <f ca="1"/>
        <v>-9.1540276789814357E-2</v>
      </c>
      <c r="AJ27" s="587">
        <f ca="1"/>
        <v>-0.36303946210902716</v>
      </c>
      <c r="AK27" s="587">
        <f ca="1"/>
        <v>3.1741473774704598</v>
      </c>
      <c r="AL27" s="499">
        <f ca="1"/>
        <v>0</v>
      </c>
      <c r="AM27" s="498">
        <f ca="1"/>
        <v>-4.0262077470321067E-4</v>
      </c>
      <c r="AN27" s="587">
        <f ca="1"/>
        <v>-1.8552630356993838E-3</v>
      </c>
      <c r="AO27" s="587">
        <f ca="1"/>
        <v>-8.2616089455006536E-3</v>
      </c>
      <c r="AP27" s="587">
        <f ca="1"/>
        <v>0.11711696675759664</v>
      </c>
      <c r="AQ27" s="499">
        <f ca="1"/>
        <v>0</v>
      </c>
      <c r="AR27" s="582"/>
      <c r="AS27" s="582"/>
      <c r="AT27" s="582"/>
      <c r="AU27" s="582"/>
      <c r="AV27" s="582"/>
      <c r="AW27" s="582"/>
      <c r="AX27" s="581"/>
    </row>
    <row r="28" spans="2:56">
      <c r="B28" s="541" t="s">
        <v>511</v>
      </c>
      <c r="C28" s="542" t="s">
        <v>66</v>
      </c>
      <c r="D28" s="542" t="s">
        <v>55</v>
      </c>
      <c r="E28" s="542" t="s">
        <v>647</v>
      </c>
      <c r="F28" s="542" t="s">
        <v>648</v>
      </c>
      <c r="G28" s="543">
        <v>0.01</v>
      </c>
      <c r="H28" s="543">
        <v>2.9420000000000002E-3</v>
      </c>
      <c r="I28" s="544">
        <v>0.4</v>
      </c>
      <c r="J28" s="604">
        <v>4</v>
      </c>
      <c r="K28" s="545">
        <v>2</v>
      </c>
      <c r="L28" s="273"/>
      <c r="M28" s="600" t="s">
        <v>677</v>
      </c>
      <c r="N28" s="601">
        <v>6</v>
      </c>
      <c r="P28" s="274"/>
      <c r="Q28" s="274"/>
      <c r="R28" s="274"/>
      <c r="S28" s="274"/>
      <c r="T28" s="578">
        <f ca="1"/>
        <v>5.0000000000000001E-3</v>
      </c>
      <c r="U28" s="575">
        <f ca="1"/>
        <v>20</v>
      </c>
      <c r="V28" s="578">
        <f t="shared" ca="1" si="0"/>
        <v>0</v>
      </c>
      <c r="W28" s="578">
        <f t="shared" ca="1" si="1"/>
        <v>0</v>
      </c>
      <c r="X28" s="486">
        <f ca="1">IF('CDO Bespoke'!O29&lt;&gt;"",'CDO Bespoke'!O29,"")</f>
        <v>1.1935203680678901</v>
      </c>
      <c r="Y28" s="487">
        <f ca="1">IF(X28&lt;&gt;"",ABS(MIN(-0.75*('CDO Bespoke'!Q29)+'CDO Bespoke'!T29,0)),"")</f>
        <v>1.1891505521473211</v>
      </c>
      <c r="Z28" s="487">
        <f t="shared" ca="1" si="2"/>
        <v>4.3698159205689535E-3</v>
      </c>
      <c r="AA28" s="487">
        <f t="shared" ca="1" si="3"/>
        <v>0</v>
      </c>
      <c r="AB28" s="486">
        <f ca="1">IF('CDO Bespoke'!O29&lt;&gt;"",'CDO Bespoke'!O29,"")</f>
        <v>1.1935203680678901</v>
      </c>
      <c r="AC28" s="487">
        <f ca="1">IF(AB28&lt;&gt;"",ABS(MIN(-0.75*('CDO Bespoke'!K29)+'CDO Bespoke'!T29,0)),"")</f>
        <v>0.31586314400195292</v>
      </c>
      <c r="AD28" s="487">
        <f t="shared" ca="1" si="4"/>
        <v>0.87765722406593716</v>
      </c>
      <c r="AE28" s="491">
        <f t="shared" ca="1" si="5"/>
        <v>0</v>
      </c>
      <c r="AF28" s="273"/>
      <c r="AG28" s="496" t="str">
        <f ca="1">IF('CDO Bespoke'!C53&lt;&gt;"",'CDO Bespoke'!C53,"")</f>
        <v>Continental Aktiengesellschaft</v>
      </c>
      <c r="AH28" s="498">
        <f ca="1"/>
        <v>3.3628861806356269E-3</v>
      </c>
      <c r="AI28" s="587">
        <f ca="1"/>
        <v>1.0527592070319614E-2</v>
      </c>
      <c r="AJ28" s="587">
        <f ca="1"/>
        <v>2.7756067270123808E-2</v>
      </c>
      <c r="AK28" s="587">
        <f ca="1"/>
        <v>0.85138062988043828</v>
      </c>
      <c r="AL28" s="499">
        <f ca="1"/>
        <v>0</v>
      </c>
      <c r="AM28" s="498">
        <f ca="1"/>
        <v>4.6279713603047945E-6</v>
      </c>
      <c r="AN28" s="587">
        <f ca="1"/>
        <v>2.5385271241486467E-5</v>
      </c>
      <c r="AO28" s="587">
        <f ca="1"/>
        <v>6.8379985921490638E-5</v>
      </c>
      <c r="AP28" s="587">
        <f ca="1"/>
        <v>0.1330125887651103</v>
      </c>
      <c r="AQ28" s="499">
        <f ca="1"/>
        <v>0</v>
      </c>
      <c r="AR28" s="582"/>
      <c r="AS28" s="582"/>
      <c r="AT28" s="606"/>
      <c r="AU28" s="582"/>
      <c r="AV28" s="582"/>
      <c r="AW28" s="582"/>
      <c r="AX28" s="581"/>
    </row>
    <row r="29" spans="2:56">
      <c r="B29" s="519" t="s">
        <v>511</v>
      </c>
      <c r="C29" s="520" t="s">
        <v>66</v>
      </c>
      <c r="D29" s="520" t="s">
        <v>57</v>
      </c>
      <c r="E29" s="520" t="s">
        <v>647</v>
      </c>
      <c r="F29" s="520" t="s">
        <v>648</v>
      </c>
      <c r="G29" s="527">
        <v>0.01</v>
      </c>
      <c r="H29" s="527">
        <v>4.9529999999999999E-3</v>
      </c>
      <c r="I29" s="529">
        <v>0.4</v>
      </c>
      <c r="J29" s="596">
        <v>4</v>
      </c>
      <c r="K29" s="521">
        <v>2</v>
      </c>
      <c r="L29" s="273"/>
      <c r="M29" s="598" t="s">
        <v>674</v>
      </c>
      <c r="N29" s="599">
        <v>7</v>
      </c>
      <c r="P29" s="274"/>
      <c r="Q29" s="274"/>
      <c r="R29" s="274"/>
      <c r="S29" s="274"/>
      <c r="T29" s="578">
        <f ca="1"/>
        <v>0.03</v>
      </c>
      <c r="U29" s="575">
        <f ca="1"/>
        <v>21</v>
      </c>
      <c r="V29" s="578">
        <f t="shared" ca="1" si="0"/>
        <v>0</v>
      </c>
      <c r="W29" s="578">
        <f t="shared" ca="1" si="1"/>
        <v>0</v>
      </c>
      <c r="X29" s="486">
        <f ca="1">IF('CDO Bespoke'!O30&lt;&gt;"",'CDO Bespoke'!O30,"")</f>
        <v>1.1935458406925701</v>
      </c>
      <c r="Y29" s="487">
        <f ca="1">IF(X29&lt;&gt;"",ABS(MIN(-0.75*('CDO Bespoke'!Q30)+'CDO Bespoke'!T30,0)),"")</f>
        <v>1.1891334422904116</v>
      </c>
      <c r="Z29" s="487">
        <f t="shared" ca="1" si="2"/>
        <v>4.4123984021584572E-3</v>
      </c>
      <c r="AA29" s="487">
        <f t="shared" ca="1" si="3"/>
        <v>0</v>
      </c>
      <c r="AB29" s="486">
        <f ca="1">IF('CDO Bespoke'!O30&lt;&gt;"",'CDO Bespoke'!O30,"")</f>
        <v>1.1935458406925701</v>
      </c>
      <c r="AC29" s="487">
        <f ca="1">IF(AB29&lt;&gt;"",ABS(MIN(-0.75*('CDO Bespoke'!K30)+'CDO Bespoke'!T30,0)),"")</f>
        <v>0.31503212513594964</v>
      </c>
      <c r="AD29" s="487">
        <f t="shared" ca="1" si="4"/>
        <v>0.8785137155566205</v>
      </c>
      <c r="AE29" s="491">
        <f t="shared" ca="1" si="5"/>
        <v>0</v>
      </c>
      <c r="AF29" s="273"/>
      <c r="AG29" s="496" t="str">
        <f ca="1">IF('CDO Bespoke'!C54&lt;&gt;"",'CDO Bespoke'!C54,"")</f>
        <v>Glencore International AG</v>
      </c>
      <c r="AH29" s="498">
        <f ca="1"/>
        <v>2.8454874601013813E-3</v>
      </c>
      <c r="AI29" s="587">
        <f ca="1"/>
        <v>8.1926043804525506E-3</v>
      </c>
      <c r="AJ29" s="587">
        <f ca="1"/>
        <v>1.9104576119977068E-2</v>
      </c>
      <c r="AK29" s="587">
        <f ca="1"/>
        <v>0.96405279739086858</v>
      </c>
      <c r="AL29" s="499">
        <f ca="1"/>
        <v>0</v>
      </c>
      <c r="AM29" s="498">
        <f ca="1"/>
        <v>-7.9158281700297817E-6</v>
      </c>
      <c r="AN29" s="587">
        <f ca="1"/>
        <v>-3.2733888419896745E-5</v>
      </c>
      <c r="AO29" s="587">
        <f ca="1"/>
        <v>-2.0751920576985577E-4</v>
      </c>
      <c r="AP29" s="587">
        <f ca="1"/>
        <v>0.13254366699786002</v>
      </c>
      <c r="AQ29" s="499">
        <f ca="1"/>
        <v>0</v>
      </c>
      <c r="AR29" s="582"/>
      <c r="AS29" s="582"/>
      <c r="AT29" s="582"/>
      <c r="AU29" s="582"/>
      <c r="AV29" s="582"/>
      <c r="AW29" s="582"/>
      <c r="AX29" s="581"/>
    </row>
    <row r="30" spans="2:56">
      <c r="B30" s="536" t="s">
        <v>511</v>
      </c>
      <c r="C30" s="537" t="s">
        <v>66</v>
      </c>
      <c r="D30" s="537" t="s">
        <v>59</v>
      </c>
      <c r="E30" s="537" t="s">
        <v>647</v>
      </c>
      <c r="F30" s="537" t="s">
        <v>648</v>
      </c>
      <c r="G30" s="538">
        <v>0.01</v>
      </c>
      <c r="H30" s="538">
        <v>7.0489999999999997E-3</v>
      </c>
      <c r="I30" s="539">
        <v>0.4</v>
      </c>
      <c r="J30" s="597">
        <v>4</v>
      </c>
      <c r="K30" s="540">
        <v>2</v>
      </c>
      <c r="L30" s="273"/>
      <c r="M30" s="589" t="s">
        <v>653</v>
      </c>
      <c r="N30" s="593">
        <v>7</v>
      </c>
      <c r="P30" s="274"/>
      <c r="Q30" s="274"/>
      <c r="R30" s="274"/>
      <c r="S30" s="274"/>
      <c r="T30" s="578">
        <f ca="1"/>
        <v>0.06</v>
      </c>
      <c r="U30" s="575">
        <f ca="1"/>
        <v>22</v>
      </c>
      <c r="V30" s="578">
        <f t="shared" ca="1" si="0"/>
        <v>0</v>
      </c>
      <c r="W30" s="578">
        <f t="shared" ca="1" si="1"/>
        <v>0</v>
      </c>
      <c r="X30" s="486">
        <f ca="1">IF('CDO Bespoke'!O31&lt;&gt;"",'CDO Bespoke'!O31,"")</f>
        <v>1.1953888514928499</v>
      </c>
      <c r="Y30" s="487">
        <f ca="1">IF(X30&lt;&gt;"",ABS(MIN(-0.75*('CDO Bespoke'!Q31)+'CDO Bespoke'!T31,0)),"")</f>
        <v>1.1870429139716236</v>
      </c>
      <c r="Z30" s="487">
        <f t="shared" ca="1" si="2"/>
        <v>8.3459375212262543E-3</v>
      </c>
      <c r="AA30" s="487">
        <f t="shared" ca="1" si="3"/>
        <v>0</v>
      </c>
      <c r="AB30" s="486">
        <f ca="1">IF('CDO Bespoke'!O31&lt;&gt;"",'CDO Bespoke'!O31,"")</f>
        <v>1.1953888514928499</v>
      </c>
      <c r="AC30" s="487">
        <f ca="1">IF(AB30&lt;&gt;"",ABS(MIN(-0.75*('CDO Bespoke'!K31)+'CDO Bespoke'!T31,0)),"")</f>
        <v>0.1937017356694487</v>
      </c>
      <c r="AD30" s="487">
        <f t="shared" ca="1" si="4"/>
        <v>1.0016871158234011</v>
      </c>
      <c r="AE30" s="491">
        <f t="shared" ca="1" si="5"/>
        <v>0</v>
      </c>
      <c r="AF30" s="273"/>
      <c r="AG30" s="496" t="str">
        <f ca="1">IF('CDO Bespoke'!C55&lt;&gt;"",'CDO Bespoke'!C55,"")</f>
        <v>GSK PLC</v>
      </c>
      <c r="AH30" s="498">
        <f ca="1"/>
        <v>2.8283095709902284E-3</v>
      </c>
      <c r="AI30" s="587">
        <f ca="1"/>
        <v>8.4232903108105717E-3</v>
      </c>
      <c r="AJ30" s="587">
        <f ca="1"/>
        <v>2.2486410070632346E-2</v>
      </c>
      <c r="AK30" s="587">
        <f ca="1"/>
        <v>0.14937274807058643</v>
      </c>
      <c r="AL30" s="499">
        <f ca="1"/>
        <v>0</v>
      </c>
      <c r="AM30" s="498">
        <f ca="1"/>
        <v>4.5910729079903789E-5</v>
      </c>
      <c r="AN30" s="587">
        <f ca="1"/>
        <v>2.1348458894947242E-4</v>
      </c>
      <c r="AO30" s="587">
        <f ca="1"/>
        <v>9.7975251112519812E-4</v>
      </c>
      <c r="AP30" s="587">
        <f ca="1"/>
        <v>6.8785341160499877E-2</v>
      </c>
      <c r="AQ30" s="499">
        <f ca="1"/>
        <v>0</v>
      </c>
      <c r="AR30" s="582"/>
      <c r="AS30" s="582"/>
      <c r="AT30" s="582"/>
      <c r="AU30" s="582"/>
      <c r="AV30" s="582"/>
      <c r="AW30" s="582"/>
      <c r="AX30" s="581"/>
    </row>
    <row r="31" spans="2:56">
      <c r="B31" s="541" t="s">
        <v>529</v>
      </c>
      <c r="C31" s="542" t="s">
        <v>66</v>
      </c>
      <c r="D31" s="542" t="s">
        <v>55</v>
      </c>
      <c r="E31" s="542" t="s">
        <v>649</v>
      </c>
      <c r="F31" s="542" t="s">
        <v>675</v>
      </c>
      <c r="G31" s="543">
        <v>0.01</v>
      </c>
      <c r="H31" s="543">
        <v>3.0409999999999999E-3</v>
      </c>
      <c r="I31" s="544">
        <v>0.4</v>
      </c>
      <c r="J31" s="604">
        <v>4</v>
      </c>
      <c r="K31" s="545">
        <v>3</v>
      </c>
      <c r="L31" s="273"/>
      <c r="M31" s="600" t="s">
        <v>690</v>
      </c>
      <c r="N31" s="601">
        <v>7</v>
      </c>
      <c r="P31" s="274"/>
      <c r="Q31" s="274"/>
      <c r="R31" s="274"/>
      <c r="S31" s="274"/>
      <c r="T31" s="578">
        <f ca="1"/>
        <v>0.06</v>
      </c>
      <c r="U31" s="575">
        <f ca="1"/>
        <v>23</v>
      </c>
      <c r="V31" s="578">
        <f t="shared" ca="1" si="0"/>
        <v>0</v>
      </c>
      <c r="W31" s="578">
        <f t="shared" ca="1" si="1"/>
        <v>0</v>
      </c>
      <c r="X31" s="486">
        <f ca="1">IF('CDO Bespoke'!O32&lt;&gt;"",'CDO Bespoke'!O32,"")</f>
        <v>1.1935752032463101</v>
      </c>
      <c r="Y31" s="487">
        <f ca="1">IF(X31&lt;&gt;"",ABS(MIN(-0.75*('CDO Bespoke'!Q32)+'CDO Bespoke'!T32,0)),"")</f>
        <v>1.1891135222435627</v>
      </c>
      <c r="Z31" s="487">
        <f t="shared" ca="1" si="2"/>
        <v>4.461681002747353E-3</v>
      </c>
      <c r="AA31" s="487">
        <f t="shared" ca="1" si="3"/>
        <v>0</v>
      </c>
      <c r="AB31" s="486">
        <f ca="1">IF('CDO Bespoke'!O32&lt;&gt;"",'CDO Bespoke'!O32,"")</f>
        <v>1.1935752032463101</v>
      </c>
      <c r="AC31" s="487">
        <f ca="1">IF(AB31&lt;&gt;"",ABS(MIN(-0.75*('CDO Bespoke'!K32)+'CDO Bespoke'!T32,0)),"")</f>
        <v>0.3140629141086797</v>
      </c>
      <c r="AD31" s="487">
        <f t="shared" ca="1" si="4"/>
        <v>0.87951228913763035</v>
      </c>
      <c r="AE31" s="491">
        <f t="shared" ca="1" si="5"/>
        <v>0</v>
      </c>
      <c r="AF31" s="273"/>
      <c r="AG31" s="496" t="str">
        <f ca="1">IF('CDO Bespoke'!C56&lt;&gt;"",'CDO Bespoke'!C56,"")</f>
        <v>Heidelberg Materials AG</v>
      </c>
      <c r="AH31" s="498">
        <f ca="1"/>
        <v>3.7100341210294374E-3</v>
      </c>
      <c r="AI31" s="587">
        <f ca="1"/>
        <v>1.207363146016327E-2</v>
      </c>
      <c r="AJ31" s="587">
        <f ca="1"/>
        <v>3.3468038940220879E-2</v>
      </c>
      <c r="AK31" s="587">
        <f ca="1"/>
        <v>0.75757615958016444</v>
      </c>
      <c r="AL31" s="499">
        <f ca="1"/>
        <v>0</v>
      </c>
      <c r="AM31" s="498">
        <f ca="1"/>
        <v>1.5166255769999415E-5</v>
      </c>
      <c r="AN31" s="587">
        <f ca="1"/>
        <v>7.4204161173074476E-5</v>
      </c>
      <c r="AO31" s="587">
        <f ca="1"/>
        <v>3.0082725210006482E-4</v>
      </c>
      <c r="AP31" s="587">
        <f ca="1"/>
        <v>0.13344432973812009</v>
      </c>
      <c r="AQ31" s="499">
        <f ca="1"/>
        <v>0</v>
      </c>
      <c r="AR31" s="582"/>
      <c r="AS31" s="582"/>
      <c r="AT31" s="582"/>
      <c r="AU31" s="582"/>
      <c r="AV31" s="582"/>
      <c r="AW31" s="582"/>
      <c r="AX31" s="581"/>
    </row>
    <row r="32" spans="2:56">
      <c r="B32" s="519" t="s">
        <v>529</v>
      </c>
      <c r="C32" s="520" t="s">
        <v>66</v>
      </c>
      <c r="D32" s="520" t="s">
        <v>57</v>
      </c>
      <c r="E32" s="520" t="s">
        <v>649</v>
      </c>
      <c r="F32" s="520" t="s">
        <v>675</v>
      </c>
      <c r="G32" s="527">
        <v>0.01</v>
      </c>
      <c r="H32" s="527">
        <v>5.1590000000000004E-3</v>
      </c>
      <c r="I32" s="529">
        <v>0.4</v>
      </c>
      <c r="J32" s="596">
        <v>4</v>
      </c>
      <c r="K32" s="521">
        <v>3</v>
      </c>
      <c r="L32" s="273"/>
      <c r="M32" s="602" t="s">
        <v>691</v>
      </c>
      <c r="N32" s="603">
        <v>8</v>
      </c>
      <c r="P32" s="274"/>
      <c r="Q32" s="274"/>
      <c r="R32" s="274"/>
      <c r="S32" s="274"/>
      <c r="T32" s="578">
        <f ca="1"/>
        <v>0.03</v>
      </c>
      <c r="U32" s="575">
        <f ca="1"/>
        <v>24</v>
      </c>
      <c r="V32" s="578">
        <f t="shared" ca="1" si="0"/>
        <v>0</v>
      </c>
      <c r="W32" s="578">
        <f t="shared" ca="1" si="1"/>
        <v>0</v>
      </c>
      <c r="X32" s="486">
        <f ca="1">IF('CDO Bespoke'!O33&lt;&gt;"",'CDO Bespoke'!O33,"")</f>
        <v>1.19421377669364</v>
      </c>
      <c r="Y32" s="487">
        <f ca="1">IF(X32&lt;&gt;"",ABS(MIN(-0.75*('CDO Bespoke'!Q33)+'CDO Bespoke'!T33,0)),"")</f>
        <v>1.1886179462263353</v>
      </c>
      <c r="Z32" s="487">
        <f t="shared" ca="1" si="2"/>
        <v>5.5958304673047188E-3</v>
      </c>
      <c r="AA32" s="487">
        <f t="shared" ca="1" si="3"/>
        <v>0</v>
      </c>
      <c r="AB32" s="486">
        <f ca="1">IF('CDO Bespoke'!O33&lt;&gt;"",'CDO Bespoke'!O33,"")</f>
        <v>1.19421377669364</v>
      </c>
      <c r="AC32" s="487">
        <f ca="1">IF(AB32&lt;&gt;"",ABS(MIN(-0.75*('CDO Bespoke'!K33)+'CDO Bespoke'!T33,0)),"")</f>
        <v>0.28924816463659753</v>
      </c>
      <c r="AD32" s="487">
        <f t="shared" ca="1" si="4"/>
        <v>0.90496561205704251</v>
      </c>
      <c r="AE32" s="491">
        <f t="shared" ca="1" si="5"/>
        <v>0</v>
      </c>
      <c r="AF32" s="273"/>
      <c r="AG32" s="496" t="str">
        <f ca="1">IF('CDO Bespoke'!C57&lt;&gt;"",'CDO Bespoke'!C57,"")</f>
        <v>Holcim AG</v>
      </c>
      <c r="AH32" s="498">
        <f ca="1"/>
        <v>3.718457450840873E-3</v>
      </c>
      <c r="AI32" s="587">
        <f ca="1"/>
        <v>1.1967320150407801E-2</v>
      </c>
      <c r="AJ32" s="587">
        <f ca="1"/>
        <v>3.3247770651056996E-2</v>
      </c>
      <c r="AK32" s="587">
        <f ca="1"/>
        <v>0.59391584845025491</v>
      </c>
      <c r="AL32" s="499">
        <f ca="1"/>
        <v>0</v>
      </c>
      <c r="AM32" s="498">
        <f ca="1"/>
        <v>3.4778295870258047E-5</v>
      </c>
      <c r="AN32" s="587">
        <f ca="1"/>
        <v>1.6480441098008086E-4</v>
      </c>
      <c r="AO32" s="587">
        <f ca="1"/>
        <v>6.6516544902032321E-4</v>
      </c>
      <c r="AP32" s="587">
        <f ca="1"/>
        <v>0.13465385161671015</v>
      </c>
      <c r="AQ32" s="499">
        <f ca="1"/>
        <v>0</v>
      </c>
      <c r="AR32" s="582"/>
      <c r="AS32" s="582"/>
      <c r="AT32" s="582"/>
      <c r="AU32" s="582"/>
      <c r="AV32" s="582"/>
      <c r="AW32" s="582"/>
      <c r="AX32" s="581"/>
    </row>
    <row r="33" spans="2:50" ht="12" thickBot="1">
      <c r="B33" s="536" t="s">
        <v>529</v>
      </c>
      <c r="C33" s="537" t="s">
        <v>66</v>
      </c>
      <c r="D33" s="537" t="s">
        <v>59</v>
      </c>
      <c r="E33" s="537" t="s">
        <v>649</v>
      </c>
      <c r="F33" s="537" t="s">
        <v>675</v>
      </c>
      <c r="G33" s="538">
        <v>0.01</v>
      </c>
      <c r="H33" s="538">
        <v>6.8450000000000004E-3</v>
      </c>
      <c r="I33" s="539">
        <v>0.4</v>
      </c>
      <c r="J33" s="597">
        <v>4</v>
      </c>
      <c r="K33" s="540">
        <v>3</v>
      </c>
      <c r="L33" s="273"/>
      <c r="M33" s="591" t="s">
        <v>693</v>
      </c>
      <c r="N33" s="594">
        <v>16</v>
      </c>
      <c r="P33" s="274"/>
      <c r="Q33" s="274"/>
      <c r="R33" s="274"/>
      <c r="S33" s="274"/>
      <c r="T33" s="578">
        <f ca="1"/>
        <v>0.06</v>
      </c>
      <c r="U33" s="575">
        <f ca="1"/>
        <v>25</v>
      </c>
      <c r="V33" s="578">
        <f t="shared" ca="1" si="0"/>
        <v>0</v>
      </c>
      <c r="W33" s="578">
        <f t="shared" ca="1" si="1"/>
        <v>0</v>
      </c>
      <c r="X33" s="486">
        <f ca="1">IF('CDO Bespoke'!O34&lt;&gt;"",'CDO Bespoke'!O34,"")</f>
        <v>1.19548923248878</v>
      </c>
      <c r="Y33" s="487">
        <f ca="1">IF(X33&lt;&gt;"",ABS(MIN(-0.75*('CDO Bespoke'!Q34)+'CDO Bespoke'!T34,0)),"")</f>
        <v>1.1867856268093591</v>
      </c>
      <c r="Z33" s="487">
        <f t="shared" ca="1" si="2"/>
        <v>8.7036056794209671E-3</v>
      </c>
      <c r="AA33" s="487">
        <f t="shared" ca="1" si="3"/>
        <v>0</v>
      </c>
      <c r="AB33" s="486">
        <f ca="1">IF('CDO Bespoke'!O34&lt;&gt;"",'CDO Bespoke'!O34,"")</f>
        <v>1.19548923248878</v>
      </c>
      <c r="AC33" s="487">
        <f ca="1">IF(AB33&lt;&gt;"",ABS(MIN(-0.75*('CDO Bespoke'!K34)+'CDO Bespoke'!T34,0)),"")</f>
        <v>0.17349491431973174</v>
      </c>
      <c r="AD33" s="487">
        <f t="shared" ca="1" si="4"/>
        <v>1.0219943181690483</v>
      </c>
      <c r="AE33" s="491">
        <f t="shared" ca="1" si="5"/>
        <v>0</v>
      </c>
      <c r="AF33" s="273"/>
      <c r="AG33" s="496" t="str">
        <f ca="1">IF('CDO Bespoke'!C58&lt;&gt;"",'CDO Bespoke'!C58,"")</f>
        <v>DSM B.V</v>
      </c>
      <c r="AH33" s="498">
        <f ca="1"/>
        <v>2.4863334402436266E-3</v>
      </c>
      <c r="AI33" s="587">
        <f ca="1"/>
        <v>7.1910259602514515E-3</v>
      </c>
      <c r="AJ33" s="587">
        <f ca="1"/>
        <v>1.8757417070691673E-2</v>
      </c>
      <c r="AK33" s="587">
        <f ca="1"/>
        <v>0.10286415470073251</v>
      </c>
      <c r="AL33" s="499">
        <f ca="1"/>
        <v>0</v>
      </c>
      <c r="AM33" s="498">
        <f ca="1"/>
        <v>9.9147825599610329E-5</v>
      </c>
      <c r="AN33" s="587">
        <f ca="1"/>
        <v>4.6048447260096936E-4</v>
      </c>
      <c r="AO33" s="587">
        <f ca="1"/>
        <v>2.1236052048304033E-3</v>
      </c>
      <c r="AP33" s="587">
        <f ca="1"/>
        <v>0.13794775211210947</v>
      </c>
      <c r="AQ33" s="499">
        <f ca="1"/>
        <v>0</v>
      </c>
      <c r="AR33" s="582"/>
      <c r="AS33" s="582"/>
      <c r="AT33" s="582"/>
      <c r="AU33" s="582"/>
      <c r="AV33" s="582"/>
      <c r="AW33" s="582"/>
      <c r="AX33" s="581"/>
    </row>
    <row r="34" spans="2:50">
      <c r="B34" s="541" t="s">
        <v>611</v>
      </c>
      <c r="C34" s="542" t="s">
        <v>66</v>
      </c>
      <c r="D34" s="542" t="s">
        <v>55</v>
      </c>
      <c r="E34" s="542" t="s">
        <v>649</v>
      </c>
      <c r="F34" s="542" t="s">
        <v>648</v>
      </c>
      <c r="G34" s="543">
        <v>0.01</v>
      </c>
      <c r="H34" s="543">
        <v>9.8239999999999994E-3</v>
      </c>
      <c r="I34" s="544">
        <v>0.4</v>
      </c>
      <c r="J34" s="604">
        <v>4</v>
      </c>
      <c r="K34" s="545">
        <v>4</v>
      </c>
      <c r="L34" s="273"/>
      <c r="M34" s="273" t="s">
        <v>75</v>
      </c>
      <c r="P34" s="274"/>
      <c r="Q34" s="274"/>
      <c r="R34" s="274"/>
      <c r="S34" s="274"/>
      <c r="T34" s="578">
        <f ca="1"/>
        <v>0.06</v>
      </c>
      <c r="U34" s="575">
        <f ca="1"/>
        <v>26</v>
      </c>
      <c r="V34" s="578">
        <f t="shared" ca="1" si="0"/>
        <v>0</v>
      </c>
      <c r="W34" s="578">
        <f t="shared" ca="1" si="1"/>
        <v>0</v>
      </c>
      <c r="X34" s="486">
        <f ca="1">IF('CDO Bespoke'!O35&lt;&gt;"",'CDO Bespoke'!O35,"")</f>
        <v>1.19548537770432</v>
      </c>
      <c r="Y34" s="487">
        <f ca="1">IF(X34&lt;&gt;"",ABS(MIN(-0.75*('CDO Bespoke'!Q35)+'CDO Bespoke'!T35,0)),"")</f>
        <v>1.1867966350948453</v>
      </c>
      <c r="Z34" s="487">
        <f t="shared" ca="1" si="2"/>
        <v>8.688742609474609E-3</v>
      </c>
      <c r="AA34" s="487">
        <f t="shared" ca="1" si="3"/>
        <v>0</v>
      </c>
      <c r="AB34" s="486">
        <f ca="1">IF('CDO Bespoke'!O35&lt;&gt;"",'CDO Bespoke'!O35,"")</f>
        <v>1.19548537770432</v>
      </c>
      <c r="AC34" s="487">
        <f ca="1">IF(AB34&lt;&gt;"",ABS(MIN(-0.75*('CDO Bespoke'!K35)+'CDO Bespoke'!T35,0)),"")</f>
        <v>0.17440546438500207</v>
      </c>
      <c r="AD34" s="487">
        <f t="shared" ca="1" si="4"/>
        <v>1.0210799133193178</v>
      </c>
      <c r="AE34" s="491">
        <f t="shared" ca="1" si="5"/>
        <v>0</v>
      </c>
      <c r="AF34" s="273"/>
      <c r="AG34" s="496" t="str">
        <f ca="1">IF('CDO Bespoke'!C59&lt;&gt;"",'CDO Bespoke'!C59,"")</f>
        <v>L'AIR LIQUIDE SOCIETE ANONYME POUR L'ETUDE ET L'EXPLOITATION DES PROCEDES GEORGES CLAUDE</v>
      </c>
      <c r="AH34" s="498">
        <f ca="1"/>
        <v>2.4925829400501698E-3</v>
      </c>
      <c r="AI34" s="587">
        <f ca="1"/>
        <v>7.2046637400458025E-3</v>
      </c>
      <c r="AJ34" s="587">
        <f ca="1"/>
        <v>1.8820353400172962E-2</v>
      </c>
      <c r="AK34" s="587">
        <f ca="1"/>
        <v>0.10803452519025925</v>
      </c>
      <c r="AL34" s="499">
        <f ca="1"/>
        <v>0</v>
      </c>
      <c r="AM34" s="498">
        <f ca="1"/>
        <v>9.8332313460541831E-5</v>
      </c>
      <c r="AN34" s="587">
        <f ca="1"/>
        <v>4.5673944551877232E-4</v>
      </c>
      <c r="AO34" s="587">
        <f ca="1"/>
        <v>2.1049242979798155E-3</v>
      </c>
      <c r="AP34" s="587">
        <f ca="1"/>
        <v>0.13791403474218006</v>
      </c>
      <c r="AQ34" s="499">
        <f ca="1"/>
        <v>0</v>
      </c>
      <c r="AR34" s="582"/>
      <c r="AS34" s="582"/>
      <c r="AT34" s="582"/>
      <c r="AU34" s="582"/>
      <c r="AV34" s="582"/>
      <c r="AW34" s="582"/>
      <c r="AX34" s="581"/>
    </row>
    <row r="35" spans="2:50">
      <c r="B35" s="519" t="s">
        <v>611</v>
      </c>
      <c r="C35" s="520" t="s">
        <v>66</v>
      </c>
      <c r="D35" s="520" t="s">
        <v>57</v>
      </c>
      <c r="E35" s="520" t="s">
        <v>649</v>
      </c>
      <c r="F35" s="520" t="s">
        <v>648</v>
      </c>
      <c r="G35" s="527">
        <v>0.01</v>
      </c>
      <c r="H35" s="527">
        <v>1.4659E-2</v>
      </c>
      <c r="I35" s="529">
        <v>0.4</v>
      </c>
      <c r="J35" s="596">
        <v>4</v>
      </c>
      <c r="K35" s="521">
        <v>4</v>
      </c>
      <c r="L35" s="273"/>
      <c r="M35" s="273"/>
      <c r="P35" s="274"/>
      <c r="Q35" s="274"/>
      <c r="R35" s="274"/>
      <c r="S35" s="274"/>
      <c r="T35" s="578">
        <f ca="1"/>
        <v>0.02</v>
      </c>
      <c r="U35" s="575">
        <f ca="1"/>
        <v>27</v>
      </c>
      <c r="V35" s="578">
        <f t="shared" ca="1" si="0"/>
        <v>0</v>
      </c>
      <c r="W35" s="578">
        <f t="shared" ca="1" si="1"/>
        <v>0</v>
      </c>
      <c r="X35" s="486">
        <f ca="1">IF('CDO Bespoke'!O36&lt;&gt;"",'CDO Bespoke'!O36,"")</f>
        <v>1.18800537691567</v>
      </c>
      <c r="Y35" s="487">
        <f ca="1">IF(X35&lt;&gt;"",ABS(MIN(-0.75*('CDO Bespoke'!Q36)+'CDO Bespoke'!T36,0)),"")</f>
        <v>1.1910343835337216</v>
      </c>
      <c r="Z35" s="487">
        <f t="shared" ca="1" si="2"/>
        <v>0</v>
      </c>
      <c r="AA35" s="487">
        <f t="shared" ca="1" si="3"/>
        <v>0</v>
      </c>
      <c r="AB35" s="486">
        <f ca="1">IF('CDO Bespoke'!O36&lt;&gt;"",'CDO Bespoke'!O36,"")</f>
        <v>1.18800537691567</v>
      </c>
      <c r="AC35" s="487">
        <f ca="1">IF(AB35&lt;&gt;"",ABS(MIN(-0.75*('CDO Bespoke'!K36)+'CDO Bespoke'!T36,0)),"")</f>
        <v>0.4064740252230622</v>
      </c>
      <c r="AD35" s="487">
        <f t="shared" ca="1" si="4"/>
        <v>0.78153135169260779</v>
      </c>
      <c r="AE35" s="491">
        <f t="shared" ca="1" si="5"/>
        <v>0</v>
      </c>
      <c r="AF35" s="273"/>
      <c r="AG35" s="496" t="str">
        <f ca="1">IF('CDO Bespoke'!C60&lt;&gt;"",'CDO Bespoke'!C60,"")</f>
        <v>LANXESS Aktiengesellschaft</v>
      </c>
      <c r="AH35" s="498">
        <f ca="1"/>
        <v>2.3938397808453971E-3</v>
      </c>
      <c r="AI35" s="587">
        <f ca="1"/>
        <v>7.5516983100154533E-3</v>
      </c>
      <c r="AJ35" s="587">
        <f ca="1"/>
        <v>1.3261723570412443E-2</v>
      </c>
      <c r="AK35" s="587">
        <f ca="1"/>
        <v>1.5018332270000379</v>
      </c>
      <c r="AL35" s="499">
        <f ca="1"/>
        <v>0</v>
      </c>
      <c r="AM35" s="498">
        <f ca="1"/>
        <v>-7.7492683051710864E-5</v>
      </c>
      <c r="AN35" s="587">
        <f ca="1"/>
        <v>-3.5858559117030175E-4</v>
      </c>
      <c r="AO35" s="587">
        <f ca="1"/>
        <v>-1.7705338112711244E-3</v>
      </c>
      <c r="AP35" s="587">
        <f ca="1"/>
        <v>0.12759794071784886</v>
      </c>
      <c r="AQ35" s="499">
        <f ca="1"/>
        <v>0</v>
      </c>
      <c r="AR35" s="582"/>
      <c r="AS35" s="582"/>
      <c r="AT35" s="582"/>
      <c r="AU35" s="582"/>
      <c r="AV35" s="582"/>
      <c r="AW35" s="582"/>
      <c r="AX35" s="581"/>
    </row>
    <row r="36" spans="2:50">
      <c r="B36" s="536" t="s">
        <v>611</v>
      </c>
      <c r="C36" s="537" t="s">
        <v>66</v>
      </c>
      <c r="D36" s="537" t="s">
        <v>59</v>
      </c>
      <c r="E36" s="537" t="s">
        <v>649</v>
      </c>
      <c r="F36" s="537" t="s">
        <v>648</v>
      </c>
      <c r="G36" s="538">
        <v>0.01</v>
      </c>
      <c r="H36" s="538">
        <v>1.8731999999999999E-2</v>
      </c>
      <c r="I36" s="539">
        <v>0.4</v>
      </c>
      <c r="J36" s="597">
        <v>4</v>
      </c>
      <c r="K36" s="540">
        <v>4</v>
      </c>
      <c r="L36" s="273"/>
      <c r="M36" s="273"/>
      <c r="P36" s="274"/>
      <c r="Q36" s="274"/>
      <c r="R36" s="274"/>
      <c r="S36" s="274"/>
      <c r="T36" s="578">
        <f ca="1"/>
        <v>0.02</v>
      </c>
      <c r="U36" s="575">
        <f ca="1"/>
        <v>28</v>
      </c>
      <c r="V36" s="578">
        <f t="shared" ca="1" si="0"/>
        <v>0</v>
      </c>
      <c r="W36" s="578">
        <f t="shared" ca="1" si="1"/>
        <v>0</v>
      </c>
      <c r="X36" s="486">
        <f ca="1">IF('CDO Bespoke'!O37&lt;&gt;"",'CDO Bespoke'!O37,"")</f>
        <v>1.19452791514679</v>
      </c>
      <c r="Y36" s="487">
        <f ca="1">IF(X36&lt;&gt;"",ABS(MIN(-0.75*('CDO Bespoke'!Q37)+'CDO Bespoke'!T37,0)),"")</f>
        <v>1.1883159741800362</v>
      </c>
      <c r="Z36" s="487">
        <f t="shared" ca="1" si="2"/>
        <v>6.211940966753815E-3</v>
      </c>
      <c r="AA36" s="487">
        <f t="shared" ca="1" si="3"/>
        <v>0</v>
      </c>
      <c r="AB36" s="486">
        <f ca="1">IF('CDO Bespoke'!O37&lt;&gt;"",'CDO Bespoke'!O37,"")</f>
        <v>1.19452791514679</v>
      </c>
      <c r="AC36" s="487">
        <f ca="1">IF(AB36&lt;&gt;"",ABS(MIN(-0.75*('CDO Bespoke'!K37)+'CDO Bespoke'!T37,0)),"")</f>
        <v>0.27329080199424421</v>
      </c>
      <c r="AD36" s="487">
        <f t="shared" ca="1" si="4"/>
        <v>0.92123711315254586</v>
      </c>
      <c r="AE36" s="491">
        <f t="shared" ca="1" si="5"/>
        <v>0</v>
      </c>
      <c r="AF36" s="273"/>
      <c r="AG36" s="496" t="str">
        <f ca="1">IF('CDO Bespoke'!C61&lt;&gt;"",'CDO Bespoke'!C61,"")</f>
        <v>LEONARDO SOCIETA' PER AZIONI</v>
      </c>
      <c r="AH36" s="498">
        <f ca="1"/>
        <v>3.4718445007797527E-3</v>
      </c>
      <c r="AI36" s="587">
        <f ca="1"/>
        <v>1.0827749460373681E-2</v>
      </c>
      <c r="AJ36" s="587">
        <f ca="1"/>
        <v>2.9593492500978869E-2</v>
      </c>
      <c r="AK36" s="587">
        <f ca="1"/>
        <v>0.55028130348078186</v>
      </c>
      <c r="AL36" s="499">
        <f ca="1"/>
        <v>0</v>
      </c>
      <c r="AM36" s="498">
        <f ca="1"/>
        <v>4.0417645470053332E-5</v>
      </c>
      <c r="AN36" s="587">
        <f ca="1"/>
        <v>1.9071807132002572E-4</v>
      </c>
      <c r="AO36" s="587">
        <f ca="1"/>
        <v>7.900640376902468E-4</v>
      </c>
      <c r="AP36" s="587">
        <f ca="1"/>
        <v>0.13505390384400007</v>
      </c>
      <c r="AQ36" s="499">
        <f ca="1"/>
        <v>0</v>
      </c>
      <c r="AR36" s="582"/>
      <c r="AS36" s="582"/>
      <c r="AT36" s="582"/>
      <c r="AU36" s="582"/>
      <c r="AV36" s="582"/>
      <c r="AW36" s="582"/>
      <c r="AX36" s="581"/>
    </row>
    <row r="37" spans="2:50">
      <c r="B37" s="541" t="s">
        <v>512</v>
      </c>
      <c r="C37" s="542" t="s">
        <v>66</v>
      </c>
      <c r="D37" s="542" t="s">
        <v>55</v>
      </c>
      <c r="E37" s="542" t="s">
        <v>649</v>
      </c>
      <c r="F37" s="542" t="s">
        <v>675</v>
      </c>
      <c r="G37" s="543">
        <v>0.01</v>
      </c>
      <c r="H37" s="543">
        <v>4.7670000000000004E-3</v>
      </c>
      <c r="I37" s="544">
        <v>0.4</v>
      </c>
      <c r="J37" s="604">
        <v>4</v>
      </c>
      <c r="K37" s="545">
        <v>5</v>
      </c>
      <c r="L37" s="273"/>
      <c r="M37" s="273"/>
      <c r="P37" s="274"/>
      <c r="Q37" s="274"/>
      <c r="R37" s="274"/>
      <c r="S37" s="274"/>
      <c r="T37" s="578">
        <f ca="1"/>
        <v>0.06</v>
      </c>
      <c r="U37" s="575">
        <f ca="1"/>
        <v>29</v>
      </c>
      <c r="V37" s="578">
        <f t="shared" ca="1" si="0"/>
        <v>0</v>
      </c>
      <c r="W37" s="578">
        <f t="shared" ca="1" si="1"/>
        <v>0</v>
      </c>
      <c r="X37" s="486">
        <f ca="1">IF('CDO Bespoke'!O38&lt;&gt;"",'CDO Bespoke'!O38,"")</f>
        <v>1.1948983699463001</v>
      </c>
      <c r="Y37" s="487">
        <f ca="1">IF(X37&lt;&gt;"",ABS(MIN(-0.75*('CDO Bespoke'!Q38)+'CDO Bespoke'!T38,0)),"")</f>
        <v>1.1878810441192651</v>
      </c>
      <c r="Z37" s="487">
        <f t="shared" ca="1" si="2"/>
        <v>7.0173258270349592E-3</v>
      </c>
      <c r="AA37" s="487">
        <f t="shared" ca="1" si="3"/>
        <v>0</v>
      </c>
      <c r="AB37" s="486">
        <f ca="1">IF('CDO Bespoke'!O38&lt;&gt;"",'CDO Bespoke'!O38,"")</f>
        <v>1.1948983699463001</v>
      </c>
      <c r="AC37" s="487">
        <f ca="1">IF(AB37&lt;&gt;"",ABS(MIN(-0.75*('CDO Bespoke'!K38)+'CDO Bespoke'!T38,0)),"")</f>
        <v>0.24877979770536235</v>
      </c>
      <c r="AD37" s="487">
        <f t="shared" ca="1" si="4"/>
        <v>0.94611857224093776</v>
      </c>
      <c r="AE37" s="491">
        <f t="shared" ca="1" si="5"/>
        <v>0</v>
      </c>
      <c r="AF37" s="273"/>
      <c r="AG37" s="496" t="str">
        <f ca="1">IF('CDO Bespoke'!C62&lt;&gt;"",'CDO Bespoke'!C62,"")</f>
        <v>Mercedes-Benz Group AG</v>
      </c>
      <c r="AH37" s="498">
        <f ca="1"/>
        <v>3.5173235701790873E-3</v>
      </c>
      <c r="AI37" s="587">
        <f ca="1"/>
        <v>1.1057458040308887E-2</v>
      </c>
      <c r="AJ37" s="587">
        <f ca="1"/>
        <v>3.0738491449966432E-2</v>
      </c>
      <c r="AK37" s="587">
        <f ca="1"/>
        <v>0.36117022432002877</v>
      </c>
      <c r="AL37" s="499">
        <f ca="1"/>
        <v>0</v>
      </c>
      <c r="AM37" s="498">
        <f ca="1"/>
        <v>6.3194488649290226E-5</v>
      </c>
      <c r="AN37" s="587">
        <f ca="1"/>
        <v>2.9564655345017121E-4</v>
      </c>
      <c r="AO37" s="587">
        <f ca="1"/>
        <v>1.3127581074898198E-3</v>
      </c>
      <c r="AP37" s="587">
        <f ca="1"/>
        <v>0.13612234686173963</v>
      </c>
      <c r="AQ37" s="499">
        <f ca="1"/>
        <v>0</v>
      </c>
      <c r="AR37" s="582"/>
      <c r="AS37" s="582"/>
      <c r="AT37" s="582"/>
      <c r="AU37" s="582"/>
      <c r="AV37" s="582"/>
      <c r="AW37" s="582"/>
      <c r="AX37" s="581"/>
    </row>
    <row r="38" spans="2:50">
      <c r="B38" s="519" t="s">
        <v>512</v>
      </c>
      <c r="C38" s="520" t="s">
        <v>66</v>
      </c>
      <c r="D38" s="520" t="s">
        <v>57</v>
      </c>
      <c r="E38" s="520" t="s">
        <v>649</v>
      </c>
      <c r="F38" s="520" t="s">
        <v>675</v>
      </c>
      <c r="G38" s="527">
        <v>0.01</v>
      </c>
      <c r="H38" s="527">
        <v>1.0057999999999999E-2</v>
      </c>
      <c r="I38" s="529">
        <v>0.4</v>
      </c>
      <c r="J38" s="596">
        <v>4</v>
      </c>
      <c r="K38" s="521">
        <v>5</v>
      </c>
      <c r="L38" s="273"/>
      <c r="M38" s="273"/>
      <c r="P38" s="274"/>
      <c r="Q38" s="274"/>
      <c r="R38" s="274"/>
      <c r="S38" s="274"/>
      <c r="T38" s="578">
        <f ca="1"/>
        <v>0.06</v>
      </c>
      <c r="U38" s="575">
        <f ca="1"/>
        <v>30</v>
      </c>
      <c r="V38" s="578">
        <f t="shared" ca="1" si="0"/>
        <v>0</v>
      </c>
      <c r="W38" s="578">
        <f t="shared" ca="1" si="1"/>
        <v>0</v>
      </c>
      <c r="X38" s="486">
        <f ca="1">IF('CDO Bespoke'!O39&lt;&gt;"",'CDO Bespoke'!O39,"")</f>
        <v>1.19130044529</v>
      </c>
      <c r="Y38" s="487">
        <f ca="1">IF(X38&lt;&gt;"",ABS(MIN(-0.75*('CDO Bespoke'!Q39)+'CDO Bespoke'!T39,0)),"")</f>
        <v>1.1902248998425982</v>
      </c>
      <c r="Z38" s="487">
        <f t="shared" ca="1" si="2"/>
        <v>1.0755454474018489E-3</v>
      </c>
      <c r="AA38" s="487">
        <f t="shared" ca="1" si="3"/>
        <v>0</v>
      </c>
      <c r="AB38" s="486">
        <f ca="1">IF('CDO Bespoke'!O39&lt;&gt;"",'CDO Bespoke'!O39,"")</f>
        <v>1.19130044529</v>
      </c>
      <c r="AC38" s="487">
        <f ca="1">IF(AB38&lt;&gt;"",ABS(MIN(-0.75*('CDO Bespoke'!K39)+'CDO Bespoke'!T39,0)),"")</f>
        <v>0.36645791075407602</v>
      </c>
      <c r="AD38" s="487">
        <f t="shared" ca="1" si="4"/>
        <v>0.82484253453592404</v>
      </c>
      <c r="AE38" s="491">
        <f t="shared" ca="1" si="5"/>
        <v>0</v>
      </c>
      <c r="AF38" s="273"/>
      <c r="AG38" s="496" t="str">
        <f ca="1">IF('CDO Bespoke'!C63&lt;&gt;"",'CDO Bespoke'!C63,"")</f>
        <v>PostNL N.V.</v>
      </c>
      <c r="AH38" s="498">
        <f ca="1"/>
        <v>3.5391414210383942E-3</v>
      </c>
      <c r="AI38" s="587">
        <f ca="1"/>
        <v>1.1956035860238856E-2</v>
      </c>
      <c r="AJ38" s="587">
        <f ca="1"/>
        <v>3.1864592260344438E-2</v>
      </c>
      <c r="AK38" s="587">
        <f ca="1"/>
        <v>1.0977760300701078</v>
      </c>
      <c r="AL38" s="499">
        <f ca="1"/>
        <v>0</v>
      </c>
      <c r="AM38" s="498">
        <f ca="1"/>
        <v>-2.6443437929971059E-5</v>
      </c>
      <c r="AN38" s="587">
        <f ca="1"/>
        <v>-1.1910598023013447E-4</v>
      </c>
      <c r="AO38" s="587">
        <f ca="1"/>
        <v>-6.2124698594987621E-4</v>
      </c>
      <c r="AP38" s="587">
        <f ca="1"/>
        <v>0.13081792806411002</v>
      </c>
      <c r="AQ38" s="499">
        <f ca="1"/>
        <v>0</v>
      </c>
      <c r="AR38" s="582"/>
      <c r="AS38" s="582"/>
      <c r="AT38" s="582"/>
      <c r="AU38" s="582"/>
      <c r="AV38" s="582"/>
      <c r="AW38" s="582"/>
      <c r="AX38" s="581"/>
    </row>
    <row r="39" spans="2:50">
      <c r="B39" s="536" t="s">
        <v>512</v>
      </c>
      <c r="C39" s="537" t="s">
        <v>66</v>
      </c>
      <c r="D39" s="537" t="s">
        <v>59</v>
      </c>
      <c r="E39" s="537" t="s">
        <v>649</v>
      </c>
      <c r="F39" s="537" t="s">
        <v>675</v>
      </c>
      <c r="G39" s="538">
        <v>0.01</v>
      </c>
      <c r="H39" s="538">
        <v>1.5502E-2</v>
      </c>
      <c r="I39" s="539">
        <v>0.4</v>
      </c>
      <c r="J39" s="597">
        <v>4</v>
      </c>
      <c r="K39" s="540">
        <v>5</v>
      </c>
      <c r="L39" s="273"/>
      <c r="M39" s="273"/>
      <c r="P39" s="274"/>
      <c r="Q39" s="274"/>
      <c r="R39" s="274"/>
      <c r="S39" s="274"/>
      <c r="T39" s="578">
        <f ca="1"/>
        <v>0.06</v>
      </c>
      <c r="U39" s="575">
        <f ca="1"/>
        <v>31</v>
      </c>
      <c r="V39" s="578">
        <f t="shared" ca="1" si="0"/>
        <v>0</v>
      </c>
      <c r="W39" s="578">
        <f t="shared" ca="1" si="1"/>
        <v>0</v>
      </c>
      <c r="X39" s="486">
        <f ca="1">IF('CDO Bespoke'!O40&lt;&gt;"",'CDO Bespoke'!O40,"")</f>
        <v>1.1945626510256999</v>
      </c>
      <c r="Y39" s="487">
        <f ca="1">IF(X39&lt;&gt;"",ABS(MIN(-0.75*('CDO Bespoke'!Q40)+'CDO Bespoke'!T40,0)),"")</f>
        <v>1.1882793580517756</v>
      </c>
      <c r="Z39" s="487">
        <f t="shared" ca="1" si="2"/>
        <v>6.2832929739242704E-3</v>
      </c>
      <c r="AA39" s="487">
        <f t="shared" ca="1" si="3"/>
        <v>0</v>
      </c>
      <c r="AB39" s="486">
        <f ca="1">IF('CDO Bespoke'!O40&lt;&gt;"",'CDO Bespoke'!O40,"")</f>
        <v>1.1945626510256999</v>
      </c>
      <c r="AC39" s="487">
        <f ca="1">IF(AB39&lt;&gt;"",ABS(MIN(-0.75*('CDO Bespoke'!K40)+'CDO Bespoke'!T40,0)),"")</f>
        <v>0.27130266496871969</v>
      </c>
      <c r="AD39" s="487">
        <f t="shared" ca="1" si="4"/>
        <v>0.92325998605698023</v>
      </c>
      <c r="AE39" s="491">
        <f t="shared" ca="1" si="5"/>
        <v>0</v>
      </c>
      <c r="AF39" s="273"/>
      <c r="AG39" s="496" t="str">
        <f ca="1">IF('CDO Bespoke'!C64&lt;&gt;"",'CDO Bespoke'!C64,"")</f>
        <v>RENTOKIL INITIAL PLC</v>
      </c>
      <c r="AH39" s="498">
        <f ca="1"/>
        <v>3.8129886803517365E-3</v>
      </c>
      <c r="AI39" s="587">
        <f ca="1"/>
        <v>1.2349110830589538E-2</v>
      </c>
      <c r="AJ39" s="587">
        <f ca="1"/>
        <v>3.4853262090850379E-2</v>
      </c>
      <c r="AK39" s="587">
        <f ca="1"/>
        <v>0.44193542626080884</v>
      </c>
      <c r="AL39" s="499">
        <f ca="1"/>
        <v>0</v>
      </c>
      <c r="AM39" s="498">
        <f ca="1"/>
        <v>5.2851395280009705E-5</v>
      </c>
      <c r="AN39" s="587">
        <f ca="1"/>
        <v>2.4816092165994008E-4</v>
      </c>
      <c r="AO39" s="587">
        <f ca="1"/>
        <v>1.0808050756799109E-3</v>
      </c>
      <c r="AP39" s="587">
        <f ca="1"/>
        <v>0.13551697996308021</v>
      </c>
      <c r="AQ39" s="499">
        <f ca="1"/>
        <v>0</v>
      </c>
      <c r="AR39" s="582"/>
      <c r="AS39" s="582"/>
      <c r="AT39" s="582"/>
      <c r="AU39" s="582"/>
      <c r="AV39" s="582"/>
      <c r="AW39" s="582"/>
      <c r="AX39" s="581"/>
    </row>
    <row r="40" spans="2:50">
      <c r="B40" s="541" t="s">
        <v>513</v>
      </c>
      <c r="C40" s="542" t="s">
        <v>66</v>
      </c>
      <c r="D40" s="542" t="s">
        <v>55</v>
      </c>
      <c r="E40" s="542" t="s">
        <v>649</v>
      </c>
      <c r="F40" s="542" t="s">
        <v>675</v>
      </c>
      <c r="G40" s="543">
        <v>0.01</v>
      </c>
      <c r="H40" s="543">
        <v>6.8230000000000001E-3</v>
      </c>
      <c r="I40" s="544">
        <v>0.4</v>
      </c>
      <c r="J40" s="604">
        <v>4</v>
      </c>
      <c r="K40" s="545">
        <v>6</v>
      </c>
      <c r="L40" s="273"/>
      <c r="M40" s="273"/>
      <c r="P40" s="274"/>
      <c r="Q40" s="274"/>
      <c r="R40" s="274"/>
      <c r="S40" s="274"/>
      <c r="T40" s="578">
        <f ca="1"/>
        <v>0.06</v>
      </c>
      <c r="U40" s="575">
        <f ca="1"/>
        <v>32</v>
      </c>
      <c r="V40" s="578">
        <f t="shared" ca="1" si="0"/>
        <v>0</v>
      </c>
      <c r="W40" s="578">
        <f t="shared" ca="1" si="1"/>
        <v>0</v>
      </c>
      <c r="X40" s="486">
        <f ca="1">IF('CDO Bespoke'!O41&lt;&gt;"",'CDO Bespoke'!O41,"")</f>
        <v>1.19519477738168</v>
      </c>
      <c r="Y40" s="487">
        <f ca="1">IF(X40&lt;&gt;"",ABS(MIN(-0.75*('CDO Bespoke'!Q41)+'CDO Bespoke'!T41,0)),"")</f>
        <v>1.1874309237297671</v>
      </c>
      <c r="Z40" s="487">
        <f t="shared" ca="1" si="2"/>
        <v>7.7638536519128998E-3</v>
      </c>
      <c r="AA40" s="487">
        <f t="shared" ca="1" si="3"/>
        <v>0</v>
      </c>
      <c r="AB40" s="486">
        <f ca="1">IF('CDO Bespoke'!O41&lt;&gt;"",'CDO Bespoke'!O41,"")</f>
        <v>1.19519477738168</v>
      </c>
      <c r="AC40" s="487">
        <f ca="1">IF(AB40&lt;&gt;"",ABS(MIN(-0.75*('CDO Bespoke'!K41)+'CDO Bespoke'!T41,0)),"")</f>
        <v>0.22082686466667856</v>
      </c>
      <c r="AD40" s="487">
        <f t="shared" ca="1" si="4"/>
        <v>0.97436791271500145</v>
      </c>
      <c r="AE40" s="491">
        <f t="shared" ca="1" si="5"/>
        <v>0</v>
      </c>
      <c r="AF40" s="273"/>
      <c r="AG40" s="496" t="str">
        <f ca="1">IF('CDO Bespoke'!C65&lt;&gt;"",'CDO Bespoke'!C65,"")</f>
        <v>SANOFI</v>
      </c>
      <c r="AH40" s="498">
        <f ca="1"/>
        <v>3.2789490200801907E-3</v>
      </c>
      <c r="AI40" s="587">
        <f ca="1"/>
        <v>1.0149142380955212E-2</v>
      </c>
      <c r="AJ40" s="587">
        <f ca="1"/>
        <v>2.7829154870540052E-2</v>
      </c>
      <c r="AK40" s="587">
        <f ca="1"/>
        <v>0.21882467486022961</v>
      </c>
      <c r="AL40" s="499">
        <f ca="1"/>
        <v>0</v>
      </c>
      <c r="AM40" s="498">
        <f ca="1"/>
        <v>4.0848292110276518E-5</v>
      </c>
      <c r="AN40" s="587">
        <f ca="1"/>
        <v>1.9032391366507334E-4</v>
      </c>
      <c r="AO40" s="587">
        <f ca="1"/>
        <v>8.6668974751489408E-4</v>
      </c>
      <c r="AP40" s="587">
        <f ca="1"/>
        <v>6.8510612618550251E-2</v>
      </c>
      <c r="AQ40" s="499">
        <f ca="1"/>
        <v>0</v>
      </c>
      <c r="AR40" s="582"/>
      <c r="AS40" s="582"/>
      <c r="AT40" s="582"/>
      <c r="AU40" s="582"/>
      <c r="AV40" s="582"/>
      <c r="AW40" s="582"/>
      <c r="AX40" s="581"/>
    </row>
    <row r="41" spans="2:50">
      <c r="B41" s="519" t="s">
        <v>513</v>
      </c>
      <c r="C41" s="520" t="s">
        <v>66</v>
      </c>
      <c r="D41" s="520" t="s">
        <v>57</v>
      </c>
      <c r="E41" s="520" t="s">
        <v>649</v>
      </c>
      <c r="F41" s="520" t="s">
        <v>675</v>
      </c>
      <c r="G41" s="527">
        <v>0.01</v>
      </c>
      <c r="H41" s="527">
        <v>1.3924000000000001E-2</v>
      </c>
      <c r="I41" s="529">
        <v>0.4</v>
      </c>
      <c r="J41" s="596">
        <v>4</v>
      </c>
      <c r="K41" s="521">
        <v>6</v>
      </c>
      <c r="L41" s="273"/>
      <c r="M41" s="273"/>
      <c r="P41" s="274"/>
      <c r="Q41" s="274"/>
      <c r="R41" s="274"/>
      <c r="S41" s="274"/>
      <c r="T41" s="578">
        <f ca="1"/>
        <v>0.06</v>
      </c>
      <c r="U41" s="575">
        <f ca="1"/>
        <v>33</v>
      </c>
      <c r="V41" s="578">
        <f t="shared" ref="V41:V72" ca="1" si="6">AA46*T41</f>
        <v>0</v>
      </c>
      <c r="W41" s="578">
        <f t="shared" ref="W41:W72" ca="1" si="7">AE46*T41</f>
        <v>0</v>
      </c>
      <c r="X41" s="486">
        <f ca="1">IF('CDO Bespoke'!O42&lt;&gt;"",'CDO Bespoke'!O42,"")</f>
        <v>1.19507445416665</v>
      </c>
      <c r="Y41" s="487">
        <f ca="1">IF(X41&lt;&gt;"",ABS(MIN(-0.75*('CDO Bespoke'!Q42)+'CDO Bespoke'!T42,0)),"")</f>
        <v>1.1876288529187027</v>
      </c>
      <c r="Z41" s="487">
        <f t="shared" ca="1" si="2"/>
        <v>7.4456012479473532E-3</v>
      </c>
      <c r="AA41" s="487">
        <f t="shared" ca="1" si="3"/>
        <v>0</v>
      </c>
      <c r="AB41" s="486">
        <f ca="1">IF('CDO Bespoke'!O42&lt;&gt;"",'CDO Bespoke'!O42,"")</f>
        <v>1.19507445416665</v>
      </c>
      <c r="AC41" s="487">
        <f ca="1">IF(AB41&lt;&gt;"",ABS(MIN(-0.75*('CDO Bespoke'!K42)+'CDO Bespoke'!T42,0)),"")</f>
        <v>0.23350522058030992</v>
      </c>
      <c r="AD41" s="487">
        <f t="shared" ca="1" si="4"/>
        <v>0.96156923358634017</v>
      </c>
      <c r="AE41" s="491">
        <f t="shared" ca="1" si="5"/>
        <v>0</v>
      </c>
      <c r="AF41" s="273"/>
      <c r="AG41" s="496" t="str">
        <f ca="1">IF('CDO Bespoke'!C66&lt;&gt;"",'CDO Bespoke'!C66,"")</f>
        <v>Siemens Aktiengesellschaft</v>
      </c>
      <c r="AH41" s="498">
        <f ca="1"/>
        <v>3.5559834810072743E-3</v>
      </c>
      <c r="AI41" s="587">
        <f ca="1"/>
        <v>1.1294387211036039E-2</v>
      </c>
      <c r="AJ41" s="587">
        <f ca="1"/>
        <v>3.1396739900158011E-2</v>
      </c>
      <c r="AK41" s="587">
        <f ca="1"/>
        <v>0.23132662886005129</v>
      </c>
      <c r="AL41" s="499">
        <f ca="1"/>
        <v>0</v>
      </c>
      <c r="AM41" s="498">
        <f ca="1"/>
        <v>3.9837983789939302E-5</v>
      </c>
      <c r="AN41" s="587">
        <f ca="1"/>
        <v>1.85746996079518E-4</v>
      </c>
      <c r="AO41" s="587">
        <f ca="1"/>
        <v>8.4564557561971065E-4</v>
      </c>
      <c r="AP41" s="587">
        <f ca="1"/>
        <v>6.842271521827481E-2</v>
      </c>
      <c r="AQ41" s="499">
        <f ca="1"/>
        <v>0</v>
      </c>
      <c r="AR41" s="582"/>
      <c r="AS41" s="582"/>
      <c r="AT41" s="582"/>
      <c r="AU41" s="582"/>
      <c r="AV41" s="582"/>
      <c r="AW41" s="582"/>
      <c r="AX41" s="581"/>
    </row>
    <row r="42" spans="2:50">
      <c r="B42" s="536" t="s">
        <v>513</v>
      </c>
      <c r="C42" s="537" t="s">
        <v>66</v>
      </c>
      <c r="D42" s="537" t="s">
        <v>59</v>
      </c>
      <c r="E42" s="537" t="s">
        <v>649</v>
      </c>
      <c r="F42" s="537" t="s">
        <v>675</v>
      </c>
      <c r="G42" s="538">
        <v>0.01</v>
      </c>
      <c r="H42" s="538">
        <v>2.0253E-2</v>
      </c>
      <c r="I42" s="539">
        <v>0.4</v>
      </c>
      <c r="J42" s="597">
        <v>4</v>
      </c>
      <c r="K42" s="540">
        <v>6</v>
      </c>
      <c r="L42" s="273"/>
      <c r="M42" s="273"/>
      <c r="P42" s="274"/>
      <c r="Q42" s="274"/>
      <c r="R42" s="274"/>
      <c r="S42" s="274"/>
      <c r="T42" s="578">
        <f ca="1"/>
        <v>0.03</v>
      </c>
      <c r="U42" s="575">
        <f ca="1"/>
        <v>34</v>
      </c>
      <c r="V42" s="578">
        <f t="shared" ca="1" si="6"/>
        <v>0</v>
      </c>
      <c r="W42" s="578">
        <f t="shared" ca="1" si="7"/>
        <v>0</v>
      </c>
      <c r="X42" s="486">
        <f ca="1">IF('CDO Bespoke'!O43&lt;&gt;"",'CDO Bespoke'!O43,"")</f>
        <v>1.1947991502469799</v>
      </c>
      <c r="Y42" s="487">
        <f ca="1">IF(X42&lt;&gt;"",ABS(MIN(-0.75*('CDO Bespoke'!Q43)+'CDO Bespoke'!T43,0)),"")</f>
        <v>1.1880083068418335</v>
      </c>
      <c r="Z42" s="487">
        <f t="shared" ca="1" si="2"/>
        <v>6.7908434051464628E-3</v>
      </c>
      <c r="AA42" s="487">
        <f t="shared" ca="1" si="3"/>
        <v>0</v>
      </c>
      <c r="AB42" s="486">
        <f ca="1">IF('CDO Bespoke'!O43&lt;&gt;"",'CDO Bespoke'!O43,"")</f>
        <v>1.1947991502469799</v>
      </c>
      <c r="AC42" s="487">
        <f ca="1">IF(AB42&lt;&gt;"",ABS(MIN(-0.75*('CDO Bespoke'!K43)+'CDO Bespoke'!T43,0)),"")</f>
        <v>0.25616854811454015</v>
      </c>
      <c r="AD42" s="487">
        <f t="shared" ca="1" si="4"/>
        <v>0.93863060213243976</v>
      </c>
      <c r="AE42" s="491">
        <f t="shared" ca="1" si="5"/>
        <v>0</v>
      </c>
      <c r="AF42" s="273"/>
      <c r="AG42" s="496" t="str">
        <f ca="1">IF('CDO Bespoke'!C67&lt;&gt;"",'CDO Bespoke'!C67,"")</f>
        <v>SMURFIT KAPPA ACQUISITIONS UNLIMITED COMPANY</v>
      </c>
      <c r="AH42" s="498">
        <f ca="1"/>
        <v>3.7069274305689959E-3</v>
      </c>
      <c r="AI42" s="587">
        <f ca="1"/>
        <v>1.1883533000967006E-2</v>
      </c>
      <c r="AJ42" s="587">
        <f ca="1"/>
        <v>3.3389277620532454E-2</v>
      </c>
      <c r="AK42" s="587">
        <f ca="1"/>
        <v>0.36061238805062956</v>
      </c>
      <c r="AL42" s="499">
        <f ca="1"/>
        <v>0</v>
      </c>
      <c r="AM42" s="498">
        <f ca="1"/>
        <v>6.2977287120652425E-5</v>
      </c>
      <c r="AN42" s="587">
        <f ca="1"/>
        <v>2.9474135325099904E-4</v>
      </c>
      <c r="AO42" s="587">
        <f ca="1"/>
        <v>1.3109583359705024E-3</v>
      </c>
      <c r="AP42" s="587">
        <f ca="1"/>
        <v>0.1360407048030001</v>
      </c>
      <c r="AQ42" s="499">
        <f ca="1"/>
        <v>0</v>
      </c>
      <c r="AR42" s="582"/>
      <c r="AS42" s="582"/>
      <c r="AT42" s="582"/>
      <c r="AU42" s="582"/>
      <c r="AV42" s="582"/>
      <c r="AW42" s="582"/>
      <c r="AX42" s="581"/>
    </row>
    <row r="43" spans="2:50">
      <c r="B43" s="541" t="s">
        <v>514</v>
      </c>
      <c r="C43" s="542" t="s">
        <v>66</v>
      </c>
      <c r="D43" s="542" t="s">
        <v>55</v>
      </c>
      <c r="E43" s="542" t="s">
        <v>647</v>
      </c>
      <c r="F43" s="542" t="s">
        <v>674</v>
      </c>
      <c r="G43" s="543">
        <v>0.01</v>
      </c>
      <c r="H43" s="543">
        <v>2.196E-3</v>
      </c>
      <c r="I43" s="544">
        <v>0.4</v>
      </c>
      <c r="J43" s="604">
        <v>7</v>
      </c>
      <c r="K43" s="545">
        <v>7</v>
      </c>
      <c r="L43" s="273"/>
      <c r="M43" s="273"/>
      <c r="P43" s="274"/>
      <c r="Q43" s="274"/>
      <c r="R43" s="274"/>
      <c r="S43" s="274"/>
      <c r="T43" s="578">
        <f ca="1"/>
        <v>0.03</v>
      </c>
      <c r="U43" s="575">
        <f ca="1"/>
        <v>35</v>
      </c>
      <c r="V43" s="578">
        <f t="shared" ca="1" si="6"/>
        <v>0</v>
      </c>
      <c r="W43" s="578">
        <f t="shared" ca="1" si="7"/>
        <v>0</v>
      </c>
      <c r="X43" s="486">
        <f ca="1">IF('CDO Bespoke'!O44&lt;&gt;"",'CDO Bespoke'!O44,"")</f>
        <v>1.19351969631266</v>
      </c>
      <c r="Y43" s="487">
        <f ca="1">IF(X43&lt;&gt;"",ABS(MIN(-0.75*('CDO Bespoke'!Q44)+'CDO Bespoke'!T44,0)),"")</f>
        <v>1.1891510012365707</v>
      </c>
      <c r="Z43" s="487">
        <f t="shared" ca="1" si="2"/>
        <v>4.3686950760892795E-3</v>
      </c>
      <c r="AA43" s="487">
        <f t="shared" ca="1" si="3"/>
        <v>0</v>
      </c>
      <c r="AB43" s="486">
        <f ca="1">IF('CDO Bespoke'!O44&lt;&gt;"",'CDO Bespoke'!O44,"")</f>
        <v>1.19351969631266</v>
      </c>
      <c r="AC43" s="487">
        <f ca="1">IF(AB43&lt;&gt;"",ABS(MIN(-0.75*('CDO Bespoke'!K44)+'CDO Bespoke'!T44,0)),"")</f>
        <v>0.31588493812224044</v>
      </c>
      <c r="AD43" s="487">
        <f t="shared" ca="1" si="4"/>
        <v>0.87763475819041958</v>
      </c>
      <c r="AE43" s="491">
        <f t="shared" ca="1" si="5"/>
        <v>0</v>
      </c>
      <c r="AF43" s="273"/>
      <c r="AG43" s="496" t="str">
        <f ca="1">IF('CDO Bespoke'!C68&lt;&gt;"",'CDO Bespoke'!C68,"")</f>
        <v>Solvay</v>
      </c>
      <c r="AH43" s="498">
        <f ca="1"/>
        <v>4.0340071705280423E-3</v>
      </c>
      <c r="AI43" s="587">
        <f ca="1"/>
        <v>1.3543319770104034E-2</v>
      </c>
      <c r="AJ43" s="587">
        <f ca="1"/>
        <v>3.8383017501031347E-2</v>
      </c>
      <c r="AK43" s="587">
        <f ca="1"/>
        <v>0.68963927617016196</v>
      </c>
      <c r="AL43" s="499">
        <f ca="1"/>
        <v>0</v>
      </c>
      <c r="AM43" s="498">
        <f ca="1"/>
        <v>2.2679430629855835E-5</v>
      </c>
      <c r="AN43" s="587">
        <f ca="1"/>
        <v>1.090502420099046E-4</v>
      </c>
      <c r="AO43" s="587">
        <f ca="1"/>
        <v>3.9414064122002615E-4</v>
      </c>
      <c r="AP43" s="587">
        <f ca="1"/>
        <v>0.13382921961020985</v>
      </c>
      <c r="AQ43" s="499">
        <f ca="1"/>
        <v>0</v>
      </c>
      <c r="AR43" s="582"/>
      <c r="AS43" s="582"/>
      <c r="AT43" s="582"/>
      <c r="AU43" s="582"/>
      <c r="AV43" s="582"/>
      <c r="AW43" s="582"/>
      <c r="AX43" s="581"/>
    </row>
    <row r="44" spans="2:50">
      <c r="B44" s="519" t="s">
        <v>514</v>
      </c>
      <c r="C44" s="520" t="s">
        <v>66</v>
      </c>
      <c r="D44" s="520" t="s">
        <v>57</v>
      </c>
      <c r="E44" s="520" t="s">
        <v>647</v>
      </c>
      <c r="F44" s="520" t="s">
        <v>674</v>
      </c>
      <c r="G44" s="527">
        <v>0.01</v>
      </c>
      <c r="H44" s="527">
        <v>3.117E-3</v>
      </c>
      <c r="I44" s="529">
        <v>0.4</v>
      </c>
      <c r="J44" s="596">
        <v>7</v>
      </c>
      <c r="K44" s="521">
        <v>7</v>
      </c>
      <c r="L44" s="273"/>
      <c r="M44" s="273"/>
      <c r="P44" s="274"/>
      <c r="Q44" s="274"/>
      <c r="R44" s="274"/>
      <c r="S44" s="274"/>
      <c r="T44" s="578">
        <f ca="1"/>
        <v>0.06</v>
      </c>
      <c r="U44" s="575">
        <f ca="1"/>
        <v>36</v>
      </c>
      <c r="V44" s="578">
        <f t="shared" ca="1" si="6"/>
        <v>0</v>
      </c>
      <c r="W44" s="578">
        <f t="shared" ca="1" si="7"/>
        <v>0</v>
      </c>
      <c r="X44" s="486">
        <f ca="1">IF('CDO Bespoke'!O45&lt;&gt;"",'CDO Bespoke'!O45,"")</f>
        <v>1.19301110937059</v>
      </c>
      <c r="Y44" s="487">
        <f ca="1">IF(X44&lt;&gt;"",ABS(MIN(-0.75*('CDO Bespoke'!Q45)+'CDO Bespoke'!T45,0)),"")</f>
        <v>1.189462910718283</v>
      </c>
      <c r="Z44" s="487">
        <f t="shared" ca="1" si="2"/>
        <v>3.5481986523069331E-3</v>
      </c>
      <c r="AA44" s="487">
        <f t="shared" ca="1" si="3"/>
        <v>0</v>
      </c>
      <c r="AB44" s="486">
        <f ca="1">IF('CDO Bespoke'!O45&lt;&gt;"",'CDO Bespoke'!O45,"")</f>
        <v>1.19301110937059</v>
      </c>
      <c r="AC44" s="487">
        <f ca="1">IF(AB44&lt;&gt;"",ABS(MIN(-0.75*('CDO Bespoke'!K45)+'CDO Bespoke'!T45,0)),"")</f>
        <v>0.33082597851985557</v>
      </c>
      <c r="AD44" s="487">
        <f t="shared" ca="1" si="4"/>
        <v>0.86218513085073445</v>
      </c>
      <c r="AE44" s="491">
        <f t="shared" ca="1" si="5"/>
        <v>0</v>
      </c>
      <c r="AF44" s="273"/>
      <c r="AG44" s="496" t="str">
        <f ca="1">IF('CDO Bespoke'!C69&lt;&gt;"",'CDO Bespoke'!C69,"")</f>
        <v>Stellantis N.V.</v>
      </c>
      <c r="AH44" s="498">
        <f ca="1"/>
        <v>3.5616329707721661E-3</v>
      </c>
      <c r="AI44" s="587">
        <f ca="1"/>
        <v>1.1561880880472941E-2</v>
      </c>
      <c r="AJ44" s="587">
        <f ca="1"/>
        <v>3.1192885820985339E-2</v>
      </c>
      <c r="AK44" s="587">
        <f ca="1"/>
        <v>0.89455555035033996</v>
      </c>
      <c r="AL44" s="499">
        <f ca="1"/>
        <v>0</v>
      </c>
      <c r="AM44" s="498">
        <f ca="1"/>
        <v>-1.0768631699895059E-6</v>
      </c>
      <c r="AN44" s="587">
        <f ca="1"/>
        <v>-1.0480226400252923E-6</v>
      </c>
      <c r="AO44" s="587">
        <f ca="1"/>
        <v>-5.7334853700028235E-5</v>
      </c>
      <c r="AP44" s="587">
        <f ca="1"/>
        <v>0.13254328478547006</v>
      </c>
      <c r="AQ44" s="499">
        <f ca="1"/>
        <v>0</v>
      </c>
      <c r="AR44" s="582"/>
      <c r="AS44" s="582"/>
      <c r="AT44" s="582"/>
      <c r="AU44" s="582"/>
      <c r="AV44" s="582"/>
      <c r="AW44" s="582"/>
      <c r="AX44" s="581"/>
    </row>
    <row r="45" spans="2:50">
      <c r="B45" s="536" t="s">
        <v>514</v>
      </c>
      <c r="C45" s="537" t="s">
        <v>66</v>
      </c>
      <c r="D45" s="537" t="s">
        <v>59</v>
      </c>
      <c r="E45" s="537" t="s">
        <v>647</v>
      </c>
      <c r="F45" s="537" t="s">
        <v>674</v>
      </c>
      <c r="G45" s="538">
        <v>0.01</v>
      </c>
      <c r="H45" s="538">
        <v>4.3610000000000003E-3</v>
      </c>
      <c r="I45" s="539">
        <v>0.4</v>
      </c>
      <c r="J45" s="597">
        <v>7</v>
      </c>
      <c r="K45" s="540">
        <v>7</v>
      </c>
      <c r="L45" s="273"/>
      <c r="M45" s="273"/>
      <c r="P45" s="274"/>
      <c r="Q45" s="274"/>
      <c r="R45" s="274"/>
      <c r="S45" s="274"/>
      <c r="T45" s="578">
        <f ca="1"/>
        <v>0.06</v>
      </c>
      <c r="U45" s="575">
        <f ca="1"/>
        <v>37</v>
      </c>
      <c r="V45" s="578">
        <f t="shared" ca="1" si="6"/>
        <v>0</v>
      </c>
      <c r="W45" s="578">
        <f t="shared" ca="1" si="7"/>
        <v>0</v>
      </c>
      <c r="X45" s="486">
        <f ca="1">IF('CDO Bespoke'!O46&lt;&gt;"",'CDO Bespoke'!O46,"")</f>
        <v>1.1936479849942201</v>
      </c>
      <c r="Y45" s="487">
        <f ca="1">IF(X45&lt;&gt;"",ABS(MIN(-0.75*('CDO Bespoke'!Q46)+'CDO Bespoke'!T46,0)),"")</f>
        <v>1.1890632079105301</v>
      </c>
      <c r="Z45" s="487">
        <f t="shared" ca="1" si="2"/>
        <v>4.5847770836899837E-3</v>
      </c>
      <c r="AA45" s="487">
        <f t="shared" ca="1" si="3"/>
        <v>0</v>
      </c>
      <c r="AB45" s="486">
        <f ca="1">IF('CDO Bespoke'!O46&lt;&gt;"",'CDO Bespoke'!O46,"")</f>
        <v>1.1936479849942201</v>
      </c>
      <c r="AC45" s="487">
        <f ca="1">IF(AB45&lt;&gt;"",ABS(MIN(-0.75*('CDO Bespoke'!K46)+'CDO Bespoke'!T46,0)),"")</f>
        <v>0.31160646087065663</v>
      </c>
      <c r="AD45" s="487">
        <f t="shared" ca="1" si="4"/>
        <v>0.88204152412356351</v>
      </c>
      <c r="AE45" s="491">
        <f t="shared" ca="1" si="5"/>
        <v>0</v>
      </c>
      <c r="AF45" s="273"/>
      <c r="AG45" s="496" t="str">
        <f ca="1">IF('CDO Bespoke'!C70&lt;&gt;"",'CDO Bespoke'!C70,"")</f>
        <v>Stora Enso Oyj</v>
      </c>
      <c r="AH45" s="498">
        <f ca="1"/>
        <v>3.9392839701335447E-3</v>
      </c>
      <c r="AI45" s="587">
        <f ca="1"/>
        <v>1.3083694000437518E-2</v>
      </c>
      <c r="AJ45" s="587">
        <f ca="1"/>
        <v>3.6785439530007125E-2</v>
      </c>
      <c r="AK45" s="587">
        <f ca="1"/>
        <v>0.67012259455045964</v>
      </c>
      <c r="AL45" s="499">
        <f ca="1"/>
        <v>0</v>
      </c>
      <c r="AM45" s="498">
        <f ca="1"/>
        <v>2.3365878390208678E-5</v>
      </c>
      <c r="AN45" s="587">
        <f ca="1"/>
        <v>1.1216905983317538E-4</v>
      </c>
      <c r="AO45" s="587">
        <f ca="1"/>
        <v>4.0785862856999172E-4</v>
      </c>
      <c r="AP45" s="587">
        <f ca="1"/>
        <v>0.13089945524481017</v>
      </c>
      <c r="AQ45" s="499">
        <f ca="1"/>
        <v>0</v>
      </c>
      <c r="AR45" s="582"/>
      <c r="AS45" s="582"/>
      <c r="AT45" s="582"/>
      <c r="AU45" s="582"/>
      <c r="AV45" s="582"/>
      <c r="AW45" s="582"/>
      <c r="AX45" s="581"/>
    </row>
    <row r="46" spans="2:50">
      <c r="B46" s="541" t="s">
        <v>515</v>
      </c>
      <c r="C46" s="542" t="s">
        <v>66</v>
      </c>
      <c r="D46" s="542" t="s">
        <v>55</v>
      </c>
      <c r="E46" s="542" t="s">
        <v>649</v>
      </c>
      <c r="F46" s="542" t="s">
        <v>648</v>
      </c>
      <c r="G46" s="543">
        <v>0.01</v>
      </c>
      <c r="H46" s="543">
        <v>2.016E-3</v>
      </c>
      <c r="I46" s="544">
        <v>0.4</v>
      </c>
      <c r="J46" s="604">
        <v>4</v>
      </c>
      <c r="K46" s="545">
        <v>8</v>
      </c>
      <c r="L46" s="273"/>
      <c r="M46" s="273"/>
      <c r="P46" s="274"/>
      <c r="Q46" s="274"/>
      <c r="R46" s="274"/>
      <c r="S46" s="274"/>
      <c r="T46" s="578">
        <f ca="1"/>
        <v>0.03</v>
      </c>
      <c r="U46" s="575">
        <f ca="1"/>
        <v>38</v>
      </c>
      <c r="V46" s="578">
        <f t="shared" ca="1" si="6"/>
        <v>0</v>
      </c>
      <c r="W46" s="578">
        <f t="shared" ca="1" si="7"/>
        <v>0</v>
      </c>
      <c r="X46" s="486">
        <f ca="1">IF('CDO Bespoke'!O47&lt;&gt;"",'CDO Bespoke'!O47,"")</f>
        <v>1.1923668264923699</v>
      </c>
      <c r="Y46" s="487">
        <f ca="1">IF(X46&lt;&gt;"",ABS(MIN(-0.75*('CDO Bespoke'!Q47)+'CDO Bespoke'!T47,0)),"")</f>
        <v>1.1897927686621754</v>
      </c>
      <c r="Z46" s="487">
        <f t="shared" ca="1" si="2"/>
        <v>2.5740578301944872E-3</v>
      </c>
      <c r="AA46" s="487">
        <f t="shared" ca="1" si="3"/>
        <v>0</v>
      </c>
      <c r="AB46" s="486">
        <f ca="1">IF('CDO Bespoke'!O47&lt;&gt;"",'CDO Bespoke'!O47,"")</f>
        <v>1.1923668264923699</v>
      </c>
      <c r="AC46" s="487">
        <f ca="1">IF(AB46&lt;&gt;"",ABS(MIN(-0.75*('CDO Bespoke'!K47)+'CDO Bespoke'!T47,0)),"")</f>
        <v>0.34631500470191157</v>
      </c>
      <c r="AD46" s="487">
        <f t="shared" ca="1" si="4"/>
        <v>0.84605182179045835</v>
      </c>
      <c r="AE46" s="491">
        <f t="shared" ca="1" si="5"/>
        <v>0</v>
      </c>
      <c r="AF46" s="273"/>
      <c r="AG46" s="496" t="str">
        <f ca="1">IF('CDO Bespoke'!C71&lt;&gt;"",'CDO Bespoke'!C71,"")</f>
        <v>UNIBAIL-RODAMCO-WESTFIELD SE</v>
      </c>
      <c r="AH46" s="498">
        <f ca="1"/>
        <v>3.2042610009774819E-3</v>
      </c>
      <c r="AI46" s="587">
        <f ca="1"/>
        <v>1.0133911640952675E-2</v>
      </c>
      <c r="AJ46" s="587">
        <f ca="1"/>
        <v>2.5342592350208193E-2</v>
      </c>
      <c r="AK46" s="587">
        <f ca="1"/>
        <v>1.0607606954204929</v>
      </c>
      <c r="AL46" s="499">
        <f ca="1"/>
        <v>0</v>
      </c>
      <c r="AM46" s="498">
        <f ca="1"/>
        <v>-3.4560878599959599E-5</v>
      </c>
      <c r="AN46" s="587">
        <f ca="1"/>
        <v>-1.5393898945056245E-4</v>
      </c>
      <c r="AO46" s="587">
        <f ca="1"/>
        <v>-8.199485820505753E-4</v>
      </c>
      <c r="AP46" s="587">
        <f ca="1"/>
        <v>0.21914838325054997</v>
      </c>
      <c r="AQ46" s="499">
        <f ca="1"/>
        <v>0</v>
      </c>
      <c r="AR46" s="582"/>
      <c r="AS46" s="582"/>
      <c r="AT46" s="582"/>
      <c r="AU46" s="582"/>
      <c r="AV46" s="582"/>
      <c r="AW46" s="582"/>
      <c r="AX46" s="581"/>
    </row>
    <row r="47" spans="2:50">
      <c r="B47" s="519" t="s">
        <v>515</v>
      </c>
      <c r="C47" s="520" t="s">
        <v>66</v>
      </c>
      <c r="D47" s="520" t="s">
        <v>57</v>
      </c>
      <c r="E47" s="520" t="s">
        <v>649</v>
      </c>
      <c r="F47" s="520" t="s">
        <v>648</v>
      </c>
      <c r="G47" s="527">
        <v>0.01</v>
      </c>
      <c r="H47" s="527">
        <v>3.4150000000000001E-3</v>
      </c>
      <c r="I47" s="529">
        <v>0.4</v>
      </c>
      <c r="J47" s="596">
        <v>4</v>
      </c>
      <c r="K47" s="521">
        <v>8</v>
      </c>
      <c r="L47" s="273"/>
      <c r="M47" s="273"/>
      <c r="P47" s="274"/>
      <c r="Q47" s="274"/>
      <c r="R47" s="274"/>
      <c r="S47" s="274"/>
      <c r="T47" s="578">
        <f ca="1"/>
        <v>0.06</v>
      </c>
      <c r="U47" s="575">
        <f ca="1"/>
        <v>39</v>
      </c>
      <c r="V47" s="578">
        <f t="shared" ca="1" si="6"/>
        <v>0</v>
      </c>
      <c r="W47" s="578">
        <f t="shared" ca="1" si="7"/>
        <v>0</v>
      </c>
      <c r="X47" s="486">
        <f ca="1">IF('CDO Bespoke'!O48&lt;&gt;"",'CDO Bespoke'!O48,"")</f>
        <v>1.19524570960914</v>
      </c>
      <c r="Y47" s="487">
        <f ca="1">IF(X47&lt;&gt;"",ABS(MIN(-0.75*('CDO Bespoke'!Q48)+'CDO Bespoke'!T48,0)),"")</f>
        <v>1.1873388311722077</v>
      </c>
      <c r="Z47" s="487">
        <f t="shared" ca="1" si="2"/>
        <v>7.9068784369322742E-3</v>
      </c>
      <c r="AA47" s="487">
        <f t="shared" ca="1" si="3"/>
        <v>0</v>
      </c>
      <c r="AB47" s="486">
        <f ca="1">IF('CDO Bespoke'!O48&lt;&gt;"",'CDO Bespoke'!O48,"")</f>
        <v>1.19524570960914</v>
      </c>
      <c r="AC47" s="487">
        <f ca="1">IF(AB47&lt;&gt;"",ABS(MIN(-0.75*('CDO Bespoke'!K48)+'CDO Bespoke'!T48,0)),"")</f>
        <v>0.21468619779151921</v>
      </c>
      <c r="AD47" s="487">
        <f t="shared" ca="1" si="4"/>
        <v>0.9805595118176208</v>
      </c>
      <c r="AE47" s="491">
        <f t="shared" ca="1" si="5"/>
        <v>0</v>
      </c>
      <c r="AF47" s="273"/>
      <c r="AG47" s="496" t="str">
        <f ca="1">IF('CDO Bespoke'!C72&lt;&gt;"",'CDO Bespoke'!C72,"")</f>
        <v>VINCI</v>
      </c>
      <c r="AH47" s="498">
        <f ca="1"/>
        <v>3.1809155109918663E-3</v>
      </c>
      <c r="AI47" s="587">
        <f ca="1"/>
        <v>9.764934900680089E-3</v>
      </c>
      <c r="AJ47" s="587">
        <f ca="1"/>
        <v>2.6623410170900641E-2</v>
      </c>
      <c r="AK47" s="587">
        <f ca="1"/>
        <v>0.20151219133013321</v>
      </c>
      <c r="AL47" s="499">
        <f ca="1"/>
        <v>0</v>
      </c>
      <c r="AM47" s="498">
        <f ca="1"/>
        <v>8.4147539880854993E-5</v>
      </c>
      <c r="AN47" s="587">
        <f ca="1"/>
        <v>3.9186310137086233E-4</v>
      </c>
      <c r="AO47" s="587">
        <f ca="1"/>
        <v>1.7881576103100094E-3</v>
      </c>
      <c r="AP47" s="587">
        <f ca="1"/>
        <v>0.13715482282442987</v>
      </c>
      <c r="AQ47" s="499">
        <f ca="1"/>
        <v>0</v>
      </c>
      <c r="AR47" s="582"/>
      <c r="AS47" s="582"/>
      <c r="AT47" s="582"/>
      <c r="AU47" s="582"/>
      <c r="AV47" s="582"/>
      <c r="AW47" s="582"/>
      <c r="AX47" s="581"/>
    </row>
    <row r="48" spans="2:50">
      <c r="B48" s="536" t="s">
        <v>515</v>
      </c>
      <c r="C48" s="537" t="s">
        <v>66</v>
      </c>
      <c r="D48" s="537" t="s">
        <v>59</v>
      </c>
      <c r="E48" s="537" t="s">
        <v>649</v>
      </c>
      <c r="F48" s="537" t="s">
        <v>648</v>
      </c>
      <c r="G48" s="538">
        <v>0.01</v>
      </c>
      <c r="H48" s="538">
        <v>5.3829999999999998E-3</v>
      </c>
      <c r="I48" s="539">
        <v>0.4</v>
      </c>
      <c r="J48" s="597">
        <v>4</v>
      </c>
      <c r="K48" s="540">
        <v>8</v>
      </c>
      <c r="L48" s="273"/>
      <c r="M48" s="273"/>
      <c r="P48" s="274"/>
      <c r="Q48" s="274"/>
      <c r="R48" s="274"/>
      <c r="S48" s="274"/>
      <c r="T48" s="578">
        <f ca="1"/>
        <v>0.02</v>
      </c>
      <c r="U48" s="575">
        <f ca="1"/>
        <v>40</v>
      </c>
      <c r="V48" s="578">
        <f t="shared" ca="1" si="6"/>
        <v>0</v>
      </c>
      <c r="W48" s="578">
        <f t="shared" ca="1" si="7"/>
        <v>0</v>
      </c>
      <c r="X48" s="486">
        <f ca="1">IF('CDO Bespoke'!O49&lt;&gt;"",'CDO Bespoke'!O49,"")</f>
        <v>1.19375610874465</v>
      </c>
      <c r="Y48" s="487">
        <f ca="1">IF(X48&lt;&gt;"",ABS(MIN(-0.75*('CDO Bespoke'!Q49)+'CDO Bespoke'!T49,0)),"")</f>
        <v>1.1889858690053425</v>
      </c>
      <c r="Z48" s="487">
        <f t="shared" ca="1" si="2"/>
        <v>4.770239739307458E-3</v>
      </c>
      <c r="AA48" s="487">
        <f t="shared" ca="1" si="3"/>
        <v>0</v>
      </c>
      <c r="AB48" s="486">
        <f ca="1">IF('CDO Bespoke'!O49&lt;&gt;"",'CDO Bespoke'!O49,"")</f>
        <v>1.19375610874465</v>
      </c>
      <c r="AC48" s="487">
        <f ca="1">IF(AB48&lt;&gt;"",ABS(MIN(-0.75*('CDO Bespoke'!K49)+'CDO Bespoke'!T49,0)),"")</f>
        <v>0.30780593472077139</v>
      </c>
      <c r="AD48" s="487">
        <f t="shared" ca="1" si="4"/>
        <v>0.88595017402387866</v>
      </c>
      <c r="AE48" s="491">
        <f t="shared" ca="1" si="5"/>
        <v>0</v>
      </c>
      <c r="AF48" s="273"/>
      <c r="AG48" s="496" t="str">
        <f ca="1">IF('CDO Bespoke'!C73&lt;&gt;"",'CDO Bespoke'!C73,"")</f>
        <v>VOLKSWAGEN AKTIENGESELLSCHAFT</v>
      </c>
      <c r="AH48" s="498">
        <f ca="1"/>
        <v>3.5749270310692083E-3</v>
      </c>
      <c r="AI48" s="587">
        <f ca="1"/>
        <v>1.1421044260329083E-2</v>
      </c>
      <c r="AJ48" s="587">
        <f ca="1"/>
        <v>3.1235725570510908E-2</v>
      </c>
      <c r="AK48" s="587">
        <f ca="1"/>
        <v>0.75113384640057568</v>
      </c>
      <c r="AL48" s="499">
        <f ca="1"/>
        <v>0</v>
      </c>
      <c r="AM48" s="498">
        <f ca="1"/>
        <v>1.6229437440045541E-5</v>
      </c>
      <c r="AN48" s="587">
        <f ca="1"/>
        <v>7.9095689670041075E-5</v>
      </c>
      <c r="AO48" s="587">
        <f ca="1"/>
        <v>3.2386565769009466E-4</v>
      </c>
      <c r="AP48" s="587">
        <f ca="1"/>
        <v>0.13357927385802007</v>
      </c>
      <c r="AQ48" s="499">
        <f ca="1"/>
        <v>0</v>
      </c>
      <c r="AR48" s="582"/>
      <c r="AS48" s="582"/>
      <c r="AT48" s="582"/>
      <c r="AU48" s="582"/>
      <c r="AV48" s="582"/>
      <c r="AW48" s="582"/>
      <c r="AX48" s="581"/>
    </row>
    <row r="49" spans="2:50">
      <c r="B49" s="541" t="s">
        <v>530</v>
      </c>
      <c r="C49" s="542" t="s">
        <v>66</v>
      </c>
      <c r="D49" s="542" t="s">
        <v>55</v>
      </c>
      <c r="E49" s="542" t="s">
        <v>647</v>
      </c>
      <c r="F49" s="542" t="s">
        <v>675</v>
      </c>
      <c r="G49" s="543">
        <v>0.01</v>
      </c>
      <c r="H49" s="543">
        <v>2.222E-3</v>
      </c>
      <c r="I49" s="544">
        <v>0.4</v>
      </c>
      <c r="J49" s="604">
        <v>4</v>
      </c>
      <c r="K49" s="545">
        <v>9</v>
      </c>
      <c r="L49" s="273"/>
      <c r="M49" s="273"/>
      <c r="P49" s="274"/>
      <c r="Q49" s="274"/>
      <c r="R49" s="274"/>
      <c r="S49" s="274"/>
      <c r="T49" s="578">
        <f ca="1"/>
        <v>0.06</v>
      </c>
      <c r="U49" s="575">
        <f ca="1"/>
        <v>41</v>
      </c>
      <c r="V49" s="578">
        <f t="shared" ca="1" si="6"/>
        <v>0</v>
      </c>
      <c r="W49" s="578">
        <f t="shared" ca="1" si="7"/>
        <v>0</v>
      </c>
      <c r="X49" s="486">
        <f ca="1">IF('CDO Bespoke'!O50&lt;&gt;"",'CDO Bespoke'!O50,"")</f>
        <v>1.1940707736093901</v>
      </c>
      <c r="Y49" s="487">
        <f ca="1">IF(X49&lt;&gt;"",ABS(MIN(-0.75*('CDO Bespoke'!Q50)+'CDO Bespoke'!T50,0)),"")</f>
        <v>1.1887408016673047</v>
      </c>
      <c r="Z49" s="487">
        <f t="shared" ca="1" si="2"/>
        <v>5.3299719420853986E-3</v>
      </c>
      <c r="AA49" s="487">
        <f t="shared" ca="1" si="3"/>
        <v>0</v>
      </c>
      <c r="AB49" s="486">
        <f ca="1">IF('CDO Bespoke'!O50&lt;&gt;"",'CDO Bespoke'!O50,"")</f>
        <v>1.1940707736093901</v>
      </c>
      <c r="AC49" s="487">
        <f ca="1">IF(AB49&lt;&gt;"",ABS(MIN(-0.75*('CDO Bespoke'!K50)+'CDO Bespoke'!T50,0)),"")</f>
        <v>0.29554105022568622</v>
      </c>
      <c r="AD49" s="487">
        <f t="shared" ca="1" si="4"/>
        <v>0.89852972338370385</v>
      </c>
      <c r="AE49" s="491">
        <f t="shared" ca="1" si="5"/>
        <v>0</v>
      </c>
      <c r="AF49" s="273"/>
      <c r="AG49" s="496" t="str">
        <f ca="1">IF('CDO Bespoke'!C74&lt;&gt;"",'CDO Bespoke'!C74,"")</f>
        <v>WENDEL</v>
      </c>
      <c r="AH49" s="498">
        <f ca="1"/>
        <v>4.0368078702002208E-3</v>
      </c>
      <c r="AI49" s="587">
        <f ca="1"/>
        <v>1.3419202380404727E-2</v>
      </c>
      <c r="AJ49" s="587">
        <f ca="1"/>
        <v>3.828046642007088E-2</v>
      </c>
      <c r="AK49" s="587">
        <f ca="1"/>
        <v>0.55232254514092638</v>
      </c>
      <c r="AL49" s="499">
        <f ca="1"/>
        <v>0</v>
      </c>
      <c r="AM49" s="498">
        <f ca="1"/>
        <v>6.5232258750040628E-5</v>
      </c>
      <c r="AN49" s="587">
        <f ca="1"/>
        <v>3.0841747525062885E-4</v>
      </c>
      <c r="AO49" s="587">
        <f ca="1"/>
        <v>1.2850099517505362E-3</v>
      </c>
      <c r="AP49" s="587">
        <f ca="1"/>
        <v>0.22453740119725027</v>
      </c>
      <c r="AQ49" s="499">
        <f ca="1"/>
        <v>0</v>
      </c>
      <c r="AR49" s="582"/>
      <c r="AS49" s="582"/>
      <c r="AT49" s="582"/>
      <c r="AU49" s="582"/>
      <c r="AV49" s="582"/>
      <c r="AW49" s="582"/>
      <c r="AX49" s="581"/>
    </row>
    <row r="50" spans="2:50">
      <c r="B50" s="519" t="s">
        <v>530</v>
      </c>
      <c r="C50" s="520" t="s">
        <v>66</v>
      </c>
      <c r="D50" s="520" t="s">
        <v>57</v>
      </c>
      <c r="E50" s="520" t="s">
        <v>647</v>
      </c>
      <c r="F50" s="520" t="s">
        <v>675</v>
      </c>
      <c r="G50" s="527">
        <v>0.01</v>
      </c>
      <c r="H50" s="527">
        <v>4.2570000000000004E-3</v>
      </c>
      <c r="I50" s="529">
        <v>0.4</v>
      </c>
      <c r="J50" s="596">
        <v>4</v>
      </c>
      <c r="K50" s="521">
        <v>9</v>
      </c>
      <c r="L50" s="273"/>
      <c r="M50" s="273"/>
      <c r="P50" s="274"/>
      <c r="Q50" s="274"/>
      <c r="R50" s="274"/>
      <c r="S50" s="274"/>
      <c r="T50" s="578">
        <f ca="1"/>
        <v>0.02</v>
      </c>
      <c r="U50" s="575">
        <f ca="1"/>
        <v>42</v>
      </c>
      <c r="V50" s="578">
        <f t="shared" ca="1" si="6"/>
        <v>0</v>
      </c>
      <c r="W50" s="578">
        <f t="shared" ca="1" si="7"/>
        <v>0</v>
      </c>
      <c r="X50" s="486">
        <f ca="1">IF('CDO Bespoke'!O51&lt;&gt;"",'CDO Bespoke'!O51,"")</f>
        <v>1.1891860448635301</v>
      </c>
      <c r="Y50" s="487">
        <f ca="1">IF(X50&lt;&gt;"",ABS(MIN(-0.75*('CDO Bespoke'!Q51)+'CDO Bespoke'!T51,0)),"")</f>
        <v>1.1908113472194108</v>
      </c>
      <c r="Z50" s="487">
        <f t="shared" ca="1" si="2"/>
        <v>0</v>
      </c>
      <c r="AA50" s="487">
        <f t="shared" ca="1" si="3"/>
        <v>0</v>
      </c>
      <c r="AB50" s="486">
        <f ca="1">IF('CDO Bespoke'!O51&lt;&gt;"",'CDO Bespoke'!O51,"")</f>
        <v>1.1891860448635301</v>
      </c>
      <c r="AC50" s="487">
        <f ca="1">IF(AB50&lt;&gt;"",ABS(MIN(-0.75*('CDO Bespoke'!K51)+'CDO Bespoke'!T51,0)),"")</f>
        <v>0.39473075629615234</v>
      </c>
      <c r="AD50" s="487">
        <f t="shared" ca="1" si="4"/>
        <v>0.79445528856737768</v>
      </c>
      <c r="AE50" s="491">
        <f t="shared" ca="1" si="5"/>
        <v>0</v>
      </c>
      <c r="AF50" s="273"/>
      <c r="AG50" s="496" t="str">
        <f ca="1">IF('CDO Bespoke'!C75&lt;&gt;"",'CDO Bespoke'!C75,"")</f>
        <v>Aktiebolaget Electrolux</v>
      </c>
      <c r="AH50" s="498">
        <f ca="1"/>
        <v>2.3694406103835775E-3</v>
      </c>
      <c r="AI50" s="587">
        <f ca="1"/>
        <v>7.178628580462032E-3</v>
      </c>
      <c r="AJ50" s="587">
        <f ca="1"/>
        <v>1.2092897220261634E-2</v>
      </c>
      <c r="AK50" s="587">
        <f ca="1"/>
        <v>1.4568458005403961</v>
      </c>
      <c r="AL50" s="499">
        <f ca="1"/>
        <v>0</v>
      </c>
      <c r="AM50" s="498">
        <f ca="1"/>
        <v>-7.0799708789398563E-5</v>
      </c>
      <c r="AN50" s="587">
        <f ca="1"/>
        <v>-3.2668782014994013E-4</v>
      </c>
      <c r="AO50" s="587">
        <f ca="1"/>
        <v>-1.6134208845598047E-3</v>
      </c>
      <c r="AP50" s="587">
        <f ca="1"/>
        <v>0.12827384803278002</v>
      </c>
      <c r="AQ50" s="499">
        <f ca="1"/>
        <v>0</v>
      </c>
      <c r="AR50" s="582"/>
      <c r="AS50" s="582"/>
      <c r="AT50" s="582"/>
      <c r="AU50" s="582"/>
      <c r="AV50" s="582"/>
      <c r="AW50" s="582"/>
      <c r="AX50" s="581"/>
    </row>
    <row r="51" spans="2:50">
      <c r="B51" s="536" t="s">
        <v>530</v>
      </c>
      <c r="C51" s="537" t="s">
        <v>66</v>
      </c>
      <c r="D51" s="537" t="s">
        <v>59</v>
      </c>
      <c r="E51" s="537" t="s">
        <v>647</v>
      </c>
      <c r="F51" s="537" t="s">
        <v>675</v>
      </c>
      <c r="G51" s="538">
        <v>0.01</v>
      </c>
      <c r="H51" s="538">
        <v>6.2550000000000001E-3</v>
      </c>
      <c r="I51" s="539">
        <v>0.4</v>
      </c>
      <c r="J51" s="597">
        <v>4</v>
      </c>
      <c r="K51" s="540">
        <v>9</v>
      </c>
      <c r="L51" s="273"/>
      <c r="M51" s="273"/>
      <c r="P51" s="274"/>
      <c r="Q51" s="274"/>
      <c r="R51" s="274"/>
      <c r="S51" s="274"/>
      <c r="T51" s="578">
        <f ca="1"/>
        <v>0.03</v>
      </c>
      <c r="U51" s="575">
        <f ca="1"/>
        <v>43</v>
      </c>
      <c r="V51" s="578">
        <f t="shared" ca="1" si="6"/>
        <v>0</v>
      </c>
      <c r="W51" s="578">
        <f t="shared" ca="1" si="7"/>
        <v>0</v>
      </c>
      <c r="X51" s="486">
        <f ca="1">IF('CDO Bespoke'!O52&lt;&gt;"",'CDO Bespoke'!O52,"")</f>
        <v>1.1950029204824699</v>
      </c>
      <c r="Y51" s="487">
        <f ca="1">IF(X51&lt;&gt;"",ABS(MIN(-0.75*('CDO Bespoke'!Q52)+'CDO Bespoke'!T52,0)),"")</f>
        <v>1.1877359250174482</v>
      </c>
      <c r="Z51" s="487">
        <f t="shared" ca="1" si="2"/>
        <v>7.2669954650217417E-3</v>
      </c>
      <c r="AA51" s="487">
        <f t="shared" ca="1" si="3"/>
        <v>0</v>
      </c>
      <c r="AB51" s="486">
        <f ca="1">IF('CDO Bespoke'!O52&lt;&gt;"",'CDO Bespoke'!O52,"")</f>
        <v>1.1950029204824699</v>
      </c>
      <c r="AC51" s="487">
        <f ca="1">IF(AB51&lt;&gt;"",ABS(MIN(-0.75*('CDO Bespoke'!K52)+'CDO Bespoke'!T52,0)),"")</f>
        <v>0.24010064853684601</v>
      </c>
      <c r="AD51" s="487">
        <f t="shared" ca="1" si="4"/>
        <v>0.95490227194562394</v>
      </c>
      <c r="AE51" s="491">
        <f t="shared" ca="1" si="5"/>
        <v>0</v>
      </c>
      <c r="AF51" s="273"/>
      <c r="AG51" s="496" t="str">
        <f ca="1">IF('CDO Bespoke'!C76&lt;&gt;"",'CDO Bespoke'!C76,"")</f>
        <v>Anheuser-Busch InBev</v>
      </c>
      <c r="AH51" s="498">
        <f ca="1"/>
        <v>3.5666776110332421E-3</v>
      </c>
      <c r="AI51" s="587">
        <f ca="1"/>
        <v>1.1309352470068035E-2</v>
      </c>
      <c r="AJ51" s="587">
        <f ca="1"/>
        <v>3.1523707080260976E-2</v>
      </c>
      <c r="AK51" s="587">
        <f ca="1"/>
        <v>0.27993116502034177</v>
      </c>
      <c r="AL51" s="499">
        <f ca="1"/>
        <v>0</v>
      </c>
      <c r="AM51" s="498">
        <f ca="1"/>
        <v>7.3330783500677454E-5</v>
      </c>
      <c r="AN51" s="587">
        <f ca="1"/>
        <v>3.42321691950212E-4</v>
      </c>
      <c r="AO51" s="587">
        <f ca="1"/>
        <v>1.5459799755899312E-3</v>
      </c>
      <c r="AP51" s="587">
        <f ca="1"/>
        <v>0.13656258440312982</v>
      </c>
      <c r="AQ51" s="499">
        <f ca="1"/>
        <v>0</v>
      </c>
      <c r="AR51" s="582"/>
      <c r="AS51" s="582"/>
      <c r="AT51" s="582"/>
      <c r="AU51" s="582"/>
      <c r="AV51" s="582"/>
      <c r="AW51" s="582"/>
      <c r="AX51" s="581"/>
    </row>
    <row r="52" spans="2:50">
      <c r="B52" s="541" t="s">
        <v>531</v>
      </c>
      <c r="C52" s="542" t="s">
        <v>66</v>
      </c>
      <c r="D52" s="542" t="s">
        <v>55</v>
      </c>
      <c r="E52" s="542" t="s">
        <v>649</v>
      </c>
      <c r="F52" s="542" t="s">
        <v>674</v>
      </c>
      <c r="G52" s="543">
        <v>0.01</v>
      </c>
      <c r="H52" s="543">
        <v>7.633E-3</v>
      </c>
      <c r="I52" s="544">
        <v>0.4</v>
      </c>
      <c r="J52" s="604">
        <v>7</v>
      </c>
      <c r="K52" s="545">
        <v>10</v>
      </c>
      <c r="L52" s="273"/>
      <c r="M52" s="273"/>
      <c r="P52" s="274"/>
      <c r="Q52" s="274"/>
      <c r="R52" s="274"/>
      <c r="S52" s="274"/>
      <c r="T52" s="578">
        <f ca="1"/>
        <v>0.02</v>
      </c>
      <c r="U52" s="575">
        <f ca="1"/>
        <v>44</v>
      </c>
      <c r="V52" s="578">
        <f t="shared" ca="1" si="6"/>
        <v>0</v>
      </c>
      <c r="W52" s="578">
        <f t="shared" ca="1" si="7"/>
        <v>0</v>
      </c>
      <c r="X52" s="486">
        <f ca="1">IF('CDO Bespoke'!O53&lt;&gt;"",'CDO Bespoke'!O53,"")</f>
        <v>1.19427829776965</v>
      </c>
      <c r="Y52" s="487">
        <f ca="1">IF(X52&lt;&gt;"",ABS(MIN(-0.75*('CDO Bespoke'!Q53)+'CDO Bespoke'!T53,0)),"")</f>
        <v>1.188559777048493</v>
      </c>
      <c r="Z52" s="487">
        <f t="shared" ca="1" si="2"/>
        <v>5.7185207211569722E-3</v>
      </c>
      <c r="AA52" s="487">
        <f t="shared" ca="1" si="3"/>
        <v>0</v>
      </c>
      <c r="AB52" s="486">
        <f ca="1">IF('CDO Bespoke'!O53&lt;&gt;"",'CDO Bespoke'!O53,"")</f>
        <v>1.19427829776965</v>
      </c>
      <c r="AC52" s="487">
        <f ca="1">IF(AB52&lt;&gt;"",ABS(MIN(-0.75*('CDO Bespoke'!K53)+'CDO Bespoke'!T53,0)),"")</f>
        <v>0.28623094963932283</v>
      </c>
      <c r="AD52" s="487">
        <f t="shared" ca="1" si="4"/>
        <v>0.90804734813032717</v>
      </c>
      <c r="AE52" s="491">
        <f t="shared" ca="1" si="5"/>
        <v>0</v>
      </c>
      <c r="AF52" s="273"/>
      <c r="AG52" s="496" t="str">
        <f ca="1">IF('CDO Bespoke'!C77&lt;&gt;"",'CDO Bespoke'!C77,"")</f>
        <v>BRITISH AMERICAN TOBACCO p.l.c.</v>
      </c>
      <c r="AH52" s="498">
        <f ca="1"/>
        <v>3.8048745309993137E-3</v>
      </c>
      <c r="AI52" s="587">
        <f ca="1"/>
        <v>1.2343338980924656E-2</v>
      </c>
      <c r="AJ52" s="587">
        <f ca="1"/>
        <v>3.4636522900921562E-2</v>
      </c>
      <c r="AK52" s="587">
        <f ca="1"/>
        <v>0.55019121080079891</v>
      </c>
      <c r="AL52" s="499">
        <f ca="1"/>
        <v>0</v>
      </c>
      <c r="AM52" s="498">
        <f ca="1"/>
        <v>3.9838666290349656E-5</v>
      </c>
      <c r="AN52" s="587">
        <f ca="1"/>
        <v>1.881809905198914E-4</v>
      </c>
      <c r="AO52" s="587">
        <f ca="1"/>
        <v>7.8265210743007352E-4</v>
      </c>
      <c r="AP52" s="587">
        <f ca="1"/>
        <v>0.13487285101881005</v>
      </c>
      <c r="AQ52" s="499">
        <f ca="1"/>
        <v>0</v>
      </c>
      <c r="AR52" s="582"/>
      <c r="AS52" s="582"/>
      <c r="AT52" s="582"/>
      <c r="AU52" s="582"/>
      <c r="AV52" s="582"/>
      <c r="AW52" s="582"/>
      <c r="AX52" s="581"/>
    </row>
    <row r="53" spans="2:50">
      <c r="B53" s="519" t="s">
        <v>531</v>
      </c>
      <c r="C53" s="520" t="s">
        <v>66</v>
      </c>
      <c r="D53" s="520" t="s">
        <v>57</v>
      </c>
      <c r="E53" s="520" t="s">
        <v>649</v>
      </c>
      <c r="F53" s="520" t="s">
        <v>674</v>
      </c>
      <c r="G53" s="527">
        <v>0.01</v>
      </c>
      <c r="H53" s="527">
        <v>1.1407E-2</v>
      </c>
      <c r="I53" s="529">
        <v>0.4</v>
      </c>
      <c r="J53" s="596">
        <v>7</v>
      </c>
      <c r="K53" s="521">
        <v>10</v>
      </c>
      <c r="L53" s="273"/>
      <c r="M53" s="273"/>
      <c r="P53" s="274"/>
      <c r="Q53" s="274"/>
      <c r="R53" s="274"/>
      <c r="S53" s="274"/>
      <c r="T53" s="578">
        <f ca="1"/>
        <v>0.06</v>
      </c>
      <c r="U53" s="575">
        <f ca="1"/>
        <v>45</v>
      </c>
      <c r="V53" s="578">
        <f t="shared" ca="1" si="6"/>
        <v>0</v>
      </c>
      <c r="W53" s="578">
        <f t="shared" ca="1" si="7"/>
        <v>0</v>
      </c>
      <c r="X53" s="486">
        <f ca="1">IF('CDO Bespoke'!O54&lt;&gt;"",'CDO Bespoke'!O54,"")</f>
        <v>1.1953178757982701</v>
      </c>
      <c r="Y53" s="487">
        <f ca="1">IF(X53&lt;&gt;"",ABS(MIN(-0.75*('CDO Bespoke'!Q54)+'CDO Bespoke'!T54,0)),"")</f>
        <v>1.1871975411194653</v>
      </c>
      <c r="Z53" s="487">
        <f t="shared" ca="1" si="2"/>
        <v>8.120334678804797E-3</v>
      </c>
      <c r="AA53" s="487">
        <f t="shared" ca="1" si="3"/>
        <v>0</v>
      </c>
      <c r="AB53" s="486">
        <f ca="1">IF('CDO Bespoke'!O54&lt;&gt;"",'CDO Bespoke'!O54,"")</f>
        <v>1.1953178757982701</v>
      </c>
      <c r="AC53" s="487">
        <f ca="1">IF(AB53&lt;&gt;"",ABS(MIN(-0.75*('CDO Bespoke'!K54)+'CDO Bespoke'!T54,0)),"")</f>
        <v>0.20492414983173129</v>
      </c>
      <c r="AD53" s="487">
        <f t="shared" ca="1" si="4"/>
        <v>0.99039372596653874</v>
      </c>
      <c r="AE53" s="491">
        <f t="shared" ca="1" si="5"/>
        <v>0</v>
      </c>
      <c r="AF53" s="273"/>
      <c r="AG53" s="496" t="str">
        <f ca="1">IF('CDO Bespoke'!C78&lt;&gt;"",'CDO Bespoke'!C78,"")</f>
        <v>CARLSBERG BREWERIES A/S</v>
      </c>
      <c r="AH53" s="498">
        <f ca="1"/>
        <v>2.9772982201858866E-3</v>
      </c>
      <c r="AI53" s="587">
        <f ca="1"/>
        <v>8.9561522709225017E-3</v>
      </c>
      <c r="AJ53" s="587">
        <f ca="1"/>
        <v>2.4167919230322354E-2</v>
      </c>
      <c r="AK53" s="587">
        <f ca="1"/>
        <v>0.18989438472005737</v>
      </c>
      <c r="AL53" s="499">
        <f ca="1"/>
        <v>0</v>
      </c>
      <c r="AM53" s="498">
        <f ca="1"/>
        <v>8.5967785110399597E-5</v>
      </c>
      <c r="AN53" s="587">
        <f ca="1"/>
        <v>4.0013332779018085E-4</v>
      </c>
      <c r="AO53" s="587">
        <f ca="1"/>
        <v>1.8270663595502251E-3</v>
      </c>
      <c r="AP53" s="587">
        <f ca="1"/>
        <v>0.13728946606998069</v>
      </c>
      <c r="AQ53" s="499">
        <f ca="1"/>
        <v>0</v>
      </c>
      <c r="AR53" s="582"/>
      <c r="AS53" s="582"/>
      <c r="AT53" s="582"/>
      <c r="AU53" s="582"/>
      <c r="AV53" s="582"/>
      <c r="AW53" s="582"/>
      <c r="AX53" s="581"/>
    </row>
    <row r="54" spans="2:50">
      <c r="B54" s="536" t="s">
        <v>531</v>
      </c>
      <c r="C54" s="537" t="s">
        <v>66</v>
      </c>
      <c r="D54" s="537" t="s">
        <v>59</v>
      </c>
      <c r="E54" s="537" t="s">
        <v>649</v>
      </c>
      <c r="F54" s="537" t="s">
        <v>674</v>
      </c>
      <c r="G54" s="538">
        <v>0.01</v>
      </c>
      <c r="H54" s="538">
        <v>1.4759E-2</v>
      </c>
      <c r="I54" s="539">
        <v>0.4</v>
      </c>
      <c r="J54" s="597">
        <v>7</v>
      </c>
      <c r="K54" s="540">
        <v>10</v>
      </c>
      <c r="L54" s="273"/>
      <c r="M54" s="273"/>
      <c r="P54" s="274"/>
      <c r="Q54" s="274"/>
      <c r="R54" s="274"/>
      <c r="S54" s="274"/>
      <c r="T54" s="578">
        <f ca="1"/>
        <v>0.06</v>
      </c>
      <c r="U54" s="575">
        <f ca="1"/>
        <v>46</v>
      </c>
      <c r="V54" s="578">
        <f t="shared" ca="1" si="6"/>
        <v>0</v>
      </c>
      <c r="W54" s="578">
        <f t="shared" ca="1" si="7"/>
        <v>0</v>
      </c>
      <c r="X54" s="486">
        <f ca="1">IF('CDO Bespoke'!O55&lt;&gt;"",'CDO Bespoke'!O55,"")</f>
        <v>1.1948349466764701</v>
      </c>
      <c r="Y54" s="487">
        <f ca="1">IF(X54&lt;&gt;"",ABS(MIN(-0.75*('CDO Bespoke'!Q55)+'CDO Bespoke'!T55,0)),"")</f>
        <v>1.1879634529735561</v>
      </c>
      <c r="Z54" s="487">
        <f t="shared" ca="1" si="2"/>
        <v>6.8714937029139556E-3</v>
      </c>
      <c r="AA54" s="487">
        <f t="shared" ca="1" si="3"/>
        <v>0</v>
      </c>
      <c r="AB54" s="486">
        <f ca="1">IF('CDO Bespoke'!O55&lt;&gt;"",'CDO Bespoke'!O55,"")</f>
        <v>1.1948349466764701</v>
      </c>
      <c r="AC54" s="487">
        <f ca="1">IF(AB54&lt;&gt;"",ABS(MIN(-0.75*('CDO Bespoke'!K55)+'CDO Bespoke'!T55,0)),"")</f>
        <v>0.25358671003356748</v>
      </c>
      <c r="AD54" s="487">
        <f t="shared" ca="1" si="4"/>
        <v>0.94124823664290258</v>
      </c>
      <c r="AE54" s="491">
        <f t="shared" ca="1" si="5"/>
        <v>0</v>
      </c>
      <c r="AF54" s="273"/>
      <c r="AG54" s="496" t="str">
        <f ca="1">IF('CDO Bespoke'!C79&lt;&gt;"",'CDO Bespoke'!C79,"")</f>
        <v>Carrefour</v>
      </c>
      <c r="AH54" s="498">
        <f ca="1"/>
        <v>3.5627309502572757E-3</v>
      </c>
      <c r="AI54" s="587">
        <f ca="1"/>
        <v>1.1246766080663662E-2</v>
      </c>
      <c r="AJ54" s="587">
        <f ca="1"/>
        <v>3.1326252710739411E-2</v>
      </c>
      <c r="AK54" s="587">
        <f ca="1"/>
        <v>0.38370639601104095</v>
      </c>
      <c r="AL54" s="499">
        <f ca="1"/>
        <v>0</v>
      </c>
      <c r="AM54" s="498">
        <f ca="1"/>
        <v>6.0351873419628443E-5</v>
      </c>
      <c r="AN54" s="587">
        <f ca="1"/>
        <v>2.8258647488989264E-4</v>
      </c>
      <c r="AO54" s="587">
        <f ca="1"/>
        <v>1.2483603718499436E-3</v>
      </c>
      <c r="AP54" s="587">
        <f ca="1"/>
        <v>0.13597414013040016</v>
      </c>
      <c r="AQ54" s="499">
        <f ca="1"/>
        <v>0</v>
      </c>
      <c r="AR54" s="582"/>
      <c r="AS54" s="582"/>
      <c r="AT54" s="582"/>
      <c r="AU54" s="582"/>
      <c r="AV54" s="582"/>
      <c r="AW54" s="582"/>
      <c r="AX54" s="581"/>
    </row>
    <row r="55" spans="2:50">
      <c r="B55" s="541" t="s">
        <v>532</v>
      </c>
      <c r="C55" s="542" t="s">
        <v>66</v>
      </c>
      <c r="D55" s="542" t="s">
        <v>55</v>
      </c>
      <c r="E55" s="542" t="s">
        <v>647</v>
      </c>
      <c r="F55" s="542" t="s">
        <v>673</v>
      </c>
      <c r="G55" s="543">
        <v>0.01</v>
      </c>
      <c r="H55" s="543">
        <v>2.836E-3</v>
      </c>
      <c r="I55" s="544">
        <v>0.4</v>
      </c>
      <c r="J55" s="604">
        <v>5</v>
      </c>
      <c r="K55" s="545">
        <v>11</v>
      </c>
      <c r="L55" s="273"/>
      <c r="M55" s="273"/>
      <c r="P55" s="274"/>
      <c r="Q55" s="274"/>
      <c r="R55" s="274"/>
      <c r="S55" s="274"/>
      <c r="T55" s="578">
        <f ca="1"/>
        <v>0.03</v>
      </c>
      <c r="U55" s="575">
        <f ca="1"/>
        <v>47</v>
      </c>
      <c r="V55" s="578">
        <f t="shared" ca="1" si="6"/>
        <v>0</v>
      </c>
      <c r="W55" s="578">
        <f t="shared" ca="1" si="7"/>
        <v>0</v>
      </c>
      <c r="X55" s="486">
        <f ca="1">IF('CDO Bespoke'!O56&lt;&gt;"",'CDO Bespoke'!O56,"")</f>
        <v>1.19545553645325</v>
      </c>
      <c r="Y55" s="487">
        <f ca="1">IF(X55&lt;&gt;"",ABS(MIN(-0.75*('CDO Bespoke'!Q56)+'CDO Bespoke'!T56,0)),"")</f>
        <v>1.1868783781580468</v>
      </c>
      <c r="Z55" s="487">
        <f t="shared" ca="1" si="2"/>
        <v>8.5771582952032244E-3</v>
      </c>
      <c r="AA55" s="487">
        <f t="shared" ca="1" si="3"/>
        <v>0</v>
      </c>
      <c r="AB55" s="486">
        <f ca="1">IF('CDO Bespoke'!O56&lt;&gt;"",'CDO Bespoke'!O56,"")</f>
        <v>1.19545553645325</v>
      </c>
      <c r="AC55" s="487">
        <f ca="1">IF(AB55&lt;&gt;"",ABS(MIN(-0.75*('CDO Bespoke'!K56)+'CDO Bespoke'!T56,0)),"")</f>
        <v>0.1810292627680806</v>
      </c>
      <c r="AD55" s="487">
        <f t="shared" ca="1" si="4"/>
        <v>1.0144262736851695</v>
      </c>
      <c r="AE55" s="491">
        <f t="shared" ca="1" si="5"/>
        <v>0</v>
      </c>
      <c r="AF55" s="273"/>
      <c r="AG55" s="496" t="str">
        <f ca="1">IF('CDO Bespoke'!C80&lt;&gt;"",'CDO Bespoke'!C80,"")</f>
        <v>COMPASS GROUP PLC</v>
      </c>
      <c r="AH55" s="498">
        <f ca="1"/>
        <v>2.5884608501058892E-3</v>
      </c>
      <c r="AI55" s="587">
        <f ca="1"/>
        <v>7.5304453006630467E-3</v>
      </c>
      <c r="AJ55" s="587">
        <f ca="1"/>
        <v>1.9830360060701935E-2</v>
      </c>
      <c r="AK55" s="587">
        <f ca="1"/>
        <v>0.12842285590064506</v>
      </c>
      <c r="AL55" s="499">
        <f ca="1"/>
        <v>0</v>
      </c>
      <c r="AM55" s="498">
        <f ca="1"/>
        <v>9.5135380200755959E-5</v>
      </c>
      <c r="AN55" s="587">
        <f ca="1"/>
        <v>4.4209353998875267E-4</v>
      </c>
      <c r="AO55" s="587">
        <f ca="1"/>
        <v>2.0326064306394609E-3</v>
      </c>
      <c r="AP55" s="587">
        <f ca="1"/>
        <v>0.13776422075817002</v>
      </c>
      <c r="AQ55" s="499">
        <f ca="1"/>
        <v>0</v>
      </c>
      <c r="AR55" s="582"/>
      <c r="AS55" s="582"/>
      <c r="AT55" s="582"/>
      <c r="AU55" s="582"/>
      <c r="AV55" s="582"/>
      <c r="AW55" s="582"/>
      <c r="AX55" s="581"/>
    </row>
    <row r="56" spans="2:50">
      <c r="B56" s="519" t="s">
        <v>532</v>
      </c>
      <c r="C56" s="520" t="s">
        <v>66</v>
      </c>
      <c r="D56" s="520" t="s">
        <v>57</v>
      </c>
      <c r="E56" s="520" t="s">
        <v>647</v>
      </c>
      <c r="F56" s="520" t="s">
        <v>673</v>
      </c>
      <c r="G56" s="527">
        <v>0.01</v>
      </c>
      <c r="H56" s="527">
        <v>5.025E-3</v>
      </c>
      <c r="I56" s="529">
        <v>0.4</v>
      </c>
      <c r="J56" s="596">
        <v>5</v>
      </c>
      <c r="K56" s="521">
        <v>11</v>
      </c>
      <c r="L56" s="273"/>
      <c r="M56" s="273"/>
      <c r="P56" s="274"/>
      <c r="Q56" s="274"/>
      <c r="R56" s="274"/>
      <c r="S56" s="274"/>
      <c r="T56" s="578">
        <f ca="1"/>
        <v>0.06</v>
      </c>
      <c r="U56" s="575">
        <f ca="1"/>
        <v>48</v>
      </c>
      <c r="V56" s="578">
        <f t="shared" ca="1" si="6"/>
        <v>0</v>
      </c>
      <c r="W56" s="578">
        <f t="shared" ca="1" si="7"/>
        <v>0</v>
      </c>
      <c r="X56" s="486">
        <f ca="1">IF('CDO Bespoke'!O57&lt;&gt;"",'CDO Bespoke'!O57,"")</f>
        <v>1.19515309169683</v>
      </c>
      <c r="Y56" s="487">
        <f ca="1">IF(X56&lt;&gt;"",ABS(MIN(-0.75*('CDO Bespoke'!Q57)+'CDO Bespoke'!T57,0)),"")</f>
        <v>1.1875023548497055</v>
      </c>
      <c r="Z56" s="487">
        <f t="shared" ca="1" si="2"/>
        <v>7.650736847124584E-3</v>
      </c>
      <c r="AA56" s="487">
        <f t="shared" ca="1" si="3"/>
        <v>0</v>
      </c>
      <c r="AB56" s="486">
        <f ca="1">IF('CDO Bespoke'!O57&lt;&gt;"",'CDO Bespoke'!O57,"")</f>
        <v>1.19515309169683</v>
      </c>
      <c r="AC56" s="487">
        <f ca="1">IF(AB56&lt;&gt;"",ABS(MIN(-0.75*('CDO Bespoke'!K57)+'CDO Bespoke'!T57,0)),"")</f>
        <v>0.22548017568257511</v>
      </c>
      <c r="AD56" s="487">
        <f t="shared" ca="1" si="4"/>
        <v>0.96967291601425498</v>
      </c>
      <c r="AE56" s="491">
        <f t="shared" ca="1" si="5"/>
        <v>0</v>
      </c>
      <c r="AF56" s="273"/>
      <c r="AG56" s="496" t="str">
        <f ca="1">IF('CDO Bespoke'!C81&lt;&gt;"",'CDO Bespoke'!C81,"")</f>
        <v>DANONE</v>
      </c>
      <c r="AH56" s="498">
        <f ca="1"/>
        <v>3.3251886299989764E-3</v>
      </c>
      <c r="AI56" s="587">
        <f ca="1"/>
        <v>1.0320268331032167E-2</v>
      </c>
      <c r="AJ56" s="587">
        <f ca="1"/>
        <v>2.8391681921036138E-2</v>
      </c>
      <c r="AK56" s="587">
        <f ca="1"/>
        <v>0.24090071097049304</v>
      </c>
      <c r="AL56" s="499">
        <f ca="1"/>
        <v>0</v>
      </c>
      <c r="AM56" s="498">
        <f ca="1"/>
        <v>7.8716512319845777E-5</v>
      </c>
      <c r="AN56" s="587">
        <f ca="1"/>
        <v>3.669621778196186E-4</v>
      </c>
      <c r="AO56" s="587">
        <f ca="1"/>
        <v>1.6656729825894473E-3</v>
      </c>
      <c r="AP56" s="587">
        <f ca="1"/>
        <v>0.1368787020403498</v>
      </c>
      <c r="AQ56" s="499">
        <f ca="1"/>
        <v>0</v>
      </c>
      <c r="AR56" s="582"/>
      <c r="AS56" s="582"/>
      <c r="AT56" s="582"/>
      <c r="AU56" s="582"/>
      <c r="AV56" s="582"/>
      <c r="AW56" s="582"/>
      <c r="AX56" s="581"/>
    </row>
    <row r="57" spans="2:50">
      <c r="B57" s="536" t="s">
        <v>532</v>
      </c>
      <c r="C57" s="537" t="s">
        <v>66</v>
      </c>
      <c r="D57" s="537" t="s">
        <v>59</v>
      </c>
      <c r="E57" s="537" t="s">
        <v>647</v>
      </c>
      <c r="F57" s="537" t="s">
        <v>673</v>
      </c>
      <c r="G57" s="538">
        <v>0.01</v>
      </c>
      <c r="H57" s="538">
        <v>7.2620000000000002E-3</v>
      </c>
      <c r="I57" s="539">
        <v>0.4</v>
      </c>
      <c r="J57" s="597">
        <v>5</v>
      </c>
      <c r="K57" s="540">
        <v>11</v>
      </c>
      <c r="L57" s="273"/>
      <c r="M57" s="273"/>
      <c r="P57" s="274"/>
      <c r="Q57" s="274"/>
      <c r="R57" s="274"/>
      <c r="S57" s="274"/>
      <c r="T57" s="578">
        <f ca="1"/>
        <v>0.03</v>
      </c>
      <c r="U57" s="575">
        <f ca="1"/>
        <v>49</v>
      </c>
      <c r="V57" s="578">
        <f t="shared" ca="1" si="6"/>
        <v>0</v>
      </c>
      <c r="W57" s="578">
        <f t="shared" ca="1" si="7"/>
        <v>0</v>
      </c>
      <c r="X57" s="486">
        <f ca="1">IF('CDO Bespoke'!O58&lt;&gt;"",'CDO Bespoke'!O58,"")</f>
        <v>1.19533108820154</v>
      </c>
      <c r="Y57" s="487">
        <f ca="1">IF(X57&lt;&gt;"",ABS(MIN(-0.75*('CDO Bespoke'!Q58)+'CDO Bespoke'!T58,0)),"")</f>
        <v>1.1871700680452177</v>
      </c>
      <c r="Z57" s="487">
        <f t="shared" ca="1" si="2"/>
        <v>8.1610201563222518E-3</v>
      </c>
      <c r="AA57" s="487">
        <f t="shared" ca="1" si="3"/>
        <v>0</v>
      </c>
      <c r="AB57" s="486">
        <f ca="1">IF('CDO Bespoke'!O58&lt;&gt;"",'CDO Bespoke'!O58,"")</f>
        <v>1.19533108820154</v>
      </c>
      <c r="AC57" s="487">
        <f ca="1">IF(AB57&lt;&gt;"",ABS(MIN(-0.75*('CDO Bespoke'!K58)+'CDO Bespoke'!T58,0)),"")</f>
        <v>0.20297378177782605</v>
      </c>
      <c r="AD57" s="487">
        <f t="shared" ca="1" si="4"/>
        <v>0.99235730642371389</v>
      </c>
      <c r="AE57" s="491">
        <f t="shared" ca="1" si="5"/>
        <v>0</v>
      </c>
      <c r="AF57" s="273"/>
      <c r="AG57" s="496" t="str">
        <f ca="1">IF('CDO Bespoke'!C82&lt;&gt;"",'CDO Bespoke'!C82,"")</f>
        <v>DIAGEO PLC</v>
      </c>
      <c r="AH57" s="498">
        <f ca="1"/>
        <v>-8.8514508489456745E-3</v>
      </c>
      <c r="AI57" s="587">
        <f ca="1"/>
        <v>-4.4229389319916379E-2</v>
      </c>
      <c r="AJ57" s="587">
        <f ca="1"/>
        <v>-0.17250838986959671</v>
      </c>
      <c r="AK57" s="587">
        <f ca="1"/>
        <v>2.3466005982508698</v>
      </c>
      <c r="AL57" s="499">
        <f ca="1"/>
        <v>0</v>
      </c>
      <c r="AM57" s="498">
        <f ca="1"/>
        <v>-1.859887744190547E-4</v>
      </c>
      <c r="AN57" s="587">
        <f ca="1"/>
        <v>-8.5325649764877998E-4</v>
      </c>
      <c r="AO57" s="587">
        <f ca="1"/>
        <v>-3.954290305496766E-3</v>
      </c>
      <c r="AP57" s="587">
        <f ca="1"/>
        <v>0.12676309557186211</v>
      </c>
      <c r="AQ57" s="499">
        <f ca="1"/>
        <v>0</v>
      </c>
      <c r="AR57" s="582"/>
      <c r="AS57" s="582"/>
      <c r="AT57" s="582"/>
      <c r="AU57" s="582"/>
      <c r="AV57" s="582"/>
      <c r="AW57" s="582"/>
      <c r="AX57" s="581"/>
    </row>
    <row r="58" spans="2:50">
      <c r="B58" s="541" t="s">
        <v>516</v>
      </c>
      <c r="C58" s="542" t="s">
        <v>66</v>
      </c>
      <c r="D58" s="542" t="s">
        <v>55</v>
      </c>
      <c r="E58" s="542" t="s">
        <v>647</v>
      </c>
      <c r="F58" s="542" t="s">
        <v>648</v>
      </c>
      <c r="G58" s="543">
        <v>0.01</v>
      </c>
      <c r="H58" s="543">
        <v>2.2030000000000001E-3</v>
      </c>
      <c r="I58" s="544">
        <v>0.4</v>
      </c>
      <c r="J58" s="604">
        <v>4</v>
      </c>
      <c r="K58" s="545">
        <v>12</v>
      </c>
      <c r="L58" s="273"/>
      <c r="M58" s="273"/>
      <c r="P58" s="274"/>
      <c r="Q58" s="274"/>
      <c r="R58" s="274"/>
      <c r="S58" s="274"/>
      <c r="T58" s="578">
        <f ca="1"/>
        <v>0.06</v>
      </c>
      <c r="U58" s="575">
        <f ca="1"/>
        <v>50</v>
      </c>
      <c r="V58" s="578">
        <f t="shared" ca="1" si="6"/>
        <v>0</v>
      </c>
      <c r="W58" s="578">
        <f t="shared" ca="1" si="7"/>
        <v>0</v>
      </c>
      <c r="X58" s="486">
        <f ca="1">IF('CDO Bespoke'!O59&lt;&gt;"",'CDO Bespoke'!O59,"")</f>
        <v>1.1810613508435699</v>
      </c>
      <c r="Y58" s="487">
        <f ca="1">IF(X58&lt;&gt;"",ABS(MIN(-0.75*('CDO Bespoke'!Q59)+'CDO Bespoke'!T59,0)),"")</f>
        <v>1.1915312426610984</v>
      </c>
      <c r="Z58" s="487">
        <f t="shared" ca="1" si="2"/>
        <v>0</v>
      </c>
      <c r="AA58" s="487">
        <f t="shared" ca="1" si="3"/>
        <v>0</v>
      </c>
      <c r="AB58" s="486">
        <f ca="1">IF('CDO Bespoke'!O59&lt;&gt;"",'CDO Bespoke'!O59,"")</f>
        <v>1.1810613508435699</v>
      </c>
      <c r="AC58" s="487">
        <f ca="1">IF(AB58&lt;&gt;"",ABS(MIN(-0.75*('CDO Bespoke'!K59)+'CDO Bespoke'!T59,0)),"")</f>
        <v>0.44843870726275364</v>
      </c>
      <c r="AD58" s="487">
        <f t="shared" ca="1" si="4"/>
        <v>0.7326226435808163</v>
      </c>
      <c r="AE58" s="491">
        <f t="shared" ca="1" si="5"/>
        <v>0</v>
      </c>
      <c r="AF58" s="273"/>
      <c r="AG58" s="496" t="str">
        <f ca="1">IF('CDO Bespoke'!C83&lt;&gt;"",'CDO Bespoke'!C83,"")</f>
        <v>ELO</v>
      </c>
      <c r="AH58" s="498">
        <f ca="1"/>
        <v>-1.9319062904976647E-4</v>
      </c>
      <c r="AI58" s="587">
        <f ca="1"/>
        <v>-3.2789810089361993E-3</v>
      </c>
      <c r="AJ58" s="587">
        <f ca="1"/>
        <v>-3.3647183809160097E-2</v>
      </c>
      <c r="AK58" s="587">
        <f ca="1"/>
        <v>2.0307024019106112</v>
      </c>
      <c r="AL58" s="499">
        <f ca="1"/>
        <v>0</v>
      </c>
      <c r="AM58" s="498">
        <f ca="1"/>
        <v>-1.5331919571009989E-4</v>
      </c>
      <c r="AN58" s="587">
        <f ca="1"/>
        <v>-7.2146833979963576E-4</v>
      </c>
      <c r="AO58" s="587">
        <f ca="1"/>
        <v>-3.5204924587195485E-3</v>
      </c>
      <c r="AP58" s="587">
        <f ca="1"/>
        <v>0.12238109040947909</v>
      </c>
      <c r="AQ58" s="499">
        <f ca="1"/>
        <v>0</v>
      </c>
      <c r="AR58" s="582"/>
      <c r="AS58" s="582"/>
      <c r="AT58" s="582"/>
      <c r="AU58" s="582"/>
      <c r="AV58" s="582"/>
      <c r="AW58" s="582"/>
      <c r="AX58" s="581"/>
    </row>
    <row r="59" spans="2:50">
      <c r="B59" s="519" t="s">
        <v>516</v>
      </c>
      <c r="C59" s="520" t="s">
        <v>66</v>
      </c>
      <c r="D59" s="520" t="s">
        <v>57</v>
      </c>
      <c r="E59" s="520" t="s">
        <v>647</v>
      </c>
      <c r="F59" s="520" t="s">
        <v>648</v>
      </c>
      <c r="G59" s="527">
        <v>0.01</v>
      </c>
      <c r="H59" s="527">
        <v>3.3639999999999998E-3</v>
      </c>
      <c r="I59" s="529">
        <v>0.4</v>
      </c>
      <c r="J59" s="596">
        <v>4</v>
      </c>
      <c r="K59" s="521">
        <v>12</v>
      </c>
      <c r="L59" s="273"/>
      <c r="M59" s="273"/>
      <c r="P59" s="274"/>
      <c r="Q59" s="274"/>
      <c r="R59" s="274"/>
      <c r="S59" s="274"/>
      <c r="T59" s="578">
        <f ca="1"/>
        <v>0.06</v>
      </c>
      <c r="U59" s="575">
        <f ca="1"/>
        <v>51</v>
      </c>
      <c r="V59" s="578">
        <f t="shared" ca="1" si="6"/>
        <v>0</v>
      </c>
      <c r="W59" s="578">
        <f t="shared" ca="1" si="7"/>
        <v>0</v>
      </c>
      <c r="X59" s="486">
        <f ca="1">IF('CDO Bespoke'!O60&lt;&gt;"",'CDO Bespoke'!O60,"")</f>
        <v>1.19528584983255</v>
      </c>
      <c r="Y59" s="487">
        <f ca="1">IF(X59&lt;&gt;"",ABS(MIN(-0.75*('CDO Bespoke'!Q60)+'CDO Bespoke'!T60,0)),"")</f>
        <v>1.1872619718164032</v>
      </c>
      <c r="Z59" s="487">
        <f t="shared" ca="1" si="2"/>
        <v>8.0238780161467904E-3</v>
      </c>
      <c r="AA59" s="487">
        <f t="shared" ca="1" si="3"/>
        <v>0</v>
      </c>
      <c r="AB59" s="486">
        <f ca="1">IF('CDO Bespoke'!O60&lt;&gt;"",'CDO Bespoke'!O60,"")</f>
        <v>1.19528584983255</v>
      </c>
      <c r="AC59" s="487">
        <f ca="1">IF(AB59&lt;&gt;"",ABS(MIN(-0.75*('CDO Bespoke'!K60)+'CDO Bespoke'!T60,0)),"")</f>
        <v>0.20942985302674733</v>
      </c>
      <c r="AD59" s="487">
        <f t="shared" ca="1" si="4"/>
        <v>0.98585599680580271</v>
      </c>
      <c r="AE59" s="491">
        <f t="shared" ca="1" si="5"/>
        <v>0</v>
      </c>
      <c r="AF59" s="273"/>
      <c r="AG59" s="496" t="str">
        <f ca="1">IF('CDO Bespoke'!C84&lt;&gt;"",'CDO Bespoke'!C84,"")</f>
        <v>Heineken N.V.</v>
      </c>
      <c r="AH59" s="498">
        <f ca="1"/>
        <v>3.058218890350517E-3</v>
      </c>
      <c r="AI59" s="587">
        <f ca="1"/>
        <v>9.2695334608094981E-3</v>
      </c>
      <c r="AJ59" s="587">
        <f ca="1"/>
        <v>2.5124794950093232E-2</v>
      </c>
      <c r="AK59" s="587">
        <f ca="1"/>
        <v>0.19939625968024011</v>
      </c>
      <c r="AL59" s="499">
        <f ca="1"/>
        <v>0</v>
      </c>
      <c r="AM59" s="498">
        <f ca="1"/>
        <v>8.457812892027905E-5</v>
      </c>
      <c r="AN59" s="587">
        <f ca="1"/>
        <v>3.9378604431011821E-4</v>
      </c>
      <c r="AO59" s="587">
        <f ca="1"/>
        <v>1.7963040895501575E-3</v>
      </c>
      <c r="AP59" s="587">
        <f ca="1"/>
        <v>0.13720859757371978</v>
      </c>
      <c r="AQ59" s="499">
        <f ca="1"/>
        <v>0</v>
      </c>
      <c r="AR59" s="582"/>
      <c r="AS59" s="582"/>
      <c r="AT59" s="582"/>
      <c r="AU59" s="582"/>
      <c r="AV59" s="582"/>
      <c r="AW59" s="582"/>
      <c r="AX59" s="581"/>
    </row>
    <row r="60" spans="2:50">
      <c r="B60" s="536" t="s">
        <v>516</v>
      </c>
      <c r="C60" s="537" t="s">
        <v>66</v>
      </c>
      <c r="D60" s="537" t="s">
        <v>59</v>
      </c>
      <c r="E60" s="537" t="s">
        <v>647</v>
      </c>
      <c r="F60" s="537" t="s">
        <v>648</v>
      </c>
      <c r="G60" s="538">
        <v>0.01</v>
      </c>
      <c r="H60" s="538">
        <v>4.9129999999999998E-3</v>
      </c>
      <c r="I60" s="539">
        <v>0.4</v>
      </c>
      <c r="J60" s="597">
        <v>4</v>
      </c>
      <c r="K60" s="540">
        <v>12</v>
      </c>
      <c r="L60" s="273"/>
      <c r="M60" s="273"/>
      <c r="P60" s="274"/>
      <c r="Q60" s="274"/>
      <c r="R60" s="274"/>
      <c r="S60" s="274"/>
      <c r="T60" s="578">
        <f ca="1"/>
        <v>0.06</v>
      </c>
      <c r="U60" s="575">
        <f ca="1"/>
        <v>52</v>
      </c>
      <c r="V60" s="578">
        <f t="shared" ca="1" si="6"/>
        <v>0</v>
      </c>
      <c r="W60" s="578">
        <f t="shared" ca="1" si="7"/>
        <v>0</v>
      </c>
      <c r="X60" s="486">
        <f ca="1">IF('CDO Bespoke'!O61&lt;&gt;"",'CDO Bespoke'!O61,"")</f>
        <v>1.19544730612132</v>
      </c>
      <c r="Y60" s="487">
        <f ca="1">IF(X60&lt;&gt;"",ABS(MIN(-0.75*('CDO Bespoke'!Q61)+'CDO Bespoke'!T61,0)),"")</f>
        <v>1.1868999365916659</v>
      </c>
      <c r="Z60" s="487">
        <f t="shared" ca="1" si="2"/>
        <v>8.5473695296540697E-3</v>
      </c>
      <c r="AA60" s="487">
        <f t="shared" ca="1" si="3"/>
        <v>0</v>
      </c>
      <c r="AB60" s="486">
        <f ca="1">IF('CDO Bespoke'!O61&lt;&gt;"",'CDO Bespoke'!O61,"")</f>
        <v>1.19544730612132</v>
      </c>
      <c r="AC60" s="487">
        <f ca="1">IF(AB60&lt;&gt;"",ABS(MIN(-0.75*('CDO Bespoke'!K61)+'CDO Bespoke'!T61,0)),"")</f>
        <v>0.18273774022382774</v>
      </c>
      <c r="AD60" s="487">
        <f t="shared" ca="1" si="4"/>
        <v>1.0127095658974923</v>
      </c>
      <c r="AE60" s="491">
        <f t="shared" ca="1" si="5"/>
        <v>0</v>
      </c>
      <c r="AF60" s="273"/>
      <c r="AG60" s="496" t="str">
        <f ca="1">IF('CDO Bespoke'!C85&lt;&gt;"",'CDO Bespoke'!C85,"")</f>
        <v>Henkel AG &amp; Co. KGaA</v>
      </c>
      <c r="AH60" s="498">
        <f ca="1"/>
        <v>2.6760806204340071E-3</v>
      </c>
      <c r="AI60" s="587">
        <f ca="1"/>
        <v>7.8934355007831414E-3</v>
      </c>
      <c r="AJ60" s="587">
        <f ca="1"/>
        <v>2.0802545820375329E-2</v>
      </c>
      <c r="AK60" s="587">
        <f ca="1"/>
        <v>0.11233585843095639</v>
      </c>
      <c r="AL60" s="499">
        <f ca="1"/>
        <v>0</v>
      </c>
      <c r="AM60" s="498">
        <f ca="1"/>
        <v>9.7489571640463346E-5</v>
      </c>
      <c r="AN60" s="587">
        <f ca="1"/>
        <v>4.5295544025131251E-4</v>
      </c>
      <c r="AO60" s="587">
        <f ca="1"/>
        <v>2.0878488333000988E-3</v>
      </c>
      <c r="AP60" s="587">
        <f ca="1"/>
        <v>0.13783750662747019</v>
      </c>
      <c r="AQ60" s="499">
        <f ca="1"/>
        <v>0</v>
      </c>
      <c r="AR60" s="582"/>
      <c r="AS60" s="582"/>
      <c r="AT60" s="582"/>
      <c r="AU60" s="582"/>
      <c r="AV60" s="582"/>
      <c r="AW60" s="582"/>
      <c r="AX60" s="581"/>
    </row>
    <row r="61" spans="2:50">
      <c r="B61" s="541" t="s">
        <v>612</v>
      </c>
      <c r="C61" s="542" t="s">
        <v>66</v>
      </c>
      <c r="D61" s="542" t="s">
        <v>55</v>
      </c>
      <c r="E61" s="542" t="s">
        <v>649</v>
      </c>
      <c r="F61" s="542" t="s">
        <v>648</v>
      </c>
      <c r="G61" s="543">
        <v>0.01</v>
      </c>
      <c r="H61" s="543">
        <v>5.3819999999999996E-3</v>
      </c>
      <c r="I61" s="544">
        <v>0.4</v>
      </c>
      <c r="J61" s="604">
        <v>4</v>
      </c>
      <c r="K61" s="545">
        <v>13</v>
      </c>
      <c r="L61" s="273"/>
      <c r="M61" s="273"/>
      <c r="P61" s="274"/>
      <c r="Q61" s="274"/>
      <c r="R61" s="274"/>
      <c r="S61" s="274"/>
      <c r="T61" s="578">
        <f ca="1"/>
        <v>0.02</v>
      </c>
      <c r="U61" s="575">
        <f ca="1"/>
        <v>53</v>
      </c>
      <c r="V61" s="578">
        <f t="shared" ca="1" si="6"/>
        <v>0</v>
      </c>
      <c r="W61" s="578">
        <f t="shared" ca="1" si="7"/>
        <v>0</v>
      </c>
      <c r="X61" s="486">
        <f ca="1">IF('CDO Bespoke'!O62&lt;&gt;"",'CDO Bespoke'!O62,"")</f>
        <v>1.19390683900623</v>
      </c>
      <c r="Y61" s="487">
        <f ca="1">IF(X61&lt;&gt;"",ABS(MIN(-0.75*('CDO Bespoke'!Q62)+'CDO Bespoke'!T62,0)),"")</f>
        <v>1.1888724451269923</v>
      </c>
      <c r="Z61" s="487">
        <f t="shared" ca="1" si="2"/>
        <v>5.034393879237653E-3</v>
      </c>
      <c r="AA61" s="487">
        <f t="shared" ca="1" si="3"/>
        <v>0</v>
      </c>
      <c r="AB61" s="486">
        <f ca="1">IF('CDO Bespoke'!O62&lt;&gt;"",'CDO Bespoke'!O62,"")</f>
        <v>1.19390683900623</v>
      </c>
      <c r="AC61" s="487">
        <f ca="1">IF(AB61&lt;&gt;"",ABS(MIN(-0.75*('CDO Bespoke'!K62)+'CDO Bespoke'!T62,0)),"")</f>
        <v>0.30217376438623145</v>
      </c>
      <c r="AD61" s="487">
        <f t="shared" ca="1" si="4"/>
        <v>0.89173307461999851</v>
      </c>
      <c r="AE61" s="491">
        <f t="shared" ca="1" si="5"/>
        <v>0</v>
      </c>
      <c r="AF61" s="273"/>
      <c r="AG61" s="496" t="str">
        <f ca="1">IF('CDO Bespoke'!C86&lt;&gt;"",'CDO Bespoke'!C86,"")</f>
        <v>IMPERIAL BRANDS PLC</v>
      </c>
      <c r="AH61" s="498">
        <f ca="1"/>
        <v>3.9224156100914342E-3</v>
      </c>
      <c r="AI61" s="587">
        <f ca="1"/>
        <v>1.29436333407007E-2</v>
      </c>
      <c r="AJ61" s="587">
        <f ca="1"/>
        <v>3.6474249890394717E-2</v>
      </c>
      <c r="AK61" s="587">
        <f ca="1"/>
        <v>0.62773783451097742</v>
      </c>
      <c r="AL61" s="499">
        <f ca="1"/>
        <v>0</v>
      </c>
      <c r="AM61" s="498">
        <f ca="1"/>
        <v>3.0337410842837254E-5</v>
      </c>
      <c r="AN61" s="587">
        <f ca="1"/>
        <v>1.4438570307331172E-4</v>
      </c>
      <c r="AO61" s="587">
        <f ca="1"/>
        <v>5.6728449261307656E-4</v>
      </c>
      <c r="AP61" s="587">
        <f ca="1"/>
        <v>0.13431496234896315</v>
      </c>
      <c r="AQ61" s="499">
        <f ca="1"/>
        <v>0</v>
      </c>
      <c r="AR61" s="582"/>
      <c r="AS61" s="582"/>
      <c r="AT61" s="582"/>
      <c r="AU61" s="582"/>
      <c r="AV61" s="582"/>
      <c r="AW61" s="582"/>
      <c r="AX61" s="581"/>
    </row>
    <row r="62" spans="2:50">
      <c r="B62" s="519" t="s">
        <v>612</v>
      </c>
      <c r="C62" s="520" t="s">
        <v>66</v>
      </c>
      <c r="D62" s="520" t="s">
        <v>57</v>
      </c>
      <c r="E62" s="520" t="s">
        <v>649</v>
      </c>
      <c r="F62" s="520" t="s">
        <v>648</v>
      </c>
      <c r="G62" s="527">
        <v>0.01</v>
      </c>
      <c r="H62" s="527">
        <v>8.8269999999999998E-3</v>
      </c>
      <c r="I62" s="529">
        <v>0.4</v>
      </c>
      <c r="J62" s="596">
        <v>4</v>
      </c>
      <c r="K62" s="521">
        <v>13</v>
      </c>
      <c r="L62" s="273"/>
      <c r="M62" s="273"/>
      <c r="P62" s="274"/>
      <c r="Q62" s="274"/>
      <c r="R62" s="274"/>
      <c r="S62" s="274"/>
      <c r="T62" s="578">
        <f ca="1"/>
        <v>0.02</v>
      </c>
      <c r="U62" s="575">
        <f ca="1"/>
        <v>54</v>
      </c>
      <c r="V62" s="578">
        <f t="shared" ca="1" si="6"/>
        <v>0</v>
      </c>
      <c r="W62" s="578">
        <f t="shared" ca="1" si="7"/>
        <v>0</v>
      </c>
      <c r="X62" s="486">
        <f ca="1">IF('CDO Bespoke'!O63&lt;&gt;"",'CDO Bespoke'!O63,"")</f>
        <v>1.19494496186207</v>
      </c>
      <c r="Y62" s="487">
        <f ca="1">IF(X62&lt;&gt;"",ABS(MIN(-0.75*('CDO Bespoke'!Q63)+'CDO Bespoke'!T63,0)),"")</f>
        <v>1.1878178983743448</v>
      </c>
      <c r="Z62" s="487">
        <f t="shared" ca="1" si="2"/>
        <v>7.1270634877251826E-3</v>
      </c>
      <c r="AA62" s="487">
        <f t="shared" ca="1" si="3"/>
        <v>0</v>
      </c>
      <c r="AB62" s="486">
        <f ca="1">IF('CDO Bespoke'!O63&lt;&gt;"",'CDO Bespoke'!O63,"")</f>
        <v>1.19494496186207</v>
      </c>
      <c r="AC62" s="487">
        <f ca="1">IF(AB62&lt;&gt;"",ABS(MIN(-0.75*('CDO Bespoke'!K63)+'CDO Bespoke'!T63,0)),"")</f>
        <v>0.24503814201807592</v>
      </c>
      <c r="AD62" s="487">
        <f t="shared" ca="1" si="4"/>
        <v>0.94990681984399405</v>
      </c>
      <c r="AE62" s="491">
        <f t="shared" ca="1" si="5"/>
        <v>0</v>
      </c>
      <c r="AF62" s="273"/>
      <c r="AG62" s="496" t="str">
        <f ca="1">IF('CDO Bespoke'!C87&lt;&gt;"",'CDO Bespoke'!C87,"")</f>
        <v>Kering</v>
      </c>
      <c r="AH62" s="498">
        <f ca="1"/>
        <v>3.6076100806692324E-3</v>
      </c>
      <c r="AI62" s="587">
        <f ca="1"/>
        <v>1.1471442010746458E-2</v>
      </c>
      <c r="AJ62" s="587">
        <f ca="1"/>
        <v>3.2058231120846159E-2</v>
      </c>
      <c r="AK62" s="587">
        <f ca="1"/>
        <v>0.30562525113020378</v>
      </c>
      <c r="AL62" s="499">
        <f ca="1"/>
        <v>0</v>
      </c>
      <c r="AM62" s="498">
        <f ca="1"/>
        <v>7.0002849180891835E-5</v>
      </c>
      <c r="AN62" s="587">
        <f ca="1"/>
        <v>3.2702507619074284E-4</v>
      </c>
      <c r="AO62" s="587">
        <f ca="1"/>
        <v>1.4703076945506849E-3</v>
      </c>
      <c r="AP62" s="587">
        <f ca="1"/>
        <v>0.13639904045853052</v>
      </c>
      <c r="AQ62" s="499">
        <f ca="1"/>
        <v>0</v>
      </c>
      <c r="AR62" s="582"/>
      <c r="AS62" s="582"/>
      <c r="AT62" s="582"/>
      <c r="AU62" s="582"/>
      <c r="AV62" s="582"/>
      <c r="AW62" s="582"/>
      <c r="AX62" s="581"/>
    </row>
    <row r="63" spans="2:50">
      <c r="B63" s="536" t="s">
        <v>612</v>
      </c>
      <c r="C63" s="537" t="s">
        <v>66</v>
      </c>
      <c r="D63" s="537" t="s">
        <v>59</v>
      </c>
      <c r="E63" s="537" t="s">
        <v>649</v>
      </c>
      <c r="F63" s="537" t="s">
        <v>648</v>
      </c>
      <c r="G63" s="538">
        <v>0.01</v>
      </c>
      <c r="H63" s="538">
        <v>1.2491E-2</v>
      </c>
      <c r="I63" s="539">
        <v>0.4</v>
      </c>
      <c r="J63" s="597">
        <v>4</v>
      </c>
      <c r="K63" s="540">
        <v>13</v>
      </c>
      <c r="L63" s="273"/>
      <c r="M63" s="273"/>
      <c r="P63" s="274"/>
      <c r="Q63" s="274"/>
      <c r="R63" s="274"/>
      <c r="S63" s="274"/>
      <c r="T63" s="578">
        <f ca="1"/>
        <v>0.06</v>
      </c>
      <c r="U63" s="575">
        <f ca="1"/>
        <v>55</v>
      </c>
      <c r="V63" s="578">
        <f t="shared" ca="1" si="6"/>
        <v>0</v>
      </c>
      <c r="W63" s="578">
        <f t="shared" ca="1" si="7"/>
        <v>0</v>
      </c>
      <c r="X63" s="486">
        <f ca="1">IF('CDO Bespoke'!O64&lt;&gt;"",'CDO Bespoke'!O64,"")</f>
        <v>1.19527202250022</v>
      </c>
      <c r="Y63" s="487">
        <f ca="1">IF(X63&lt;&gt;"",ABS(MIN(-0.75*('CDO Bespoke'!Q64)+'CDO Bespoke'!T64,0)),"")</f>
        <v>1.187288911058793</v>
      </c>
      <c r="Z63" s="487">
        <f t="shared" ca="1" si="2"/>
        <v>7.9831114414270488E-3</v>
      </c>
      <c r="AA63" s="487">
        <f t="shared" ca="1" si="3"/>
        <v>0</v>
      </c>
      <c r="AB63" s="486">
        <f ca="1">IF('CDO Bespoke'!O64&lt;&gt;"",'CDO Bespoke'!O64,"")</f>
        <v>1.19527202250022</v>
      </c>
      <c r="AC63" s="487">
        <f ca="1">IF(AB63&lt;&gt;"",ABS(MIN(-0.75*('CDO Bespoke'!K64)+'CDO Bespoke'!T64,0)),"")</f>
        <v>0.21128644080981226</v>
      </c>
      <c r="AD63" s="487">
        <f t="shared" ca="1" si="4"/>
        <v>0.98398558169040773</v>
      </c>
      <c r="AE63" s="491">
        <f t="shared" ca="1" si="5"/>
        <v>0</v>
      </c>
      <c r="AF63" s="273"/>
      <c r="AG63" s="496" t="str">
        <f ca="1">IF('CDO Bespoke'!C88&lt;&gt;"",'CDO Bespoke'!C88,"")</f>
        <v>Koninklijke Ahold Delhaize N.V.</v>
      </c>
      <c r="AH63" s="498">
        <f ca="1"/>
        <v>-1.0945447639354455E-2</v>
      </c>
      <c r="AI63" s="587">
        <f ca="1"/>
        <v>-5.3854391849350591E-2</v>
      </c>
      <c r="AJ63" s="587">
        <f ca="1"/>
        <v>-0.21114454092918677</v>
      </c>
      <c r="AK63" s="587">
        <f ca="1"/>
        <v>2.5802199607405374</v>
      </c>
      <c r="AL63" s="499">
        <f ca="1"/>
        <v>0</v>
      </c>
      <c r="AM63" s="498">
        <f ca="1"/>
        <v>-2.2871983535871498E-4</v>
      </c>
      <c r="AN63" s="587">
        <f ca="1"/>
        <v>-1.0504744311287673E-3</v>
      </c>
      <c r="AO63" s="587">
        <f ca="1"/>
        <v>-4.8266251294809548E-3</v>
      </c>
      <c r="AP63" s="587">
        <f ca="1"/>
        <v>0.12496458663734804</v>
      </c>
      <c r="AQ63" s="499">
        <f ca="1"/>
        <v>0</v>
      </c>
      <c r="AR63" s="582"/>
      <c r="AS63" s="582"/>
      <c r="AT63" s="582"/>
      <c r="AU63" s="582"/>
      <c r="AV63" s="582"/>
      <c r="AW63" s="582"/>
      <c r="AX63" s="581"/>
    </row>
    <row r="64" spans="2:50">
      <c r="B64" s="541" t="s">
        <v>517</v>
      </c>
      <c r="C64" s="542" t="s">
        <v>66</v>
      </c>
      <c r="D64" s="542" t="s">
        <v>55</v>
      </c>
      <c r="E64" s="542" t="s">
        <v>649</v>
      </c>
      <c r="F64" s="542" t="s">
        <v>648</v>
      </c>
      <c r="G64" s="543">
        <v>0.01</v>
      </c>
      <c r="H64" s="543">
        <v>2.905E-3</v>
      </c>
      <c r="I64" s="544">
        <v>0.4</v>
      </c>
      <c r="J64" s="604">
        <v>4</v>
      </c>
      <c r="K64" s="545">
        <v>14</v>
      </c>
      <c r="L64" s="273"/>
      <c r="M64" s="273"/>
      <c r="P64" s="274"/>
      <c r="Q64" s="274"/>
      <c r="R64" s="274"/>
      <c r="S64" s="274"/>
      <c r="T64" s="578">
        <f ca="1"/>
        <v>0.06</v>
      </c>
      <c r="U64" s="575">
        <f ca="1"/>
        <v>56</v>
      </c>
      <c r="V64" s="578">
        <f t="shared" ca="1" si="6"/>
        <v>0</v>
      </c>
      <c r="W64" s="578">
        <f t="shared" ca="1" si="7"/>
        <v>0</v>
      </c>
      <c r="X64" s="486">
        <f ca="1">IF('CDO Bespoke'!O65&lt;&gt;"",'CDO Bespoke'!O65,"")</f>
        <v>1.19470731124271</v>
      </c>
      <c r="Y64" s="487">
        <f ca="1">IF(X64&lt;&gt;"",ABS(MIN(-0.75*('CDO Bespoke'!Q65)+'CDO Bespoke'!T65,0)),"")</f>
        <v>1.1881184514269818</v>
      </c>
      <c r="Z64" s="487">
        <f t="shared" ca="1" si="2"/>
        <v>6.5888598157282097E-3</v>
      </c>
      <c r="AA64" s="487">
        <f t="shared" ca="1" si="3"/>
        <v>0</v>
      </c>
      <c r="AB64" s="486">
        <f ca="1">IF('CDO Bespoke'!O65&lt;&gt;"",'CDO Bespoke'!O65,"")</f>
        <v>1.19470731124271</v>
      </c>
      <c r="AC64" s="487">
        <f ca="1">IF(AB64&lt;&gt;"",ABS(MIN(-0.75*('CDO Bespoke'!K65)+'CDO Bespoke'!T65,0)),"")</f>
        <v>0.26241152867104256</v>
      </c>
      <c r="AD64" s="487">
        <f t="shared" ca="1" si="4"/>
        <v>0.93229578257166745</v>
      </c>
      <c r="AE64" s="491">
        <f t="shared" ca="1" si="5"/>
        <v>0</v>
      </c>
      <c r="AF64" s="273"/>
      <c r="AG64" s="496" t="str">
        <f ca="1">IF('CDO Bespoke'!C89&lt;&gt;"",'CDO Bespoke'!C89,"")</f>
        <v>Koninklijke Philips N.V.</v>
      </c>
      <c r="AH64" s="498">
        <f ca="1"/>
        <v>3.8367374000092269E-3</v>
      </c>
      <c r="AI64" s="587">
        <f ca="1"/>
        <v>1.2454104320047676E-2</v>
      </c>
      <c r="AJ64" s="587">
        <f ca="1"/>
        <v>3.524006679023195E-2</v>
      </c>
      <c r="AK64" s="587">
        <f ca="1"/>
        <v>0.36928265095048651</v>
      </c>
      <c r="AL64" s="499">
        <f ca="1"/>
        <v>0</v>
      </c>
      <c r="AM64" s="498">
        <f ca="1"/>
        <v>6.1700686920101999E-5</v>
      </c>
      <c r="AN64" s="587">
        <f ca="1"/>
        <v>2.8892756862020086E-4</v>
      </c>
      <c r="AO64" s="587">
        <f ca="1"/>
        <v>1.2839516939103235E-3</v>
      </c>
      <c r="AP64" s="587">
        <f ca="1"/>
        <v>0.13592972855277008</v>
      </c>
      <c r="AQ64" s="499">
        <f ca="1"/>
        <v>0</v>
      </c>
      <c r="AR64" s="582"/>
      <c r="AS64" s="582"/>
      <c r="AT64" s="582"/>
      <c r="AU64" s="582"/>
      <c r="AV64" s="582"/>
      <c r="AW64" s="582"/>
      <c r="AX64" s="581"/>
    </row>
    <row r="65" spans="2:50">
      <c r="B65" s="519" t="s">
        <v>517</v>
      </c>
      <c r="C65" s="520" t="s">
        <v>66</v>
      </c>
      <c r="D65" s="520" t="s">
        <v>57</v>
      </c>
      <c r="E65" s="520" t="s">
        <v>649</v>
      </c>
      <c r="F65" s="520" t="s">
        <v>648</v>
      </c>
      <c r="G65" s="527">
        <v>0.01</v>
      </c>
      <c r="H65" s="527">
        <v>4.709E-2</v>
      </c>
      <c r="I65" s="529">
        <v>0.4</v>
      </c>
      <c r="J65" s="596">
        <v>4</v>
      </c>
      <c r="K65" s="521">
        <v>14</v>
      </c>
      <c r="L65" s="273"/>
      <c r="M65" s="273"/>
      <c r="P65" s="274"/>
      <c r="Q65" s="274"/>
      <c r="R65" s="274"/>
      <c r="S65" s="274"/>
      <c r="T65" s="578">
        <f ca="1"/>
        <v>0.06</v>
      </c>
      <c r="U65" s="575">
        <f ca="1"/>
        <v>57</v>
      </c>
      <c r="V65" s="578">
        <f t="shared" ca="1" si="6"/>
        <v>0</v>
      </c>
      <c r="W65" s="578">
        <f t="shared" ca="1" si="7"/>
        <v>0</v>
      </c>
      <c r="X65" s="486">
        <f ca="1">IF('CDO Bespoke'!O66&lt;&gt;"",'CDO Bespoke'!O66,"")</f>
        <v>1.19232393155728</v>
      </c>
      <c r="Y65" s="487">
        <f ca="1">IF(X65&lt;&gt;"",ABS(MIN(-0.75*('CDO Bespoke'!Q66)+'CDO Bespoke'!T66,0)),"")</f>
        <v>1.1898126214722473</v>
      </c>
      <c r="Z65" s="487">
        <f t="shared" ca="1" si="2"/>
        <v>2.5113100850326919E-3</v>
      </c>
      <c r="AA65" s="487">
        <f t="shared" ca="1" si="3"/>
        <v>0</v>
      </c>
      <c r="AB65" s="486">
        <f ca="1">IF('CDO Bespoke'!O66&lt;&gt;"",'CDO Bespoke'!O66,"")</f>
        <v>1.19232393155728</v>
      </c>
      <c r="AC65" s="487">
        <f ca="1">IF(AB65&lt;&gt;"",ABS(MIN(-0.75*('CDO Bespoke'!K66)+'CDO Bespoke'!T66,0)),"")</f>
        <v>0.34724106830112222</v>
      </c>
      <c r="AD65" s="487">
        <f t="shared" ca="1" si="4"/>
        <v>0.84508286325615778</v>
      </c>
      <c r="AE65" s="491">
        <f t="shared" ca="1" si="5"/>
        <v>0</v>
      </c>
      <c r="AF65" s="273"/>
      <c r="AG65" s="496" t="str">
        <f ca="1">IF('CDO Bespoke'!C90&lt;&gt;"",'CDO Bespoke'!C90,"")</f>
        <v>Louis Dreyfus Company B.V.</v>
      </c>
      <c r="AH65" s="498">
        <f ca="1"/>
        <v>3.342311730714087E-3</v>
      </c>
      <c r="AI65" s="587">
        <f ca="1"/>
        <v>1.0770011320548889E-2</v>
      </c>
      <c r="AJ65" s="587">
        <f ca="1"/>
        <v>2.7752378470857764E-2</v>
      </c>
      <c r="AK65" s="587">
        <f ca="1"/>
        <v>1.0363571614102618</v>
      </c>
      <c r="AL65" s="499">
        <f ca="1"/>
        <v>0</v>
      </c>
      <c r="AM65" s="498">
        <f ca="1"/>
        <v>-1.8048948180297841E-5</v>
      </c>
      <c r="AN65" s="587">
        <f ca="1"/>
        <v>-7.9886753280231093E-5</v>
      </c>
      <c r="AO65" s="587">
        <f ca="1"/>
        <v>-4.328196032103368E-4</v>
      </c>
      <c r="AP65" s="587">
        <f ca="1"/>
        <v>0.13157441663174968</v>
      </c>
      <c r="AQ65" s="499">
        <f ca="1"/>
        <v>0</v>
      </c>
      <c r="AR65" s="582"/>
      <c r="AS65" s="582"/>
      <c r="AT65" s="582"/>
      <c r="AU65" s="582"/>
      <c r="AV65" s="582"/>
      <c r="AW65" s="582"/>
      <c r="AX65" s="581"/>
    </row>
    <row r="66" spans="2:50">
      <c r="B66" s="536" t="s">
        <v>517</v>
      </c>
      <c r="C66" s="537" t="s">
        <v>66</v>
      </c>
      <c r="D66" s="537" t="s">
        <v>59</v>
      </c>
      <c r="E66" s="537" t="s">
        <v>649</v>
      </c>
      <c r="F66" s="537" t="s">
        <v>648</v>
      </c>
      <c r="G66" s="538">
        <v>0.01</v>
      </c>
      <c r="H66" s="538">
        <v>6.6230000000000004E-3</v>
      </c>
      <c r="I66" s="539">
        <v>0.4</v>
      </c>
      <c r="J66" s="597">
        <v>4</v>
      </c>
      <c r="K66" s="540">
        <v>14</v>
      </c>
      <c r="L66" s="273"/>
      <c r="M66" s="273"/>
      <c r="P66" s="274"/>
      <c r="Q66" s="274"/>
      <c r="R66" s="274"/>
      <c r="S66" s="274"/>
      <c r="T66" s="578">
        <f ca="1"/>
        <v>0.06</v>
      </c>
      <c r="U66" s="575">
        <f ca="1"/>
        <v>58</v>
      </c>
      <c r="V66" s="578">
        <f t="shared" ca="1" si="6"/>
        <v>0</v>
      </c>
      <c r="W66" s="578">
        <f t="shared" ca="1" si="7"/>
        <v>0</v>
      </c>
      <c r="X66" s="486">
        <f ca="1">IF('CDO Bespoke'!O67&lt;&gt;"",'CDO Bespoke'!O67,"")</f>
        <v>1.1952930550112499</v>
      </c>
      <c r="Y66" s="487">
        <f ca="1">IF(X66&lt;&gt;"",ABS(MIN(-0.75*('CDO Bespoke'!Q67)+'CDO Bespoke'!T67,0)),"")</f>
        <v>1.1872477305208717</v>
      </c>
      <c r="Z66" s="487">
        <f t="shared" ca="1" si="2"/>
        <v>8.0453244903782029E-3</v>
      </c>
      <c r="AA66" s="487">
        <f t="shared" ca="1" si="3"/>
        <v>0</v>
      </c>
      <c r="AB66" s="486">
        <f ca="1">IF('CDO Bespoke'!O67&lt;&gt;"",'CDO Bespoke'!O67,"")</f>
        <v>1.1952930550112499</v>
      </c>
      <c r="AC66" s="487">
        <f ca="1">IF(AB66&lt;&gt;"",ABS(MIN(-0.75*('CDO Bespoke'!K67)+'CDO Bespoke'!T67,0)),"")</f>
        <v>0.20844198146617429</v>
      </c>
      <c r="AD66" s="487">
        <f t="shared" ca="1" si="4"/>
        <v>0.98685107354507562</v>
      </c>
      <c r="AE66" s="491">
        <f t="shared" ca="1" si="5"/>
        <v>0</v>
      </c>
      <c r="AF66" s="273"/>
      <c r="AG66" s="496" t="str">
        <f ca="1">IF('CDO Bespoke'!C91&lt;&gt;"",'CDO Bespoke'!C91,"")</f>
        <v>LVMH MOET HENNESSY LOUIS VUITTON</v>
      </c>
      <c r="AH66" s="498">
        <f ca="1"/>
        <v>3.0429611008742086E-3</v>
      </c>
      <c r="AI66" s="587">
        <f ca="1"/>
        <v>9.2115254901603549E-3</v>
      </c>
      <c r="AJ66" s="587">
        <f ca="1"/>
        <v>2.4944916560132313E-2</v>
      </c>
      <c r="AK66" s="587">
        <f ca="1"/>
        <v>0.1964968081802354</v>
      </c>
      <c r="AL66" s="499">
        <f ca="1"/>
        <v>0</v>
      </c>
      <c r="AM66" s="498">
        <f ca="1"/>
        <v>8.4990067950041492E-5</v>
      </c>
      <c r="AN66" s="587">
        <f ca="1"/>
        <v>3.9567328662046264E-4</v>
      </c>
      <c r="AO66" s="587">
        <f ca="1"/>
        <v>1.805549386109731E-3</v>
      </c>
      <c r="AP66" s="587">
        <f ca="1"/>
        <v>0.13723021986648021</v>
      </c>
      <c r="AQ66" s="499">
        <f ca="1"/>
        <v>0</v>
      </c>
      <c r="AR66" s="582"/>
      <c r="AS66" s="582"/>
      <c r="AT66" s="582"/>
      <c r="AU66" s="582"/>
      <c r="AV66" s="582"/>
      <c r="AW66" s="582"/>
      <c r="AX66" s="581"/>
    </row>
    <row r="67" spans="2:50">
      <c r="B67" s="541" t="s">
        <v>518</v>
      </c>
      <c r="C67" s="542" t="s">
        <v>66</v>
      </c>
      <c r="D67" s="542" t="s">
        <v>55</v>
      </c>
      <c r="E67" s="542" t="s">
        <v>649</v>
      </c>
      <c r="F67" s="542" t="s">
        <v>673</v>
      </c>
      <c r="G67" s="543">
        <v>0.01</v>
      </c>
      <c r="H67" s="543">
        <v>5.1570000000000001E-3</v>
      </c>
      <c r="I67" s="544">
        <v>0.4</v>
      </c>
      <c r="J67" s="604">
        <v>5</v>
      </c>
      <c r="K67" s="545">
        <v>15</v>
      </c>
      <c r="L67" s="273"/>
      <c r="M67" s="273"/>
      <c r="P67" s="274"/>
      <c r="Q67" s="274"/>
      <c r="R67" s="274"/>
      <c r="S67" s="274"/>
      <c r="T67" s="578">
        <f ca="1"/>
        <v>0.06</v>
      </c>
      <c r="U67" s="575">
        <f ca="1"/>
        <v>59</v>
      </c>
      <c r="V67" s="578">
        <f t="shared" ca="1" si="6"/>
        <v>0</v>
      </c>
      <c r="W67" s="578">
        <f t="shared" ca="1" si="7"/>
        <v>0</v>
      </c>
      <c r="X67" s="486">
        <f ca="1">IF('CDO Bespoke'!O68&lt;&gt;"",'CDO Bespoke'!O68,"")</f>
        <v>1.1952381863920101</v>
      </c>
      <c r="Y67" s="487">
        <f ca="1">IF(X67&lt;&gt;"",ABS(MIN(-0.75*('CDO Bespoke'!Q68)+'CDO Bespoke'!T68,0)),"")</f>
        <v>1.1873527969967879</v>
      </c>
      <c r="Z67" s="487">
        <f t="shared" ca="1" si="2"/>
        <v>7.8853893952222087E-3</v>
      </c>
      <c r="AA67" s="487">
        <f t="shared" ca="1" si="3"/>
        <v>0</v>
      </c>
      <c r="AB67" s="486">
        <f ca="1">IF('CDO Bespoke'!O68&lt;&gt;"",'CDO Bespoke'!O68,"")</f>
        <v>1.1952381863920101</v>
      </c>
      <c r="AC67" s="487">
        <f ca="1">IF(AB67&lt;&gt;"",ABS(MIN(-0.75*('CDO Bespoke'!K68)+'CDO Bespoke'!T68,0)),"")</f>
        <v>0.2156281537856804</v>
      </c>
      <c r="AD67" s="487">
        <f t="shared" ca="1" si="4"/>
        <v>0.97961003260632973</v>
      </c>
      <c r="AE67" s="491">
        <f t="shared" ca="1" si="5"/>
        <v>0</v>
      </c>
      <c r="AF67" s="273"/>
      <c r="AG67" s="496" t="str">
        <f ca="1">IF('CDO Bespoke'!C92&lt;&gt;"",'CDO Bespoke'!C92,"")</f>
        <v>Nestle S.A.</v>
      </c>
      <c r="AH67" s="498">
        <f ca="1"/>
        <v>3.3143050504058635E-3</v>
      </c>
      <c r="AI67" s="587">
        <f ca="1"/>
        <v>1.0347551590017545E-2</v>
      </c>
      <c r="AJ67" s="587">
        <f ca="1"/>
        <v>2.8281765430682171E-2</v>
      </c>
      <c r="AK67" s="587">
        <f ca="1"/>
        <v>0.16549329562076665</v>
      </c>
      <c r="AL67" s="499">
        <f ca="1"/>
        <v>0</v>
      </c>
      <c r="AM67" s="498">
        <f ca="1"/>
        <v>8.8970442420691076E-5</v>
      </c>
      <c r="AN67" s="587">
        <f ca="1"/>
        <v>4.1411118195076868E-4</v>
      </c>
      <c r="AO67" s="587">
        <f ca="1"/>
        <v>1.9009051110602249E-3</v>
      </c>
      <c r="AP67" s="587">
        <f ca="1"/>
        <v>0.13731835821135066</v>
      </c>
      <c r="AQ67" s="499">
        <f ca="1"/>
        <v>0</v>
      </c>
      <c r="AR67" s="582"/>
      <c r="AS67" s="582"/>
      <c r="AT67" s="582"/>
      <c r="AU67" s="582"/>
      <c r="AV67" s="582"/>
      <c r="AW67" s="582"/>
      <c r="AX67" s="581"/>
    </row>
    <row r="68" spans="2:50">
      <c r="B68" s="519" t="s">
        <v>518</v>
      </c>
      <c r="C68" s="520" t="s">
        <v>66</v>
      </c>
      <c r="D68" s="520" t="s">
        <v>57</v>
      </c>
      <c r="E68" s="520" t="s">
        <v>649</v>
      </c>
      <c r="F68" s="520" t="s">
        <v>673</v>
      </c>
      <c r="G68" s="527">
        <v>0.01</v>
      </c>
      <c r="H68" s="527">
        <v>9.7490000000000007E-3</v>
      </c>
      <c r="I68" s="529">
        <v>0.4</v>
      </c>
      <c r="J68" s="596">
        <v>5</v>
      </c>
      <c r="K68" s="521">
        <v>15</v>
      </c>
      <c r="L68" s="273"/>
      <c r="M68" s="273"/>
      <c r="P68" s="274"/>
      <c r="Q68" s="274"/>
      <c r="R68" s="274"/>
      <c r="S68" s="274"/>
      <c r="T68" s="578">
        <f ca="1"/>
        <v>0.03</v>
      </c>
      <c r="U68" s="575">
        <f ca="1"/>
        <v>60</v>
      </c>
      <c r="V68" s="578">
        <f t="shared" ca="1" si="6"/>
        <v>0</v>
      </c>
      <c r="W68" s="578">
        <f t="shared" ca="1" si="7"/>
        <v>0</v>
      </c>
      <c r="X68" s="486">
        <f ca="1">IF('CDO Bespoke'!O69&lt;&gt;"",'CDO Bespoke'!O69,"")</f>
        <v>1.1950774231099099</v>
      </c>
      <c r="Y68" s="487">
        <f ca="1">IF(X68&lt;&gt;"",ABS(MIN(-0.75*('CDO Bespoke'!Q69)+'CDO Bespoke'!T69,0)),"")</f>
        <v>1.187624254085357</v>
      </c>
      <c r="Z68" s="487">
        <f t="shared" ca="1" si="2"/>
        <v>7.4531690245529525E-3</v>
      </c>
      <c r="AA68" s="487">
        <f t="shared" ca="1" si="3"/>
        <v>0</v>
      </c>
      <c r="AB68" s="486">
        <f ca="1">IF('CDO Bespoke'!O69&lt;&gt;"",'CDO Bespoke'!O69,"")</f>
        <v>1.1950774231099099</v>
      </c>
      <c r="AC68" s="487">
        <f ca="1">IF(AB68&lt;&gt;"",ABS(MIN(-0.75*('CDO Bespoke'!K69)+'CDO Bespoke'!T69,0)),"")</f>
        <v>0.23321803102815716</v>
      </c>
      <c r="AD68" s="487">
        <f t="shared" ca="1" si="4"/>
        <v>0.96185939208175275</v>
      </c>
      <c r="AE68" s="491">
        <f t="shared" ca="1" si="5"/>
        <v>0</v>
      </c>
      <c r="AF68" s="273"/>
      <c r="AG68" s="496" t="str">
        <f ca="1">IF('CDO Bespoke'!C93&lt;&gt;"",'CDO Bespoke'!C93,"")</f>
        <v>NEXT PLC</v>
      </c>
      <c r="AH68" s="498">
        <f ca="1"/>
        <v>3.1114413800992224E-3</v>
      </c>
      <c r="AI68" s="587">
        <f ca="1"/>
        <v>9.3214661300855539E-3</v>
      </c>
      <c r="AJ68" s="587">
        <f ca="1"/>
        <v>2.5269570710362288E-2</v>
      </c>
      <c r="AK68" s="587">
        <f ca="1"/>
        <v>0.36510948679069344</v>
      </c>
      <c r="AL68" s="499">
        <f ca="1"/>
        <v>0</v>
      </c>
      <c r="AM68" s="498">
        <f ca="1"/>
        <v>6.3275331029996607E-5</v>
      </c>
      <c r="AN68" s="587">
        <f ca="1"/>
        <v>2.958382562704559E-4</v>
      </c>
      <c r="AO68" s="587">
        <f ca="1"/>
        <v>1.3083223291805723E-3</v>
      </c>
      <c r="AP68" s="587">
        <f ca="1"/>
        <v>0.13626839628932996</v>
      </c>
      <c r="AQ68" s="499">
        <f ca="1"/>
        <v>0</v>
      </c>
      <c r="AR68" s="582"/>
      <c r="AS68" s="582"/>
      <c r="AT68" s="582"/>
      <c r="AU68" s="582"/>
      <c r="AV68" s="582"/>
      <c r="AW68" s="582"/>
      <c r="AX68" s="581"/>
    </row>
    <row r="69" spans="2:50">
      <c r="B69" s="536" t="s">
        <v>518</v>
      </c>
      <c r="C69" s="537" t="s">
        <v>66</v>
      </c>
      <c r="D69" s="537" t="s">
        <v>59</v>
      </c>
      <c r="E69" s="537" t="s">
        <v>649</v>
      </c>
      <c r="F69" s="537" t="s">
        <v>673</v>
      </c>
      <c r="G69" s="538">
        <v>0.01</v>
      </c>
      <c r="H69" s="538">
        <v>1.2806E-2</v>
      </c>
      <c r="I69" s="539">
        <v>0.4</v>
      </c>
      <c r="J69" s="597">
        <v>5</v>
      </c>
      <c r="K69" s="540">
        <v>15</v>
      </c>
      <c r="L69" s="273"/>
      <c r="M69" s="273"/>
      <c r="P69" s="274"/>
      <c r="Q69" s="274"/>
      <c r="R69" s="274"/>
      <c r="S69" s="274"/>
      <c r="T69" s="578">
        <f ca="1"/>
        <v>0.03</v>
      </c>
      <c r="U69" s="575">
        <f ca="1"/>
        <v>61</v>
      </c>
      <c r="V69" s="578">
        <f t="shared" ca="1" si="6"/>
        <v>0</v>
      </c>
      <c r="W69" s="578">
        <f t="shared" ca="1" si="7"/>
        <v>0</v>
      </c>
      <c r="X69" s="486">
        <f ca="1">IF('CDO Bespoke'!O70&lt;&gt;"",'CDO Bespoke'!O70,"")</f>
        <v>1.19510514829438</v>
      </c>
      <c r="Y69" s="487">
        <f ca="1">IF(X69&lt;&gt;"",ABS(MIN(-0.75*('CDO Bespoke'!Q70)+'CDO Bespoke'!T70,0)),"")</f>
        <v>1.1875806639844841</v>
      </c>
      <c r="Z69" s="487">
        <f t="shared" ca="1" si="2"/>
        <v>7.5244843098958292E-3</v>
      </c>
      <c r="AA69" s="487">
        <f t="shared" ca="1" si="3"/>
        <v>0</v>
      </c>
      <c r="AB69" s="486">
        <f ca="1">IF('CDO Bespoke'!O70&lt;&gt;"",'CDO Bespoke'!O70,"")</f>
        <v>1.19510514829438</v>
      </c>
      <c r="AC69" s="487">
        <f ca="1">IF(AB69&lt;&gt;"",ABS(MIN(-0.75*('CDO Bespoke'!K70)+'CDO Bespoke'!T70,0)),"")</f>
        <v>0.23047919627810959</v>
      </c>
      <c r="AD69" s="487">
        <f t="shared" ca="1" si="4"/>
        <v>0.96462595201627033</v>
      </c>
      <c r="AE69" s="491">
        <f t="shared" ca="1" si="5"/>
        <v>0</v>
      </c>
      <c r="AF69" s="273"/>
      <c r="AG69" s="496" t="str">
        <f ca="1">IF('CDO Bespoke'!C94&lt;&gt;"",'CDO Bespoke'!C94,"")</f>
        <v>PERNOD RICARD</v>
      </c>
      <c r="AH69" s="498">
        <f ca="1"/>
        <v>3.4085250200099892E-3</v>
      </c>
      <c r="AI69" s="587">
        <f ca="1"/>
        <v>1.0657582411033317E-2</v>
      </c>
      <c r="AJ69" s="587">
        <f ca="1"/>
        <v>2.9453065280016233E-2</v>
      </c>
      <c r="AK69" s="587">
        <f ca="1"/>
        <v>0.25395115312076832</v>
      </c>
      <c r="AL69" s="499">
        <f ca="1"/>
        <v>0</v>
      </c>
      <c r="AM69" s="498">
        <f ca="1"/>
        <v>7.6903779150025442E-5</v>
      </c>
      <c r="AN69" s="587">
        <f ca="1"/>
        <v>3.5866361987983708E-4</v>
      </c>
      <c r="AO69" s="587">
        <f ca="1"/>
        <v>1.6253424311399312E-3</v>
      </c>
      <c r="AP69" s="587">
        <f ca="1"/>
        <v>0.13677315328002002</v>
      </c>
      <c r="AQ69" s="499">
        <f ca="1"/>
        <v>0</v>
      </c>
      <c r="AR69" s="582"/>
      <c r="AS69" s="582"/>
      <c r="AT69" s="582"/>
      <c r="AU69" s="582"/>
      <c r="AV69" s="582"/>
      <c r="AW69" s="582"/>
      <c r="AX69" s="581"/>
    </row>
    <row r="70" spans="2:50">
      <c r="B70" s="541" t="s">
        <v>533</v>
      </c>
      <c r="C70" s="542" t="s">
        <v>66</v>
      </c>
      <c r="D70" s="542" t="s">
        <v>55</v>
      </c>
      <c r="E70" s="542" t="s">
        <v>649</v>
      </c>
      <c r="F70" s="542" t="s">
        <v>675</v>
      </c>
      <c r="G70" s="543">
        <v>0.01</v>
      </c>
      <c r="H70" s="543">
        <v>5.1190000000000003E-3</v>
      </c>
      <c r="I70" s="544">
        <v>0.4</v>
      </c>
      <c r="J70" s="604">
        <v>4</v>
      </c>
      <c r="K70" s="545">
        <v>16</v>
      </c>
      <c r="L70" s="273"/>
      <c r="M70" s="273"/>
      <c r="P70" s="274"/>
      <c r="Q70" s="274"/>
      <c r="R70" s="274"/>
      <c r="S70" s="274"/>
      <c r="T70" s="578">
        <f ca="1"/>
        <v>0.06</v>
      </c>
      <c r="U70" s="575">
        <f ca="1"/>
        <v>62</v>
      </c>
      <c r="V70" s="578">
        <f t="shared" ca="1" si="6"/>
        <v>0</v>
      </c>
      <c r="W70" s="578">
        <f t="shared" ca="1" si="7"/>
        <v>0</v>
      </c>
      <c r="X70" s="486">
        <f ca="1">IF('CDO Bespoke'!O71&lt;&gt;"",'CDO Bespoke'!O71,"")</f>
        <v>1.1953656250770901</v>
      </c>
      <c r="Y70" s="487">
        <f ca="1">IF(X70&lt;&gt;"",ABS(MIN(-0.75*('CDO Bespoke'!Q71)+'CDO Bespoke'!T71,0)),"")</f>
        <v>1.1870955169434858</v>
      </c>
      <c r="Z70" s="487">
        <f t="shared" ca="1" si="2"/>
        <v>8.2701081336042925E-3</v>
      </c>
      <c r="AA70" s="487">
        <f t="shared" ca="1" si="3"/>
        <v>0</v>
      </c>
      <c r="AB70" s="486">
        <f ca="1">IF('CDO Bespoke'!O71&lt;&gt;"",'CDO Bespoke'!O71,"")</f>
        <v>1.1953656250770901</v>
      </c>
      <c r="AC70" s="487">
        <f ca="1">IF(AB70&lt;&gt;"",ABS(MIN(-0.75*('CDO Bespoke'!K71)+'CDO Bespoke'!T71,0)),"")</f>
        <v>0.19758822809848584</v>
      </c>
      <c r="AD70" s="487">
        <f t="shared" ca="1" si="4"/>
        <v>0.99777739697860424</v>
      </c>
      <c r="AE70" s="491">
        <f t="shared" ca="1" si="5"/>
        <v>0</v>
      </c>
      <c r="AF70" s="273"/>
      <c r="AG70" s="496" t="str">
        <f ca="1">IF('CDO Bespoke'!C95&lt;&gt;"",'CDO Bespoke'!C95,"")</f>
        <v>SODEXO</v>
      </c>
      <c r="AH70" s="498">
        <f ca="1"/>
        <v>2.8874022506286678E-3</v>
      </c>
      <c r="AI70" s="587">
        <f ca="1"/>
        <v>8.6386028408380611E-3</v>
      </c>
      <c r="AJ70" s="587">
        <f ca="1"/>
        <v>2.3154328330221574E-2</v>
      </c>
      <c r="AK70" s="587">
        <f ca="1"/>
        <v>0.16089753196002476</v>
      </c>
      <c r="AL70" s="499">
        <f ca="1"/>
        <v>0</v>
      </c>
      <c r="AM70" s="498">
        <f ca="1"/>
        <v>9.0108848518205553E-5</v>
      </c>
      <c r="AN70" s="587">
        <f ca="1"/>
        <v>4.1912883113962018E-4</v>
      </c>
      <c r="AO70" s="587">
        <f ca="1"/>
        <v>1.9209627893097825E-3</v>
      </c>
      <c r="AP70" s="587">
        <f ca="1"/>
        <v>0.13748517507779917</v>
      </c>
      <c r="AQ70" s="499">
        <f ca="1"/>
        <v>0</v>
      </c>
      <c r="AR70" s="582"/>
      <c r="AS70" s="582"/>
      <c r="AT70" s="582"/>
      <c r="AU70" s="582"/>
      <c r="AV70" s="582"/>
      <c r="AW70" s="582"/>
      <c r="AX70" s="581"/>
    </row>
    <row r="71" spans="2:50">
      <c r="B71" s="519" t="s">
        <v>533</v>
      </c>
      <c r="C71" s="520" t="s">
        <v>66</v>
      </c>
      <c r="D71" s="520" t="s">
        <v>57</v>
      </c>
      <c r="E71" s="520" t="s">
        <v>649</v>
      </c>
      <c r="F71" s="520" t="s">
        <v>675</v>
      </c>
      <c r="G71" s="527">
        <v>0.01</v>
      </c>
      <c r="H71" s="527">
        <v>1.0839E-2</v>
      </c>
      <c r="I71" s="529">
        <v>0.4</v>
      </c>
      <c r="J71" s="596">
        <v>4</v>
      </c>
      <c r="K71" s="521">
        <v>16</v>
      </c>
      <c r="L71" s="273"/>
      <c r="M71" s="273"/>
      <c r="P71" s="274"/>
      <c r="Q71" s="274"/>
      <c r="R71" s="274"/>
      <c r="S71" s="274"/>
      <c r="T71" s="578">
        <f ca="1"/>
        <v>0.06</v>
      </c>
      <c r="U71" s="575">
        <f ca="1"/>
        <v>63</v>
      </c>
      <c r="V71" s="578">
        <f t="shared" ca="1" si="6"/>
        <v>0</v>
      </c>
      <c r="W71" s="578">
        <f t="shared" ca="1" si="7"/>
        <v>0</v>
      </c>
      <c r="X71" s="486">
        <f ca="1">IF('CDO Bespoke'!O72&lt;&gt;"",'CDO Bespoke'!O72,"")</f>
        <v>1.1942120185275</v>
      </c>
      <c r="Y71" s="487">
        <f ca="1">IF(X71&lt;&gt;"",ABS(MIN(-0.75*('CDO Bespoke'!Q72)+'CDO Bespoke'!T72,0)),"")</f>
        <v>1.1886195063892133</v>
      </c>
      <c r="Z71" s="487">
        <f t="shared" ca="1" si="2"/>
        <v>5.5925121382867093E-3</v>
      </c>
      <c r="AA71" s="487">
        <f t="shared" ca="1" si="3"/>
        <v>0</v>
      </c>
      <c r="AB71" s="486">
        <f ca="1">IF('CDO Bespoke'!O72&lt;&gt;"",'CDO Bespoke'!O72,"")</f>
        <v>1.1942120185275</v>
      </c>
      <c r="AC71" s="487">
        <f ca="1">IF(AB71&lt;&gt;"",ABS(MIN(-0.75*('CDO Bespoke'!K72)+'CDO Bespoke'!T72,0)),"")</f>
        <v>0.28932874562446109</v>
      </c>
      <c r="AD71" s="487">
        <f t="shared" ca="1" si="4"/>
        <v>0.90488327290303894</v>
      </c>
      <c r="AE71" s="491">
        <f t="shared" ca="1" si="5"/>
        <v>0</v>
      </c>
      <c r="AF71" s="273"/>
      <c r="AG71" s="496" t="str">
        <f ca="1">IF('CDO Bespoke'!C96&lt;&gt;"",'CDO Bespoke'!C96,"")</f>
        <v>Suedzucker AG</v>
      </c>
      <c r="AH71" s="498">
        <f ca="1"/>
        <v>3.805103800935683E-3</v>
      </c>
      <c r="AI71" s="587">
        <f ca="1"/>
        <v>1.2355330510915863E-2</v>
      </c>
      <c r="AJ71" s="587">
        <f ca="1"/>
        <v>3.46224250202809E-2</v>
      </c>
      <c r="AK71" s="587">
        <f ca="1"/>
        <v>0.57149887558005652</v>
      </c>
      <c r="AL71" s="499">
        <f ca="1"/>
        <v>0</v>
      </c>
      <c r="AM71" s="498">
        <f ca="1"/>
        <v>3.7289739240192743E-5</v>
      </c>
      <c r="AN71" s="587">
        <f ca="1"/>
        <v>1.7642882574001734E-4</v>
      </c>
      <c r="AO71" s="587">
        <f ca="1"/>
        <v>7.2429732069032721E-4</v>
      </c>
      <c r="AP71" s="587">
        <f ca="1"/>
        <v>0.13474175825556012</v>
      </c>
      <c r="AQ71" s="499">
        <f ca="1"/>
        <v>0</v>
      </c>
      <c r="AR71" s="582"/>
      <c r="AS71" s="582"/>
      <c r="AT71" s="582"/>
      <c r="AU71" s="582"/>
      <c r="AV71" s="582"/>
      <c r="AW71" s="582"/>
      <c r="AX71" s="581"/>
    </row>
    <row r="72" spans="2:50">
      <c r="B72" s="536" t="s">
        <v>533</v>
      </c>
      <c r="C72" s="537" t="s">
        <v>66</v>
      </c>
      <c r="D72" s="537" t="s">
        <v>59</v>
      </c>
      <c r="E72" s="537" t="s">
        <v>649</v>
      </c>
      <c r="F72" s="537" t="s">
        <v>675</v>
      </c>
      <c r="G72" s="538">
        <v>0.01</v>
      </c>
      <c r="H72" s="538">
        <v>1.6057999999999999E-2</v>
      </c>
      <c r="I72" s="539">
        <v>0.4</v>
      </c>
      <c r="J72" s="597">
        <v>4</v>
      </c>
      <c r="K72" s="540">
        <v>16</v>
      </c>
      <c r="L72" s="273"/>
      <c r="M72" s="273"/>
      <c r="P72" s="274"/>
      <c r="Q72" s="274"/>
      <c r="R72" s="274"/>
      <c r="S72" s="274"/>
      <c r="T72" s="578">
        <f ca="1"/>
        <v>0.06</v>
      </c>
      <c r="U72" s="575">
        <f ca="1"/>
        <v>64</v>
      </c>
      <c r="V72" s="578">
        <f t="shared" ca="1" si="6"/>
        <v>0</v>
      </c>
      <c r="W72" s="578">
        <f t="shared" ca="1" si="7"/>
        <v>0</v>
      </c>
      <c r="X72" s="486">
        <f ca="1">IF('CDO Bespoke'!O73&lt;&gt;"",'CDO Bespoke'!O73,"")</f>
        <v>1.1947269474486399</v>
      </c>
      <c r="Y72" s="487">
        <f ca="1">IF(X72&lt;&gt;"",ABS(MIN(-0.75*('CDO Bespoke'!Q73)+'CDO Bespoke'!T73,0)),"")</f>
        <v>1.1880954650239082</v>
      </c>
      <c r="Z72" s="487">
        <f t="shared" ca="1" si="2"/>
        <v>6.6314824247317716E-3</v>
      </c>
      <c r="AA72" s="487">
        <f t="shared" ca="1" si="3"/>
        <v>0</v>
      </c>
      <c r="AB72" s="486">
        <f ca="1">IF('CDO Bespoke'!O73&lt;&gt;"",'CDO Bespoke'!O73,"")</f>
        <v>1.1947269474486399</v>
      </c>
      <c r="AC72" s="487">
        <f ca="1">IF(AB72&lt;&gt;"",ABS(MIN(-0.75*('CDO Bespoke'!K73)+'CDO Bespoke'!T73,0)),"")</f>
        <v>0.26111967481745696</v>
      </c>
      <c r="AD72" s="487">
        <f t="shared" ca="1" si="4"/>
        <v>0.93360727263118304</v>
      </c>
      <c r="AE72" s="491">
        <f t="shared" ca="1" si="5"/>
        <v>0</v>
      </c>
      <c r="AF72" s="273"/>
      <c r="AG72" s="496" t="str">
        <f ca="1">IF('CDO Bespoke'!C97&lt;&gt;"",'CDO Bespoke'!C97,"")</f>
        <v>TESCO PLC</v>
      </c>
      <c r="AH72" s="498">
        <f ca="1"/>
        <v>3.7071536307387021E-3</v>
      </c>
      <c r="AI72" s="587">
        <f ca="1"/>
        <v>1.1877946920479943E-2</v>
      </c>
      <c r="AJ72" s="587">
        <f ca="1"/>
        <v>3.3353468890107152E-2</v>
      </c>
      <c r="AK72" s="587">
        <f ca="1"/>
        <v>0.3975393554800366</v>
      </c>
      <c r="AL72" s="499">
        <f ca="1"/>
        <v>0</v>
      </c>
      <c r="AM72" s="498">
        <f ca="1"/>
        <v>5.8432563510707469E-5</v>
      </c>
      <c r="AN72" s="587">
        <f ca="1"/>
        <v>2.7381592845078517E-4</v>
      </c>
      <c r="AO72" s="587">
        <f ca="1"/>
        <v>1.2068187629107191E-3</v>
      </c>
      <c r="AP72" s="587">
        <f ca="1"/>
        <v>0.13582789946844084</v>
      </c>
      <c r="AQ72" s="499">
        <f ca="1"/>
        <v>0</v>
      </c>
      <c r="AR72" s="582"/>
      <c r="AS72" s="582"/>
      <c r="AT72" s="582"/>
      <c r="AU72" s="582"/>
      <c r="AV72" s="582"/>
      <c r="AW72" s="582"/>
      <c r="AX72" s="581"/>
    </row>
    <row r="73" spans="2:50">
      <c r="B73" s="541" t="s">
        <v>519</v>
      </c>
      <c r="C73" s="542" t="s">
        <v>66</v>
      </c>
      <c r="D73" s="542" t="s">
        <v>55</v>
      </c>
      <c r="E73" s="542" t="s">
        <v>647</v>
      </c>
      <c r="F73" s="542" t="s">
        <v>674</v>
      </c>
      <c r="G73" s="543">
        <v>0.01</v>
      </c>
      <c r="H73" s="543">
        <v>1.5269999999999999E-3</v>
      </c>
      <c r="I73" s="544">
        <v>0.4</v>
      </c>
      <c r="J73" s="604">
        <v>7</v>
      </c>
      <c r="K73" s="545">
        <v>17</v>
      </c>
      <c r="L73" s="273"/>
      <c r="M73" s="273"/>
      <c r="P73" s="274"/>
      <c r="Q73" s="274"/>
      <c r="R73" s="274"/>
      <c r="S73" s="274"/>
      <c r="T73" s="578">
        <f ca="1"/>
        <v>0.06</v>
      </c>
      <c r="U73" s="575">
        <f ca="1"/>
        <v>65</v>
      </c>
      <c r="V73" s="578">
        <f t="shared" ref="V73:V104" ca="1" si="8">AA78*T73</f>
        <v>0</v>
      </c>
      <c r="W73" s="578">
        <f t="shared" ref="W73:W104" ca="1" si="9">AE78*T73</f>
        <v>0</v>
      </c>
      <c r="X73" s="486">
        <f ca="1">IF('CDO Bespoke'!O74&lt;&gt;"",'CDO Bespoke'!O74,"")</f>
        <v>1.1952800496901099</v>
      </c>
      <c r="Y73" s="487">
        <f ca="1">IF(X73&lt;&gt;"",ABS(MIN(-0.75*('CDO Bespoke'!Q74)+'CDO Bespoke'!T74,0)),"")</f>
        <v>1.1872733336327488</v>
      </c>
      <c r="Z73" s="487">
        <f t="shared" ca="1" si="2"/>
        <v>8.0067160573611407E-3</v>
      </c>
      <c r="AA73" s="487">
        <f t="shared" ca="1" si="3"/>
        <v>0</v>
      </c>
      <c r="AB73" s="486">
        <f ca="1">IF('CDO Bespoke'!O74&lt;&gt;"",'CDO Bespoke'!O74,"")</f>
        <v>1.1952800496901099</v>
      </c>
      <c r="AC73" s="487">
        <f ca="1">IF(AB73&lt;&gt;"",ABS(MIN(-0.75*('CDO Bespoke'!K74)+'CDO Bespoke'!T74,0)),"")</f>
        <v>0.21021479595592016</v>
      </c>
      <c r="AD73" s="487">
        <f t="shared" ca="1" si="4"/>
        <v>0.98506525373418974</v>
      </c>
      <c r="AE73" s="491">
        <f t="shared" ca="1" si="5"/>
        <v>0</v>
      </c>
      <c r="AF73" s="273"/>
      <c r="AG73" s="496" t="str">
        <f ca="1">IF('CDO Bespoke'!C98&lt;&gt;"",'CDO Bespoke'!C98,"")</f>
        <v>UNILEVER PLC</v>
      </c>
      <c r="AH73" s="498">
        <f ca="1"/>
        <v>3.2046211506653322E-3</v>
      </c>
      <c r="AI73" s="587">
        <f ca="1"/>
        <v>9.9102049400112691E-3</v>
      </c>
      <c r="AJ73" s="587">
        <f ca="1"/>
        <v>2.6929175280798745E-2</v>
      </c>
      <c r="AK73" s="587">
        <f ca="1"/>
        <v>0.15769752353067545</v>
      </c>
      <c r="AL73" s="499">
        <f ca="1"/>
        <v>0</v>
      </c>
      <c r="AM73" s="498">
        <f ca="1"/>
        <v>9.0208643400979671E-5</v>
      </c>
      <c r="AN73" s="587">
        <f ca="1"/>
        <v>4.1974696319974081E-4</v>
      </c>
      <c r="AO73" s="587">
        <f ca="1"/>
        <v>1.927718950650581E-3</v>
      </c>
      <c r="AP73" s="587">
        <f ca="1"/>
        <v>0.13740197677017049</v>
      </c>
      <c r="AQ73" s="499">
        <f ca="1"/>
        <v>0</v>
      </c>
      <c r="AR73" s="582"/>
      <c r="AS73" s="582"/>
      <c r="AT73" s="582"/>
      <c r="AU73" s="582"/>
      <c r="AV73" s="582"/>
      <c r="AW73" s="582"/>
      <c r="AX73" s="581"/>
    </row>
    <row r="74" spans="2:50">
      <c r="B74" s="519" t="s">
        <v>519</v>
      </c>
      <c r="C74" s="520" t="s">
        <v>66</v>
      </c>
      <c r="D74" s="520" t="s">
        <v>57</v>
      </c>
      <c r="E74" s="520" t="s">
        <v>647</v>
      </c>
      <c r="F74" s="520" t="s">
        <v>674</v>
      </c>
      <c r="G74" s="527">
        <v>0.01</v>
      </c>
      <c r="H74" s="527">
        <v>2.49E-3</v>
      </c>
      <c r="I74" s="529">
        <v>0.4</v>
      </c>
      <c r="J74" s="596">
        <v>7</v>
      </c>
      <c r="K74" s="521">
        <v>17</v>
      </c>
      <c r="L74" s="273"/>
      <c r="M74" s="273"/>
      <c r="P74" s="274"/>
      <c r="Q74" s="274"/>
      <c r="R74" s="274"/>
      <c r="S74" s="274"/>
      <c r="T74" s="578">
        <f ca="1"/>
        <v>0.06</v>
      </c>
      <c r="U74" s="575">
        <f ca="1"/>
        <v>66</v>
      </c>
      <c r="V74" s="578">
        <f t="shared" ca="1" si="8"/>
        <v>0</v>
      </c>
      <c r="W74" s="578">
        <f t="shared" ca="1" si="9"/>
        <v>0</v>
      </c>
      <c r="X74" s="486">
        <f ca="1">IF('CDO Bespoke'!O75&lt;&gt;"",'CDO Bespoke'!O75,"")</f>
        <v>1.1948127587299699</v>
      </c>
      <c r="Y74" s="487">
        <f ca="1">IF(X74&lt;&gt;"",ABS(MIN(-0.75*('CDO Bespoke'!Q75)+'CDO Bespoke'!T75,0)),"")</f>
        <v>1.187991389323545</v>
      </c>
      <c r="Z74" s="487">
        <f t="shared" ca="1" si="2"/>
        <v>6.8213694064249708E-3</v>
      </c>
      <c r="AA74" s="487">
        <f t="shared" ca="1" si="3"/>
        <v>0</v>
      </c>
      <c r="AB74" s="486">
        <f ca="1">IF('CDO Bespoke'!O75&lt;&gt;"",'CDO Bespoke'!O75,"")</f>
        <v>1.1948127587299699</v>
      </c>
      <c r="AC74" s="487">
        <f ca="1">IF(AB74&lt;&gt;"",ABS(MIN(-0.75*('CDO Bespoke'!K75)+'CDO Bespoke'!T75,0)),"")</f>
        <v>0.2551975320254859</v>
      </c>
      <c r="AD74" s="487">
        <f t="shared" ca="1" si="4"/>
        <v>0.93961522670448405</v>
      </c>
      <c r="AE74" s="491">
        <f t="shared" ca="1" si="5"/>
        <v>0</v>
      </c>
      <c r="AF74" s="273"/>
      <c r="AG74" s="496" t="str">
        <f ca="1">IF('CDO Bespoke'!C99&lt;&gt;"",'CDO Bespoke'!C99,"")</f>
        <v>BP P.L.C.</v>
      </c>
      <c r="AH74" s="498">
        <f ca="1"/>
        <v>3.5707892009906317E-3</v>
      </c>
      <c r="AI74" s="587">
        <f ca="1"/>
        <v>1.1279214640058655E-2</v>
      </c>
      <c r="AJ74" s="587">
        <f ca="1"/>
        <v>3.1421022770317109E-2</v>
      </c>
      <c r="AK74" s="587">
        <f ca="1"/>
        <v>0.39330583733065971</v>
      </c>
      <c r="AL74" s="499">
        <f ca="1"/>
        <v>0</v>
      </c>
      <c r="AM74" s="498">
        <f ca="1"/>
        <v>5.9163511650223155E-5</v>
      </c>
      <c r="AN74" s="587">
        <f ca="1"/>
        <v>2.7711694053009217E-4</v>
      </c>
      <c r="AO74" s="587">
        <f ca="1"/>
        <v>1.2212528554496338E-3</v>
      </c>
      <c r="AP74" s="587">
        <f ca="1"/>
        <v>0.13591572148437014</v>
      </c>
      <c r="AQ74" s="499">
        <f ca="1"/>
        <v>0</v>
      </c>
      <c r="AR74" s="582"/>
      <c r="AS74" s="582"/>
      <c r="AT74" s="582"/>
      <c r="AU74" s="582"/>
      <c r="AV74" s="582"/>
      <c r="AW74" s="582"/>
      <c r="AX74" s="581"/>
    </row>
    <row r="75" spans="2:50">
      <c r="B75" s="536" t="s">
        <v>519</v>
      </c>
      <c r="C75" s="537" t="s">
        <v>66</v>
      </c>
      <c r="D75" s="537" t="s">
        <v>59</v>
      </c>
      <c r="E75" s="537" t="s">
        <v>647</v>
      </c>
      <c r="F75" s="537" t="s">
        <v>674</v>
      </c>
      <c r="G75" s="538">
        <v>0.01</v>
      </c>
      <c r="H75" s="538">
        <v>3.63E-3</v>
      </c>
      <c r="I75" s="539">
        <v>0.4</v>
      </c>
      <c r="J75" s="597">
        <v>7</v>
      </c>
      <c r="K75" s="540">
        <v>17</v>
      </c>
      <c r="L75" s="273"/>
      <c r="M75" s="273"/>
      <c r="P75" s="274"/>
      <c r="Q75" s="274"/>
      <c r="R75" s="274"/>
      <c r="S75" s="274"/>
      <c r="T75" s="578">
        <f ca="1"/>
        <v>0.06</v>
      </c>
      <c r="U75" s="575">
        <f ca="1"/>
        <v>67</v>
      </c>
      <c r="V75" s="578">
        <f t="shared" ca="1" si="8"/>
        <v>0</v>
      </c>
      <c r="W75" s="578">
        <f t="shared" ca="1" si="9"/>
        <v>0</v>
      </c>
      <c r="X75" s="486">
        <f ca="1">IF('CDO Bespoke'!O76&lt;&gt;"",'CDO Bespoke'!O76,"")</f>
        <v>1.19446990338515</v>
      </c>
      <c r="Y75" s="487">
        <f ca="1">IF(X75&lt;&gt;"",ABS(MIN(-0.75*('CDO Bespoke'!Q76)+'CDO Bespoke'!T76,0)),"")</f>
        <v>1.1883755511902039</v>
      </c>
      <c r="Z75" s="487">
        <f t="shared" ca="1" si="2"/>
        <v>6.0943521949461399E-3</v>
      </c>
      <c r="AA75" s="487">
        <f t="shared" ca="1" si="3"/>
        <v>0</v>
      </c>
      <c r="AB75" s="486">
        <f ca="1">IF('CDO Bespoke'!O76&lt;&gt;"",'CDO Bespoke'!O76,"")</f>
        <v>1.19446990338515</v>
      </c>
      <c r="AC75" s="487">
        <f ca="1">IF(AB75&lt;&gt;"",ABS(MIN(-0.75*('CDO Bespoke'!K76)+'CDO Bespoke'!T76,0)),"")</f>
        <v>0.27649954139624089</v>
      </c>
      <c r="AD75" s="487">
        <f t="shared" ca="1" si="4"/>
        <v>0.91797036198890913</v>
      </c>
      <c r="AE75" s="491">
        <f t="shared" ca="1" si="5"/>
        <v>0</v>
      </c>
      <c r="AF75" s="273"/>
      <c r="AG75" s="496" t="str">
        <f ca="1">IF('CDO Bespoke'!C100&lt;&gt;"",'CDO Bespoke'!C100,"")</f>
        <v>Centrica plc</v>
      </c>
      <c r="AH75" s="498">
        <f ca="1"/>
        <v>3.7093315707892316E-3</v>
      </c>
      <c r="AI75" s="587">
        <f ca="1"/>
        <v>1.1892692030057717E-2</v>
      </c>
      <c r="AJ75" s="587">
        <f ca="1"/>
        <v>3.3230481010226853E-2</v>
      </c>
      <c r="AK75" s="587">
        <f ca="1"/>
        <v>0.50811636852055031</v>
      </c>
      <c r="AL75" s="499">
        <f ca="1"/>
        <v>0</v>
      </c>
      <c r="AM75" s="498">
        <f ca="1"/>
        <v>2.2525290944985787E-5</v>
      </c>
      <c r="AN75" s="587">
        <f ca="1"/>
        <v>1.0608455854495269E-4</v>
      </c>
      <c r="AO75" s="587">
        <f ca="1"/>
        <v>4.5013994999995588E-4</v>
      </c>
      <c r="AP75" s="587">
        <f ca="1"/>
        <v>6.7589691071324995E-2</v>
      </c>
      <c r="AQ75" s="499">
        <f ca="1"/>
        <v>0</v>
      </c>
      <c r="AR75" s="582"/>
      <c r="AS75" s="582"/>
      <c r="AT75" s="582"/>
      <c r="AU75" s="582"/>
      <c r="AV75" s="582"/>
      <c r="AW75" s="582"/>
      <c r="AX75" s="581"/>
    </row>
    <row r="76" spans="2:50">
      <c r="B76" s="541" t="s">
        <v>534</v>
      </c>
      <c r="C76" s="542" t="s">
        <v>66</v>
      </c>
      <c r="D76" s="542" t="s">
        <v>55</v>
      </c>
      <c r="E76" s="542" t="s">
        <v>649</v>
      </c>
      <c r="F76" s="542" t="s">
        <v>648</v>
      </c>
      <c r="G76" s="543">
        <v>0.01</v>
      </c>
      <c r="H76" s="543">
        <v>5.0749999999999997E-3</v>
      </c>
      <c r="I76" s="544">
        <v>0.4</v>
      </c>
      <c r="J76" s="604">
        <v>4</v>
      </c>
      <c r="K76" s="545">
        <v>18</v>
      </c>
      <c r="L76" s="273"/>
      <c r="M76" s="273"/>
      <c r="P76" s="274"/>
      <c r="Q76" s="274"/>
      <c r="R76" s="274"/>
      <c r="S76" s="274"/>
      <c r="T76" s="578">
        <f ca="1"/>
        <v>0.03</v>
      </c>
      <c r="U76" s="575">
        <f ca="1"/>
        <v>68</v>
      </c>
      <c r="V76" s="578">
        <f t="shared" ca="1" si="8"/>
        <v>0</v>
      </c>
      <c r="W76" s="578">
        <f t="shared" ca="1" si="9"/>
        <v>0</v>
      </c>
      <c r="X76" s="486">
        <f ca="1">IF('CDO Bespoke'!O77&lt;&gt;"",'CDO Bespoke'!O77,"")</f>
        <v>1.19504964676225</v>
      </c>
      <c r="Y76" s="487">
        <f ca="1">IF(X76&lt;&gt;"",ABS(MIN(-0.75*('CDO Bespoke'!Q77)+'CDO Bespoke'!T77,0)),"")</f>
        <v>1.1876667795959159</v>
      </c>
      <c r="Z76" s="487">
        <f t="shared" ca="1" si="2"/>
        <v>7.3828671663340728E-3</v>
      </c>
      <c r="AA76" s="487">
        <f t="shared" ca="1" si="3"/>
        <v>0</v>
      </c>
      <c r="AB76" s="486">
        <f ca="1">IF('CDO Bespoke'!O77&lt;&gt;"",'CDO Bespoke'!O77,"")</f>
        <v>1.19504964676225</v>
      </c>
      <c r="AC76" s="487">
        <f ca="1">IF(AB76&lt;&gt;"",ABS(MIN(-0.75*('CDO Bespoke'!K77)+'CDO Bespoke'!T77,0)),"")</f>
        <v>0.23586116092627857</v>
      </c>
      <c r="AD76" s="487">
        <f t="shared" ca="1" si="4"/>
        <v>0.95918848583597138</v>
      </c>
      <c r="AE76" s="491">
        <f t="shared" ca="1" si="5"/>
        <v>0</v>
      </c>
      <c r="AF76" s="273"/>
      <c r="AG76" s="496" t="str">
        <f ca="1">IF('CDO Bespoke'!C101&lt;&gt;"",'CDO Bespoke'!C101,"")</f>
        <v>E.ON SE</v>
      </c>
      <c r="AH76" s="498">
        <f ca="1"/>
        <v>3.4535817006187131E-3</v>
      </c>
      <c r="AI76" s="587">
        <f ca="1"/>
        <v>1.082738405044914E-2</v>
      </c>
      <c r="AJ76" s="587">
        <f ca="1"/>
        <v>3.0010992030371497E-2</v>
      </c>
      <c r="AK76" s="587">
        <f ca="1"/>
        <v>0.28191379407016548</v>
      </c>
      <c r="AL76" s="499">
        <f ca="1"/>
        <v>0</v>
      </c>
      <c r="AM76" s="498">
        <f ca="1"/>
        <v>3.6617746469909396E-5</v>
      </c>
      <c r="AN76" s="587">
        <f ca="1"/>
        <v>1.7090810228975045E-4</v>
      </c>
      <c r="AO76" s="587">
        <f ca="1"/>
        <v>7.7096530339462038E-4</v>
      </c>
      <c r="AP76" s="587">
        <f ca="1"/>
        <v>6.829852831358954E-2</v>
      </c>
      <c r="AQ76" s="499">
        <f ca="1"/>
        <v>0</v>
      </c>
      <c r="AR76" s="582"/>
      <c r="AS76" s="582"/>
      <c r="AT76" s="582"/>
      <c r="AU76" s="582"/>
      <c r="AV76" s="582"/>
      <c r="AW76" s="582"/>
      <c r="AX76" s="581"/>
    </row>
    <row r="77" spans="2:50">
      <c r="B77" s="519" t="s">
        <v>534</v>
      </c>
      <c r="C77" s="520" t="s">
        <v>66</v>
      </c>
      <c r="D77" s="520" t="s">
        <v>57</v>
      </c>
      <c r="E77" s="520" t="s">
        <v>649</v>
      </c>
      <c r="F77" s="520" t="s">
        <v>648</v>
      </c>
      <c r="G77" s="527">
        <v>0.01</v>
      </c>
      <c r="H77" s="527">
        <v>8.8369999999999994E-3</v>
      </c>
      <c r="I77" s="529">
        <v>0.4</v>
      </c>
      <c r="J77" s="596">
        <v>4</v>
      </c>
      <c r="K77" s="521">
        <v>18</v>
      </c>
      <c r="L77" s="273"/>
      <c r="M77" s="273"/>
      <c r="P77" s="274"/>
      <c r="Q77" s="274"/>
      <c r="R77" s="274"/>
      <c r="S77" s="274"/>
      <c r="T77" s="578">
        <f ca="1"/>
        <v>0.02</v>
      </c>
      <c r="U77" s="575">
        <f ca="1"/>
        <v>69</v>
      </c>
      <c r="V77" s="578">
        <f t="shared" ca="1" si="8"/>
        <v>0</v>
      </c>
      <c r="W77" s="578">
        <f t="shared" ca="1" si="9"/>
        <v>0</v>
      </c>
      <c r="X77" s="486">
        <f ca="1">IF('CDO Bespoke'!O78&lt;&gt;"",'CDO Bespoke'!O78,"")</f>
        <v>1.19417669781155</v>
      </c>
      <c r="Y77" s="487">
        <f ca="1">IF(X77&lt;&gt;"",ABS(MIN(-0.75*('CDO Bespoke'!Q78)+'CDO Bespoke'!T78,0)),"")</f>
        <v>1.1886505784176848</v>
      </c>
      <c r="Z77" s="487">
        <f t="shared" ca="1" si="2"/>
        <v>5.5261193938651587E-3</v>
      </c>
      <c r="AA77" s="487">
        <f t="shared" ca="1" si="3"/>
        <v>0</v>
      </c>
      <c r="AB77" s="486">
        <f ca="1">IF('CDO Bespoke'!O78&lt;&gt;"",'CDO Bespoke'!O78,"")</f>
        <v>1.19417669781155</v>
      </c>
      <c r="AC77" s="487">
        <f ca="1">IF(AB77&lt;&gt;"",ABS(MIN(-0.75*('CDO Bespoke'!K78)+'CDO Bespoke'!T78,0)),"")</f>
        <v>0.29092993127653088</v>
      </c>
      <c r="AD77" s="487">
        <f t="shared" ca="1" si="4"/>
        <v>0.90324676653501912</v>
      </c>
      <c r="AE77" s="491">
        <f t="shared" ca="1" si="5"/>
        <v>0</v>
      </c>
      <c r="AF77" s="273"/>
      <c r="AG77" s="496" t="str">
        <f ca="1">IF('CDO Bespoke'!C102&lt;&gt;"",'CDO Bespoke'!C102,"")</f>
        <v>EDP - ENERGIAS DE PORTUGAL S.A.</v>
      </c>
      <c r="AH77" s="498">
        <f ca="1"/>
        <v>4.1563439301395277E-3</v>
      </c>
      <c r="AI77" s="587">
        <f ca="1"/>
        <v>1.393219335010798E-2</v>
      </c>
      <c r="AJ77" s="587">
        <f ca="1"/>
        <v>4.0114729650264636E-2</v>
      </c>
      <c r="AK77" s="587">
        <f ca="1"/>
        <v>0.48716898263023722</v>
      </c>
      <c r="AL77" s="499">
        <f ca="1"/>
        <v>0</v>
      </c>
      <c r="AM77" s="498">
        <f ca="1"/>
        <v>2.3375561564783348E-5</v>
      </c>
      <c r="AN77" s="587">
        <f ca="1"/>
        <v>1.1010601849489182E-4</v>
      </c>
      <c r="AO77" s="587">
        <f ca="1"/>
        <v>4.738056112048826E-4</v>
      </c>
      <c r="AP77" s="587">
        <f ca="1"/>
        <v>6.7527908993324823E-2</v>
      </c>
      <c r="AQ77" s="499">
        <f ca="1"/>
        <v>0</v>
      </c>
      <c r="AR77" s="582"/>
      <c r="AS77" s="582"/>
      <c r="AT77" s="582"/>
      <c r="AU77" s="582"/>
      <c r="AV77" s="582"/>
      <c r="AW77" s="582"/>
      <c r="AX77" s="581"/>
    </row>
    <row r="78" spans="2:50">
      <c r="B78" s="536" t="s">
        <v>534</v>
      </c>
      <c r="C78" s="537" t="s">
        <v>66</v>
      </c>
      <c r="D78" s="537" t="s">
        <v>59</v>
      </c>
      <c r="E78" s="537" t="s">
        <v>649</v>
      </c>
      <c r="F78" s="537" t="s">
        <v>648</v>
      </c>
      <c r="G78" s="538">
        <v>0.01</v>
      </c>
      <c r="H78" s="538">
        <v>1.3018E-2</v>
      </c>
      <c r="I78" s="539">
        <v>0.4</v>
      </c>
      <c r="J78" s="597">
        <v>4</v>
      </c>
      <c r="K78" s="540">
        <v>18</v>
      </c>
      <c r="L78" s="273"/>
      <c r="M78" s="273"/>
      <c r="P78" s="274"/>
      <c r="Q78" s="274"/>
      <c r="R78" s="274"/>
      <c r="S78" s="274"/>
      <c r="T78" s="578">
        <f ca="1"/>
        <v>0.06</v>
      </c>
      <c r="U78" s="575">
        <f ca="1"/>
        <v>70</v>
      </c>
      <c r="V78" s="578">
        <f t="shared" ca="1" si="8"/>
        <v>0</v>
      </c>
      <c r="W78" s="578">
        <f t="shared" ca="1" si="9"/>
        <v>0</v>
      </c>
      <c r="X78" s="486">
        <f ca="1">IF('CDO Bespoke'!O79&lt;&gt;"",'CDO Bespoke'!O79,"")</f>
        <v>1.19418024333934</v>
      </c>
      <c r="Y78" s="487">
        <f ca="1">IF(X78&lt;&gt;"",ABS(MIN(-0.75*('CDO Bespoke'!Q79)+'CDO Bespoke'!T79,0)),"")</f>
        <v>1.1886474824311755</v>
      </c>
      <c r="Z78" s="487">
        <f t="shared" ref="Z78:Z141" ca="1" si="10">IF(X78&lt;&gt;"",IF($Y$8,MAX(X78-Y78,0),X78),0)</f>
        <v>5.532760908164569E-3</v>
      </c>
      <c r="AA78" s="487">
        <f t="shared" ref="AA78:AA141" ca="1" si="11">IF(X78&lt;&gt;"",IF($Y$8,0,Y78),0)</f>
        <v>0</v>
      </c>
      <c r="AB78" s="486">
        <f ca="1">IF('CDO Bespoke'!O79&lt;&gt;"",'CDO Bespoke'!O79,"")</f>
        <v>1.19418024333934</v>
      </c>
      <c r="AC78" s="487">
        <f ca="1">IF(AB78&lt;&gt;"",ABS(MIN(-0.75*('CDO Bespoke'!K79)+'CDO Bespoke'!T79,0)),"")</f>
        <v>0.29077070064879601</v>
      </c>
      <c r="AD78" s="487">
        <f t="shared" ref="AD78:AD141" ca="1" si="12">IF(AB78&lt;&gt;"",IF($Y$8,MAX(AB78-AC78,0),AB78),0)</f>
        <v>0.90340954269054397</v>
      </c>
      <c r="AE78" s="491">
        <f t="shared" ref="AE78:AE141" ca="1" si="13">IF(AB78&lt;&gt;"",IF($Y$8,0,AC78),0)</f>
        <v>0</v>
      </c>
      <c r="AF78" s="273"/>
      <c r="AG78" s="496" t="str">
        <f ca="1">IF('CDO Bespoke'!C103&lt;&gt;"",'CDO Bespoke'!C103,"")</f>
        <v>Electricite de France</v>
      </c>
      <c r="AH78" s="498">
        <f ca="1"/>
        <v>3.9840366305998742E-3</v>
      </c>
      <c r="AI78" s="587">
        <f ca="1"/>
        <v>1.3161335070677183E-2</v>
      </c>
      <c r="AJ78" s="587">
        <f ca="1"/>
        <v>3.7436002460200513E-2</v>
      </c>
      <c r="AK78" s="587">
        <f ca="1"/>
        <v>0.53336110447999019</v>
      </c>
      <c r="AL78" s="499">
        <f ca="1"/>
        <v>0</v>
      </c>
      <c r="AM78" s="498">
        <f ca="1"/>
        <v>2.0758613159931744E-5</v>
      </c>
      <c r="AN78" s="587">
        <f ca="1"/>
        <v>9.7999436849890986E-5</v>
      </c>
      <c r="AO78" s="587">
        <f ca="1"/>
        <v>4.1222932551003913E-4</v>
      </c>
      <c r="AP78" s="587">
        <f ca="1"/>
        <v>6.7436131189740026E-2</v>
      </c>
      <c r="AQ78" s="499">
        <f ca="1"/>
        <v>0</v>
      </c>
      <c r="AR78" s="582"/>
      <c r="AS78" s="582"/>
      <c r="AT78" s="582"/>
      <c r="AU78" s="582"/>
      <c r="AV78" s="582"/>
      <c r="AW78" s="582"/>
      <c r="AX78" s="581"/>
    </row>
    <row r="79" spans="2:50">
      <c r="B79" s="541" t="s">
        <v>535</v>
      </c>
      <c r="C79" s="542" t="s">
        <v>66</v>
      </c>
      <c r="D79" s="542" t="s">
        <v>55</v>
      </c>
      <c r="E79" s="542" t="s">
        <v>649</v>
      </c>
      <c r="F79" s="542" t="s">
        <v>648</v>
      </c>
      <c r="G79" s="543">
        <v>0.01</v>
      </c>
      <c r="H79" s="543">
        <v>4.0559999999999997E-3</v>
      </c>
      <c r="I79" s="544">
        <v>0.4</v>
      </c>
      <c r="J79" s="604">
        <v>4</v>
      </c>
      <c r="K79" s="545">
        <v>19</v>
      </c>
      <c r="L79" s="273"/>
      <c r="M79" s="273"/>
      <c r="P79" s="274"/>
      <c r="Q79" s="274"/>
      <c r="R79" s="274"/>
      <c r="S79" s="274"/>
      <c r="T79" s="578">
        <f ca="1"/>
        <v>0.06</v>
      </c>
      <c r="U79" s="575">
        <f ca="1"/>
        <v>71</v>
      </c>
      <c r="V79" s="578">
        <f t="shared" ca="1" si="8"/>
        <v>0</v>
      </c>
      <c r="W79" s="578">
        <f t="shared" ca="1" si="9"/>
        <v>0</v>
      </c>
      <c r="X79" s="486">
        <f ca="1">IF('CDO Bespoke'!O80&lt;&gt;"",'CDO Bespoke'!O80,"")</f>
        <v>1.1946189885202001</v>
      </c>
      <c r="Y79" s="487">
        <f ca="1">IF(X79&lt;&gt;"",ABS(MIN(-0.75*('CDO Bespoke'!Q80)+'CDO Bespoke'!T80,0)),"")</f>
        <v>1.188218372438407</v>
      </c>
      <c r="Z79" s="487">
        <f t="shared" ca="1" si="10"/>
        <v>6.4006160817930979E-3</v>
      </c>
      <c r="AA79" s="487">
        <f t="shared" ca="1" si="11"/>
        <v>0</v>
      </c>
      <c r="AB79" s="486">
        <f ca="1">IF('CDO Bespoke'!O80&lt;&gt;"",'CDO Bespoke'!O80,"")</f>
        <v>1.1946189885202001</v>
      </c>
      <c r="AC79" s="487">
        <f ca="1">IF(AB79&lt;&gt;"",ABS(MIN(-0.75*('CDO Bespoke'!K80)+'CDO Bespoke'!T80,0)),"")</f>
        <v>0.26796314882544103</v>
      </c>
      <c r="AD79" s="487">
        <f t="shared" ca="1" si="12"/>
        <v>0.92665583969475906</v>
      </c>
      <c r="AE79" s="491">
        <f t="shared" ca="1" si="13"/>
        <v>0</v>
      </c>
      <c r="AF79" s="273"/>
      <c r="AG79" s="496" t="str">
        <f ca="1">IF('CDO Bespoke'!C104&lt;&gt;"",'CDO Bespoke'!C104,"")</f>
        <v>ENEL S.P.A.</v>
      </c>
      <c r="AH79" s="498">
        <f ca="1"/>
        <v>3.5234849204979213E-3</v>
      </c>
      <c r="AI79" s="587">
        <f ca="1"/>
        <v>1.1055872930487709E-2</v>
      </c>
      <c r="AJ79" s="587">
        <f ca="1"/>
        <v>3.0496952641012598E-2</v>
      </c>
      <c r="AK79" s="587">
        <f ca="1"/>
        <v>0.49900361961063844</v>
      </c>
      <c r="AL79" s="499">
        <f ca="1"/>
        <v>0</v>
      </c>
      <c r="AM79" s="498">
        <f ca="1"/>
        <v>2.3228146350112722E-5</v>
      </c>
      <c r="AN79" s="587">
        <f ca="1"/>
        <v>1.0928592381002217E-4</v>
      </c>
      <c r="AO79" s="587">
        <f ca="1"/>
        <v>4.6464695940022158E-4</v>
      </c>
      <c r="AP79" s="587">
        <f ca="1"/>
        <v>6.7664481777645044E-2</v>
      </c>
      <c r="AQ79" s="499">
        <f ca="1"/>
        <v>0</v>
      </c>
      <c r="AR79" s="582"/>
      <c r="AS79" s="582"/>
      <c r="AT79" s="582"/>
      <c r="AU79" s="582"/>
      <c r="AV79" s="582"/>
      <c r="AW79" s="582"/>
      <c r="AX79" s="581"/>
    </row>
    <row r="80" spans="2:50">
      <c r="B80" s="519" t="s">
        <v>535</v>
      </c>
      <c r="C80" s="520" t="s">
        <v>66</v>
      </c>
      <c r="D80" s="520" t="s">
        <v>57</v>
      </c>
      <c r="E80" s="520" t="s">
        <v>649</v>
      </c>
      <c r="F80" s="520" t="s">
        <v>648</v>
      </c>
      <c r="G80" s="527">
        <v>0.01</v>
      </c>
      <c r="H80" s="527">
        <v>7.1669999999999998E-3</v>
      </c>
      <c r="I80" s="529">
        <v>0.4</v>
      </c>
      <c r="J80" s="596">
        <v>4</v>
      </c>
      <c r="K80" s="521">
        <v>19</v>
      </c>
      <c r="L80" s="273"/>
      <c r="M80" s="273"/>
      <c r="P80" s="274"/>
      <c r="Q80" s="274"/>
      <c r="R80" s="274"/>
      <c r="S80" s="274"/>
      <c r="T80" s="578">
        <f ca="1"/>
        <v>0.06</v>
      </c>
      <c r="U80" s="575">
        <f ca="1"/>
        <v>72</v>
      </c>
      <c r="V80" s="578">
        <f t="shared" ca="1" si="8"/>
        <v>0</v>
      </c>
      <c r="W80" s="578">
        <f t="shared" ca="1" si="9"/>
        <v>0</v>
      </c>
      <c r="X80" s="486">
        <f ca="1">IF('CDO Bespoke'!O81&lt;&gt;"",'CDO Bespoke'!O81,"")</f>
        <v>1.1949316919738799</v>
      </c>
      <c r="Y80" s="487">
        <f ca="1">IF(X80&lt;&gt;"",ABS(MIN(-0.75*('CDO Bespoke'!Q81)+'CDO Bespoke'!T81,0)),"")</f>
        <v>1.1878361213441389</v>
      </c>
      <c r="Z80" s="487">
        <f t="shared" ca="1" si="10"/>
        <v>7.0955706297410881E-3</v>
      </c>
      <c r="AA80" s="487">
        <f t="shared" ca="1" si="11"/>
        <v>0</v>
      </c>
      <c r="AB80" s="486">
        <f ca="1">IF('CDO Bespoke'!O81&lt;&gt;"",'CDO Bespoke'!O81,"")</f>
        <v>1.1949316919738799</v>
      </c>
      <c r="AC80" s="487">
        <f ca="1">IF(AB80&lt;&gt;"",ABS(MIN(-0.75*('CDO Bespoke'!K81)+'CDO Bespoke'!T81,0)),"")</f>
        <v>0.24612330478364078</v>
      </c>
      <c r="AD80" s="487">
        <f t="shared" ca="1" si="12"/>
        <v>0.94880838719023919</v>
      </c>
      <c r="AE80" s="491">
        <f t="shared" ca="1" si="13"/>
        <v>0</v>
      </c>
      <c r="AF80" s="273"/>
      <c r="AG80" s="496" t="str">
        <f ca="1">IF('CDO Bespoke'!C105&lt;&gt;"",'CDO Bespoke'!C105,"")</f>
        <v>ENGIE</v>
      </c>
      <c r="AH80" s="498">
        <f ca="1"/>
        <v>3.5626188410464721E-3</v>
      </c>
      <c r="AI80" s="587">
        <f ca="1"/>
        <v>1.1267613370113949E-2</v>
      </c>
      <c r="AJ80" s="587">
        <f ca="1"/>
        <v>3.1417871660943675E-2</v>
      </c>
      <c r="AK80" s="587">
        <f ca="1"/>
        <v>0.32757034225006088</v>
      </c>
      <c r="AL80" s="499">
        <f ca="1"/>
        <v>0</v>
      </c>
      <c r="AM80" s="498">
        <f ca="1"/>
        <v>3.3652900335162661E-5</v>
      </c>
      <c r="AN80" s="587">
        <f ca="1"/>
        <v>1.5729639784491795E-4</v>
      </c>
      <c r="AO80" s="587">
        <f ca="1"/>
        <v>7.0387642298989916E-4</v>
      </c>
      <c r="AP80" s="587">
        <f ca="1"/>
        <v>6.8146677792764801E-2</v>
      </c>
      <c r="AQ80" s="499">
        <f ca="1"/>
        <v>0</v>
      </c>
      <c r="AR80" s="582"/>
      <c r="AS80" s="582"/>
      <c r="AT80" s="582"/>
      <c r="AU80" s="582"/>
      <c r="AV80" s="582"/>
      <c r="AW80" s="582"/>
      <c r="AX80" s="581"/>
    </row>
    <row r="81" spans="2:50">
      <c r="B81" s="536" t="s">
        <v>535</v>
      </c>
      <c r="C81" s="537" t="s">
        <v>66</v>
      </c>
      <c r="D81" s="537" t="s">
        <v>59</v>
      </c>
      <c r="E81" s="537" t="s">
        <v>649</v>
      </c>
      <c r="F81" s="537" t="s">
        <v>648</v>
      </c>
      <c r="G81" s="538">
        <v>0.01</v>
      </c>
      <c r="H81" s="538">
        <v>1.0695E-2</v>
      </c>
      <c r="I81" s="539">
        <v>0.4</v>
      </c>
      <c r="J81" s="597">
        <v>4</v>
      </c>
      <c r="K81" s="540">
        <v>19</v>
      </c>
      <c r="L81" s="273"/>
      <c r="M81" s="273"/>
      <c r="P81" s="274"/>
      <c r="Q81" s="274"/>
      <c r="R81" s="274"/>
      <c r="S81" s="274"/>
      <c r="T81" s="578">
        <f ca="1"/>
        <v>0.06</v>
      </c>
      <c r="U81" s="575">
        <f ca="1"/>
        <v>73</v>
      </c>
      <c r="V81" s="578">
        <f t="shared" ca="1" si="8"/>
        <v>0</v>
      </c>
      <c r="W81" s="578">
        <f t="shared" ca="1" si="9"/>
        <v>0</v>
      </c>
      <c r="X81" s="486">
        <f ca="1">IF('CDO Bespoke'!O82&lt;&gt;"",'CDO Bespoke'!O82,"")</f>
        <v>1.1945413205650399</v>
      </c>
      <c r="Y81" s="487">
        <f ca="1">IF(X81&lt;&gt;"",ABS(MIN(-0.75*('CDO Bespoke'!Q82)+'CDO Bespoke'!T82,0)),"")</f>
        <v>1.1883019293025241</v>
      </c>
      <c r="Z81" s="487">
        <f t="shared" ca="1" si="10"/>
        <v>6.2393912625158254E-3</v>
      </c>
      <c r="AA81" s="487">
        <f t="shared" ca="1" si="11"/>
        <v>0</v>
      </c>
      <c r="AB81" s="486">
        <f ca="1">IF('CDO Bespoke'!O82&lt;&gt;"",'CDO Bespoke'!O82,"")</f>
        <v>1.1945413205650399</v>
      </c>
      <c r="AC81" s="487">
        <f ca="1">IF(AB81&lt;&gt;"",ABS(MIN(-0.75*('CDO Bespoke'!K82)+'CDO Bespoke'!T82,0)),"")</f>
        <v>0.27252968109395426</v>
      </c>
      <c r="AD81" s="487">
        <f t="shared" ca="1" si="12"/>
        <v>0.92201163947108566</v>
      </c>
      <c r="AE81" s="491">
        <f t="shared" ca="1" si="13"/>
        <v>0</v>
      </c>
      <c r="AF81" s="273"/>
      <c r="AG81" s="496" t="str">
        <f ca="1">IF('CDO Bespoke'!C106&lt;&gt;"",'CDO Bespoke'!C106,"")</f>
        <v>ENI S.P.A.</v>
      </c>
      <c r="AH81" s="498">
        <f ca="1"/>
        <v>3.864020360344611E-3</v>
      </c>
      <c r="AI81" s="587">
        <f ca="1"/>
        <v>1.2577870300845007E-2</v>
      </c>
      <c r="AJ81" s="587">
        <f ca="1"/>
        <v>3.5614584340537547E-2</v>
      </c>
      <c r="AK81" s="587">
        <f ca="1"/>
        <v>0.43636953088066477</v>
      </c>
      <c r="AL81" s="499">
        <f ca="1"/>
        <v>0</v>
      </c>
      <c r="AM81" s="498">
        <f ca="1"/>
        <v>5.3440177589375581E-5</v>
      </c>
      <c r="AN81" s="587">
        <f ca="1"/>
        <v>2.5089685289983454E-4</v>
      </c>
      <c r="AO81" s="587">
        <f ca="1"/>
        <v>1.0952090287195959E-3</v>
      </c>
      <c r="AP81" s="587">
        <f ca="1"/>
        <v>0.13552357703465986</v>
      </c>
      <c r="AQ81" s="499">
        <f ca="1"/>
        <v>0</v>
      </c>
      <c r="AR81" s="582"/>
      <c r="AS81" s="582"/>
      <c r="AT81" s="582"/>
      <c r="AU81" s="582"/>
      <c r="AV81" s="582"/>
      <c r="AW81" s="582"/>
      <c r="AX81" s="581"/>
    </row>
    <row r="82" spans="2:50">
      <c r="B82" s="541" t="s">
        <v>613</v>
      </c>
      <c r="C82" s="542" t="s">
        <v>66</v>
      </c>
      <c r="D82" s="542" t="s">
        <v>55</v>
      </c>
      <c r="E82" s="542" t="s">
        <v>650</v>
      </c>
      <c r="F82" s="542" t="s">
        <v>675</v>
      </c>
      <c r="G82" s="543">
        <v>0.01</v>
      </c>
      <c r="H82" s="543">
        <v>1.191E-3</v>
      </c>
      <c r="I82" s="544">
        <v>0.4</v>
      </c>
      <c r="J82" s="604">
        <v>4</v>
      </c>
      <c r="K82" s="545">
        <v>20</v>
      </c>
      <c r="L82" s="273"/>
      <c r="M82" s="273"/>
      <c r="P82" s="274"/>
      <c r="Q82" s="274"/>
      <c r="R82" s="274"/>
      <c r="S82" s="274"/>
      <c r="T82" s="578">
        <f ca="1"/>
        <v>0.06</v>
      </c>
      <c r="U82" s="575">
        <f ca="1"/>
        <v>74</v>
      </c>
      <c r="V82" s="578">
        <f t="shared" ca="1" si="8"/>
        <v>0</v>
      </c>
      <c r="W82" s="578">
        <f t="shared" ca="1" si="9"/>
        <v>0</v>
      </c>
      <c r="X82" s="486">
        <f ca="1">IF('CDO Bespoke'!O83&lt;&gt;"",'CDO Bespoke'!O83,"")</f>
        <v>1.1953012788437201</v>
      </c>
      <c r="Y82" s="487">
        <f ca="1">IF(X82&lt;&gt;"",ABS(MIN(-0.75*('CDO Bespoke'!Q83)+'CDO Bespoke'!T83,0)),"")</f>
        <v>1.1872312991313312</v>
      </c>
      <c r="Z82" s="487">
        <f t="shared" ca="1" si="10"/>
        <v>8.069979712388875E-3</v>
      </c>
      <c r="AA82" s="487">
        <f t="shared" ca="1" si="11"/>
        <v>0</v>
      </c>
      <c r="AB82" s="486">
        <f ca="1">IF('CDO Bespoke'!O83&lt;&gt;"",'CDO Bespoke'!O83,"")</f>
        <v>1.1953012788437201</v>
      </c>
      <c r="AC82" s="487">
        <f ca="1">IF(AB82&lt;&gt;"",ABS(MIN(-0.75*('CDO Bespoke'!K83)+'CDO Bespoke'!T83,0)),"")</f>
        <v>0.20729658794709327</v>
      </c>
      <c r="AD82" s="487">
        <f t="shared" ca="1" si="12"/>
        <v>0.98800469089662679</v>
      </c>
      <c r="AE82" s="491">
        <f t="shared" ca="1" si="13"/>
        <v>0</v>
      </c>
      <c r="AF82" s="273"/>
      <c r="AG82" s="496" t="str">
        <f ca="1">IF('CDO Bespoke'!C107&lt;&gt;"",'CDO Bespoke'!C107,"")</f>
        <v>EQUINOR ASA</v>
      </c>
      <c r="AH82" s="498">
        <f ca="1"/>
        <v>3.0921380600457127E-3</v>
      </c>
      <c r="AI82" s="587">
        <f ca="1"/>
        <v>9.4404946004988943E-3</v>
      </c>
      <c r="AJ82" s="587">
        <f ca="1"/>
        <v>2.556659618013768E-2</v>
      </c>
      <c r="AK82" s="587">
        <f ca="1"/>
        <v>0.17126304687087313</v>
      </c>
      <c r="AL82" s="499">
        <f ca="1"/>
        <v>0</v>
      </c>
      <c r="AM82" s="498">
        <f ca="1"/>
        <v>8.8419407760081947E-5</v>
      </c>
      <c r="AN82" s="587">
        <f ca="1"/>
        <v>4.1146311707922212E-4</v>
      </c>
      <c r="AO82" s="587">
        <f ca="1"/>
        <v>1.8849923348999292E-3</v>
      </c>
      <c r="AP82" s="587">
        <f ca="1"/>
        <v>0.13735950749090944</v>
      </c>
      <c r="AQ82" s="499">
        <f ca="1"/>
        <v>0</v>
      </c>
      <c r="AR82" s="582"/>
      <c r="AS82" s="582"/>
      <c r="AT82" s="582"/>
      <c r="AU82" s="582"/>
      <c r="AV82" s="582"/>
      <c r="AW82" s="582"/>
      <c r="AX82" s="581"/>
    </row>
    <row r="83" spans="2:50">
      <c r="B83" s="519" t="s">
        <v>613</v>
      </c>
      <c r="C83" s="520" t="s">
        <v>66</v>
      </c>
      <c r="D83" s="520" t="s">
        <v>57</v>
      </c>
      <c r="E83" s="520" t="s">
        <v>650</v>
      </c>
      <c r="F83" s="520" t="s">
        <v>675</v>
      </c>
      <c r="G83" s="527">
        <v>0.01</v>
      </c>
      <c r="H83" s="527">
        <v>1.908E-3</v>
      </c>
      <c r="I83" s="529">
        <v>0.4</v>
      </c>
      <c r="J83" s="596">
        <v>4</v>
      </c>
      <c r="K83" s="521">
        <v>20</v>
      </c>
      <c r="L83" s="273"/>
      <c r="M83" s="273"/>
      <c r="P83" s="274"/>
      <c r="Q83" s="274"/>
      <c r="R83" s="274"/>
      <c r="S83" s="274"/>
      <c r="T83" s="578">
        <f ca="1"/>
        <v>0.02</v>
      </c>
      <c r="U83" s="575">
        <f ca="1"/>
        <v>75</v>
      </c>
      <c r="V83" s="578">
        <f t="shared" ca="1" si="8"/>
        <v>0</v>
      </c>
      <c r="W83" s="578">
        <f t="shared" ca="1" si="9"/>
        <v>0</v>
      </c>
      <c r="X83" s="486">
        <f ca="1">IF('CDO Bespoke'!O84&lt;&gt;"",'CDO Bespoke'!O84,"")</f>
        <v>1.1949752837084999</v>
      </c>
      <c r="Y83" s="487">
        <f ca="1">IF(X83&lt;&gt;"",ABS(MIN(-0.75*('CDO Bespoke'!Q84)+'CDO Bespoke'!T84,0)),"")</f>
        <v>1.1877755102998668</v>
      </c>
      <c r="Z83" s="487">
        <f t="shared" ca="1" si="10"/>
        <v>7.1997734086330922E-3</v>
      </c>
      <c r="AA83" s="487">
        <f t="shared" ca="1" si="11"/>
        <v>0</v>
      </c>
      <c r="AB83" s="486">
        <f ca="1">IF('CDO Bespoke'!O84&lt;&gt;"",'CDO Bespoke'!O84,"")</f>
        <v>1.1949752837084999</v>
      </c>
      <c r="AC83" s="487">
        <f ca="1">IF(AB83&lt;&gt;"",ABS(MIN(-0.75*('CDO Bespoke'!K84)+'CDO Bespoke'!T84,0)),"")</f>
        <v>0.24249662234658417</v>
      </c>
      <c r="AD83" s="487">
        <f t="shared" ca="1" si="12"/>
        <v>0.95247866136191572</v>
      </c>
      <c r="AE83" s="491">
        <f t="shared" ca="1" si="13"/>
        <v>0</v>
      </c>
      <c r="AF83" s="273"/>
      <c r="AG83" s="496" t="str">
        <f ca="1">IF('CDO Bespoke'!C108&lt;&gt;"",'CDO Bespoke'!C108,"")</f>
        <v>Fortum Oyj</v>
      </c>
      <c r="AH83" s="498">
        <f ca="1"/>
        <v>3.429413030220374E-3</v>
      </c>
      <c r="AI83" s="587">
        <f ca="1"/>
        <v>1.0689066610725106E-2</v>
      </c>
      <c r="AJ83" s="587">
        <f ca="1"/>
        <v>2.9581801940237185E-2</v>
      </c>
      <c r="AK83" s="587">
        <f ca="1"/>
        <v>0.34003264635096286</v>
      </c>
      <c r="AL83" s="499">
        <f ca="1"/>
        <v>0</v>
      </c>
      <c r="AM83" s="498">
        <f ca="1"/>
        <v>3.2971053480143619E-5</v>
      </c>
      <c r="AN83" s="587">
        <f ca="1"/>
        <v>1.5412476142527554E-4</v>
      </c>
      <c r="AO83" s="587">
        <f ca="1"/>
        <v>6.8715943566007021E-4</v>
      </c>
      <c r="AP83" s="587">
        <f ca="1"/>
        <v>6.8139611221560037E-2</v>
      </c>
      <c r="AQ83" s="499">
        <f ca="1"/>
        <v>0</v>
      </c>
      <c r="AR83" s="582"/>
      <c r="AS83" s="582"/>
      <c r="AT83" s="582"/>
      <c r="AU83" s="582"/>
      <c r="AV83" s="582"/>
      <c r="AW83" s="582"/>
      <c r="AX83" s="581"/>
    </row>
    <row r="84" spans="2:50">
      <c r="B84" s="536" t="s">
        <v>613</v>
      </c>
      <c r="C84" s="537" t="s">
        <v>66</v>
      </c>
      <c r="D84" s="537" t="s">
        <v>59</v>
      </c>
      <c r="E84" s="537" t="s">
        <v>650</v>
      </c>
      <c r="F84" s="537" t="s">
        <v>675</v>
      </c>
      <c r="G84" s="538">
        <v>0.01</v>
      </c>
      <c r="H84" s="538">
        <v>2.9069999999999999E-3</v>
      </c>
      <c r="I84" s="539">
        <v>0.4</v>
      </c>
      <c r="J84" s="597">
        <v>4</v>
      </c>
      <c r="K84" s="540">
        <v>20</v>
      </c>
      <c r="L84" s="273"/>
      <c r="M84" s="273"/>
      <c r="P84" s="274"/>
      <c r="Q84" s="274"/>
      <c r="R84" s="274"/>
      <c r="S84" s="274"/>
      <c r="T84" s="578">
        <f ca="1"/>
        <v>0.03</v>
      </c>
      <c r="U84" s="575">
        <f ca="1"/>
        <v>76</v>
      </c>
      <c r="V84" s="578">
        <f t="shared" ca="1" si="8"/>
        <v>0</v>
      </c>
      <c r="W84" s="578">
        <f t="shared" ca="1" si="9"/>
        <v>0</v>
      </c>
      <c r="X84" s="486">
        <f ca="1">IF('CDO Bespoke'!O85&lt;&gt;"",'CDO Bespoke'!O85,"")</f>
        <v>1.19509888979516</v>
      </c>
      <c r="Y84" s="487">
        <f ca="1">IF(X84&lt;&gt;"",ABS(MIN(-0.75*('CDO Bespoke'!Q85)+'CDO Bespoke'!T85,0)),"")</f>
        <v>1.1875906074546356</v>
      </c>
      <c r="Z84" s="487">
        <f t="shared" ca="1" si="10"/>
        <v>7.5082823405243637E-3</v>
      </c>
      <c r="AA84" s="487">
        <f t="shared" ca="1" si="11"/>
        <v>0</v>
      </c>
      <c r="AB84" s="486">
        <f ca="1">IF('CDO Bespoke'!O85&lt;&gt;"",'CDO Bespoke'!O85,"")</f>
        <v>1.19509888979516</v>
      </c>
      <c r="AC84" s="487">
        <f ca="1">IF(AB84&lt;&gt;"",ABS(MIN(-0.75*('CDO Bespoke'!K85)+'CDO Bespoke'!T85,0)),"")</f>
        <v>0.23110664992775951</v>
      </c>
      <c r="AD84" s="487">
        <f t="shared" ca="1" si="12"/>
        <v>0.96399223986740046</v>
      </c>
      <c r="AE84" s="491">
        <f t="shared" ca="1" si="13"/>
        <v>0</v>
      </c>
      <c r="AF84" s="273"/>
      <c r="AG84" s="496" t="str">
        <f ca="1">IF('CDO Bespoke'!C109&lt;&gt;"",'CDO Bespoke'!C109,"")</f>
        <v>Iberdrola, S.A.</v>
      </c>
      <c r="AH84" s="498">
        <f ca="1"/>
        <v>3.3578732505645803E-3</v>
      </c>
      <c r="AI84" s="587">
        <f ca="1"/>
        <v>1.0428990190325393E-2</v>
      </c>
      <c r="AJ84" s="587">
        <f ca="1"/>
        <v>2.8763241251006377E-2</v>
      </c>
      <c r="AK84" s="587">
        <f ca="1"/>
        <v>0.27463621256051951</v>
      </c>
      <c r="AL84" s="499">
        <f ca="1"/>
        <v>0</v>
      </c>
      <c r="AM84" s="498">
        <f ca="1"/>
        <v>3.7148709495019028E-5</v>
      </c>
      <c r="AN84" s="587">
        <f ca="1"/>
        <v>1.7332557925471559E-4</v>
      </c>
      <c r="AO84" s="587">
        <f ca="1"/>
        <v>7.8238666943973578E-4</v>
      </c>
      <c r="AP84" s="587">
        <f ca="1"/>
        <v>6.8337848534654605E-2</v>
      </c>
      <c r="AQ84" s="499">
        <f ca="1"/>
        <v>0</v>
      </c>
      <c r="AR84" s="582"/>
      <c r="AS84" s="582"/>
      <c r="AT84" s="582"/>
      <c r="AU84" s="582"/>
      <c r="AV84" s="582"/>
      <c r="AW84" s="582"/>
      <c r="AX84" s="581"/>
    </row>
    <row r="85" spans="2:50">
      <c r="B85" s="541" t="s">
        <v>520</v>
      </c>
      <c r="C85" s="542" t="s">
        <v>66</v>
      </c>
      <c r="D85" s="542" t="s">
        <v>55</v>
      </c>
      <c r="E85" s="542" t="s">
        <v>647</v>
      </c>
      <c r="F85" s="542" t="s">
        <v>675</v>
      </c>
      <c r="G85" s="543">
        <v>0.01</v>
      </c>
      <c r="H85" s="543">
        <v>1.2049999999999999E-3</v>
      </c>
      <c r="I85" s="544">
        <v>0.4</v>
      </c>
      <c r="J85" s="604">
        <v>4</v>
      </c>
      <c r="K85" s="545">
        <v>21</v>
      </c>
      <c r="L85" s="273"/>
      <c r="M85" s="273"/>
      <c r="P85" s="274"/>
      <c r="Q85" s="274"/>
      <c r="R85" s="274"/>
      <c r="S85" s="274"/>
      <c r="T85" s="578">
        <f ca="1"/>
        <v>0.06</v>
      </c>
      <c r="U85" s="575">
        <f ca="1"/>
        <v>77</v>
      </c>
      <c r="V85" s="578">
        <f t="shared" ca="1" si="8"/>
        <v>0</v>
      </c>
      <c r="W85" s="578">
        <f t="shared" ca="1" si="9"/>
        <v>0</v>
      </c>
      <c r="X85" s="486">
        <f ca="1">IF('CDO Bespoke'!O86&lt;&gt;"",'CDO Bespoke'!O86,"")</f>
        <v>1.1943885453627801</v>
      </c>
      <c r="Y85" s="487">
        <f ca="1">IF(X85&lt;&gt;"",ABS(MIN(-0.75*('CDO Bespoke'!Q86)+'CDO Bespoke'!T86,0)),"")</f>
        <v>1.1884560069560881</v>
      </c>
      <c r="Z85" s="487">
        <f t="shared" ca="1" si="10"/>
        <v>5.9325384066919451E-3</v>
      </c>
      <c r="AA85" s="487">
        <f t="shared" ca="1" si="11"/>
        <v>0</v>
      </c>
      <c r="AB85" s="486">
        <f ca="1">IF('CDO Bespoke'!O86&lt;&gt;"",'CDO Bespoke'!O86,"")</f>
        <v>1.1943885453627801</v>
      </c>
      <c r="AC85" s="487">
        <f ca="1">IF(AB85&lt;&gt;"",ABS(MIN(-0.75*('CDO Bespoke'!K86)+'CDO Bespoke'!T86,0)),"")</f>
        <v>0.28078369178246021</v>
      </c>
      <c r="AD85" s="487">
        <f t="shared" ca="1" si="12"/>
        <v>0.91360485358031984</v>
      </c>
      <c r="AE85" s="491">
        <f t="shared" ca="1" si="13"/>
        <v>0</v>
      </c>
      <c r="AF85" s="273"/>
      <c r="AG85" s="496" t="str">
        <f ca="1">IF('CDO Bespoke'!C110&lt;&gt;"",'CDO Bespoke'!C110,"")</f>
        <v>NATIONAL GRID PLC</v>
      </c>
      <c r="AH85" s="498">
        <f ca="1"/>
        <v>4.007189570165437E-3</v>
      </c>
      <c r="AI85" s="587">
        <f ca="1"/>
        <v>1.3231404670799307E-2</v>
      </c>
      <c r="AJ85" s="587">
        <f ca="1"/>
        <v>3.7772917780287685E-2</v>
      </c>
      <c r="AK85" s="587">
        <f ca="1"/>
        <v>0.45584885649097018</v>
      </c>
      <c r="AL85" s="499">
        <f ca="1"/>
        <v>0</v>
      </c>
      <c r="AM85" s="498">
        <f ca="1"/>
        <v>2.5412053845062788E-5</v>
      </c>
      <c r="AN85" s="587">
        <f ca="1"/>
        <v>1.1945514218989622E-4</v>
      </c>
      <c r="AO85" s="587">
        <f ca="1"/>
        <v>5.1897092428528774E-4</v>
      </c>
      <c r="AP85" s="587">
        <f ca="1"/>
        <v>6.7665716323754913E-2</v>
      </c>
      <c r="AQ85" s="499">
        <f ca="1"/>
        <v>0</v>
      </c>
      <c r="AR85" s="582"/>
      <c r="AS85" s="582"/>
      <c r="AT85" s="582"/>
      <c r="AU85" s="582"/>
      <c r="AV85" s="582"/>
      <c r="AW85" s="582"/>
      <c r="AX85" s="581"/>
    </row>
    <row r="86" spans="2:50">
      <c r="B86" s="519" t="s">
        <v>520</v>
      </c>
      <c r="C86" s="520" t="s">
        <v>66</v>
      </c>
      <c r="D86" s="520" t="s">
        <v>57</v>
      </c>
      <c r="E86" s="520" t="s">
        <v>647</v>
      </c>
      <c r="F86" s="520" t="s">
        <v>675</v>
      </c>
      <c r="G86" s="527">
        <v>0.01</v>
      </c>
      <c r="H86" s="527">
        <v>1.9740000000000001E-3</v>
      </c>
      <c r="I86" s="529">
        <v>0.4</v>
      </c>
      <c r="J86" s="596">
        <v>4</v>
      </c>
      <c r="K86" s="521">
        <v>21</v>
      </c>
      <c r="L86" s="273"/>
      <c r="M86" s="273"/>
      <c r="P86" s="274"/>
      <c r="Q86" s="274"/>
      <c r="R86" s="274"/>
      <c r="S86" s="274"/>
      <c r="T86" s="578">
        <f ca="1"/>
        <v>0.06</v>
      </c>
      <c r="U86" s="575">
        <f ca="1"/>
        <v>78</v>
      </c>
      <c r="V86" s="578">
        <f t="shared" ca="1" si="8"/>
        <v>0</v>
      </c>
      <c r="W86" s="578">
        <f t="shared" ca="1" si="9"/>
        <v>0</v>
      </c>
      <c r="X86" s="486">
        <f ca="1">IF('CDO Bespoke'!O87&lt;&gt;"",'CDO Bespoke'!O87,"")</f>
        <v>1.1947869344686299</v>
      </c>
      <c r="Y86" s="487">
        <f ca="1">IF(X86&lt;&gt;"",ABS(MIN(-0.75*('CDO Bespoke'!Q87)+'CDO Bespoke'!T87,0)),"")</f>
        <v>1.1880233563462868</v>
      </c>
      <c r="Z86" s="487">
        <f t="shared" ca="1" si="10"/>
        <v>6.7635781223431835E-3</v>
      </c>
      <c r="AA86" s="487">
        <f t="shared" ca="1" si="11"/>
        <v>0</v>
      </c>
      <c r="AB86" s="486">
        <f ca="1">IF('CDO Bespoke'!O87&lt;&gt;"",'CDO Bespoke'!O87,"")</f>
        <v>1.1947869344686299</v>
      </c>
      <c r="AC86" s="487">
        <f ca="1">IF(AB86&lt;&gt;"",ABS(MIN(-0.75*('CDO Bespoke'!K87)+'CDO Bespoke'!T87,0)),"")</f>
        <v>0.25702956409141525</v>
      </c>
      <c r="AD86" s="487">
        <f t="shared" ca="1" si="12"/>
        <v>0.93775737037721463</v>
      </c>
      <c r="AE86" s="491">
        <f t="shared" ca="1" si="13"/>
        <v>0</v>
      </c>
      <c r="AF86" s="273"/>
      <c r="AG86" s="496" t="str">
        <f ca="1">IF('CDO Bespoke'!C111&lt;&gt;"",'CDO Bespoke'!C111,"")</f>
        <v>NATURGY ENERGY GROUP, S.A.</v>
      </c>
      <c r="AH86" s="498">
        <f ca="1"/>
        <v>3.7639781602649691E-3</v>
      </c>
      <c r="AI86" s="587">
        <f ca="1"/>
        <v>1.2136035359988639E-2</v>
      </c>
      <c r="AJ86" s="587">
        <f ca="1"/>
        <v>3.4205382130059192E-2</v>
      </c>
      <c r="AK86" s="587">
        <f ca="1"/>
        <v>0.35018705720091248</v>
      </c>
      <c r="AL86" s="499">
        <f ca="1"/>
        <v>0</v>
      </c>
      <c r="AM86" s="498">
        <f ca="1"/>
        <v>3.2091336119727254E-5</v>
      </c>
      <c r="AN86" s="587">
        <f ca="1"/>
        <v>1.501590409945866E-4</v>
      </c>
      <c r="AO86" s="587">
        <f ca="1"/>
        <v>6.6977468788486511E-4</v>
      </c>
      <c r="AP86" s="587">
        <f ca="1"/>
        <v>6.8037236901029821E-2</v>
      </c>
      <c r="AQ86" s="499">
        <f ca="1"/>
        <v>0</v>
      </c>
      <c r="AR86" s="582"/>
      <c r="AS86" s="582"/>
      <c r="AT86" s="582"/>
      <c r="AU86" s="582"/>
      <c r="AV86" s="582"/>
      <c r="AW86" s="582"/>
      <c r="AX86" s="581"/>
    </row>
    <row r="87" spans="2:50">
      <c r="B87" s="536" t="s">
        <v>520</v>
      </c>
      <c r="C87" s="537" t="s">
        <v>66</v>
      </c>
      <c r="D87" s="537" t="s">
        <v>59</v>
      </c>
      <c r="E87" s="537" t="s">
        <v>647</v>
      </c>
      <c r="F87" s="537" t="s">
        <v>675</v>
      </c>
      <c r="G87" s="538">
        <v>0.01</v>
      </c>
      <c r="H87" s="538">
        <v>3.055E-3</v>
      </c>
      <c r="I87" s="539">
        <v>0.4</v>
      </c>
      <c r="J87" s="597">
        <v>4</v>
      </c>
      <c r="K87" s="540">
        <v>21</v>
      </c>
      <c r="L87" s="273"/>
      <c r="M87" s="273"/>
      <c r="P87" s="274"/>
      <c r="Q87" s="274"/>
      <c r="R87" s="274"/>
      <c r="S87" s="274"/>
      <c r="T87" s="578">
        <f ca="1"/>
        <v>0.06</v>
      </c>
      <c r="U87" s="575">
        <f ca="1"/>
        <v>79</v>
      </c>
      <c r="V87" s="578">
        <f t="shared" ca="1" si="8"/>
        <v>0</v>
      </c>
      <c r="W87" s="578">
        <f t="shared" ca="1" si="9"/>
        <v>0</v>
      </c>
      <c r="X87" s="486">
        <f ca="1">IF('CDO Bespoke'!O88&lt;&gt;"",'CDO Bespoke'!O88,"")</f>
        <v>1.19424529484138</v>
      </c>
      <c r="Y87" s="487">
        <f ca="1">IF(X87&lt;&gt;"",ABS(MIN(-0.75*('CDO Bespoke'!Q88)+'CDO Bespoke'!T88,0)),"")</f>
        <v>1.1885897558107783</v>
      </c>
      <c r="Z87" s="487">
        <f t="shared" ca="1" si="10"/>
        <v>5.6555390306016751E-3</v>
      </c>
      <c r="AA87" s="487">
        <f t="shared" ca="1" si="11"/>
        <v>0</v>
      </c>
      <c r="AB87" s="486">
        <f ca="1">IF('CDO Bespoke'!O88&lt;&gt;"",'CDO Bespoke'!O88,"")</f>
        <v>1.19424529484138</v>
      </c>
      <c r="AC87" s="487">
        <f ca="1">IF(AB87&lt;&gt;"",ABS(MIN(-0.75*('CDO Bespoke'!K88)+'CDO Bespoke'!T88,0)),"")</f>
        <v>0.28778908241742351</v>
      </c>
      <c r="AD87" s="487">
        <f t="shared" ca="1" si="12"/>
        <v>0.90645621242395646</v>
      </c>
      <c r="AE87" s="491">
        <f t="shared" ca="1" si="13"/>
        <v>0</v>
      </c>
      <c r="AF87" s="273"/>
      <c r="AG87" s="496" t="str">
        <f ca="1">IF('CDO Bespoke'!C112&lt;&gt;"",'CDO Bespoke'!C112,"")</f>
        <v>REPSOL, S.A.</v>
      </c>
      <c r="AH87" s="498">
        <f ca="1"/>
        <v>4.10305452058779E-3</v>
      </c>
      <c r="AI87" s="587">
        <f ca="1"/>
        <v>1.3681415350630388E-2</v>
      </c>
      <c r="AJ87" s="587">
        <f ca="1"/>
        <v>3.9269400390340437E-2</v>
      </c>
      <c r="AK87" s="587">
        <f ca="1"/>
        <v>0.47949715734074694</v>
      </c>
      <c r="AL87" s="499">
        <f ca="1"/>
        <v>0</v>
      </c>
      <c r="AM87" s="498">
        <f ca="1"/>
        <v>4.778318909923196E-5</v>
      </c>
      <c r="AN87" s="587">
        <f ca="1"/>
        <v>2.2493600874001762E-4</v>
      </c>
      <c r="AO87" s="587">
        <f ca="1"/>
        <v>9.7014539519948984E-4</v>
      </c>
      <c r="AP87" s="587">
        <f ca="1"/>
        <v>0.13513408302710961</v>
      </c>
      <c r="AQ87" s="499">
        <f ca="1"/>
        <v>0</v>
      </c>
      <c r="AR87" s="582"/>
      <c r="AS87" s="582"/>
      <c r="AT87" s="582"/>
      <c r="AU87" s="582"/>
      <c r="AV87" s="582"/>
      <c r="AW87" s="582"/>
      <c r="AX87" s="581"/>
    </row>
    <row r="88" spans="2:50">
      <c r="B88" s="541" t="s">
        <v>614</v>
      </c>
      <c r="C88" s="542" t="s">
        <v>66</v>
      </c>
      <c r="D88" s="542" t="s">
        <v>55</v>
      </c>
      <c r="E88" s="542" t="s">
        <v>649</v>
      </c>
      <c r="F88" s="542" t="s">
        <v>675</v>
      </c>
      <c r="G88" s="543">
        <v>0.01</v>
      </c>
      <c r="H88" s="543">
        <v>1.1557E-2</v>
      </c>
      <c r="I88" s="544">
        <v>0.4</v>
      </c>
      <c r="J88" s="604">
        <v>4</v>
      </c>
      <c r="K88" s="545">
        <v>22</v>
      </c>
      <c r="L88" s="273"/>
      <c r="M88" s="273"/>
      <c r="P88" s="274"/>
      <c r="Q88" s="274"/>
      <c r="R88" s="274"/>
      <c r="S88" s="274"/>
      <c r="T88" s="578">
        <f ca="1"/>
        <v>0.06</v>
      </c>
      <c r="U88" s="575">
        <f ca="1"/>
        <v>80</v>
      </c>
      <c r="V88" s="578">
        <f t="shared" ca="1" si="8"/>
        <v>0</v>
      </c>
      <c r="W88" s="578">
        <f t="shared" ca="1" si="9"/>
        <v>0</v>
      </c>
      <c r="X88" s="486">
        <f ca="1">IF('CDO Bespoke'!O89&lt;&gt;"",'CDO Bespoke'!O89,"")</f>
        <v>1.19524533460169</v>
      </c>
      <c r="Y88" s="487">
        <f ca="1">IF(X88&lt;&gt;"",ABS(MIN(-0.75*('CDO Bespoke'!Q89)+'CDO Bespoke'!T89,0)),"")</f>
        <v>1.1873395304610881</v>
      </c>
      <c r="Z88" s="487">
        <f t="shared" ca="1" si="10"/>
        <v>7.9058041406019353E-3</v>
      </c>
      <c r="AA88" s="487">
        <f t="shared" ca="1" si="11"/>
        <v>0</v>
      </c>
      <c r="AB88" s="486">
        <f ca="1">IF('CDO Bespoke'!O89&lt;&gt;"",'CDO Bespoke'!O89,"")</f>
        <v>1.19524533460169</v>
      </c>
      <c r="AC88" s="487">
        <f ca="1">IF(AB88&lt;&gt;"",ABS(MIN(-0.75*('CDO Bespoke'!K89)+'CDO Bespoke'!T89,0)),"")</f>
        <v>0.21473345671296323</v>
      </c>
      <c r="AD88" s="487">
        <f t="shared" ca="1" si="12"/>
        <v>0.98051187788872674</v>
      </c>
      <c r="AE88" s="491">
        <f t="shared" ca="1" si="13"/>
        <v>0</v>
      </c>
      <c r="AF88" s="273"/>
      <c r="AG88" s="496" t="str">
        <f ca="1">IF('CDO Bespoke'!C113&lt;&gt;"",'CDO Bespoke'!C113,"")</f>
        <v>SHELL PLC</v>
      </c>
      <c r="AH88" s="498">
        <f ca="1"/>
        <v>3.1707296610505864E-3</v>
      </c>
      <c r="AI88" s="587">
        <f ca="1"/>
        <v>9.7194100201480893E-3</v>
      </c>
      <c r="AJ88" s="587">
        <f ca="1"/>
        <v>2.649340390070698E-2</v>
      </c>
      <c r="AK88" s="587">
        <f ca="1"/>
        <v>0.20517733271052663</v>
      </c>
      <c r="AL88" s="499">
        <f ca="1"/>
        <v>0</v>
      </c>
      <c r="AM88" s="498">
        <f ca="1"/>
        <v>8.3661622440195371E-5</v>
      </c>
      <c r="AN88" s="587">
        <f ca="1"/>
        <v>3.896312284500103E-4</v>
      </c>
      <c r="AO88" s="587">
        <f ca="1"/>
        <v>1.7768963304597152E-3</v>
      </c>
      <c r="AP88" s="587">
        <f ca="1"/>
        <v>0.13713736222391962</v>
      </c>
      <c r="AQ88" s="499">
        <f ca="1"/>
        <v>0</v>
      </c>
      <c r="AR88" s="582"/>
      <c r="AS88" s="582"/>
      <c r="AT88" s="582"/>
      <c r="AU88" s="582"/>
      <c r="AV88" s="582"/>
      <c r="AW88" s="582"/>
      <c r="AX88" s="581"/>
    </row>
    <row r="89" spans="2:50">
      <c r="B89" s="519" t="s">
        <v>614</v>
      </c>
      <c r="C89" s="520" t="s">
        <v>66</v>
      </c>
      <c r="D89" s="520" t="s">
        <v>57</v>
      </c>
      <c r="E89" s="520" t="s">
        <v>649</v>
      </c>
      <c r="F89" s="520" t="s">
        <v>675</v>
      </c>
      <c r="G89" s="527">
        <v>0.01</v>
      </c>
      <c r="H89" s="527">
        <v>1.7305000000000001E-2</v>
      </c>
      <c r="I89" s="529">
        <v>0.4</v>
      </c>
      <c r="J89" s="596">
        <v>4</v>
      </c>
      <c r="K89" s="521">
        <v>22</v>
      </c>
      <c r="L89" s="273"/>
      <c r="M89" s="273"/>
      <c r="P89" s="274"/>
      <c r="Q89" s="274"/>
      <c r="R89" s="274"/>
      <c r="S89" s="274"/>
      <c r="T89" s="578">
        <f ca="1"/>
        <v>0.06</v>
      </c>
      <c r="U89" s="575">
        <f ca="1"/>
        <v>81</v>
      </c>
      <c r="V89" s="578">
        <f t="shared" ca="1" si="8"/>
        <v>0</v>
      </c>
      <c r="W89" s="578">
        <f t="shared" ca="1" si="9"/>
        <v>0</v>
      </c>
      <c r="X89" s="486">
        <f ca="1">IF('CDO Bespoke'!O90&lt;&gt;"",'CDO Bespoke'!O90,"")</f>
        <v>1.1953083756890901</v>
      </c>
      <c r="Y89" s="487">
        <f ca="1">IF(X89&lt;&gt;"",ABS(MIN(-0.75*('CDO Bespoke'!Q90)+'CDO Bespoke'!T90,0)),"")</f>
        <v>1.1872169638200187</v>
      </c>
      <c r="Z89" s="487">
        <f t="shared" ca="1" si="10"/>
        <v>8.0914118690713632E-3</v>
      </c>
      <c r="AA89" s="487">
        <f t="shared" ca="1" si="11"/>
        <v>0</v>
      </c>
      <c r="AB89" s="486">
        <f ca="1">IF('CDO Bespoke'!O90&lt;&gt;"",'CDO Bespoke'!O90,"")</f>
        <v>1.1953083756890901</v>
      </c>
      <c r="AC89" s="487">
        <f ca="1">IF(AB89&lt;&gt;"",ABS(MIN(-0.75*('CDO Bespoke'!K90)+'CDO Bespoke'!T90,0)),"")</f>
        <v>0.20629232992793778</v>
      </c>
      <c r="AD89" s="487">
        <f t="shared" ca="1" si="12"/>
        <v>0.98901604576115232</v>
      </c>
      <c r="AE89" s="491">
        <f t="shared" ca="1" si="13"/>
        <v>0</v>
      </c>
      <c r="AF89" s="273"/>
      <c r="AG89" s="496" t="str">
        <f ca="1">IF('CDO Bespoke'!C114&lt;&gt;"",'CDO Bespoke'!C114,"")</f>
        <v>TotalEnergies SE</v>
      </c>
      <c r="AH89" s="498">
        <f ca="1"/>
        <v>3.0072655510249291E-3</v>
      </c>
      <c r="AI89" s="587">
        <f ca="1"/>
        <v>9.0748378800409313E-3</v>
      </c>
      <c r="AJ89" s="587">
        <f ca="1"/>
        <v>2.4524412221005321E-2</v>
      </c>
      <c r="AK89" s="587">
        <f ca="1"/>
        <v>0.19101104663077351</v>
      </c>
      <c r="AL89" s="499">
        <f ca="1"/>
        <v>0</v>
      </c>
      <c r="AM89" s="498">
        <f ca="1"/>
        <v>8.5779173759903404E-5</v>
      </c>
      <c r="AN89" s="587">
        <f ca="1"/>
        <v>3.9928794989957384E-4</v>
      </c>
      <c r="AO89" s="587">
        <f ca="1"/>
        <v>1.8231886345195653E-3</v>
      </c>
      <c r="AP89" s="587">
        <f ca="1"/>
        <v>0.13727332368275999</v>
      </c>
      <c r="AQ89" s="499">
        <f ca="1"/>
        <v>0</v>
      </c>
      <c r="AR89" s="582"/>
      <c r="AS89" s="582"/>
      <c r="AT89" s="582"/>
      <c r="AU89" s="582"/>
      <c r="AV89" s="582"/>
      <c r="AW89" s="582"/>
      <c r="AX89" s="581"/>
    </row>
    <row r="90" spans="2:50">
      <c r="B90" s="536" t="s">
        <v>614</v>
      </c>
      <c r="C90" s="537" t="s">
        <v>66</v>
      </c>
      <c r="D90" s="537" t="s">
        <v>59</v>
      </c>
      <c r="E90" s="537" t="s">
        <v>649</v>
      </c>
      <c r="F90" s="537" t="s">
        <v>675</v>
      </c>
      <c r="G90" s="538">
        <v>0.01</v>
      </c>
      <c r="H90" s="538">
        <v>2.0903000000000001E-2</v>
      </c>
      <c r="I90" s="539">
        <v>0.4</v>
      </c>
      <c r="J90" s="597">
        <v>4</v>
      </c>
      <c r="K90" s="540">
        <v>22</v>
      </c>
      <c r="L90" s="273"/>
      <c r="M90" s="273"/>
      <c r="P90" s="274"/>
      <c r="Q90" s="274"/>
      <c r="R90" s="274"/>
      <c r="S90" s="274"/>
      <c r="T90" s="578">
        <f ca="1"/>
        <v>0.06</v>
      </c>
      <c r="U90" s="575">
        <f ca="1"/>
        <v>82</v>
      </c>
      <c r="V90" s="578">
        <f t="shared" ca="1" si="8"/>
        <v>0</v>
      </c>
      <c r="W90" s="578">
        <f t="shared" ca="1" si="9"/>
        <v>0</v>
      </c>
      <c r="X90" s="486">
        <f ca="1">IF('CDO Bespoke'!O91&lt;&gt;"",'CDO Bespoke'!O91,"")</f>
        <v>1.1950126285609599</v>
      </c>
      <c r="Y90" s="487">
        <f ca="1">IF(X90&lt;&gt;"",ABS(MIN(-0.75*('CDO Bespoke'!Q91)+'CDO Bespoke'!T91,0)),"")</f>
        <v>1.1877217944373863</v>
      </c>
      <c r="Z90" s="487">
        <f t="shared" ca="1" si="10"/>
        <v>7.2908341235735641E-3</v>
      </c>
      <c r="AA90" s="487">
        <f t="shared" ca="1" si="11"/>
        <v>0</v>
      </c>
      <c r="AB90" s="486">
        <f ca="1">IF('CDO Bespoke'!O91&lt;&gt;"",'CDO Bespoke'!O91,"")</f>
        <v>1.1950126285609599</v>
      </c>
      <c r="AC90" s="487">
        <f ca="1">IF(AB90&lt;&gt;"",ABS(MIN(-0.75*('CDO Bespoke'!K91)+'CDO Bespoke'!T91,0)),"")</f>
        <v>0.23923996597902031</v>
      </c>
      <c r="AD90" s="487">
        <f t="shared" ca="1" si="12"/>
        <v>0.9557726625819396</v>
      </c>
      <c r="AE90" s="491">
        <f t="shared" ca="1" si="13"/>
        <v>0</v>
      </c>
      <c r="AF90" s="273"/>
      <c r="AG90" s="496" t="str">
        <f ca="1">IF('CDO Bespoke'!C115&lt;&gt;"",'CDO Bespoke'!C115,"")</f>
        <v>VEOLIA ENVIRONNEMENT</v>
      </c>
      <c r="AH90" s="498">
        <f ca="1"/>
        <v>3.4458116904279024E-3</v>
      </c>
      <c r="AI90" s="587">
        <f ca="1"/>
        <v>1.0776269240286851E-2</v>
      </c>
      <c r="AJ90" s="587">
        <f ca="1"/>
        <v>2.9862602930474935E-2</v>
      </c>
      <c r="AK90" s="587">
        <f ca="1"/>
        <v>0.3103292321604556</v>
      </c>
      <c r="AL90" s="499">
        <f ca="1"/>
        <v>0</v>
      </c>
      <c r="AM90" s="498">
        <f ca="1"/>
        <v>3.4819785780203227E-5</v>
      </c>
      <c r="AN90" s="587">
        <f ca="1"/>
        <v>1.6263313830019999E-4</v>
      </c>
      <c r="AO90" s="587">
        <f ca="1"/>
        <v>7.2966299665480627E-4</v>
      </c>
      <c r="AP90" s="587">
        <f ca="1"/>
        <v>6.8219861720984931E-2</v>
      </c>
      <c r="AQ90" s="499">
        <f ca="1"/>
        <v>0</v>
      </c>
      <c r="AR90" s="582"/>
      <c r="AS90" s="582"/>
      <c r="AT90" s="582"/>
      <c r="AU90" s="582"/>
      <c r="AV90" s="582"/>
      <c r="AW90" s="582"/>
      <c r="AX90" s="581"/>
    </row>
    <row r="91" spans="2:50">
      <c r="B91" s="541" t="s">
        <v>536</v>
      </c>
      <c r="C91" s="542" t="s">
        <v>66</v>
      </c>
      <c r="D91" s="542" t="s">
        <v>55</v>
      </c>
      <c r="E91" s="542" t="s">
        <v>649</v>
      </c>
      <c r="F91" s="542" t="s">
        <v>648</v>
      </c>
      <c r="G91" s="543">
        <v>0.01</v>
      </c>
      <c r="H91" s="543">
        <v>3.4970000000000001E-3</v>
      </c>
      <c r="I91" s="544">
        <v>0.4</v>
      </c>
      <c r="J91" s="604">
        <v>4</v>
      </c>
      <c r="K91" s="545">
        <v>23</v>
      </c>
      <c r="L91" s="273"/>
      <c r="M91" s="273"/>
      <c r="P91" s="274"/>
      <c r="Q91" s="274"/>
      <c r="R91" s="274"/>
      <c r="S91" s="274"/>
      <c r="T91" s="578">
        <f ca="1"/>
        <v>0.06</v>
      </c>
      <c r="U91" s="575">
        <f ca="1"/>
        <v>83</v>
      </c>
      <c r="V91" s="578">
        <f t="shared" ca="1" si="8"/>
        <v>0</v>
      </c>
      <c r="W91" s="578">
        <f t="shared" ca="1" si="9"/>
        <v>0</v>
      </c>
      <c r="X91" s="486">
        <f ca="1">IF('CDO Bespoke'!O92&lt;&gt;"",'CDO Bespoke'!O92,"")</f>
        <v>1.1951663310621199</v>
      </c>
      <c r="Y91" s="487">
        <f ca="1">IF(X91&lt;&gt;"",ABS(MIN(-0.75*('CDO Bespoke'!Q92)+'CDO Bespoke'!T92,0)),"")</f>
        <v>1.1874800240932282</v>
      </c>
      <c r="Z91" s="487">
        <f t="shared" ca="1" si="10"/>
        <v>7.6863069688917207E-3</v>
      </c>
      <c r="AA91" s="487">
        <f t="shared" ca="1" si="11"/>
        <v>0</v>
      </c>
      <c r="AB91" s="486">
        <f ca="1">IF('CDO Bespoke'!O92&lt;&gt;"",'CDO Bespoke'!O92,"")</f>
        <v>1.1951663310621199</v>
      </c>
      <c r="AC91" s="487">
        <f ca="1">IF(AB91&lt;&gt;"",ABS(MIN(-0.75*('CDO Bespoke'!K92)+'CDO Bespoke'!T92,0)),"")</f>
        <v>0.22403531781573735</v>
      </c>
      <c r="AD91" s="487">
        <f t="shared" ca="1" si="12"/>
        <v>0.97113101324638251</v>
      </c>
      <c r="AE91" s="491">
        <f t="shared" ca="1" si="13"/>
        <v>0</v>
      </c>
      <c r="AF91" s="273"/>
      <c r="AG91" s="496" t="str">
        <f ca="1">IF('CDO Bespoke'!C116&lt;&gt;"",'CDO Bespoke'!C116,"")</f>
        <v>Bertelsmann SE &amp; Co. KGaA</v>
      </c>
      <c r="AH91" s="498">
        <f ca="1"/>
        <v>3.3495209605938214E-3</v>
      </c>
      <c r="AI91" s="587">
        <f ca="1"/>
        <v>1.0438291110359543E-2</v>
      </c>
      <c r="AJ91" s="587">
        <f ca="1"/>
        <v>2.8721988400981502E-2</v>
      </c>
      <c r="AK91" s="587">
        <f ca="1"/>
        <v>0.22174340172043117</v>
      </c>
      <c r="AL91" s="499">
        <f ca="1"/>
        <v>0</v>
      </c>
      <c r="AM91" s="498">
        <f ca="1"/>
        <v>8.1218753970185853E-5</v>
      </c>
      <c r="AN91" s="587">
        <f ca="1"/>
        <v>3.7848516978022939E-4</v>
      </c>
      <c r="AO91" s="587">
        <f ca="1"/>
        <v>1.7234731809909198E-3</v>
      </c>
      <c r="AP91" s="587">
        <f ca="1"/>
        <v>0.13697886354006072</v>
      </c>
      <c r="AQ91" s="499">
        <f ca="1"/>
        <v>0</v>
      </c>
      <c r="AR91" s="582"/>
      <c r="AS91" s="582"/>
      <c r="AT91" s="582"/>
      <c r="AU91" s="582"/>
      <c r="AV91" s="582"/>
      <c r="AW91" s="582"/>
      <c r="AX91" s="581"/>
    </row>
    <row r="92" spans="2:50">
      <c r="B92" s="519" t="s">
        <v>536</v>
      </c>
      <c r="C92" s="520" t="s">
        <v>66</v>
      </c>
      <c r="D92" s="520" t="s">
        <v>57</v>
      </c>
      <c r="E92" s="520" t="s">
        <v>649</v>
      </c>
      <c r="F92" s="520" t="s">
        <v>648</v>
      </c>
      <c r="G92" s="527">
        <v>0.01</v>
      </c>
      <c r="H92" s="527">
        <v>6.7010000000000004E-3</v>
      </c>
      <c r="I92" s="529">
        <v>0.4</v>
      </c>
      <c r="J92" s="596">
        <v>4</v>
      </c>
      <c r="K92" s="521">
        <v>23</v>
      </c>
      <c r="L92" s="273"/>
      <c r="M92" s="273"/>
      <c r="P92" s="274"/>
      <c r="Q92" s="274"/>
      <c r="R92" s="274"/>
      <c r="S92" s="274"/>
      <c r="T92" s="578">
        <f ca="1"/>
        <v>0.06</v>
      </c>
      <c r="U92" s="575">
        <f ca="1"/>
        <v>84</v>
      </c>
      <c r="V92" s="578">
        <f t="shared" ca="1" si="8"/>
        <v>0</v>
      </c>
      <c r="W92" s="578">
        <f t="shared" ca="1" si="9"/>
        <v>0</v>
      </c>
      <c r="X92" s="486">
        <f ca="1">IF('CDO Bespoke'!O93&lt;&gt;"",'CDO Bespoke'!O93,"")</f>
        <v>1.19437283379324</v>
      </c>
      <c r="Y92" s="487">
        <f ca="1">IF(X92&lt;&gt;"",ABS(MIN(-0.75*('CDO Bespoke'!Q93)+'CDO Bespoke'!T93,0)),"")</f>
        <v>1.1884711518197748</v>
      </c>
      <c r="Z92" s="487">
        <f t="shared" ca="1" si="10"/>
        <v>5.9016819734651893E-3</v>
      </c>
      <c r="AA92" s="487">
        <f t="shared" ca="1" si="11"/>
        <v>0</v>
      </c>
      <c r="AB92" s="486">
        <f ca="1">IF('CDO Bespoke'!O93&lt;&gt;"",'CDO Bespoke'!O93,"")</f>
        <v>1.19437283379324</v>
      </c>
      <c r="AC92" s="487">
        <f ca="1">IF(AB92&lt;&gt;"",ABS(MIN(-0.75*('CDO Bespoke'!K93)+'CDO Bespoke'!T93,0)),"")</f>
        <v>0.28158406676005604</v>
      </c>
      <c r="AD92" s="487">
        <f t="shared" ca="1" si="12"/>
        <v>0.91278876703318401</v>
      </c>
      <c r="AE92" s="491">
        <f t="shared" ca="1" si="13"/>
        <v>0</v>
      </c>
      <c r="AF92" s="273"/>
      <c r="AG92" s="496" t="str">
        <f ca="1">IF('CDO Bespoke'!C117&lt;&gt;"",'CDO Bespoke'!C117,"")</f>
        <v>BRITISH TELECOMMUNICATIONS public limited company</v>
      </c>
      <c r="AH92" s="498">
        <f ca="1"/>
        <v>3.4399006010321642E-3</v>
      </c>
      <c r="AI92" s="587">
        <f ca="1"/>
        <v>1.0697986400076687E-2</v>
      </c>
      <c r="AJ92" s="587">
        <f ca="1"/>
        <v>2.8919586280151677E-2</v>
      </c>
      <c r="AK92" s="587">
        <f ca="1"/>
        <v>0.61520415382099181</v>
      </c>
      <c r="AL92" s="499">
        <f ca="1"/>
        <v>0</v>
      </c>
      <c r="AM92" s="498">
        <f ca="1"/>
        <v>2.1834091179853687E-5</v>
      </c>
      <c r="AN92" s="587">
        <f ca="1"/>
        <v>1.0357505791994126E-4</v>
      </c>
      <c r="AO92" s="587">
        <f ca="1"/>
        <v>4.0926476949781909E-4</v>
      </c>
      <c r="AP92" s="587">
        <f ca="1"/>
        <v>8.9787849202020015E-2</v>
      </c>
      <c r="AQ92" s="499">
        <f ca="1"/>
        <v>0</v>
      </c>
      <c r="AR92" s="582"/>
      <c r="AS92" s="582"/>
      <c r="AT92" s="582"/>
      <c r="AU92" s="582"/>
      <c r="AV92" s="582"/>
      <c r="AW92" s="582"/>
      <c r="AX92" s="581"/>
    </row>
    <row r="93" spans="2:50">
      <c r="B93" s="536" t="s">
        <v>536</v>
      </c>
      <c r="C93" s="537" t="s">
        <v>66</v>
      </c>
      <c r="D93" s="537" t="s">
        <v>59</v>
      </c>
      <c r="E93" s="537" t="s">
        <v>649</v>
      </c>
      <c r="F93" s="537" t="s">
        <v>648</v>
      </c>
      <c r="G93" s="538">
        <v>0.01</v>
      </c>
      <c r="H93" s="538">
        <v>1.042E-2</v>
      </c>
      <c r="I93" s="539">
        <v>0.4</v>
      </c>
      <c r="J93" s="597">
        <v>4</v>
      </c>
      <c r="K93" s="540">
        <v>23</v>
      </c>
      <c r="L93" s="273"/>
      <c r="M93" s="273"/>
      <c r="P93" s="274"/>
      <c r="Q93" s="274"/>
      <c r="R93" s="274"/>
      <c r="S93" s="274"/>
      <c r="T93" s="578">
        <f ca="1"/>
        <v>0.06</v>
      </c>
      <c r="U93" s="575">
        <f ca="1"/>
        <v>85</v>
      </c>
      <c r="V93" s="578">
        <f t="shared" ca="1" si="8"/>
        <v>0</v>
      </c>
      <c r="W93" s="578">
        <f t="shared" ca="1" si="9"/>
        <v>0</v>
      </c>
      <c r="X93" s="486">
        <f ca="1">IF('CDO Bespoke'!O94&lt;&gt;"",'CDO Bespoke'!O94,"")</f>
        <v>1.1951683260346599</v>
      </c>
      <c r="Y93" s="487">
        <f ca="1">IF(X93&lt;&gt;"",ABS(MIN(-0.75*('CDO Bespoke'!Q94)+'CDO Bespoke'!T94,0)),"")</f>
        <v>1.1874766311795606</v>
      </c>
      <c r="Z93" s="487">
        <f t="shared" ca="1" si="10"/>
        <v>7.6916948550993514E-3</v>
      </c>
      <c r="AA93" s="487">
        <f t="shared" ca="1" si="11"/>
        <v>0</v>
      </c>
      <c r="AB93" s="486">
        <f ca="1">IF('CDO Bespoke'!O94&lt;&gt;"",'CDO Bespoke'!O94,"")</f>
        <v>1.1951683260346599</v>
      </c>
      <c r="AC93" s="487">
        <f ca="1">IF(AB93&lt;&gt;"",ABS(MIN(-0.75*('CDO Bespoke'!K94)+'CDO Bespoke'!T94,0)),"")</f>
        <v>0.22381501355303526</v>
      </c>
      <c r="AD93" s="487">
        <f t="shared" ca="1" si="12"/>
        <v>0.97135331248162471</v>
      </c>
      <c r="AE93" s="491">
        <f t="shared" ca="1" si="13"/>
        <v>0</v>
      </c>
      <c r="AF93" s="273"/>
      <c r="AG93" s="496" t="str">
        <f ca="1">IF('CDO Bespoke'!C118&lt;&gt;"",'CDO Bespoke'!C118,"")</f>
        <v>Deutsche Telekom AG</v>
      </c>
      <c r="AH93" s="498">
        <f ca="1"/>
        <v>3.3792527809328732E-3</v>
      </c>
      <c r="AI93" s="587">
        <f ca="1"/>
        <v>1.0571645110424299E-2</v>
      </c>
      <c r="AJ93" s="587">
        <f ca="1"/>
        <v>2.9106980610205113E-2</v>
      </c>
      <c r="AK93" s="587">
        <f ca="1"/>
        <v>0.21045575108069592</v>
      </c>
      <c r="AL93" s="499">
        <f ca="1"/>
        <v>0</v>
      </c>
      <c r="AM93" s="498">
        <f ca="1"/>
        <v>5.5129502000289543E-5</v>
      </c>
      <c r="AN93" s="587">
        <f ca="1"/>
        <v>2.5685472428010891E-4</v>
      </c>
      <c r="AO93" s="587">
        <f ca="1"/>
        <v>1.171846810459759E-3</v>
      </c>
      <c r="AP93" s="587">
        <f ca="1"/>
        <v>9.1355186831600099E-2</v>
      </c>
      <c r="AQ93" s="499">
        <f ca="1"/>
        <v>0</v>
      </c>
      <c r="AR93" s="582"/>
      <c r="AS93" s="582"/>
      <c r="AT93" s="582"/>
      <c r="AU93" s="582"/>
      <c r="AV93" s="582"/>
      <c r="AW93" s="582"/>
      <c r="AX93" s="581"/>
    </row>
    <row r="94" spans="2:50">
      <c r="B94" s="541" t="s">
        <v>521</v>
      </c>
      <c r="C94" s="542" t="s">
        <v>66</v>
      </c>
      <c r="D94" s="542" t="s">
        <v>55</v>
      </c>
      <c r="E94" s="542" t="s">
        <v>647</v>
      </c>
      <c r="F94" s="542" t="s">
        <v>673</v>
      </c>
      <c r="G94" s="543">
        <v>0.01</v>
      </c>
      <c r="H94" s="543">
        <v>2.7599999999999999E-3</v>
      </c>
      <c r="I94" s="544">
        <v>0.4</v>
      </c>
      <c r="J94" s="604">
        <v>5</v>
      </c>
      <c r="K94" s="545">
        <v>24</v>
      </c>
      <c r="L94" s="273"/>
      <c r="M94" s="273"/>
      <c r="P94" s="274"/>
      <c r="Q94" s="274"/>
      <c r="R94" s="274"/>
      <c r="S94" s="274"/>
      <c r="T94" s="578">
        <f ca="1"/>
        <v>0.06</v>
      </c>
      <c r="U94" s="575">
        <f ca="1"/>
        <v>86</v>
      </c>
      <c r="V94" s="578">
        <f t="shared" ca="1" si="8"/>
        <v>0</v>
      </c>
      <c r="W94" s="578">
        <f t="shared" ca="1" si="9"/>
        <v>0</v>
      </c>
      <c r="X94" s="486">
        <f ca="1">IF('CDO Bespoke'!O95&lt;&gt;"",'CDO Bespoke'!O95,"")</f>
        <v>1.19363218182882</v>
      </c>
      <c r="Y94" s="487">
        <f ca="1">IF(X94&lt;&gt;"",ABS(MIN(-0.75*('CDO Bespoke'!Q95)+'CDO Bespoke'!T95,0)),"")</f>
        <v>1.1890742485839323</v>
      </c>
      <c r="Z94" s="487">
        <f t="shared" ca="1" si="10"/>
        <v>4.5579332448877352E-3</v>
      </c>
      <c r="AA94" s="487">
        <f t="shared" ca="1" si="11"/>
        <v>0</v>
      </c>
      <c r="AB94" s="486">
        <f ca="1">IF('CDO Bespoke'!O95&lt;&gt;"",'CDO Bespoke'!O95,"")</f>
        <v>1.19363218182882</v>
      </c>
      <c r="AC94" s="487">
        <f ca="1">IF(AB94&lt;&gt;"",ABS(MIN(-0.75*('CDO Bespoke'!K95)+'CDO Bespoke'!T95,0)),"")</f>
        <v>0.31214654253122326</v>
      </c>
      <c r="AD94" s="487">
        <f t="shared" ca="1" si="12"/>
        <v>0.88148563929759671</v>
      </c>
      <c r="AE94" s="491">
        <f t="shared" ca="1" si="13"/>
        <v>0</v>
      </c>
      <c r="AF94" s="273"/>
      <c r="AG94" s="496" t="str">
        <f ca="1">IF('CDO Bespoke'!C119&lt;&gt;"",'CDO Bespoke'!C119,"")</f>
        <v>ITV PLC</v>
      </c>
      <c r="AH94" s="498">
        <f ca="1"/>
        <v>3.1019847801516676E-3</v>
      </c>
      <c r="AI94" s="587">
        <f ca="1"/>
        <v>9.3258355005065852E-3</v>
      </c>
      <c r="AJ94" s="587">
        <f ca="1"/>
        <v>2.3430197200191571E-2</v>
      </c>
      <c r="AK94" s="587">
        <f ca="1"/>
        <v>0.88949507389024518</v>
      </c>
      <c r="AL94" s="499">
        <f ca="1"/>
        <v>0</v>
      </c>
      <c r="AM94" s="498">
        <f ca="1"/>
        <v>5.8464930006649207E-7</v>
      </c>
      <c r="AN94" s="587">
        <f ca="1"/>
        <v>6.648828240057858E-6</v>
      </c>
      <c r="AO94" s="587">
        <f ca="1"/>
        <v>-2.0675727179951184E-5</v>
      </c>
      <c r="AP94" s="587">
        <f ca="1"/>
        <v>0.13291506132738001</v>
      </c>
      <c r="AQ94" s="499">
        <f ca="1"/>
        <v>0</v>
      </c>
      <c r="AR94" s="582"/>
      <c r="AS94" s="582"/>
      <c r="AT94" s="582"/>
      <c r="AU94" s="582"/>
      <c r="AV94" s="582"/>
      <c r="AW94" s="582"/>
      <c r="AX94" s="581"/>
    </row>
    <row r="95" spans="2:50">
      <c r="B95" s="519" t="s">
        <v>521</v>
      </c>
      <c r="C95" s="520" t="s">
        <v>66</v>
      </c>
      <c r="D95" s="520" t="s">
        <v>57</v>
      </c>
      <c r="E95" s="520" t="s">
        <v>647</v>
      </c>
      <c r="F95" s="520" t="s">
        <v>673</v>
      </c>
      <c r="G95" s="527">
        <v>0.01</v>
      </c>
      <c r="H95" s="527">
        <v>4.8069999999999996E-3</v>
      </c>
      <c r="I95" s="529">
        <v>0.4</v>
      </c>
      <c r="J95" s="596">
        <v>5</v>
      </c>
      <c r="K95" s="521">
        <v>24</v>
      </c>
      <c r="L95" s="273"/>
      <c r="M95" s="273"/>
      <c r="P95" s="274"/>
      <c r="Q95" s="274"/>
      <c r="R95" s="274"/>
      <c r="S95" s="274"/>
      <c r="T95" s="578">
        <f ca="1"/>
        <v>0.03</v>
      </c>
      <c r="U95" s="575">
        <f ca="1"/>
        <v>87</v>
      </c>
      <c r="V95" s="578">
        <f t="shared" ca="1" si="8"/>
        <v>0</v>
      </c>
      <c r="W95" s="578">
        <f t="shared" ca="1" si="9"/>
        <v>0</v>
      </c>
      <c r="X95" s="486">
        <f ca="1">IF('CDO Bespoke'!O96&lt;&gt;"",'CDO Bespoke'!O96,"")</f>
        <v>1.19491694813357</v>
      </c>
      <c r="Y95" s="487">
        <f ca="1">IF(X95&lt;&gt;"",ABS(MIN(-0.75*('CDO Bespoke'!Q96)+'CDO Bespoke'!T96,0)),"")</f>
        <v>1.1878561431948016</v>
      </c>
      <c r="Z95" s="487">
        <f t="shared" ca="1" si="10"/>
        <v>7.0608049387683725E-3</v>
      </c>
      <c r="AA95" s="487">
        <f t="shared" ca="1" si="11"/>
        <v>0</v>
      </c>
      <c r="AB95" s="486">
        <f ca="1">IF('CDO Bespoke'!O96&lt;&gt;"",'CDO Bespoke'!O96,"")</f>
        <v>1.19491694813357</v>
      </c>
      <c r="AC95" s="487">
        <f ca="1">IF(AB95&lt;&gt;"",ABS(MIN(-0.75*('CDO Bespoke'!K96)+'CDO Bespoke'!T96,0)),"")</f>
        <v>0.24731052980612403</v>
      </c>
      <c r="AD95" s="487">
        <f t="shared" ca="1" si="12"/>
        <v>0.94760641832744597</v>
      </c>
      <c r="AE95" s="491">
        <f t="shared" ca="1" si="13"/>
        <v>0</v>
      </c>
      <c r="AF95" s="273"/>
      <c r="AG95" s="496" t="str">
        <f ca="1">IF('CDO Bespoke'!C120&lt;&gt;"",'CDO Bespoke'!C120,"")</f>
        <v>Koninklijke KPN N.V.</v>
      </c>
      <c r="AH95" s="498">
        <f ca="1"/>
        <v>3.5419162103256241E-3</v>
      </c>
      <c r="AI95" s="587">
        <f ca="1"/>
        <v>1.117153398011439E-2</v>
      </c>
      <c r="AJ95" s="587">
        <f ca="1"/>
        <v>3.1110590750227374E-2</v>
      </c>
      <c r="AK95" s="587">
        <f ca="1"/>
        <v>0.34279420818017492</v>
      </c>
      <c r="AL95" s="499">
        <f ca="1"/>
        <v>0</v>
      </c>
      <c r="AM95" s="498">
        <f ca="1"/>
        <v>4.3624389679808306E-5</v>
      </c>
      <c r="AN95" s="587">
        <f ca="1"/>
        <v>2.0398498021961808E-4</v>
      </c>
      <c r="AO95" s="587">
        <f ca="1"/>
        <v>9.0970121967987039E-4</v>
      </c>
      <c r="AP95" s="587">
        <f ca="1"/>
        <v>9.081056984629951E-2</v>
      </c>
      <c r="AQ95" s="499">
        <f ca="1"/>
        <v>0</v>
      </c>
      <c r="AR95" s="582"/>
      <c r="AS95" s="582"/>
      <c r="AT95" s="582"/>
      <c r="AU95" s="582"/>
      <c r="AV95" s="582"/>
      <c r="AW95" s="582"/>
      <c r="AX95" s="581"/>
    </row>
    <row r="96" spans="2:50">
      <c r="B96" s="536" t="s">
        <v>521</v>
      </c>
      <c r="C96" s="537" t="s">
        <v>66</v>
      </c>
      <c r="D96" s="537" t="s">
        <v>59</v>
      </c>
      <c r="E96" s="537" t="s">
        <v>647</v>
      </c>
      <c r="F96" s="537" t="s">
        <v>673</v>
      </c>
      <c r="G96" s="538">
        <v>0.01</v>
      </c>
      <c r="H96" s="538">
        <v>6.9220000000000002E-3</v>
      </c>
      <c r="I96" s="539">
        <v>0.4</v>
      </c>
      <c r="J96" s="597">
        <v>5</v>
      </c>
      <c r="K96" s="540">
        <v>24</v>
      </c>
      <c r="L96" s="273"/>
      <c r="M96" s="273"/>
      <c r="P96" s="274"/>
      <c r="Q96" s="274"/>
      <c r="R96" s="274"/>
      <c r="S96" s="274"/>
      <c r="T96" s="578">
        <f ca="1"/>
        <v>0.06</v>
      </c>
      <c r="U96" s="575">
        <f ca="1"/>
        <v>88</v>
      </c>
      <c r="V96" s="578">
        <f t="shared" ca="1" si="8"/>
        <v>0</v>
      </c>
      <c r="W96" s="578">
        <f t="shared" ca="1" si="9"/>
        <v>0</v>
      </c>
      <c r="X96" s="486">
        <f ca="1">IF('CDO Bespoke'!O97&lt;&gt;"",'CDO Bespoke'!O97,"")</f>
        <v>1.1953126094289801</v>
      </c>
      <c r="Y96" s="487">
        <f ca="1">IF(X96&lt;&gt;"",ABS(MIN(-0.75*('CDO Bespoke'!Q97)+'CDO Bespoke'!T97,0)),"")</f>
        <v>1.1872083414722898</v>
      </c>
      <c r="Z96" s="487">
        <f t="shared" ca="1" si="10"/>
        <v>8.1042679566902809E-3</v>
      </c>
      <c r="AA96" s="487">
        <f t="shared" ca="1" si="11"/>
        <v>0</v>
      </c>
      <c r="AB96" s="486">
        <f ca="1">IF('CDO Bespoke'!O97&lt;&gt;"",'CDO Bespoke'!O97,"")</f>
        <v>1.1953126094289801</v>
      </c>
      <c r="AC96" s="487">
        <f ca="1">IF(AB96&lt;&gt;"",ABS(MIN(-0.75*('CDO Bespoke'!K97)+'CDO Bespoke'!T97,0)),"")</f>
        <v>0.2056860289874882</v>
      </c>
      <c r="AD96" s="487">
        <f t="shared" ca="1" si="12"/>
        <v>0.98962658044149188</v>
      </c>
      <c r="AE96" s="491">
        <f t="shared" ca="1" si="13"/>
        <v>0</v>
      </c>
      <c r="AF96" s="273"/>
      <c r="AG96" s="496" t="str">
        <f ca="1">IF('CDO Bespoke'!C121&lt;&gt;"",'CDO Bespoke'!C121,"")</f>
        <v>Orange</v>
      </c>
      <c r="AH96" s="498">
        <f ca="1"/>
        <v>2.9567733006441443E-3</v>
      </c>
      <c r="AI96" s="587">
        <f ca="1"/>
        <v>8.8574154399889693E-3</v>
      </c>
      <c r="AJ96" s="587">
        <f ca="1"/>
        <v>2.3897096700364884E-2</v>
      </c>
      <c r="AK96" s="587">
        <f ca="1"/>
        <v>0.20258008555096296</v>
      </c>
      <c r="AL96" s="499">
        <f ca="1"/>
        <v>0</v>
      </c>
      <c r="AM96" s="498">
        <f ca="1"/>
        <v>5.6175348119719137E-5</v>
      </c>
      <c r="AN96" s="587">
        <f ca="1"/>
        <v>2.615252343601826E-4</v>
      </c>
      <c r="AO96" s="587">
        <f ca="1"/>
        <v>1.1917622350997303E-3</v>
      </c>
      <c r="AP96" s="587">
        <f ca="1"/>
        <v>9.1482647272259771E-2</v>
      </c>
      <c r="AQ96" s="499">
        <f ca="1"/>
        <v>0</v>
      </c>
      <c r="AR96" s="582"/>
      <c r="AS96" s="582"/>
      <c r="AT96" s="582"/>
      <c r="AU96" s="582"/>
      <c r="AV96" s="582"/>
      <c r="AW96" s="582"/>
      <c r="AX96" s="581"/>
    </row>
    <row r="97" spans="2:50">
      <c r="B97" s="541" t="s">
        <v>537</v>
      </c>
      <c r="C97" s="542" t="s">
        <v>66</v>
      </c>
      <c r="D97" s="542" t="s">
        <v>55</v>
      </c>
      <c r="E97" s="542" t="s">
        <v>649</v>
      </c>
      <c r="F97" s="542" t="s">
        <v>648</v>
      </c>
      <c r="G97" s="543">
        <v>0.01</v>
      </c>
      <c r="H97" s="543">
        <v>8.0549999999999997E-3</v>
      </c>
      <c r="I97" s="544">
        <v>0.4</v>
      </c>
      <c r="J97" s="604">
        <v>4</v>
      </c>
      <c r="K97" s="545">
        <v>25</v>
      </c>
      <c r="L97" s="273"/>
      <c r="M97" s="273"/>
      <c r="P97" s="274"/>
      <c r="Q97" s="274"/>
      <c r="R97" s="274"/>
      <c r="S97" s="274"/>
      <c r="T97" s="578">
        <f ca="1"/>
        <v>0.06</v>
      </c>
      <c r="U97" s="575">
        <f ca="1"/>
        <v>89</v>
      </c>
      <c r="V97" s="578">
        <f t="shared" ca="1" si="8"/>
        <v>0</v>
      </c>
      <c r="W97" s="578">
        <f t="shared" ca="1" si="9"/>
        <v>0</v>
      </c>
      <c r="X97" s="486">
        <f ca="1">IF('CDO Bespoke'!O98&lt;&gt;"",'CDO Bespoke'!O98,"")</f>
        <v>1.1947299554394399</v>
      </c>
      <c r="Y97" s="487">
        <f ca="1">IF(X97&lt;&gt;"",ABS(MIN(-0.75*('CDO Bespoke'!Q98)+'CDO Bespoke'!T98,0)),"")</f>
        <v>1.1880919176881848</v>
      </c>
      <c r="Z97" s="487">
        <f t="shared" ca="1" si="10"/>
        <v>6.6380377512551547E-3</v>
      </c>
      <c r="AA97" s="487">
        <f t="shared" ca="1" si="11"/>
        <v>0</v>
      </c>
      <c r="AB97" s="486">
        <f ca="1">IF('CDO Bespoke'!O98&lt;&gt;"",'CDO Bespoke'!O98,"")</f>
        <v>1.1947299554394399</v>
      </c>
      <c r="AC97" s="487">
        <f ca="1">IF(AB97&lt;&gt;"",ABS(MIN(-0.75*('CDO Bespoke'!K98)+'CDO Bespoke'!T98,0)),"")</f>
        <v>0.26091980531384956</v>
      </c>
      <c r="AD97" s="487">
        <f t="shared" ca="1" si="12"/>
        <v>0.93381015012559043</v>
      </c>
      <c r="AE97" s="491">
        <f t="shared" ca="1" si="13"/>
        <v>0</v>
      </c>
      <c r="AF97" s="273"/>
      <c r="AG97" s="496" t="str">
        <f ca="1">IF('CDO Bespoke'!C122&lt;&gt;"",'CDO Bespoke'!C122,"")</f>
        <v>PEARSON plc</v>
      </c>
      <c r="AH97" s="498">
        <f ca="1"/>
        <v>3.6226410204953652E-3</v>
      </c>
      <c r="AI97" s="587">
        <f ca="1"/>
        <v>1.1501578190964423E-2</v>
      </c>
      <c r="AJ97" s="587">
        <f ca="1"/>
        <v>3.2106948750776354E-2</v>
      </c>
      <c r="AK97" s="587">
        <f ca="1"/>
        <v>0.42045863648088044</v>
      </c>
      <c r="AL97" s="499">
        <f ca="1"/>
        <v>0</v>
      </c>
      <c r="AM97" s="498">
        <f ca="1"/>
        <v>5.5770129420845693E-5</v>
      </c>
      <c r="AN97" s="587">
        <f ca="1"/>
        <v>2.6151875829050208E-4</v>
      </c>
      <c r="AO97" s="587">
        <f ca="1"/>
        <v>1.1443800837306062E-3</v>
      </c>
      <c r="AP97" s="587">
        <f ca="1"/>
        <v>0.13573584918279077</v>
      </c>
      <c r="AQ97" s="499">
        <f ca="1"/>
        <v>0</v>
      </c>
      <c r="AR97" s="582"/>
      <c r="AS97" s="582"/>
      <c r="AT97" s="582"/>
      <c r="AU97" s="582"/>
      <c r="AV97" s="582"/>
      <c r="AW97" s="582"/>
      <c r="AX97" s="581"/>
    </row>
    <row r="98" spans="2:50">
      <c r="B98" s="519" t="s">
        <v>537</v>
      </c>
      <c r="C98" s="520" t="s">
        <v>66</v>
      </c>
      <c r="D98" s="520" t="s">
        <v>57</v>
      </c>
      <c r="E98" s="520" t="s">
        <v>649</v>
      </c>
      <c r="F98" s="520" t="s">
        <v>648</v>
      </c>
      <c r="G98" s="527">
        <v>0.01</v>
      </c>
      <c r="H98" s="527">
        <v>1.2508999999999999E-2</v>
      </c>
      <c r="I98" s="529">
        <v>0.4</v>
      </c>
      <c r="J98" s="596">
        <v>4</v>
      </c>
      <c r="K98" s="521">
        <v>25</v>
      </c>
      <c r="L98" s="273"/>
      <c r="M98" s="273"/>
      <c r="P98" s="274"/>
      <c r="Q98" s="274"/>
      <c r="R98" s="274"/>
      <c r="S98" s="274"/>
      <c r="T98" s="578">
        <f ca="1"/>
        <v>0.03</v>
      </c>
      <c r="U98" s="575">
        <f ca="1"/>
        <v>90</v>
      </c>
      <c r="V98" s="578">
        <f t="shared" ca="1" si="8"/>
        <v>0</v>
      </c>
      <c r="W98" s="578">
        <f t="shared" ca="1" si="9"/>
        <v>0</v>
      </c>
      <c r="X98" s="486">
        <f ca="1">IF('CDO Bespoke'!O99&lt;&gt;"",'CDO Bespoke'!O99,"")</f>
        <v>1.19502097100073</v>
      </c>
      <c r="Y98" s="487">
        <f ca="1">IF(X98&lt;&gt;"",ABS(MIN(-0.75*('CDO Bespoke'!Q99)+'CDO Bespoke'!T99,0)),"")</f>
        <v>1.1877095550029151</v>
      </c>
      <c r="Z98" s="487">
        <f t="shared" ca="1" si="10"/>
        <v>7.3114159978149296E-3</v>
      </c>
      <c r="AA98" s="487">
        <f t="shared" ca="1" si="11"/>
        <v>0</v>
      </c>
      <c r="AB98" s="486">
        <f ca="1">IF('CDO Bespoke'!O99&lt;&gt;"",'CDO Bespoke'!O99,"")</f>
        <v>1.19502097100073</v>
      </c>
      <c r="AC98" s="487">
        <f ca="1">IF(AB98&lt;&gt;"",ABS(MIN(-0.75*('CDO Bespoke'!K99)+'CDO Bespoke'!T99,0)),"")</f>
        <v>0.23849213272350833</v>
      </c>
      <c r="AD98" s="487">
        <f t="shared" ca="1" si="12"/>
        <v>0.95652883827722168</v>
      </c>
      <c r="AE98" s="491">
        <f t="shared" ca="1" si="13"/>
        <v>0</v>
      </c>
      <c r="AF98" s="273"/>
      <c r="AG98" s="496" t="str">
        <f ca="1">IF('CDO Bespoke'!C123&lt;&gt;"",'CDO Bespoke'!C123,"")</f>
        <v>PUBLICIS GROUPE SA</v>
      </c>
      <c r="AH98" s="498">
        <f ca="1"/>
        <v>3.3426186907270505E-3</v>
      </c>
      <c r="AI98" s="587">
        <f ca="1"/>
        <v>1.0321143950609013E-2</v>
      </c>
      <c r="AJ98" s="587">
        <f ca="1"/>
        <v>2.8425996380088137E-2</v>
      </c>
      <c r="AK98" s="587">
        <f ca="1"/>
        <v>0.33578756297059087</v>
      </c>
      <c r="AL98" s="499">
        <f ca="1"/>
        <v>0</v>
      </c>
      <c r="AM98" s="498">
        <f ca="1"/>
        <v>6.6592684889316134E-5</v>
      </c>
      <c r="AN98" s="587">
        <f ca="1"/>
        <v>3.1119843234006517E-4</v>
      </c>
      <c r="AO98" s="587">
        <f ca="1"/>
        <v>1.38784848251923E-3</v>
      </c>
      <c r="AP98" s="587">
        <f ca="1"/>
        <v>0.13633880567762988</v>
      </c>
      <c r="AQ98" s="499">
        <f ca="1"/>
        <v>0</v>
      </c>
      <c r="AR98" s="582"/>
      <c r="AS98" s="582"/>
      <c r="AT98" s="582"/>
      <c r="AU98" s="582"/>
      <c r="AV98" s="582"/>
      <c r="AW98" s="582"/>
      <c r="AX98" s="581"/>
    </row>
    <row r="99" spans="2:50">
      <c r="B99" s="536" t="s">
        <v>537</v>
      </c>
      <c r="C99" s="537" t="s">
        <v>66</v>
      </c>
      <c r="D99" s="537" t="s">
        <v>59</v>
      </c>
      <c r="E99" s="537" t="s">
        <v>649</v>
      </c>
      <c r="F99" s="537" t="s">
        <v>648</v>
      </c>
      <c r="G99" s="538">
        <v>0.01</v>
      </c>
      <c r="H99" s="538">
        <v>1.5117E-2</v>
      </c>
      <c r="I99" s="539">
        <v>0.4</v>
      </c>
      <c r="J99" s="597">
        <v>4</v>
      </c>
      <c r="K99" s="540">
        <v>25</v>
      </c>
      <c r="L99" s="273"/>
      <c r="M99" s="273"/>
      <c r="P99" s="274"/>
      <c r="Q99" s="274"/>
      <c r="R99" s="274"/>
      <c r="S99" s="274"/>
      <c r="T99" s="578">
        <f ca="1"/>
        <v>0.06</v>
      </c>
      <c r="U99" s="575">
        <f ca="1"/>
        <v>91</v>
      </c>
      <c r="V99" s="578">
        <f t="shared" ca="1" si="8"/>
        <v>0</v>
      </c>
      <c r="W99" s="578">
        <f t="shared" ca="1" si="9"/>
        <v>0</v>
      </c>
      <c r="X99" s="486">
        <f ca="1">IF('CDO Bespoke'!O100&lt;&gt;"",'CDO Bespoke'!O100,"")</f>
        <v>1.18995853408399</v>
      </c>
      <c r="Y99" s="487">
        <f ca="1">IF(X99&lt;&gt;"",ABS(MIN(-0.75*('CDO Bespoke'!Q100)+'CDO Bespoke'!T100,0)),"")</f>
        <v>1.1906294854919606</v>
      </c>
      <c r="Z99" s="487">
        <f t="shared" ca="1" si="10"/>
        <v>0</v>
      </c>
      <c r="AA99" s="487">
        <f t="shared" ca="1" si="11"/>
        <v>0</v>
      </c>
      <c r="AB99" s="486">
        <f ca="1">IF('CDO Bespoke'!O100&lt;&gt;"",'CDO Bespoke'!O100,"")</f>
        <v>1.18995853408399</v>
      </c>
      <c r="AC99" s="487">
        <f ca="1">IF(AB99&lt;&gt;"",ABS(MIN(-0.75*('CDO Bespoke'!K100)+'CDO Bespoke'!T100,0)),"")</f>
        <v>0.38570373360726029</v>
      </c>
      <c r="AD99" s="487">
        <f t="shared" ca="1" si="12"/>
        <v>0.8042548004767297</v>
      </c>
      <c r="AE99" s="491">
        <f t="shared" ca="1" si="13"/>
        <v>0</v>
      </c>
      <c r="AF99" s="273"/>
      <c r="AG99" s="496" t="str">
        <f ca="1">IF('CDO Bespoke'!C124&lt;&gt;"",'CDO Bespoke'!C124,"")</f>
        <v>SES</v>
      </c>
      <c r="AH99" s="498">
        <f ca="1"/>
        <v>2.4728622105563147E-3</v>
      </c>
      <c r="AI99" s="587">
        <f ca="1"/>
        <v>7.4656898207958733E-3</v>
      </c>
      <c r="AJ99" s="587">
        <f ca="1"/>
        <v>1.3552829870588923E-2</v>
      </c>
      <c r="AK99" s="587">
        <f ca="1"/>
        <v>1.3987420408001494</v>
      </c>
      <c r="AL99" s="499">
        <f ca="1"/>
        <v>0</v>
      </c>
      <c r="AM99" s="498">
        <f ca="1"/>
        <v>-4.1982158319880947E-5</v>
      </c>
      <c r="AN99" s="587">
        <f ca="1"/>
        <v>-1.9318567755985394E-4</v>
      </c>
      <c r="AO99" s="587">
        <f ca="1"/>
        <v>-9.5677355317971835E-4</v>
      </c>
      <c r="AP99" s="587">
        <f ca="1"/>
        <v>8.5910062623820171E-2</v>
      </c>
      <c r="AQ99" s="499">
        <f ca="1"/>
        <v>0</v>
      </c>
      <c r="AR99" s="582"/>
      <c r="AS99" s="582"/>
      <c r="AT99" s="582"/>
      <c r="AU99" s="582"/>
      <c r="AV99" s="582"/>
      <c r="AW99" s="582"/>
      <c r="AX99" s="581"/>
    </row>
    <row r="100" spans="2:50">
      <c r="B100" s="541" t="s">
        <v>522</v>
      </c>
      <c r="C100" s="542" t="s">
        <v>66</v>
      </c>
      <c r="D100" s="542" t="s">
        <v>55</v>
      </c>
      <c r="E100" s="542" t="s">
        <v>649</v>
      </c>
      <c r="F100" s="542" t="s">
        <v>648</v>
      </c>
      <c r="G100" s="543">
        <v>0.01</v>
      </c>
      <c r="H100" s="543">
        <v>3.4320000000000002E-3</v>
      </c>
      <c r="I100" s="544">
        <v>0.4</v>
      </c>
      <c r="J100" s="604">
        <v>4</v>
      </c>
      <c r="K100" s="545">
        <v>26</v>
      </c>
      <c r="L100" s="273"/>
      <c r="M100" s="273"/>
      <c r="P100" s="274"/>
      <c r="Q100" s="274"/>
      <c r="R100" s="274"/>
      <c r="S100" s="274"/>
      <c r="T100" s="578">
        <f ca="1"/>
        <v>0.06</v>
      </c>
      <c r="U100" s="575">
        <f ca="1"/>
        <v>92</v>
      </c>
      <c r="V100" s="578">
        <f t="shared" ca="1" si="8"/>
        <v>0</v>
      </c>
      <c r="W100" s="578">
        <f t="shared" ca="1" si="9"/>
        <v>0</v>
      </c>
      <c r="X100" s="486">
        <f ca="1">IF('CDO Bespoke'!O101&lt;&gt;"",'CDO Bespoke'!O101,"")</f>
        <v>1.1955868206168001</v>
      </c>
      <c r="Y100" s="487">
        <f ca="1">IF(X100&lt;&gt;"",ABS(MIN(-0.75*('CDO Bespoke'!Q101)+'CDO Bespoke'!T101,0)),"")</f>
        <v>1.1864569069416633</v>
      </c>
      <c r="Z100" s="487">
        <f t="shared" ca="1" si="10"/>
        <v>9.1299136751368248E-3</v>
      </c>
      <c r="AA100" s="487">
        <f t="shared" ca="1" si="11"/>
        <v>0</v>
      </c>
      <c r="AB100" s="486">
        <f ca="1">IF('CDO Bespoke'!O101&lt;&gt;"",'CDO Bespoke'!O101,"")</f>
        <v>1.1955868206168001</v>
      </c>
      <c r="AC100" s="487">
        <f ca="1">IF(AB100&lt;&gt;"",ABS(MIN(-0.75*('CDO Bespoke'!K101)+'CDO Bespoke'!T101,0)),"")</f>
        <v>0.14380305972402865</v>
      </c>
      <c r="AD100" s="487">
        <f t="shared" ca="1" si="12"/>
        <v>1.0517837608927714</v>
      </c>
      <c r="AE100" s="491">
        <f t="shared" ca="1" si="13"/>
        <v>0</v>
      </c>
      <c r="AF100" s="273"/>
      <c r="AG100" s="496" t="str">
        <f ca="1">IF('CDO Bespoke'!C125&lt;&gt;"",'CDO Bespoke'!C125,"")</f>
        <v>SKY LIMITED</v>
      </c>
      <c r="AH100" s="498">
        <f ca="1"/>
        <v>1.9235760206903763E-3</v>
      </c>
      <c r="AI100" s="587">
        <f ca="1"/>
        <v>5.2344560608208468E-3</v>
      </c>
      <c r="AJ100" s="587">
        <f ca="1"/>
        <v>1.3168968040488949E-2</v>
      </c>
      <c r="AK100" s="587">
        <f ca="1"/>
        <v>6.4033489880488403E-2</v>
      </c>
      <c r="AL100" s="499">
        <f ca="1"/>
        <v>0</v>
      </c>
      <c r="AM100" s="498">
        <f ca="1"/>
        <v>1.0610145215958489E-4</v>
      </c>
      <c r="AN100" s="587">
        <f ca="1"/>
        <v>4.9219354193996701E-4</v>
      </c>
      <c r="AO100" s="587">
        <f ca="1"/>
        <v>2.2772875781389146E-3</v>
      </c>
      <c r="AP100" s="587">
        <f ca="1"/>
        <v>0.13833479343194899</v>
      </c>
      <c r="AQ100" s="499">
        <f ca="1"/>
        <v>0</v>
      </c>
      <c r="AR100" s="582"/>
      <c r="AS100" s="582"/>
      <c r="AT100" s="582"/>
      <c r="AU100" s="582"/>
      <c r="AV100" s="582"/>
      <c r="AW100" s="582"/>
      <c r="AX100" s="581"/>
    </row>
    <row r="101" spans="2:50">
      <c r="B101" s="519" t="s">
        <v>522</v>
      </c>
      <c r="C101" s="520" t="s">
        <v>66</v>
      </c>
      <c r="D101" s="520" t="s">
        <v>57</v>
      </c>
      <c r="E101" s="520" t="s">
        <v>649</v>
      </c>
      <c r="F101" s="520" t="s">
        <v>648</v>
      </c>
      <c r="G101" s="527">
        <v>0.01</v>
      </c>
      <c r="H101" s="527">
        <v>5.6519999999999999E-3</v>
      </c>
      <c r="I101" s="529">
        <v>0.4</v>
      </c>
      <c r="J101" s="596">
        <v>4</v>
      </c>
      <c r="K101" s="521">
        <v>26</v>
      </c>
      <c r="L101" s="273"/>
      <c r="M101" s="273"/>
      <c r="P101" s="274"/>
      <c r="Q101" s="274"/>
      <c r="R101" s="274"/>
      <c r="S101" s="274"/>
      <c r="T101" s="578">
        <f ca="1"/>
        <v>0.06</v>
      </c>
      <c r="U101" s="575">
        <f ca="1"/>
        <v>93</v>
      </c>
      <c r="V101" s="578">
        <f t="shared" ca="1" si="8"/>
        <v>0</v>
      </c>
      <c r="W101" s="578">
        <f t="shared" ca="1" si="9"/>
        <v>0</v>
      </c>
      <c r="X101" s="486">
        <f ca="1">IF('CDO Bespoke'!O102&lt;&gt;"",'CDO Bespoke'!O102,"")</f>
        <v>1.1952738521334501</v>
      </c>
      <c r="Y101" s="487">
        <f ca="1">IF(X101&lt;&gt;"",ABS(MIN(-0.75*('CDO Bespoke'!Q102)+'CDO Bespoke'!T102,0)),"")</f>
        <v>1.1872853753035337</v>
      </c>
      <c r="Z101" s="487">
        <f t="shared" ca="1" si="10"/>
        <v>7.9884768299163245E-3</v>
      </c>
      <c r="AA101" s="487">
        <f t="shared" ca="1" si="11"/>
        <v>0</v>
      </c>
      <c r="AB101" s="486">
        <f ca="1">IF('CDO Bespoke'!O102&lt;&gt;"",'CDO Bespoke'!O102,"")</f>
        <v>1.1952738521334501</v>
      </c>
      <c r="AC101" s="487">
        <f ca="1">IF(AB101&lt;&gt;"",ABS(MIN(-0.75*('CDO Bespoke'!K102)+'CDO Bespoke'!T102,0)),"")</f>
        <v>0.21104365635328767</v>
      </c>
      <c r="AD101" s="487">
        <f t="shared" ca="1" si="12"/>
        <v>0.98423019578016235</v>
      </c>
      <c r="AE101" s="491">
        <f t="shared" ca="1" si="13"/>
        <v>0</v>
      </c>
      <c r="AF101" s="273"/>
      <c r="AG101" s="496" t="str">
        <f ca="1">IF('CDO Bespoke'!C126&lt;&gt;"",'CDO Bespoke'!C126,"")</f>
        <v>STMicroelectronics N.V.</v>
      </c>
      <c r="AH101" s="498">
        <f ca="1"/>
        <v>3.0984083809748597E-3</v>
      </c>
      <c r="AI101" s="587">
        <f ca="1"/>
        <v>9.4322699406568233E-3</v>
      </c>
      <c r="AJ101" s="587">
        <f ca="1"/>
        <v>2.5613716581052159E-2</v>
      </c>
      <c r="AK101" s="587">
        <f ca="1"/>
        <v>0.19920591640021357</v>
      </c>
      <c r="AL101" s="499">
        <f ca="1"/>
        <v>0</v>
      </c>
      <c r="AM101" s="498">
        <f ca="1"/>
        <v>5.6371530560150873E-5</v>
      </c>
      <c r="AN101" s="587">
        <f ca="1"/>
        <v>2.6247338414039922E-4</v>
      </c>
      <c r="AO101" s="587">
        <f ca="1"/>
        <v>1.1975975339403866E-3</v>
      </c>
      <c r="AP101" s="587">
        <f ca="1"/>
        <v>9.1464129976080027E-2</v>
      </c>
      <c r="AQ101" s="499">
        <f ca="1"/>
        <v>0</v>
      </c>
      <c r="AR101" s="582"/>
      <c r="AS101" s="582"/>
      <c r="AT101" s="582"/>
      <c r="AU101" s="582"/>
      <c r="AV101" s="582"/>
      <c r="AW101" s="582"/>
      <c r="AX101" s="581"/>
    </row>
    <row r="102" spans="2:50">
      <c r="B102" s="536" t="s">
        <v>522</v>
      </c>
      <c r="C102" s="537" t="s">
        <v>66</v>
      </c>
      <c r="D102" s="537" t="s">
        <v>59</v>
      </c>
      <c r="E102" s="537" t="s">
        <v>649</v>
      </c>
      <c r="F102" s="537" t="s">
        <v>648</v>
      </c>
      <c r="G102" s="538">
        <v>0.01</v>
      </c>
      <c r="H102" s="538">
        <v>8.0560000000000007E-3</v>
      </c>
      <c r="I102" s="539">
        <v>0.4</v>
      </c>
      <c r="J102" s="597">
        <v>4</v>
      </c>
      <c r="K102" s="540">
        <v>26</v>
      </c>
      <c r="L102" s="273"/>
      <c r="M102" s="273"/>
      <c r="P102" s="274"/>
      <c r="Q102" s="274"/>
      <c r="R102" s="274"/>
      <c r="S102" s="274"/>
      <c r="T102" s="578">
        <f ca="1"/>
        <v>0.06</v>
      </c>
      <c r="U102" s="575">
        <f ca="1"/>
        <v>94</v>
      </c>
      <c r="V102" s="578">
        <f t="shared" ca="1" si="8"/>
        <v>0</v>
      </c>
      <c r="W102" s="578">
        <f t="shared" ca="1" si="9"/>
        <v>0</v>
      </c>
      <c r="X102" s="486">
        <f ca="1">IF('CDO Bespoke'!O103&lt;&gt;"",'CDO Bespoke'!O103,"")</f>
        <v>1.19431787981033</v>
      </c>
      <c r="Y102" s="487">
        <f ca="1">IF(X102&lt;&gt;"",ABS(MIN(-0.75*('CDO Bespoke'!Q103)+'CDO Bespoke'!T103,0)),"")</f>
        <v>1.1885231788178623</v>
      </c>
      <c r="Z102" s="487">
        <f t="shared" ca="1" si="10"/>
        <v>5.7947009924677051E-3</v>
      </c>
      <c r="AA102" s="487">
        <f t="shared" ca="1" si="11"/>
        <v>0</v>
      </c>
      <c r="AB102" s="486">
        <f ca="1">IF('CDO Bespoke'!O103&lt;&gt;"",'CDO Bespoke'!O103,"")</f>
        <v>1.19431787981033</v>
      </c>
      <c r="AC102" s="487">
        <f ca="1">IF(AB102&lt;&gt;"",ABS(MIN(-0.75*('CDO Bespoke'!K103)+'CDO Bespoke'!T103,0)),"")</f>
        <v>0.28431948138445107</v>
      </c>
      <c r="AD102" s="487">
        <f t="shared" ca="1" si="12"/>
        <v>0.90999839842587893</v>
      </c>
      <c r="AE102" s="491">
        <f t="shared" ca="1" si="13"/>
        <v>0</v>
      </c>
      <c r="AF102" s="273"/>
      <c r="AG102" s="496" t="str">
        <f ca="1">IF('CDO Bespoke'!C127&lt;&gt;"",'CDO Bespoke'!C127,"")</f>
        <v>TELEFONICA, S.A.</v>
      </c>
      <c r="AH102" s="498">
        <f ca="1"/>
        <v>3.7707687006172108E-3</v>
      </c>
      <c r="AI102" s="587">
        <f ca="1"/>
        <v>1.2184951960758639E-2</v>
      </c>
      <c r="AJ102" s="587">
        <f ca="1"/>
        <v>3.4114614050340109E-2</v>
      </c>
      <c r="AK102" s="587">
        <f ca="1"/>
        <v>0.54611983704044853</v>
      </c>
      <c r="AL102" s="499">
        <f ca="1"/>
        <v>0</v>
      </c>
      <c r="AM102" s="498">
        <f ca="1"/>
        <v>2.6924121299815029E-5</v>
      </c>
      <c r="AN102" s="587">
        <f ca="1"/>
        <v>1.2713430113976687E-4</v>
      </c>
      <c r="AO102" s="587">
        <f ca="1"/>
        <v>5.2974815217994575E-4</v>
      </c>
      <c r="AP102" s="587">
        <f ca="1"/>
        <v>8.9944687292179901E-2</v>
      </c>
      <c r="AQ102" s="499">
        <f ca="1"/>
        <v>0</v>
      </c>
      <c r="AR102" s="582"/>
      <c r="AS102" s="582"/>
      <c r="AT102" s="582"/>
      <c r="AU102" s="582"/>
      <c r="AV102" s="582"/>
      <c r="AW102" s="582"/>
      <c r="AX102" s="581"/>
    </row>
    <row r="103" spans="2:50">
      <c r="B103" s="541" t="s">
        <v>523</v>
      </c>
      <c r="C103" s="542" t="s">
        <v>66</v>
      </c>
      <c r="D103" s="542" t="s">
        <v>55</v>
      </c>
      <c r="E103" s="542" t="s">
        <v>651</v>
      </c>
      <c r="F103" s="542" t="s">
        <v>674</v>
      </c>
      <c r="G103" s="543">
        <v>0.01</v>
      </c>
      <c r="H103" s="543">
        <v>2.0699999999999998E-3</v>
      </c>
      <c r="I103" s="544">
        <v>0.4</v>
      </c>
      <c r="J103" s="604">
        <v>7</v>
      </c>
      <c r="K103" s="545">
        <v>27</v>
      </c>
      <c r="L103" s="273"/>
      <c r="M103" s="273"/>
      <c r="P103" s="274"/>
      <c r="Q103" s="274"/>
      <c r="R103" s="274"/>
      <c r="S103" s="274"/>
      <c r="T103" s="578">
        <f ca="1"/>
        <v>0.06</v>
      </c>
      <c r="U103" s="575">
        <f ca="1"/>
        <v>95</v>
      </c>
      <c r="V103" s="578">
        <f t="shared" ca="1" si="8"/>
        <v>0</v>
      </c>
      <c r="W103" s="578">
        <f t="shared" ca="1" si="9"/>
        <v>0</v>
      </c>
      <c r="X103" s="486">
        <f ca="1">IF('CDO Bespoke'!O104&lt;&gt;"",'CDO Bespoke'!O104,"")</f>
        <v>1.19545611999172</v>
      </c>
      <c r="Y103" s="487">
        <f ca="1">IF(X103&lt;&gt;"",ABS(MIN(-0.75*('CDO Bespoke'!Q104)+'CDO Bespoke'!T104,0)),"")</f>
        <v>1.1868768344559568</v>
      </c>
      <c r="Z103" s="487">
        <f t="shared" ca="1" si="10"/>
        <v>8.5792855357631481E-3</v>
      </c>
      <c r="AA103" s="487">
        <f t="shared" ca="1" si="11"/>
        <v>0</v>
      </c>
      <c r="AB103" s="486">
        <f ca="1">IF('CDO Bespoke'!O104&lt;&gt;"",'CDO Bespoke'!O104,"")</f>
        <v>1.19545611999172</v>
      </c>
      <c r="AC103" s="487">
        <f ca="1">IF(AB103&lt;&gt;"",ABS(MIN(-0.75*('CDO Bespoke'!K104)+'CDO Bespoke'!T104,0)),"")</f>
        <v>0.18090633182268215</v>
      </c>
      <c r="AD103" s="487">
        <f t="shared" ca="1" si="12"/>
        <v>1.0145497881690377</v>
      </c>
      <c r="AE103" s="491">
        <f t="shared" ca="1" si="13"/>
        <v>0</v>
      </c>
      <c r="AF103" s="273"/>
      <c r="AG103" s="496" t="str">
        <f ca="1">IF('CDO Bespoke'!C128&lt;&gt;"",'CDO Bespoke'!C128,"")</f>
        <v>Telekom Austria Aktiengesellschaft</v>
      </c>
      <c r="AH103" s="498">
        <f ca="1"/>
        <v>2.5662179603536117E-3</v>
      </c>
      <c r="AI103" s="587">
        <f ca="1"/>
        <v>7.4339220201835587E-3</v>
      </c>
      <c r="AJ103" s="587">
        <f ca="1"/>
        <v>1.9576812400057264E-2</v>
      </c>
      <c r="AK103" s="587">
        <f ca="1"/>
        <v>0.13496011498026483</v>
      </c>
      <c r="AL103" s="499">
        <f ca="1"/>
        <v>0</v>
      </c>
      <c r="AM103" s="498">
        <f ca="1"/>
        <v>6.2791698800246376E-5</v>
      </c>
      <c r="AN103" s="587">
        <f ca="1"/>
        <v>2.9181624266044759E-4</v>
      </c>
      <c r="AO103" s="587">
        <f ca="1"/>
        <v>1.3403537994408077E-3</v>
      </c>
      <c r="AP103" s="587">
        <f ca="1"/>
        <v>9.1820969757180904E-2</v>
      </c>
      <c r="AQ103" s="499">
        <f ca="1"/>
        <v>0</v>
      </c>
      <c r="AR103" s="582"/>
      <c r="AS103" s="582"/>
      <c r="AT103" s="582"/>
      <c r="AU103" s="582"/>
      <c r="AV103" s="582"/>
      <c r="AW103" s="582"/>
      <c r="AX103" s="581"/>
    </row>
    <row r="104" spans="2:50">
      <c r="B104" s="519" t="s">
        <v>523</v>
      </c>
      <c r="C104" s="520" t="s">
        <v>66</v>
      </c>
      <c r="D104" s="520" t="s">
        <v>57</v>
      </c>
      <c r="E104" s="520" t="s">
        <v>651</v>
      </c>
      <c r="F104" s="520" t="s">
        <v>674</v>
      </c>
      <c r="G104" s="527">
        <v>0.01</v>
      </c>
      <c r="H104" s="527">
        <v>3.297E-3</v>
      </c>
      <c r="I104" s="529">
        <v>0.4</v>
      </c>
      <c r="J104" s="596">
        <v>7</v>
      </c>
      <c r="K104" s="521">
        <v>27</v>
      </c>
      <c r="L104" s="273"/>
      <c r="M104" s="273"/>
      <c r="P104" s="274"/>
      <c r="Q104" s="274"/>
      <c r="R104" s="274"/>
      <c r="S104" s="274"/>
      <c r="T104" s="578">
        <f ca="1"/>
        <v>0.15</v>
      </c>
      <c r="U104" s="575">
        <f ca="1"/>
        <v>96</v>
      </c>
      <c r="V104" s="578">
        <f t="shared" ca="1" si="8"/>
        <v>0</v>
      </c>
      <c r="W104" s="578">
        <f t="shared" ca="1" si="9"/>
        <v>0</v>
      </c>
      <c r="X104" s="486">
        <f ca="1">IF('CDO Bespoke'!O105&lt;&gt;"",'CDO Bespoke'!O105,"")</f>
        <v>1.1953820522937699</v>
      </c>
      <c r="Y104" s="487">
        <f ca="1">IF(X104&lt;&gt;"",ABS(MIN(-0.75*('CDO Bespoke'!Q105)+'CDO Bespoke'!T105,0)),"")</f>
        <v>1.1870585342060167</v>
      </c>
      <c r="Z104" s="487">
        <f t="shared" ca="1" si="10"/>
        <v>8.3235180877532233E-3</v>
      </c>
      <c r="AA104" s="487">
        <f t="shared" ca="1" si="11"/>
        <v>0</v>
      </c>
      <c r="AB104" s="486">
        <f ca="1">IF('CDO Bespoke'!O105&lt;&gt;"",'CDO Bespoke'!O105,"")</f>
        <v>1.1953820522937699</v>
      </c>
      <c r="AC104" s="487">
        <f ca="1">IF(AB104&lt;&gt;"",ABS(MIN(-0.75*('CDO Bespoke'!K105)+'CDO Bespoke'!T105,0)),"")</f>
        <v>0.19486358926247546</v>
      </c>
      <c r="AD104" s="487">
        <f t="shared" ca="1" si="12"/>
        <v>1.0005184630312944</v>
      </c>
      <c r="AE104" s="491">
        <f t="shared" ca="1" si="13"/>
        <v>0</v>
      </c>
      <c r="AF104" s="273"/>
      <c r="AG104" s="496" t="str">
        <f ca="1">IF('CDO Bespoke'!C129&lt;&gt;"",'CDO Bespoke'!C129,"")</f>
        <v>TELENOR ASA</v>
      </c>
      <c r="AH104" s="498">
        <f ca="1"/>
        <v>2.8371415206063233E-3</v>
      </c>
      <c r="AI104" s="587">
        <f ca="1"/>
        <v>8.4483319007233604E-3</v>
      </c>
      <c r="AJ104" s="587">
        <f ca="1"/>
        <v>2.2579929460642134E-2</v>
      </c>
      <c r="AK104" s="587">
        <f ca="1"/>
        <v>0.15575148244018067</v>
      </c>
      <c r="AL104" s="499">
        <f ca="1"/>
        <v>0</v>
      </c>
      <c r="AM104" s="498">
        <f ca="1"/>
        <v>6.0596449538707908E-5</v>
      </c>
      <c r="AN104" s="587">
        <f ca="1"/>
        <v>2.8181349799871747E-4</v>
      </c>
      <c r="AO104" s="587">
        <f ca="1"/>
        <v>1.2922408686388831E-3</v>
      </c>
      <c r="AP104" s="587">
        <f ca="1"/>
        <v>9.1687064752019043E-2</v>
      </c>
      <c r="AQ104" s="499">
        <f ca="1"/>
        <v>0</v>
      </c>
      <c r="AR104" s="582"/>
      <c r="AS104" s="582"/>
      <c r="AT104" s="582"/>
      <c r="AU104" s="582"/>
      <c r="AV104" s="582"/>
      <c r="AW104" s="582"/>
      <c r="AX104" s="581"/>
    </row>
    <row r="105" spans="2:50">
      <c r="B105" s="536" t="s">
        <v>523</v>
      </c>
      <c r="C105" s="537" t="s">
        <v>66</v>
      </c>
      <c r="D105" s="537" t="s">
        <v>59</v>
      </c>
      <c r="E105" s="537" t="s">
        <v>651</v>
      </c>
      <c r="F105" s="537" t="s">
        <v>674</v>
      </c>
      <c r="G105" s="538">
        <v>0.01</v>
      </c>
      <c r="H105" s="538">
        <v>4.411E-3</v>
      </c>
      <c r="I105" s="539">
        <v>0.4</v>
      </c>
      <c r="J105" s="597">
        <v>7</v>
      </c>
      <c r="K105" s="540">
        <v>27</v>
      </c>
      <c r="L105" s="273"/>
      <c r="M105" s="273"/>
      <c r="P105" s="274"/>
      <c r="Q105" s="274"/>
      <c r="R105" s="274"/>
      <c r="S105" s="274"/>
      <c r="T105" s="578">
        <f ca="1"/>
        <v>0.15</v>
      </c>
      <c r="U105" s="575">
        <f ca="1"/>
        <v>97</v>
      </c>
      <c r="V105" s="578">
        <f t="shared" ref="V105:V133" ca="1" si="14">AA110*T105</f>
        <v>0</v>
      </c>
      <c r="W105" s="578">
        <f t="shared" ref="W105:W133" ca="1" si="15">AE110*T105</f>
        <v>0</v>
      </c>
      <c r="X105" s="486">
        <f ca="1">IF('CDO Bespoke'!O106&lt;&gt;"",'CDO Bespoke'!O106,"")</f>
        <v>1.1953629657653599</v>
      </c>
      <c r="Y105" s="487">
        <f ca="1">IF(X105&lt;&gt;"",ABS(MIN(-0.75*('CDO Bespoke'!Q106)+'CDO Bespoke'!T106,0)),"")</f>
        <v>1.1871014071791912</v>
      </c>
      <c r="Z105" s="487">
        <f t="shared" ca="1" si="10"/>
        <v>8.2615585861687268E-3</v>
      </c>
      <c r="AA105" s="487">
        <f t="shared" ca="1" si="11"/>
        <v>0</v>
      </c>
      <c r="AB105" s="486">
        <f ca="1">IF('CDO Bespoke'!O106&lt;&gt;"",'CDO Bespoke'!O106,"")</f>
        <v>1.1953629657653599</v>
      </c>
      <c r="AC105" s="487">
        <f ca="1">IF(AB105&lt;&gt;"",ABS(MIN(-0.75*('CDO Bespoke'!K106)+'CDO Bespoke'!T106,0)),"")</f>
        <v>0.19801885448538578</v>
      </c>
      <c r="AD105" s="487">
        <f t="shared" ca="1" si="12"/>
        <v>0.99734411127997413</v>
      </c>
      <c r="AE105" s="491">
        <f t="shared" ca="1" si="13"/>
        <v>0</v>
      </c>
      <c r="AF105" s="273"/>
      <c r="AG105" s="496" t="str">
        <f ca="1">IF('CDO Bespoke'!C130&lt;&gt;"",'CDO Bespoke'!C130,"")</f>
        <v>Telia Company AB</v>
      </c>
      <c r="AH105" s="498">
        <f ca="1"/>
        <v>2.887084680214258E-3</v>
      </c>
      <c r="AI105" s="587">
        <f ca="1"/>
        <v>8.6322487302670226E-3</v>
      </c>
      <c r="AJ105" s="587">
        <f ca="1"/>
        <v>2.3145855770900781E-2</v>
      </c>
      <c r="AK105" s="587">
        <f ca="1"/>
        <v>0.16445141970078403</v>
      </c>
      <c r="AL105" s="499">
        <f ca="1"/>
        <v>0</v>
      </c>
      <c r="AM105" s="498">
        <f ca="1"/>
        <v>5.9737126280323682E-5</v>
      </c>
      <c r="AN105" s="587">
        <f ca="1"/>
        <v>2.7787823285996271E-4</v>
      </c>
      <c r="AO105" s="587">
        <f ca="1"/>
        <v>1.2729368829400567E-3</v>
      </c>
      <c r="AP105" s="587">
        <f ca="1"/>
        <v>9.1643059874780414E-2</v>
      </c>
      <c r="AQ105" s="499">
        <f ca="1"/>
        <v>0</v>
      </c>
      <c r="AR105" s="582"/>
      <c r="AS105" s="582"/>
      <c r="AT105" s="582"/>
      <c r="AU105" s="582"/>
      <c r="AV105" s="582"/>
      <c r="AW105" s="582"/>
      <c r="AX105" s="581"/>
    </row>
    <row r="106" spans="2:50">
      <c r="B106" s="541" t="s">
        <v>524</v>
      </c>
      <c r="C106" s="542" t="s">
        <v>66</v>
      </c>
      <c r="D106" s="542" t="s">
        <v>55</v>
      </c>
      <c r="E106" s="542" t="s">
        <v>651</v>
      </c>
      <c r="F106" s="542" t="s">
        <v>674</v>
      </c>
      <c r="G106" s="543">
        <v>0.01</v>
      </c>
      <c r="H106" s="543">
        <v>2.3649999999999999E-3</v>
      </c>
      <c r="I106" s="544">
        <v>0.4</v>
      </c>
      <c r="J106" s="604">
        <v>7</v>
      </c>
      <c r="K106" s="545">
        <v>28</v>
      </c>
      <c r="L106" s="273"/>
      <c r="M106" s="273"/>
      <c r="P106" s="274"/>
      <c r="Q106" s="274"/>
      <c r="R106" s="274"/>
      <c r="S106" s="274"/>
      <c r="T106" s="578">
        <f ca="1"/>
        <v>0.15</v>
      </c>
      <c r="U106" s="575">
        <f ca="1"/>
        <v>98</v>
      </c>
      <c r="V106" s="578">
        <f t="shared" ca="1" si="14"/>
        <v>0</v>
      </c>
      <c r="W106" s="578">
        <f t="shared" ca="1" si="15"/>
        <v>0</v>
      </c>
      <c r="X106" s="486">
        <f ca="1">IF('CDO Bespoke'!O107&lt;&gt;"",'CDO Bespoke'!O107,"")</f>
        <v>1.1947672616781</v>
      </c>
      <c r="Y106" s="487">
        <f ca="1">IF(X106&lt;&gt;"",ABS(MIN(-0.75*('CDO Bespoke'!Q107)+'CDO Bespoke'!T107,0)),"")</f>
        <v>1.1880473274358578</v>
      </c>
      <c r="Z106" s="487">
        <f t="shared" ca="1" si="10"/>
        <v>6.7199342422421537E-3</v>
      </c>
      <c r="AA106" s="487">
        <f t="shared" ca="1" si="11"/>
        <v>0</v>
      </c>
      <c r="AB106" s="486">
        <f ca="1">IF('CDO Bespoke'!O107&lt;&gt;"",'CDO Bespoke'!O107,"")</f>
        <v>1.1947672616781</v>
      </c>
      <c r="AC106" s="487">
        <f ca="1">IF(AB106&lt;&gt;"",ABS(MIN(-0.75*('CDO Bespoke'!K107)+'CDO Bespoke'!T107,0)),"")</f>
        <v>0.25839567265420926</v>
      </c>
      <c r="AD106" s="487">
        <f t="shared" ca="1" si="12"/>
        <v>0.93637158902389073</v>
      </c>
      <c r="AE106" s="491">
        <f t="shared" ca="1" si="13"/>
        <v>0</v>
      </c>
      <c r="AF106" s="273"/>
      <c r="AG106" s="496" t="str">
        <f ca="1">IF('CDO Bespoke'!C131&lt;&gt;"",'CDO Bespoke'!C131,"")</f>
        <v>Vivendi SE</v>
      </c>
      <c r="AH106" s="498">
        <f ca="1"/>
        <v>3.5080047999791475E-3</v>
      </c>
      <c r="AI106" s="587">
        <f ca="1"/>
        <v>1.0993868070352519E-2</v>
      </c>
      <c r="AJ106" s="587">
        <f ca="1"/>
        <v>3.044058588086429E-2</v>
      </c>
      <c r="AK106" s="587">
        <f ca="1"/>
        <v>0.43482178571085939</v>
      </c>
      <c r="AL106" s="499">
        <f ca="1"/>
        <v>0</v>
      </c>
      <c r="AM106" s="498">
        <f ca="1"/>
        <v>5.4207443460005389E-5</v>
      </c>
      <c r="AN106" s="587">
        <f ca="1"/>
        <v>2.5426984353038584E-4</v>
      </c>
      <c r="AO106" s="587">
        <f ca="1"/>
        <v>1.1066437926303407E-3</v>
      </c>
      <c r="AP106" s="587">
        <f ca="1"/>
        <v>0.13570733781452965</v>
      </c>
      <c r="AQ106" s="499">
        <f ca="1"/>
        <v>0</v>
      </c>
      <c r="AR106" s="582"/>
      <c r="AS106" s="582"/>
      <c r="AT106" s="582"/>
      <c r="AU106" s="582"/>
      <c r="AV106" s="582"/>
      <c r="AW106" s="582"/>
      <c r="AX106" s="581"/>
    </row>
    <row r="107" spans="2:50">
      <c r="B107" s="519" t="s">
        <v>524</v>
      </c>
      <c r="C107" s="520" t="s">
        <v>66</v>
      </c>
      <c r="D107" s="520" t="s">
        <v>57</v>
      </c>
      <c r="E107" s="520" t="s">
        <v>651</v>
      </c>
      <c r="F107" s="520" t="s">
        <v>674</v>
      </c>
      <c r="G107" s="527">
        <v>0.01</v>
      </c>
      <c r="H107" s="527">
        <v>3.4499999999999999E-3</v>
      </c>
      <c r="I107" s="529">
        <v>0.4</v>
      </c>
      <c r="J107" s="596">
        <v>7</v>
      </c>
      <c r="K107" s="521">
        <v>28</v>
      </c>
      <c r="L107" s="273"/>
      <c r="M107" s="273"/>
      <c r="P107" s="274"/>
      <c r="Q107" s="274"/>
      <c r="R107" s="274"/>
      <c r="S107" s="274"/>
      <c r="T107" s="578">
        <f ca="1"/>
        <v>0.15</v>
      </c>
      <c r="U107" s="575">
        <f ca="1"/>
        <v>99</v>
      </c>
      <c r="V107" s="578">
        <f t="shared" ca="1" si="14"/>
        <v>0</v>
      </c>
      <c r="W107" s="578">
        <f t="shared" ca="1" si="15"/>
        <v>0</v>
      </c>
      <c r="X107" s="486">
        <f ca="1">IF('CDO Bespoke'!O108&lt;&gt;"",'CDO Bespoke'!O108,"")</f>
        <v>1.19439469908257</v>
      </c>
      <c r="Y107" s="487">
        <f ca="1">IF(X107&lt;&gt;"",ABS(MIN(-0.75*('CDO Bespoke'!Q108)+'CDO Bespoke'!T108,0)),"")</f>
        <v>1.1884500415394441</v>
      </c>
      <c r="Z107" s="487">
        <f t="shared" ca="1" si="10"/>
        <v>5.9446575431258974E-3</v>
      </c>
      <c r="AA107" s="487">
        <f t="shared" ca="1" si="11"/>
        <v>0</v>
      </c>
      <c r="AB107" s="486">
        <f ca="1">IF('CDO Bespoke'!O108&lt;&gt;"",'CDO Bespoke'!O108,"")</f>
        <v>1.19439469908257</v>
      </c>
      <c r="AC107" s="487">
        <f ca="1">IF(AB107&lt;&gt;"",ABS(MIN(-0.75*('CDO Bespoke'!K108)+'CDO Bespoke'!T108,0)),"")</f>
        <v>0.28046791396569032</v>
      </c>
      <c r="AD107" s="487">
        <f t="shared" ca="1" si="12"/>
        <v>0.91392678511687975</v>
      </c>
      <c r="AE107" s="491">
        <f t="shared" ca="1" si="13"/>
        <v>0</v>
      </c>
      <c r="AF107" s="273"/>
      <c r="AG107" s="496" t="str">
        <f ca="1">IF('CDO Bespoke'!C132&lt;&gt;"",'CDO Bespoke'!C132,"")</f>
        <v>VODAFONE GROUP PUBLIC LIMITED COMPANY</v>
      </c>
      <c r="AH107" s="498">
        <f ca="1"/>
        <v>3.6941940007029217E-3</v>
      </c>
      <c r="AI107" s="587">
        <f ca="1"/>
        <v>1.1832683590728976E-2</v>
      </c>
      <c r="AJ107" s="587">
        <f ca="1"/>
        <v>3.2952515710560348E-2</v>
      </c>
      <c r="AK107" s="587">
        <f ca="1"/>
        <v>0.54004066817103791</v>
      </c>
      <c r="AL107" s="499">
        <f ca="1"/>
        <v>0</v>
      </c>
      <c r="AM107" s="498">
        <f ca="1"/>
        <v>2.7501924380196607E-5</v>
      </c>
      <c r="AN107" s="587">
        <f ca="1"/>
        <v>1.2977498318016145E-4</v>
      </c>
      <c r="AO107" s="587">
        <f ca="1"/>
        <v>5.4204386085998646E-4</v>
      </c>
      <c r="AP107" s="587">
        <f ca="1"/>
        <v>8.9997577137680002E-2</v>
      </c>
      <c r="AQ107" s="499">
        <f ca="1"/>
        <v>0</v>
      </c>
      <c r="AR107" s="582"/>
      <c r="AS107" s="582"/>
      <c r="AT107" s="582"/>
      <c r="AU107" s="582"/>
      <c r="AV107" s="582"/>
      <c r="AW107" s="582"/>
      <c r="AX107" s="581"/>
    </row>
    <row r="108" spans="2:50">
      <c r="B108" s="536" t="s">
        <v>524</v>
      </c>
      <c r="C108" s="537" t="s">
        <v>66</v>
      </c>
      <c r="D108" s="537" t="s">
        <v>59</v>
      </c>
      <c r="E108" s="537" t="s">
        <v>651</v>
      </c>
      <c r="F108" s="537" t="s">
        <v>674</v>
      </c>
      <c r="G108" s="538">
        <v>0.01</v>
      </c>
      <c r="H108" s="538">
        <v>4.6579999999999998E-3</v>
      </c>
      <c r="I108" s="539">
        <v>0.4</v>
      </c>
      <c r="J108" s="597">
        <v>7</v>
      </c>
      <c r="K108" s="540">
        <v>28</v>
      </c>
      <c r="L108" s="273"/>
      <c r="M108" s="273"/>
      <c r="P108" s="274"/>
      <c r="Q108" s="274"/>
      <c r="R108" s="274"/>
      <c r="S108" s="274"/>
      <c r="T108" s="578">
        <f ca="1"/>
        <v>0.15</v>
      </c>
      <c r="U108" s="575">
        <f ca="1"/>
        <v>100</v>
      </c>
      <c r="V108" s="578">
        <f t="shared" ca="1" si="14"/>
        <v>0</v>
      </c>
      <c r="W108" s="578">
        <f t="shared" ca="1" si="15"/>
        <v>0</v>
      </c>
      <c r="X108" s="486">
        <f ca="1">IF('CDO Bespoke'!O109&lt;&gt;"",'CDO Bespoke'!O109,"")</f>
        <v>1.1943343942864899</v>
      </c>
      <c r="Y108" s="487">
        <f ca="1">IF(X108&lt;&gt;"",ABS(MIN(-0.75*('CDO Bespoke'!Q109)+'CDO Bespoke'!T109,0)),"")</f>
        <v>1.1885076954170426</v>
      </c>
      <c r="Z108" s="487">
        <f t="shared" ca="1" si="10"/>
        <v>5.826698869447311E-3</v>
      </c>
      <c r="AA108" s="487">
        <f t="shared" ca="1" si="11"/>
        <v>0</v>
      </c>
      <c r="AB108" s="486">
        <f ca="1">IF('CDO Bespoke'!O109&lt;&gt;"",'CDO Bespoke'!O109,"")</f>
        <v>1.1943343942864899</v>
      </c>
      <c r="AC108" s="487">
        <f ca="1">IF(AB108&lt;&gt;"",ABS(MIN(-0.75*('CDO Bespoke'!K109)+'CDO Bespoke'!T109,0)),"")</f>
        <v>0.28350766715935999</v>
      </c>
      <c r="AD108" s="487">
        <f t="shared" ca="1" si="12"/>
        <v>0.91082672712712998</v>
      </c>
      <c r="AE108" s="491">
        <f t="shared" ca="1" si="13"/>
        <v>0</v>
      </c>
      <c r="AF108" s="273"/>
      <c r="AG108" s="496" t="str">
        <f ca="1">IF('CDO Bespoke'!C133&lt;&gt;"",'CDO Bespoke'!C133,"")</f>
        <v>WPP 2005 LIMITED</v>
      </c>
      <c r="AH108" s="498">
        <f ca="1"/>
        <v>3.8384162903692953E-3</v>
      </c>
      <c r="AI108" s="587">
        <f ca="1"/>
        <v>1.2484952480740219E-2</v>
      </c>
      <c r="AJ108" s="587">
        <f ca="1"/>
        <v>3.5175539450094107E-2</v>
      </c>
      <c r="AK108" s="587">
        <f ca="1"/>
        <v>0.52209968586014455</v>
      </c>
      <c r="AL108" s="499">
        <f ca="1"/>
        <v>0</v>
      </c>
      <c r="AM108" s="498">
        <f ca="1"/>
        <v>4.3141524840029088E-5</v>
      </c>
      <c r="AN108" s="587">
        <f ca="1"/>
        <v>2.0342794992012775E-4</v>
      </c>
      <c r="AO108" s="587">
        <f ca="1"/>
        <v>8.5892232741038854E-4</v>
      </c>
      <c r="AP108" s="587">
        <f ca="1"/>
        <v>0.13502493538374033</v>
      </c>
      <c r="AQ108" s="499">
        <f ca="1"/>
        <v>0</v>
      </c>
      <c r="AR108" s="582"/>
      <c r="AS108" s="582"/>
      <c r="AT108" s="582"/>
      <c r="AU108" s="582"/>
      <c r="AV108" s="582"/>
      <c r="AW108" s="582"/>
      <c r="AX108" s="581"/>
    </row>
    <row r="109" spans="2:50">
      <c r="B109" s="541" t="s">
        <v>538</v>
      </c>
      <c r="C109" s="542" t="s">
        <v>66</v>
      </c>
      <c r="D109" s="542" t="s">
        <v>55</v>
      </c>
      <c r="E109" s="542" t="s">
        <v>649</v>
      </c>
      <c r="F109" s="542" t="s">
        <v>648</v>
      </c>
      <c r="G109" s="543">
        <v>0.01</v>
      </c>
      <c r="H109" s="543">
        <v>2.9680000000000002E-3</v>
      </c>
      <c r="I109" s="544">
        <v>0.4</v>
      </c>
      <c r="J109" s="604">
        <v>4</v>
      </c>
      <c r="K109" s="545">
        <v>29</v>
      </c>
      <c r="L109" s="273"/>
      <c r="M109" s="273"/>
      <c r="P109" s="274"/>
      <c r="Q109" s="274"/>
      <c r="R109" s="274"/>
      <c r="S109" s="274"/>
      <c r="T109" s="578">
        <f ca="1"/>
        <v>0.15</v>
      </c>
      <c r="U109" s="575">
        <f ca="1"/>
        <v>101</v>
      </c>
      <c r="V109" s="578">
        <f t="shared" ca="1" si="14"/>
        <v>0</v>
      </c>
      <c r="W109" s="578">
        <f t="shared" ca="1" si="15"/>
        <v>0</v>
      </c>
      <c r="X109" s="486" t="str">
        <f ca="1">IF('CDO Bespoke'!O110&lt;&gt;"",'CDO Bespoke'!O110,"")</f>
        <v/>
      </c>
      <c r="Y109" s="487" t="str">
        <f ca="1">IF(X109&lt;&gt;"",ABS(MIN(-0.75*('CDO Bespoke'!Q110)+'CDO Bespoke'!T110,0)),"")</f>
        <v/>
      </c>
      <c r="Z109" s="487">
        <f t="shared" ca="1" si="10"/>
        <v>0</v>
      </c>
      <c r="AA109" s="487">
        <f t="shared" ca="1" si="11"/>
        <v>0</v>
      </c>
      <c r="AB109" s="486" t="str">
        <f ca="1">IF('CDO Bespoke'!O110&lt;&gt;"",'CDO Bespoke'!O110,"")</f>
        <v/>
      </c>
      <c r="AC109" s="487" t="str">
        <f ca="1">IF(AB109&lt;&gt;"",ABS(MIN(-0.75*('CDO Bespoke'!K110)+'CDO Bespoke'!T110,0)),"")</f>
        <v/>
      </c>
      <c r="AD109" s="487">
        <f t="shared" ca="1" si="12"/>
        <v>0</v>
      </c>
      <c r="AE109" s="491">
        <f t="shared" ca="1" si="13"/>
        <v>0</v>
      </c>
      <c r="AF109" s="273"/>
      <c r="AG109" s="496" t="str">
        <f ca="1">IF('CDO Bespoke'!C134&lt;&gt;"",'CDO Bespoke'!C134,"")</f>
        <v/>
      </c>
      <c r="AH109" s="498"/>
      <c r="AI109" s="587"/>
      <c r="AJ109" s="587"/>
      <c r="AK109" s="587"/>
      <c r="AL109" s="499"/>
      <c r="AM109" s="498"/>
      <c r="AN109" s="587"/>
      <c r="AO109" s="587"/>
      <c r="AP109" s="587"/>
      <c r="AQ109" s="499"/>
      <c r="AR109" s="582"/>
      <c r="AS109" s="582"/>
      <c r="AT109" s="582"/>
      <c r="AU109" s="582"/>
      <c r="AV109" s="582"/>
      <c r="AW109" s="582"/>
      <c r="AX109" s="581"/>
    </row>
    <row r="110" spans="2:50">
      <c r="B110" s="519" t="s">
        <v>538</v>
      </c>
      <c r="C110" s="520" t="s">
        <v>66</v>
      </c>
      <c r="D110" s="520" t="s">
        <v>57</v>
      </c>
      <c r="E110" s="520" t="s">
        <v>649</v>
      </c>
      <c r="F110" s="520" t="s">
        <v>648</v>
      </c>
      <c r="G110" s="527">
        <v>0.01</v>
      </c>
      <c r="H110" s="527">
        <v>4.8170000000000001E-3</v>
      </c>
      <c r="I110" s="529">
        <v>0.4</v>
      </c>
      <c r="J110" s="596">
        <v>4</v>
      </c>
      <c r="K110" s="521">
        <v>29</v>
      </c>
      <c r="L110" s="273"/>
      <c r="M110" s="273"/>
      <c r="P110" s="274"/>
      <c r="Q110" s="274"/>
      <c r="R110" s="274"/>
      <c r="S110" s="274"/>
      <c r="T110" s="578">
        <f ca="1"/>
        <v>0.15</v>
      </c>
      <c r="U110" s="575">
        <f ca="1"/>
        <v>102</v>
      </c>
      <c r="V110" s="578">
        <f t="shared" ca="1" si="14"/>
        <v>0</v>
      </c>
      <c r="W110" s="578">
        <f t="shared" ca="1" si="15"/>
        <v>0</v>
      </c>
      <c r="X110" s="486" t="str">
        <f ca="1">IF('CDO Bespoke'!O111&lt;&gt;"",'CDO Bespoke'!O111,"")</f>
        <v/>
      </c>
      <c r="Y110" s="487" t="str">
        <f ca="1">IF(X110&lt;&gt;"",ABS(MIN(-0.75*('CDO Bespoke'!Q111)+'CDO Bespoke'!T111,0)),"")</f>
        <v/>
      </c>
      <c r="Z110" s="487">
        <f t="shared" ca="1" si="10"/>
        <v>0</v>
      </c>
      <c r="AA110" s="487">
        <f t="shared" ca="1" si="11"/>
        <v>0</v>
      </c>
      <c r="AB110" s="486" t="str">
        <f ca="1">IF('CDO Bespoke'!O111&lt;&gt;"",'CDO Bespoke'!O111,"")</f>
        <v/>
      </c>
      <c r="AC110" s="487" t="str">
        <f ca="1">IF(AB110&lt;&gt;"",ABS(MIN(-0.75*('CDO Bespoke'!K111)+'CDO Bespoke'!T111,0)),"")</f>
        <v/>
      </c>
      <c r="AD110" s="487">
        <f t="shared" ca="1" si="12"/>
        <v>0</v>
      </c>
      <c r="AE110" s="491">
        <f t="shared" ca="1" si="13"/>
        <v>0</v>
      </c>
      <c r="AF110" s="273"/>
      <c r="AG110" s="496" t="str">
        <f ca="1">IF('CDO Bespoke'!C135&lt;&gt;"",'CDO Bespoke'!C135,"")</f>
        <v/>
      </c>
      <c r="AH110" s="498"/>
      <c r="AI110" s="587"/>
      <c r="AJ110" s="587"/>
      <c r="AK110" s="587"/>
      <c r="AL110" s="499"/>
      <c r="AM110" s="498"/>
      <c r="AN110" s="587"/>
      <c r="AO110" s="587"/>
      <c r="AP110" s="587"/>
      <c r="AQ110" s="499"/>
      <c r="AR110" s="582"/>
      <c r="AS110" s="582"/>
      <c r="AT110" s="582"/>
      <c r="AU110" s="582"/>
      <c r="AV110" s="582"/>
      <c r="AW110" s="582"/>
      <c r="AX110" s="581"/>
    </row>
    <row r="111" spans="2:50">
      <c r="B111" s="536" t="s">
        <v>538</v>
      </c>
      <c r="C111" s="537" t="s">
        <v>66</v>
      </c>
      <c r="D111" s="537" t="s">
        <v>59</v>
      </c>
      <c r="E111" s="537" t="s">
        <v>649</v>
      </c>
      <c r="F111" s="537" t="s">
        <v>648</v>
      </c>
      <c r="G111" s="538">
        <v>0.01</v>
      </c>
      <c r="H111" s="538">
        <v>7.1079999999999997E-3</v>
      </c>
      <c r="I111" s="539">
        <v>0.4</v>
      </c>
      <c r="J111" s="597">
        <v>4</v>
      </c>
      <c r="K111" s="540">
        <v>29</v>
      </c>
      <c r="L111" s="273"/>
      <c r="M111" s="273"/>
      <c r="P111" s="274"/>
      <c r="Q111" s="274"/>
      <c r="R111" s="274"/>
      <c r="S111" s="274"/>
      <c r="T111" s="578">
        <f ca="1"/>
        <v>0.15</v>
      </c>
      <c r="U111" s="575">
        <f ca="1"/>
        <v>103</v>
      </c>
      <c r="V111" s="578">
        <f t="shared" ca="1" si="14"/>
        <v>0</v>
      </c>
      <c r="W111" s="578">
        <f t="shared" ca="1" si="15"/>
        <v>0</v>
      </c>
      <c r="X111" s="486" t="str">
        <f ca="1">IF('CDO Bespoke'!O112&lt;&gt;"",'CDO Bespoke'!O112,"")</f>
        <v/>
      </c>
      <c r="Y111" s="487" t="str">
        <f ca="1">IF(X111&lt;&gt;"",ABS(MIN(-0.75*('CDO Bespoke'!Q112)+'CDO Bespoke'!T112,0)),"")</f>
        <v/>
      </c>
      <c r="Z111" s="487">
        <f t="shared" ca="1" si="10"/>
        <v>0</v>
      </c>
      <c r="AA111" s="487">
        <f t="shared" ca="1" si="11"/>
        <v>0</v>
      </c>
      <c r="AB111" s="486" t="str">
        <f ca="1">IF('CDO Bespoke'!O112&lt;&gt;"",'CDO Bespoke'!O112,"")</f>
        <v/>
      </c>
      <c r="AC111" s="487" t="str">
        <f ca="1">IF(AB111&lt;&gt;"",ABS(MIN(-0.75*('CDO Bespoke'!K112)+'CDO Bespoke'!T112,0)),"")</f>
        <v/>
      </c>
      <c r="AD111" s="487">
        <f t="shared" ca="1" si="12"/>
        <v>0</v>
      </c>
      <c r="AE111" s="491">
        <f t="shared" ca="1" si="13"/>
        <v>0</v>
      </c>
      <c r="AF111" s="273"/>
      <c r="AG111" s="496" t="str">
        <f ca="1">IF('CDO Bespoke'!C136&lt;&gt;"",'CDO Bespoke'!C136,"")</f>
        <v/>
      </c>
      <c r="AH111" s="498"/>
      <c r="AI111" s="587"/>
      <c r="AJ111" s="587"/>
      <c r="AK111" s="587"/>
      <c r="AL111" s="499"/>
      <c r="AM111" s="498"/>
      <c r="AN111" s="587"/>
      <c r="AO111" s="587"/>
      <c r="AP111" s="587"/>
      <c r="AQ111" s="499"/>
      <c r="AR111" s="582"/>
      <c r="AS111" s="582"/>
      <c r="AT111" s="582"/>
      <c r="AU111" s="582"/>
      <c r="AV111" s="582"/>
      <c r="AW111" s="582"/>
      <c r="AX111" s="581"/>
    </row>
    <row r="112" spans="2:50">
      <c r="B112" s="541" t="s">
        <v>539</v>
      </c>
      <c r="C112" s="542" t="s">
        <v>66</v>
      </c>
      <c r="D112" s="542" t="s">
        <v>55</v>
      </c>
      <c r="E112" s="542" t="s">
        <v>649</v>
      </c>
      <c r="F112" s="542" t="s">
        <v>675</v>
      </c>
      <c r="G112" s="543">
        <v>0.01</v>
      </c>
      <c r="H112" s="543">
        <v>5.1580000000000003E-3</v>
      </c>
      <c r="I112" s="544">
        <v>0.4</v>
      </c>
      <c r="J112" s="604">
        <v>4</v>
      </c>
      <c r="K112" s="545">
        <v>30</v>
      </c>
      <c r="L112" s="273"/>
      <c r="M112" s="273"/>
      <c r="P112" s="274"/>
      <c r="Q112" s="274"/>
      <c r="R112" s="274"/>
      <c r="S112" s="274"/>
      <c r="T112" s="578">
        <f ca="1"/>
        <v>0.15</v>
      </c>
      <c r="U112" s="575">
        <f ca="1"/>
        <v>104</v>
      </c>
      <c r="V112" s="578">
        <f t="shared" ca="1" si="14"/>
        <v>0</v>
      </c>
      <c r="W112" s="578">
        <f t="shared" ca="1" si="15"/>
        <v>0</v>
      </c>
      <c r="X112" s="486" t="str">
        <f ca="1">IF('CDO Bespoke'!O113&lt;&gt;"",'CDO Bespoke'!O113,"")</f>
        <v/>
      </c>
      <c r="Y112" s="487" t="str">
        <f ca="1">IF(X112&lt;&gt;"",ABS(MIN(-0.75*('CDO Bespoke'!Q113)+'CDO Bespoke'!T113,0)),"")</f>
        <v/>
      </c>
      <c r="Z112" s="487">
        <f t="shared" ca="1" si="10"/>
        <v>0</v>
      </c>
      <c r="AA112" s="487">
        <f t="shared" ca="1" si="11"/>
        <v>0</v>
      </c>
      <c r="AB112" s="486" t="str">
        <f ca="1">IF('CDO Bespoke'!O113&lt;&gt;"",'CDO Bespoke'!O113,"")</f>
        <v/>
      </c>
      <c r="AC112" s="487" t="str">
        <f ca="1">IF(AB112&lt;&gt;"",ABS(MIN(-0.75*('CDO Bespoke'!K113)+'CDO Bespoke'!T113,0)),"")</f>
        <v/>
      </c>
      <c r="AD112" s="487">
        <f t="shared" ca="1" si="12"/>
        <v>0</v>
      </c>
      <c r="AE112" s="491">
        <f t="shared" ca="1" si="13"/>
        <v>0</v>
      </c>
      <c r="AF112" s="273"/>
      <c r="AG112" s="496" t="str">
        <f ca="1">IF('CDO Bespoke'!C137&lt;&gt;"",'CDO Bespoke'!C137,"")</f>
        <v/>
      </c>
      <c r="AH112" s="498"/>
      <c r="AI112" s="587"/>
      <c r="AJ112" s="587"/>
      <c r="AK112" s="587"/>
      <c r="AL112" s="499"/>
      <c r="AM112" s="498"/>
      <c r="AN112" s="587"/>
      <c r="AO112" s="587"/>
      <c r="AP112" s="587"/>
      <c r="AQ112" s="499"/>
      <c r="AR112" s="582"/>
      <c r="AS112" s="582"/>
      <c r="AT112" s="582"/>
      <c r="AU112" s="582"/>
      <c r="AV112" s="582"/>
      <c r="AW112" s="582"/>
      <c r="AX112" s="581"/>
    </row>
    <row r="113" spans="2:50">
      <c r="B113" s="519" t="s">
        <v>539</v>
      </c>
      <c r="C113" s="520" t="s">
        <v>66</v>
      </c>
      <c r="D113" s="520" t="s">
        <v>57</v>
      </c>
      <c r="E113" s="520" t="s">
        <v>649</v>
      </c>
      <c r="F113" s="520" t="s">
        <v>675</v>
      </c>
      <c r="G113" s="527">
        <v>0.01</v>
      </c>
      <c r="H113" s="527">
        <v>8.1840000000000003E-3</v>
      </c>
      <c r="I113" s="529">
        <v>0.4</v>
      </c>
      <c r="J113" s="596">
        <v>4</v>
      </c>
      <c r="K113" s="521">
        <v>30</v>
      </c>
      <c r="L113" s="273"/>
      <c r="M113" s="273"/>
      <c r="P113" s="274"/>
      <c r="Q113" s="274"/>
      <c r="R113" s="274"/>
      <c r="S113" s="274"/>
      <c r="T113" s="578">
        <f ca="1"/>
        <v>0.15</v>
      </c>
      <c r="U113" s="575">
        <f ca="1"/>
        <v>105</v>
      </c>
      <c r="V113" s="578">
        <f t="shared" ca="1" si="14"/>
        <v>0</v>
      </c>
      <c r="W113" s="578">
        <f t="shared" ca="1" si="15"/>
        <v>0</v>
      </c>
      <c r="X113" s="486" t="str">
        <f ca="1">IF('CDO Bespoke'!O114&lt;&gt;"",'CDO Bespoke'!O114,"")</f>
        <v/>
      </c>
      <c r="Y113" s="487" t="str">
        <f ca="1">IF(X113&lt;&gt;"",ABS(MIN(-0.75*('CDO Bespoke'!Q114)+'CDO Bespoke'!T114,0)),"")</f>
        <v/>
      </c>
      <c r="Z113" s="487">
        <f t="shared" ca="1" si="10"/>
        <v>0</v>
      </c>
      <c r="AA113" s="487">
        <f t="shared" ca="1" si="11"/>
        <v>0</v>
      </c>
      <c r="AB113" s="486" t="str">
        <f ca="1">IF('CDO Bespoke'!O114&lt;&gt;"",'CDO Bespoke'!O114,"")</f>
        <v/>
      </c>
      <c r="AC113" s="487" t="str">
        <f ca="1">IF(AB113&lt;&gt;"",ABS(MIN(-0.75*('CDO Bespoke'!K114)+'CDO Bespoke'!T114,0)),"")</f>
        <v/>
      </c>
      <c r="AD113" s="487">
        <f t="shared" ca="1" si="12"/>
        <v>0</v>
      </c>
      <c r="AE113" s="491">
        <f t="shared" ca="1" si="13"/>
        <v>0</v>
      </c>
      <c r="AF113" s="273"/>
      <c r="AG113" s="496" t="str">
        <f ca="1">IF('CDO Bespoke'!C138&lt;&gt;"",'CDO Bespoke'!C138,"")</f>
        <v/>
      </c>
      <c r="AH113" s="498"/>
      <c r="AI113" s="587"/>
      <c r="AJ113" s="587"/>
      <c r="AK113" s="587"/>
      <c r="AL113" s="499"/>
      <c r="AM113" s="498"/>
      <c r="AN113" s="587"/>
      <c r="AO113" s="587"/>
      <c r="AP113" s="587"/>
      <c r="AQ113" s="499"/>
      <c r="AR113" s="582"/>
      <c r="AS113" s="582"/>
      <c r="AT113" s="582"/>
      <c r="AU113" s="582"/>
      <c r="AV113" s="582"/>
      <c r="AW113" s="582"/>
      <c r="AX113" s="581"/>
    </row>
    <row r="114" spans="2:50">
      <c r="B114" s="536" t="s">
        <v>539</v>
      </c>
      <c r="C114" s="537" t="s">
        <v>66</v>
      </c>
      <c r="D114" s="537" t="s">
        <v>59</v>
      </c>
      <c r="E114" s="537" t="s">
        <v>649</v>
      </c>
      <c r="F114" s="537" t="s">
        <v>675</v>
      </c>
      <c r="G114" s="538">
        <v>0.01</v>
      </c>
      <c r="H114" s="538">
        <v>1.0449999999999999E-2</v>
      </c>
      <c r="I114" s="539">
        <v>0.4</v>
      </c>
      <c r="J114" s="597">
        <v>4</v>
      </c>
      <c r="K114" s="540">
        <v>30</v>
      </c>
      <c r="L114" s="273"/>
      <c r="M114" s="273"/>
      <c r="P114" s="274"/>
      <c r="Q114" s="274"/>
      <c r="R114" s="274"/>
      <c r="S114" s="274"/>
      <c r="T114" s="578">
        <f ca="1"/>
        <v>0.15</v>
      </c>
      <c r="U114" s="575">
        <f ca="1"/>
        <v>106</v>
      </c>
      <c r="V114" s="578">
        <f t="shared" ca="1" si="14"/>
        <v>0</v>
      </c>
      <c r="W114" s="578">
        <f t="shared" ca="1" si="15"/>
        <v>0</v>
      </c>
      <c r="X114" s="486" t="str">
        <f ca="1">IF('CDO Bespoke'!O115&lt;&gt;"",'CDO Bespoke'!O115,"")</f>
        <v/>
      </c>
      <c r="Y114" s="487" t="str">
        <f ca="1">IF(X114&lt;&gt;"",ABS(MIN(-0.75*('CDO Bespoke'!Q115)+'CDO Bespoke'!T115,0)),"")</f>
        <v/>
      </c>
      <c r="Z114" s="487">
        <f t="shared" ca="1" si="10"/>
        <v>0</v>
      </c>
      <c r="AA114" s="487">
        <f t="shared" ca="1" si="11"/>
        <v>0</v>
      </c>
      <c r="AB114" s="486" t="str">
        <f ca="1">IF('CDO Bespoke'!O115&lt;&gt;"",'CDO Bespoke'!O115,"")</f>
        <v/>
      </c>
      <c r="AC114" s="487" t="str">
        <f ca="1">IF(AB114&lt;&gt;"",ABS(MIN(-0.75*('CDO Bespoke'!K115)+'CDO Bespoke'!T115,0)),"")</f>
        <v/>
      </c>
      <c r="AD114" s="487">
        <f t="shared" ca="1" si="12"/>
        <v>0</v>
      </c>
      <c r="AE114" s="491">
        <f t="shared" ca="1" si="13"/>
        <v>0</v>
      </c>
      <c r="AF114" s="273"/>
      <c r="AG114" s="496" t="str">
        <f ca="1">IF('CDO Bespoke'!C139&lt;&gt;"",'CDO Bespoke'!C139,"")</f>
        <v/>
      </c>
      <c r="AH114" s="498"/>
      <c r="AI114" s="587"/>
      <c r="AJ114" s="587"/>
      <c r="AK114" s="587"/>
      <c r="AL114" s="499"/>
      <c r="AM114" s="498"/>
      <c r="AN114" s="587"/>
      <c r="AO114" s="587"/>
      <c r="AP114" s="587"/>
      <c r="AQ114" s="499"/>
      <c r="AR114" s="582"/>
      <c r="AS114" s="582"/>
      <c r="AT114" s="582"/>
      <c r="AU114" s="582"/>
      <c r="AV114" s="582"/>
      <c r="AW114" s="582"/>
      <c r="AX114" s="581"/>
    </row>
    <row r="115" spans="2:50">
      <c r="B115" s="541" t="s">
        <v>540</v>
      </c>
      <c r="C115" s="542" t="s">
        <v>66</v>
      </c>
      <c r="D115" s="542" t="s">
        <v>55</v>
      </c>
      <c r="E115" s="542" t="s">
        <v>649</v>
      </c>
      <c r="F115" s="542" t="s">
        <v>673</v>
      </c>
      <c r="G115" s="543">
        <v>0.01</v>
      </c>
      <c r="H115" s="543">
        <v>5.8869999999999999E-3</v>
      </c>
      <c r="I115" s="544">
        <v>0.4</v>
      </c>
      <c r="J115" s="604">
        <v>5</v>
      </c>
      <c r="K115" s="545">
        <v>31</v>
      </c>
      <c r="L115" s="273"/>
      <c r="M115" s="273"/>
      <c r="P115" s="274"/>
      <c r="Q115" s="274"/>
      <c r="R115" s="274"/>
      <c r="S115" s="274"/>
      <c r="T115" s="578">
        <f ca="1"/>
        <v>0.15</v>
      </c>
      <c r="U115" s="575">
        <f ca="1"/>
        <v>107</v>
      </c>
      <c r="V115" s="578">
        <f t="shared" ca="1" si="14"/>
        <v>0</v>
      </c>
      <c r="W115" s="578">
        <f t="shared" ca="1" si="15"/>
        <v>0</v>
      </c>
      <c r="X115" s="486" t="str">
        <f ca="1">IF('CDO Bespoke'!O116&lt;&gt;"",'CDO Bespoke'!O116,"")</f>
        <v/>
      </c>
      <c r="Y115" s="487" t="str">
        <f ca="1">IF(X115&lt;&gt;"",ABS(MIN(-0.75*('CDO Bespoke'!Q116)+'CDO Bespoke'!T116,0)),"")</f>
        <v/>
      </c>
      <c r="Z115" s="487">
        <f t="shared" ca="1" si="10"/>
        <v>0</v>
      </c>
      <c r="AA115" s="487">
        <f t="shared" ca="1" si="11"/>
        <v>0</v>
      </c>
      <c r="AB115" s="486" t="str">
        <f ca="1">IF('CDO Bespoke'!O116&lt;&gt;"",'CDO Bespoke'!O116,"")</f>
        <v/>
      </c>
      <c r="AC115" s="487" t="str">
        <f ca="1">IF(AB115&lt;&gt;"",ABS(MIN(-0.75*('CDO Bespoke'!K116)+'CDO Bespoke'!T116,0)),"")</f>
        <v/>
      </c>
      <c r="AD115" s="487">
        <f t="shared" ca="1" si="12"/>
        <v>0</v>
      </c>
      <c r="AE115" s="491">
        <f t="shared" ca="1" si="13"/>
        <v>0</v>
      </c>
      <c r="AF115" s="273"/>
      <c r="AG115" s="496" t="str">
        <f ca="1">IF('CDO Bespoke'!C140&lt;&gt;"",'CDO Bespoke'!C140,"")</f>
        <v/>
      </c>
      <c r="AH115" s="498"/>
      <c r="AI115" s="587"/>
      <c r="AJ115" s="587"/>
      <c r="AK115" s="587"/>
      <c r="AL115" s="499"/>
      <c r="AM115" s="498"/>
      <c r="AN115" s="587"/>
      <c r="AO115" s="587"/>
      <c r="AP115" s="587"/>
      <c r="AQ115" s="499"/>
      <c r="AR115" s="582"/>
      <c r="AS115" s="582"/>
      <c r="AT115" s="582"/>
      <c r="AU115" s="582"/>
      <c r="AV115" s="582"/>
      <c r="AW115" s="582"/>
      <c r="AX115" s="581"/>
    </row>
    <row r="116" spans="2:50">
      <c r="B116" s="519" t="s">
        <v>540</v>
      </c>
      <c r="C116" s="520" t="s">
        <v>66</v>
      </c>
      <c r="D116" s="520" t="s">
        <v>57</v>
      </c>
      <c r="E116" s="520" t="s">
        <v>649</v>
      </c>
      <c r="F116" s="520" t="s">
        <v>673</v>
      </c>
      <c r="G116" s="527">
        <v>0.01</v>
      </c>
      <c r="H116" s="527">
        <v>1.0245000000000001E-2</v>
      </c>
      <c r="I116" s="529">
        <v>0.4</v>
      </c>
      <c r="J116" s="596">
        <v>5</v>
      </c>
      <c r="K116" s="521">
        <v>31</v>
      </c>
      <c r="L116" s="273"/>
      <c r="M116" s="273"/>
      <c r="P116" s="274"/>
      <c r="Q116" s="274"/>
      <c r="R116" s="274"/>
      <c r="S116" s="274"/>
      <c r="T116" s="578">
        <f ca="1"/>
        <v>0.15</v>
      </c>
      <c r="U116" s="575">
        <f ca="1"/>
        <v>108</v>
      </c>
      <c r="V116" s="578">
        <f t="shared" ca="1" si="14"/>
        <v>0</v>
      </c>
      <c r="W116" s="578">
        <f t="shared" ca="1" si="15"/>
        <v>0</v>
      </c>
      <c r="X116" s="486" t="str">
        <f ca="1">IF('CDO Bespoke'!O117&lt;&gt;"",'CDO Bespoke'!O117,"")</f>
        <v/>
      </c>
      <c r="Y116" s="487" t="str">
        <f ca="1">IF(X116&lt;&gt;"",ABS(MIN(-0.75*('CDO Bespoke'!Q117)+'CDO Bespoke'!T117,0)),"")</f>
        <v/>
      </c>
      <c r="Z116" s="487">
        <f t="shared" ca="1" si="10"/>
        <v>0</v>
      </c>
      <c r="AA116" s="487">
        <f t="shared" ca="1" si="11"/>
        <v>0</v>
      </c>
      <c r="AB116" s="486" t="str">
        <f ca="1">IF('CDO Bespoke'!O117&lt;&gt;"",'CDO Bespoke'!O117,"")</f>
        <v/>
      </c>
      <c r="AC116" s="487" t="str">
        <f ca="1">IF(AB116&lt;&gt;"",ABS(MIN(-0.75*('CDO Bespoke'!K117)+'CDO Bespoke'!T117,0)),"")</f>
        <v/>
      </c>
      <c r="AD116" s="487">
        <f t="shared" ca="1" si="12"/>
        <v>0</v>
      </c>
      <c r="AE116" s="491">
        <f t="shared" ca="1" si="13"/>
        <v>0</v>
      </c>
      <c r="AF116" s="273"/>
      <c r="AG116" s="496" t="str">
        <f ca="1">IF('CDO Bespoke'!C141&lt;&gt;"",'CDO Bespoke'!C141,"")</f>
        <v/>
      </c>
      <c r="AH116" s="498"/>
      <c r="AI116" s="587"/>
      <c r="AJ116" s="587"/>
      <c r="AK116" s="587"/>
      <c r="AL116" s="499"/>
      <c r="AM116" s="498"/>
      <c r="AN116" s="587"/>
      <c r="AO116" s="587"/>
      <c r="AP116" s="587"/>
      <c r="AQ116" s="499"/>
      <c r="AR116" s="582"/>
      <c r="AS116" s="582"/>
      <c r="AT116" s="582"/>
      <c r="AU116" s="582"/>
      <c r="AV116" s="582"/>
      <c r="AW116" s="582"/>
      <c r="AX116" s="581"/>
    </row>
    <row r="117" spans="2:50">
      <c r="B117" s="536" t="s">
        <v>540</v>
      </c>
      <c r="C117" s="537" t="s">
        <v>66</v>
      </c>
      <c r="D117" s="537" t="s">
        <v>59</v>
      </c>
      <c r="E117" s="537" t="s">
        <v>649</v>
      </c>
      <c r="F117" s="537" t="s">
        <v>673</v>
      </c>
      <c r="G117" s="538">
        <v>0.01</v>
      </c>
      <c r="H117" s="538">
        <v>1.4839E-2</v>
      </c>
      <c r="I117" s="539">
        <v>0.4</v>
      </c>
      <c r="J117" s="597">
        <v>5</v>
      </c>
      <c r="K117" s="540">
        <v>31</v>
      </c>
      <c r="L117" s="273"/>
      <c r="M117" s="273"/>
      <c r="P117" s="274"/>
      <c r="Q117" s="274"/>
      <c r="R117" s="274"/>
      <c r="S117" s="274"/>
      <c r="T117" s="578">
        <f ca="1"/>
        <v>0.15</v>
      </c>
      <c r="U117" s="575">
        <f ca="1"/>
        <v>109</v>
      </c>
      <c r="V117" s="578">
        <f t="shared" ca="1" si="14"/>
        <v>0</v>
      </c>
      <c r="W117" s="578">
        <f t="shared" ca="1" si="15"/>
        <v>0</v>
      </c>
      <c r="X117" s="486" t="str">
        <f ca="1">IF('CDO Bespoke'!O118&lt;&gt;"",'CDO Bespoke'!O118,"")</f>
        <v/>
      </c>
      <c r="Y117" s="487" t="str">
        <f ca="1">IF(X117&lt;&gt;"",ABS(MIN(-0.75*('CDO Bespoke'!Q118)+'CDO Bespoke'!T118,0)),"")</f>
        <v/>
      </c>
      <c r="Z117" s="487">
        <f t="shared" ca="1" si="10"/>
        <v>0</v>
      </c>
      <c r="AA117" s="487">
        <f t="shared" ca="1" si="11"/>
        <v>0</v>
      </c>
      <c r="AB117" s="486" t="str">
        <f ca="1">IF('CDO Bespoke'!O118&lt;&gt;"",'CDO Bespoke'!O118,"")</f>
        <v/>
      </c>
      <c r="AC117" s="487" t="str">
        <f ca="1">IF(AB117&lt;&gt;"",ABS(MIN(-0.75*('CDO Bespoke'!K118)+'CDO Bespoke'!T118,0)),"")</f>
        <v/>
      </c>
      <c r="AD117" s="487">
        <f t="shared" ca="1" si="12"/>
        <v>0</v>
      </c>
      <c r="AE117" s="491">
        <f t="shared" ca="1" si="13"/>
        <v>0</v>
      </c>
      <c r="AF117" s="273"/>
      <c r="AG117" s="496" t="str">
        <f ca="1">IF('CDO Bespoke'!C142&lt;&gt;"",'CDO Bespoke'!C142,"")</f>
        <v/>
      </c>
      <c r="AH117" s="498"/>
      <c r="AI117" s="587"/>
      <c r="AJ117" s="587"/>
      <c r="AK117" s="587"/>
      <c r="AL117" s="499"/>
      <c r="AM117" s="498"/>
      <c r="AN117" s="587"/>
      <c r="AO117" s="587"/>
      <c r="AP117" s="587"/>
      <c r="AQ117" s="499"/>
      <c r="AR117" s="582"/>
      <c r="AS117" s="582"/>
      <c r="AT117" s="582"/>
      <c r="AU117" s="582"/>
      <c r="AV117" s="582"/>
      <c r="AW117" s="582"/>
      <c r="AX117" s="581"/>
    </row>
    <row r="118" spans="2:50">
      <c r="B118" s="541" t="s">
        <v>525</v>
      </c>
      <c r="C118" s="542" t="s">
        <v>66</v>
      </c>
      <c r="D118" s="542" t="s">
        <v>55</v>
      </c>
      <c r="E118" s="542" t="s">
        <v>649</v>
      </c>
      <c r="F118" s="542" t="s">
        <v>675</v>
      </c>
      <c r="G118" s="543">
        <v>0.01</v>
      </c>
      <c r="H118" s="543">
        <v>4.9649999999999998E-3</v>
      </c>
      <c r="I118" s="544">
        <v>0.4</v>
      </c>
      <c r="J118" s="604">
        <v>4</v>
      </c>
      <c r="K118" s="545">
        <v>32</v>
      </c>
      <c r="L118" s="273"/>
      <c r="M118" s="273"/>
      <c r="P118" s="274"/>
      <c r="Q118" s="274"/>
      <c r="R118" s="274"/>
      <c r="S118" s="274"/>
      <c r="T118" s="578">
        <f ca="1"/>
        <v>0.15</v>
      </c>
      <c r="U118" s="575">
        <f ca="1"/>
        <v>110</v>
      </c>
      <c r="V118" s="578">
        <f t="shared" ca="1" si="14"/>
        <v>0</v>
      </c>
      <c r="W118" s="578">
        <f t="shared" ca="1" si="15"/>
        <v>0</v>
      </c>
      <c r="X118" s="486" t="str">
        <f ca="1">IF('CDO Bespoke'!O119&lt;&gt;"",'CDO Bespoke'!O119,"")</f>
        <v/>
      </c>
      <c r="Y118" s="487" t="str">
        <f ca="1">IF(X118&lt;&gt;"",ABS(MIN(-0.75*('CDO Bespoke'!Q119)+'CDO Bespoke'!T119,0)),"")</f>
        <v/>
      </c>
      <c r="Z118" s="487">
        <f t="shared" ca="1" si="10"/>
        <v>0</v>
      </c>
      <c r="AA118" s="487">
        <f t="shared" ca="1" si="11"/>
        <v>0</v>
      </c>
      <c r="AB118" s="486" t="str">
        <f ca="1">IF('CDO Bespoke'!O119&lt;&gt;"",'CDO Bespoke'!O119,"")</f>
        <v/>
      </c>
      <c r="AC118" s="487" t="str">
        <f ca="1">IF(AB118&lt;&gt;"",ABS(MIN(-0.75*('CDO Bespoke'!K119)+'CDO Bespoke'!T119,0)),"")</f>
        <v/>
      </c>
      <c r="AD118" s="487">
        <f t="shared" ca="1" si="12"/>
        <v>0</v>
      </c>
      <c r="AE118" s="491">
        <f t="shared" ca="1" si="13"/>
        <v>0</v>
      </c>
      <c r="AF118" s="273"/>
      <c r="AG118" s="496" t="str">
        <f ca="1">IF('CDO Bespoke'!C143&lt;&gt;"",'CDO Bespoke'!C143,"")</f>
        <v/>
      </c>
      <c r="AH118" s="498"/>
      <c r="AI118" s="587"/>
      <c r="AJ118" s="587"/>
      <c r="AK118" s="587"/>
      <c r="AL118" s="499"/>
      <c r="AM118" s="498"/>
      <c r="AN118" s="587"/>
      <c r="AO118" s="587"/>
      <c r="AP118" s="587"/>
      <c r="AQ118" s="499"/>
      <c r="AR118" s="582"/>
      <c r="AS118" s="582"/>
      <c r="AT118" s="582"/>
      <c r="AU118" s="582"/>
      <c r="AV118" s="582"/>
      <c r="AW118" s="582"/>
      <c r="AX118" s="581"/>
    </row>
    <row r="119" spans="2:50">
      <c r="B119" s="519" t="s">
        <v>525</v>
      </c>
      <c r="C119" s="520" t="s">
        <v>66</v>
      </c>
      <c r="D119" s="520" t="s">
        <v>57</v>
      </c>
      <c r="E119" s="520" t="s">
        <v>649</v>
      </c>
      <c r="F119" s="520" t="s">
        <v>675</v>
      </c>
      <c r="G119" s="527">
        <v>0.01</v>
      </c>
      <c r="H119" s="527">
        <v>8.1279999999999998E-3</v>
      </c>
      <c r="I119" s="529">
        <v>0.4</v>
      </c>
      <c r="J119" s="596">
        <v>4</v>
      </c>
      <c r="K119" s="521">
        <v>32</v>
      </c>
      <c r="L119" s="273"/>
      <c r="M119" s="273"/>
      <c r="P119" s="274"/>
      <c r="Q119" s="274"/>
      <c r="R119" s="274"/>
      <c r="S119" s="274"/>
      <c r="T119" s="578">
        <f ca="1"/>
        <v>0.15</v>
      </c>
      <c r="U119" s="575">
        <f ca="1"/>
        <v>111</v>
      </c>
      <c r="V119" s="578">
        <f t="shared" ca="1" si="14"/>
        <v>0</v>
      </c>
      <c r="W119" s="578">
        <f t="shared" ca="1" si="15"/>
        <v>0</v>
      </c>
      <c r="X119" s="486" t="str">
        <f ca="1">IF('CDO Bespoke'!O120&lt;&gt;"",'CDO Bespoke'!O120,"")</f>
        <v/>
      </c>
      <c r="Y119" s="487" t="str">
        <f ca="1">IF(X119&lt;&gt;"",ABS(MIN(-0.75*('CDO Bespoke'!Q120)+'CDO Bespoke'!T120,0)),"")</f>
        <v/>
      </c>
      <c r="Z119" s="487">
        <f t="shared" ca="1" si="10"/>
        <v>0</v>
      </c>
      <c r="AA119" s="487">
        <f t="shared" ca="1" si="11"/>
        <v>0</v>
      </c>
      <c r="AB119" s="486" t="str">
        <f ca="1">IF('CDO Bespoke'!O120&lt;&gt;"",'CDO Bespoke'!O120,"")</f>
        <v/>
      </c>
      <c r="AC119" s="487" t="str">
        <f ca="1">IF(AB119&lt;&gt;"",ABS(MIN(-0.75*('CDO Bespoke'!K120)+'CDO Bespoke'!T120,0)),"")</f>
        <v/>
      </c>
      <c r="AD119" s="487">
        <f t="shared" ca="1" si="12"/>
        <v>0</v>
      </c>
      <c r="AE119" s="491">
        <f t="shared" ca="1" si="13"/>
        <v>0</v>
      </c>
      <c r="AF119" s="273"/>
      <c r="AG119" s="496" t="str">
        <f ca="1">IF('CDO Bespoke'!C144&lt;&gt;"",'CDO Bespoke'!C144,"")</f>
        <v/>
      </c>
      <c r="AH119" s="498"/>
      <c r="AI119" s="587"/>
      <c r="AJ119" s="587"/>
      <c r="AK119" s="587"/>
      <c r="AL119" s="499"/>
      <c r="AM119" s="498"/>
      <c r="AN119" s="587"/>
      <c r="AO119" s="587"/>
      <c r="AP119" s="587"/>
      <c r="AQ119" s="499"/>
      <c r="AR119" s="582"/>
      <c r="AS119" s="582"/>
      <c r="AT119" s="582"/>
      <c r="AU119" s="582"/>
      <c r="AV119" s="582"/>
      <c r="AW119" s="582"/>
      <c r="AX119" s="581"/>
    </row>
    <row r="120" spans="2:50">
      <c r="B120" s="536" t="s">
        <v>525</v>
      </c>
      <c r="C120" s="537" t="s">
        <v>66</v>
      </c>
      <c r="D120" s="537" t="s">
        <v>59</v>
      </c>
      <c r="E120" s="537" t="s">
        <v>649</v>
      </c>
      <c r="F120" s="537" t="s">
        <v>675</v>
      </c>
      <c r="G120" s="538">
        <v>0.01</v>
      </c>
      <c r="H120" s="538">
        <v>1.1227000000000001E-2</v>
      </c>
      <c r="I120" s="539">
        <v>0.4</v>
      </c>
      <c r="J120" s="597">
        <v>4</v>
      </c>
      <c r="K120" s="540">
        <v>32</v>
      </c>
      <c r="L120" s="273"/>
      <c r="M120" s="273"/>
      <c r="P120" s="274"/>
      <c r="Q120" s="274"/>
      <c r="R120" s="274"/>
      <c r="S120" s="274"/>
      <c r="T120" s="578">
        <f ca="1"/>
        <v>0.15</v>
      </c>
      <c r="U120" s="575">
        <f ca="1"/>
        <v>112</v>
      </c>
      <c r="V120" s="578">
        <f t="shared" ca="1" si="14"/>
        <v>0</v>
      </c>
      <c r="W120" s="578">
        <f t="shared" ca="1" si="15"/>
        <v>0</v>
      </c>
      <c r="X120" s="486" t="str">
        <f ca="1">IF('CDO Bespoke'!O121&lt;&gt;"",'CDO Bespoke'!O121,"")</f>
        <v/>
      </c>
      <c r="Y120" s="487" t="str">
        <f ca="1">IF(X120&lt;&gt;"",ABS(MIN(-0.75*('CDO Bespoke'!Q121)+'CDO Bespoke'!T121,0)),"")</f>
        <v/>
      </c>
      <c r="Z120" s="487">
        <f t="shared" ca="1" si="10"/>
        <v>0</v>
      </c>
      <c r="AA120" s="487">
        <f t="shared" ca="1" si="11"/>
        <v>0</v>
      </c>
      <c r="AB120" s="486" t="str">
        <f ca="1">IF('CDO Bespoke'!O121&lt;&gt;"",'CDO Bespoke'!O121,"")</f>
        <v/>
      </c>
      <c r="AC120" s="487" t="str">
        <f ca="1">IF(AB120&lt;&gt;"",ABS(MIN(-0.75*('CDO Bespoke'!K121)+'CDO Bespoke'!T121,0)),"")</f>
        <v/>
      </c>
      <c r="AD120" s="487">
        <f t="shared" ca="1" si="12"/>
        <v>0</v>
      </c>
      <c r="AE120" s="491">
        <f t="shared" ca="1" si="13"/>
        <v>0</v>
      </c>
      <c r="AF120" s="273"/>
      <c r="AG120" s="496" t="str">
        <f ca="1">IF('CDO Bespoke'!C145&lt;&gt;"",'CDO Bespoke'!C145,"")</f>
        <v/>
      </c>
      <c r="AH120" s="498"/>
      <c r="AI120" s="587"/>
      <c r="AJ120" s="587"/>
      <c r="AK120" s="587"/>
      <c r="AL120" s="499"/>
      <c r="AM120" s="498"/>
      <c r="AN120" s="587"/>
      <c r="AO120" s="587"/>
      <c r="AP120" s="587"/>
      <c r="AQ120" s="499"/>
      <c r="AR120" s="582"/>
      <c r="AS120" s="582"/>
      <c r="AT120" s="582"/>
      <c r="AU120" s="582"/>
      <c r="AV120" s="582"/>
      <c r="AW120" s="582"/>
      <c r="AX120" s="581"/>
    </row>
    <row r="121" spans="2:50">
      <c r="B121" s="541" t="s">
        <v>526</v>
      </c>
      <c r="C121" s="542" t="s">
        <v>66</v>
      </c>
      <c r="D121" s="542" t="s">
        <v>55</v>
      </c>
      <c r="E121" s="542" t="s">
        <v>649</v>
      </c>
      <c r="F121" s="542" t="s">
        <v>676</v>
      </c>
      <c r="G121" s="543">
        <v>0.01</v>
      </c>
      <c r="H121" s="543">
        <v>6.7450000000000001E-3</v>
      </c>
      <c r="I121" s="544">
        <v>0.4</v>
      </c>
      <c r="J121" s="604">
        <v>3</v>
      </c>
      <c r="K121" s="545">
        <v>33</v>
      </c>
      <c r="L121" s="273"/>
      <c r="M121" s="273"/>
      <c r="P121" s="274"/>
      <c r="Q121" s="274"/>
      <c r="R121" s="274"/>
      <c r="S121" s="274"/>
      <c r="T121" s="578">
        <f ca="1"/>
        <v>0.15</v>
      </c>
      <c r="U121" s="575">
        <f ca="1"/>
        <v>113</v>
      </c>
      <c r="V121" s="578">
        <f t="shared" ca="1" si="14"/>
        <v>0</v>
      </c>
      <c r="W121" s="578">
        <f t="shared" ca="1" si="15"/>
        <v>0</v>
      </c>
      <c r="X121" s="486" t="str">
        <f ca="1">IF('CDO Bespoke'!O122&lt;&gt;"",'CDO Bespoke'!O122,"")</f>
        <v/>
      </c>
      <c r="Y121" s="487" t="str">
        <f ca="1">IF(X121&lt;&gt;"",ABS(MIN(-0.75*('CDO Bespoke'!Q122)+'CDO Bespoke'!T122,0)),"")</f>
        <v/>
      </c>
      <c r="Z121" s="487">
        <f t="shared" ca="1" si="10"/>
        <v>0</v>
      </c>
      <c r="AA121" s="487">
        <f t="shared" ca="1" si="11"/>
        <v>0</v>
      </c>
      <c r="AB121" s="486" t="str">
        <f ca="1">IF('CDO Bespoke'!O122&lt;&gt;"",'CDO Bespoke'!O122,"")</f>
        <v/>
      </c>
      <c r="AC121" s="487" t="str">
        <f ca="1">IF(AB121&lt;&gt;"",ABS(MIN(-0.75*('CDO Bespoke'!K122)+'CDO Bespoke'!T122,0)),"")</f>
        <v/>
      </c>
      <c r="AD121" s="487">
        <f t="shared" ca="1" si="12"/>
        <v>0</v>
      </c>
      <c r="AE121" s="491">
        <f t="shared" ca="1" si="13"/>
        <v>0</v>
      </c>
      <c r="AF121" s="273"/>
      <c r="AG121" s="496" t="str">
        <f ca="1">IF('CDO Bespoke'!C146&lt;&gt;"",'CDO Bespoke'!C146,"")</f>
        <v/>
      </c>
      <c r="AH121" s="498"/>
      <c r="AI121" s="587"/>
      <c r="AJ121" s="587"/>
      <c r="AK121" s="587"/>
      <c r="AL121" s="499"/>
      <c r="AM121" s="498"/>
      <c r="AN121" s="587"/>
      <c r="AO121" s="587"/>
      <c r="AP121" s="587"/>
      <c r="AQ121" s="499"/>
      <c r="AR121" s="582"/>
      <c r="AS121" s="582"/>
      <c r="AT121" s="582"/>
      <c r="AU121" s="582"/>
      <c r="AV121" s="582"/>
      <c r="AW121" s="582"/>
      <c r="AX121" s="581"/>
    </row>
    <row r="122" spans="2:50">
      <c r="B122" s="519" t="s">
        <v>526</v>
      </c>
      <c r="C122" s="520" t="s">
        <v>66</v>
      </c>
      <c r="D122" s="520" t="s">
        <v>57</v>
      </c>
      <c r="E122" s="520" t="s">
        <v>649</v>
      </c>
      <c r="F122" s="520" t="s">
        <v>676</v>
      </c>
      <c r="G122" s="527">
        <v>0.01</v>
      </c>
      <c r="H122" s="527">
        <v>1.1979999999999999E-2</v>
      </c>
      <c r="I122" s="529">
        <v>0.4</v>
      </c>
      <c r="J122" s="596">
        <v>3</v>
      </c>
      <c r="K122" s="521">
        <v>33</v>
      </c>
      <c r="L122" s="273"/>
      <c r="M122" s="273"/>
      <c r="P122" s="274"/>
      <c r="Q122" s="274"/>
      <c r="R122" s="274"/>
      <c r="S122" s="274"/>
      <c r="T122" s="578">
        <f ca="1"/>
        <v>0.15</v>
      </c>
      <c r="U122" s="575">
        <f ca="1"/>
        <v>114</v>
      </c>
      <c r="V122" s="578">
        <f t="shared" ca="1" si="14"/>
        <v>0</v>
      </c>
      <c r="W122" s="578">
        <f t="shared" ca="1" si="15"/>
        <v>0</v>
      </c>
      <c r="X122" s="486" t="str">
        <f ca="1">IF('CDO Bespoke'!O123&lt;&gt;"",'CDO Bespoke'!O123,"")</f>
        <v/>
      </c>
      <c r="Y122" s="487" t="str">
        <f ca="1">IF(X122&lt;&gt;"",ABS(MIN(-0.75*('CDO Bespoke'!Q123)+'CDO Bespoke'!T123,0)),"")</f>
        <v/>
      </c>
      <c r="Z122" s="487">
        <f t="shared" ca="1" si="10"/>
        <v>0</v>
      </c>
      <c r="AA122" s="487">
        <f t="shared" ca="1" si="11"/>
        <v>0</v>
      </c>
      <c r="AB122" s="486" t="str">
        <f ca="1">IF('CDO Bespoke'!O123&lt;&gt;"",'CDO Bespoke'!O123,"")</f>
        <v/>
      </c>
      <c r="AC122" s="487" t="str">
        <f ca="1">IF(AB122&lt;&gt;"",ABS(MIN(-0.75*('CDO Bespoke'!K123)+'CDO Bespoke'!T123,0)),"")</f>
        <v/>
      </c>
      <c r="AD122" s="487">
        <f t="shared" ca="1" si="12"/>
        <v>0</v>
      </c>
      <c r="AE122" s="491">
        <f t="shared" ca="1" si="13"/>
        <v>0</v>
      </c>
      <c r="AF122" s="273"/>
      <c r="AG122" s="496" t="str">
        <f ca="1">IF('CDO Bespoke'!C147&lt;&gt;"",'CDO Bespoke'!C147,"")</f>
        <v/>
      </c>
      <c r="AH122" s="498"/>
      <c r="AI122" s="587"/>
      <c r="AJ122" s="587"/>
      <c r="AK122" s="587"/>
      <c r="AL122" s="499"/>
      <c r="AM122" s="498"/>
      <c r="AN122" s="587"/>
      <c r="AO122" s="587"/>
      <c r="AP122" s="587"/>
      <c r="AQ122" s="499"/>
      <c r="AR122" s="582"/>
      <c r="AS122" s="582"/>
      <c r="AT122" s="582"/>
      <c r="AU122" s="582"/>
      <c r="AV122" s="582"/>
      <c r="AW122" s="582"/>
      <c r="AX122" s="581"/>
    </row>
    <row r="123" spans="2:50">
      <c r="B123" s="536" t="s">
        <v>526</v>
      </c>
      <c r="C123" s="537" t="s">
        <v>66</v>
      </c>
      <c r="D123" s="537" t="s">
        <v>59</v>
      </c>
      <c r="E123" s="537" t="s">
        <v>649</v>
      </c>
      <c r="F123" s="537" t="s">
        <v>676</v>
      </c>
      <c r="G123" s="538">
        <v>0.01</v>
      </c>
      <c r="H123" s="538">
        <v>1.6924999999999999E-2</v>
      </c>
      <c r="I123" s="539">
        <v>0.4</v>
      </c>
      <c r="J123" s="597">
        <v>3</v>
      </c>
      <c r="K123" s="540">
        <v>33</v>
      </c>
      <c r="L123" s="273"/>
      <c r="M123" s="273"/>
      <c r="P123" s="274"/>
      <c r="Q123" s="274"/>
      <c r="R123" s="274"/>
      <c r="S123" s="274"/>
      <c r="T123" s="578">
        <f ca="1"/>
        <v>0.15</v>
      </c>
      <c r="U123" s="575">
        <f ca="1"/>
        <v>115</v>
      </c>
      <c r="V123" s="578">
        <f t="shared" ca="1" si="14"/>
        <v>0</v>
      </c>
      <c r="W123" s="578">
        <f t="shared" ca="1" si="15"/>
        <v>0</v>
      </c>
      <c r="X123" s="486" t="str">
        <f ca="1">IF('CDO Bespoke'!O124&lt;&gt;"",'CDO Bespoke'!O124,"")</f>
        <v/>
      </c>
      <c r="Y123" s="487" t="str">
        <f ca="1">IF(X123&lt;&gt;"",ABS(MIN(-0.75*('CDO Bespoke'!Q124)+'CDO Bespoke'!T124,0)),"")</f>
        <v/>
      </c>
      <c r="Z123" s="487">
        <f t="shared" ca="1" si="10"/>
        <v>0</v>
      </c>
      <c r="AA123" s="487">
        <f t="shared" ca="1" si="11"/>
        <v>0</v>
      </c>
      <c r="AB123" s="486" t="str">
        <f ca="1">IF('CDO Bespoke'!O124&lt;&gt;"",'CDO Bespoke'!O124,"")</f>
        <v/>
      </c>
      <c r="AC123" s="487" t="str">
        <f ca="1">IF(AB123&lt;&gt;"",ABS(MIN(-0.75*('CDO Bespoke'!K124)+'CDO Bespoke'!T124,0)),"")</f>
        <v/>
      </c>
      <c r="AD123" s="487">
        <f t="shared" ca="1" si="12"/>
        <v>0</v>
      </c>
      <c r="AE123" s="491">
        <f t="shared" ca="1" si="13"/>
        <v>0</v>
      </c>
      <c r="AF123" s="273"/>
      <c r="AG123" s="496" t="str">
        <f ca="1">IF('CDO Bespoke'!C148&lt;&gt;"",'CDO Bespoke'!C148,"")</f>
        <v/>
      </c>
      <c r="AH123" s="498"/>
      <c r="AI123" s="587"/>
      <c r="AJ123" s="587"/>
      <c r="AK123" s="587"/>
      <c r="AL123" s="499"/>
      <c r="AM123" s="498"/>
      <c r="AN123" s="587"/>
      <c r="AO123" s="587"/>
      <c r="AP123" s="587"/>
      <c r="AQ123" s="499"/>
      <c r="AR123" s="582"/>
      <c r="AS123" s="582"/>
      <c r="AT123" s="582"/>
      <c r="AU123" s="582"/>
      <c r="AV123" s="582"/>
      <c r="AW123" s="582"/>
      <c r="AX123" s="581"/>
    </row>
    <row r="124" spans="2:50">
      <c r="B124" s="541" t="s">
        <v>527</v>
      </c>
      <c r="C124" s="542" t="s">
        <v>66</v>
      </c>
      <c r="D124" s="542" t="s">
        <v>55</v>
      </c>
      <c r="E124" s="542" t="s">
        <v>647</v>
      </c>
      <c r="F124" s="542" t="s">
        <v>648</v>
      </c>
      <c r="G124" s="543">
        <v>0.01</v>
      </c>
      <c r="H124" s="543">
        <v>1.9369999999999999E-3</v>
      </c>
      <c r="I124" s="544">
        <v>0.4</v>
      </c>
      <c r="J124" s="604">
        <v>4</v>
      </c>
      <c r="K124" s="545">
        <v>34</v>
      </c>
      <c r="L124" s="273"/>
      <c r="M124" s="273"/>
      <c r="P124" s="274"/>
      <c r="Q124" s="274"/>
      <c r="R124" s="274"/>
      <c r="S124" s="274"/>
      <c r="T124" s="578">
        <f ca="1"/>
        <v>0.15</v>
      </c>
      <c r="U124" s="575">
        <f ca="1"/>
        <v>116</v>
      </c>
      <c r="V124" s="578">
        <f t="shared" ca="1" si="14"/>
        <v>0</v>
      </c>
      <c r="W124" s="578">
        <f t="shared" ca="1" si="15"/>
        <v>0</v>
      </c>
      <c r="X124" s="486" t="str">
        <f ca="1">IF('CDO Bespoke'!O125&lt;&gt;"",'CDO Bespoke'!O125,"")</f>
        <v/>
      </c>
      <c r="Y124" s="487" t="str">
        <f ca="1">IF(X124&lt;&gt;"",ABS(MIN(-0.75*('CDO Bespoke'!Q125)+'CDO Bespoke'!T125,0)),"")</f>
        <v/>
      </c>
      <c r="Z124" s="487">
        <f t="shared" ca="1" si="10"/>
        <v>0</v>
      </c>
      <c r="AA124" s="487">
        <f t="shared" ca="1" si="11"/>
        <v>0</v>
      </c>
      <c r="AB124" s="486" t="str">
        <f ca="1">IF('CDO Bespoke'!O125&lt;&gt;"",'CDO Bespoke'!O125,"")</f>
        <v/>
      </c>
      <c r="AC124" s="487" t="str">
        <f ca="1">IF(AB124&lt;&gt;"",ABS(MIN(-0.75*('CDO Bespoke'!K125)+'CDO Bespoke'!T125,0)),"")</f>
        <v/>
      </c>
      <c r="AD124" s="487">
        <f t="shared" ca="1" si="12"/>
        <v>0</v>
      </c>
      <c r="AE124" s="491">
        <f t="shared" ca="1" si="13"/>
        <v>0</v>
      </c>
      <c r="AF124" s="273"/>
      <c r="AG124" s="496" t="str">
        <f ca="1">IF('CDO Bespoke'!C149&lt;&gt;"",'CDO Bespoke'!C149,"")</f>
        <v/>
      </c>
      <c r="AH124" s="498"/>
      <c r="AI124" s="587"/>
      <c r="AJ124" s="587"/>
      <c r="AK124" s="587"/>
      <c r="AL124" s="499"/>
      <c r="AM124" s="498"/>
      <c r="AN124" s="587"/>
      <c r="AO124" s="587"/>
      <c r="AP124" s="587"/>
      <c r="AQ124" s="499"/>
      <c r="AR124" s="582"/>
      <c r="AS124" s="582"/>
      <c r="AT124" s="582"/>
      <c r="AU124" s="582"/>
      <c r="AV124" s="582"/>
      <c r="AW124" s="582"/>
      <c r="AX124" s="581"/>
    </row>
    <row r="125" spans="2:50">
      <c r="B125" s="519" t="s">
        <v>527</v>
      </c>
      <c r="C125" s="520" t="s">
        <v>66</v>
      </c>
      <c r="D125" s="520" t="s">
        <v>57</v>
      </c>
      <c r="E125" s="520" t="s">
        <v>647</v>
      </c>
      <c r="F125" s="520" t="s">
        <v>648</v>
      </c>
      <c r="G125" s="527">
        <v>0.01</v>
      </c>
      <c r="H125" s="527">
        <v>3.101E-3</v>
      </c>
      <c r="I125" s="529">
        <v>0.4</v>
      </c>
      <c r="J125" s="596">
        <v>4</v>
      </c>
      <c r="K125" s="521">
        <v>34</v>
      </c>
      <c r="L125" s="273"/>
      <c r="M125" s="273"/>
      <c r="P125" s="274"/>
      <c r="Q125" s="274"/>
      <c r="R125" s="274"/>
      <c r="S125" s="274"/>
      <c r="T125" s="578">
        <f ca="1"/>
        <v>0.15</v>
      </c>
      <c r="U125" s="575">
        <f ca="1"/>
        <v>117</v>
      </c>
      <c r="V125" s="578">
        <f t="shared" ca="1" si="14"/>
        <v>0</v>
      </c>
      <c r="W125" s="578">
        <f t="shared" ca="1" si="15"/>
        <v>0</v>
      </c>
      <c r="X125" s="486" t="str">
        <f ca="1">IF('CDO Bespoke'!O126&lt;&gt;"",'CDO Bespoke'!O126,"")</f>
        <v/>
      </c>
      <c r="Y125" s="487" t="str">
        <f ca="1">IF(X125&lt;&gt;"",ABS(MIN(-0.75*('CDO Bespoke'!Q126)+'CDO Bespoke'!T126,0)),"")</f>
        <v/>
      </c>
      <c r="Z125" s="487">
        <f t="shared" ca="1" si="10"/>
        <v>0</v>
      </c>
      <c r="AA125" s="487">
        <f t="shared" ca="1" si="11"/>
        <v>0</v>
      </c>
      <c r="AB125" s="486" t="str">
        <f ca="1">IF('CDO Bespoke'!O126&lt;&gt;"",'CDO Bespoke'!O126,"")</f>
        <v/>
      </c>
      <c r="AC125" s="487" t="str">
        <f ca="1">IF(AB125&lt;&gt;"",ABS(MIN(-0.75*('CDO Bespoke'!K126)+'CDO Bespoke'!T126,0)),"")</f>
        <v/>
      </c>
      <c r="AD125" s="487">
        <f t="shared" ca="1" si="12"/>
        <v>0</v>
      </c>
      <c r="AE125" s="491">
        <f t="shared" ca="1" si="13"/>
        <v>0</v>
      </c>
      <c r="AF125" s="273"/>
      <c r="AG125" s="496" t="str">
        <f ca="1">IF('CDO Bespoke'!C150&lt;&gt;"",'CDO Bespoke'!C150,"")</f>
        <v/>
      </c>
      <c r="AH125" s="498"/>
      <c r="AI125" s="587"/>
      <c r="AJ125" s="587"/>
      <c r="AK125" s="587"/>
      <c r="AL125" s="499"/>
      <c r="AM125" s="498"/>
      <c r="AN125" s="587"/>
      <c r="AO125" s="587"/>
      <c r="AP125" s="587"/>
      <c r="AQ125" s="499"/>
      <c r="AR125" s="582"/>
      <c r="AS125" s="582"/>
      <c r="AT125" s="582"/>
      <c r="AU125" s="582"/>
      <c r="AV125" s="582"/>
      <c r="AW125" s="582"/>
      <c r="AX125" s="581"/>
    </row>
    <row r="126" spans="2:50">
      <c r="B126" s="536" t="s">
        <v>527</v>
      </c>
      <c r="C126" s="537" t="s">
        <v>66</v>
      </c>
      <c r="D126" s="537" t="s">
        <v>59</v>
      </c>
      <c r="E126" s="537" t="s">
        <v>647</v>
      </c>
      <c r="F126" s="537" t="s">
        <v>648</v>
      </c>
      <c r="G126" s="538">
        <v>0.01</v>
      </c>
      <c r="H126" s="538">
        <v>4.6010000000000001E-3</v>
      </c>
      <c r="I126" s="539">
        <v>0.4</v>
      </c>
      <c r="J126" s="597">
        <v>4</v>
      </c>
      <c r="K126" s="540">
        <v>34</v>
      </c>
      <c r="L126" s="273"/>
      <c r="M126" s="273"/>
      <c r="P126" s="274"/>
      <c r="Q126" s="274"/>
      <c r="R126" s="274"/>
      <c r="S126" s="274"/>
      <c r="T126" s="578">
        <f ca="1"/>
        <v>0.15</v>
      </c>
      <c r="U126" s="575">
        <f ca="1"/>
        <v>118</v>
      </c>
      <c r="V126" s="578">
        <f t="shared" ca="1" si="14"/>
        <v>0</v>
      </c>
      <c r="W126" s="578">
        <f t="shared" ca="1" si="15"/>
        <v>0</v>
      </c>
      <c r="X126" s="486" t="str">
        <f ca="1">IF('CDO Bespoke'!O127&lt;&gt;"",'CDO Bespoke'!O127,"")</f>
        <v/>
      </c>
      <c r="Y126" s="487" t="str">
        <f ca="1">IF(X126&lt;&gt;"",ABS(MIN(-0.75*('CDO Bespoke'!Q127)+'CDO Bespoke'!T127,0)),"")</f>
        <v/>
      </c>
      <c r="Z126" s="487">
        <f t="shared" ca="1" si="10"/>
        <v>0</v>
      </c>
      <c r="AA126" s="487">
        <f t="shared" ca="1" si="11"/>
        <v>0</v>
      </c>
      <c r="AB126" s="486" t="str">
        <f ca="1">IF('CDO Bespoke'!O127&lt;&gt;"",'CDO Bespoke'!O127,"")</f>
        <v/>
      </c>
      <c r="AC126" s="487" t="str">
        <f ca="1">IF(AB126&lt;&gt;"",ABS(MIN(-0.75*('CDO Bespoke'!K127)+'CDO Bespoke'!T127,0)),"")</f>
        <v/>
      </c>
      <c r="AD126" s="487">
        <f t="shared" ca="1" si="12"/>
        <v>0</v>
      </c>
      <c r="AE126" s="491">
        <f t="shared" ca="1" si="13"/>
        <v>0</v>
      </c>
      <c r="AF126" s="273"/>
      <c r="AG126" s="496" t="str">
        <f ca="1">IF('CDO Bespoke'!C151&lt;&gt;"",'CDO Bespoke'!C151,"")</f>
        <v/>
      </c>
      <c r="AH126" s="498"/>
      <c r="AI126" s="587"/>
      <c r="AJ126" s="587"/>
      <c r="AK126" s="587"/>
      <c r="AL126" s="499"/>
      <c r="AM126" s="498"/>
      <c r="AN126" s="587"/>
      <c r="AO126" s="587"/>
      <c r="AP126" s="587"/>
      <c r="AQ126" s="499"/>
      <c r="AR126" s="582"/>
      <c r="AS126" s="582"/>
      <c r="AT126" s="582"/>
      <c r="AU126" s="582"/>
      <c r="AV126" s="582"/>
      <c r="AW126" s="582"/>
      <c r="AX126" s="581"/>
    </row>
    <row r="127" spans="2:50">
      <c r="B127" s="541" t="s">
        <v>541</v>
      </c>
      <c r="C127" s="542" t="s">
        <v>66</v>
      </c>
      <c r="D127" s="542" t="s">
        <v>55</v>
      </c>
      <c r="E127" s="542" t="s">
        <v>647</v>
      </c>
      <c r="F127" s="542" t="s">
        <v>673</v>
      </c>
      <c r="G127" s="543">
        <v>0.01</v>
      </c>
      <c r="H127" s="543">
        <v>4.7990000000000003E-3</v>
      </c>
      <c r="I127" s="544">
        <v>0.4</v>
      </c>
      <c r="J127" s="604">
        <v>5</v>
      </c>
      <c r="K127" s="545">
        <v>35</v>
      </c>
      <c r="L127" s="273"/>
      <c r="M127" s="273"/>
      <c r="P127" s="274"/>
      <c r="Q127" s="274"/>
      <c r="R127" s="274"/>
      <c r="S127" s="274"/>
      <c r="T127" s="578">
        <f ca="1"/>
        <v>0.15</v>
      </c>
      <c r="U127" s="575">
        <f ca="1"/>
        <v>119</v>
      </c>
      <c r="V127" s="578">
        <f t="shared" ca="1" si="14"/>
        <v>0</v>
      </c>
      <c r="W127" s="578">
        <f t="shared" ca="1" si="15"/>
        <v>0</v>
      </c>
      <c r="X127" s="486" t="str">
        <f ca="1">IF('CDO Bespoke'!O128&lt;&gt;"",'CDO Bespoke'!O128,"")</f>
        <v/>
      </c>
      <c r="Y127" s="487" t="str">
        <f ca="1">IF(X127&lt;&gt;"",ABS(MIN(-0.75*('CDO Bespoke'!Q128)+'CDO Bespoke'!T128,0)),"")</f>
        <v/>
      </c>
      <c r="Z127" s="487">
        <f t="shared" ca="1" si="10"/>
        <v>0</v>
      </c>
      <c r="AA127" s="487">
        <f t="shared" ca="1" si="11"/>
        <v>0</v>
      </c>
      <c r="AB127" s="486" t="str">
        <f ca="1">IF('CDO Bespoke'!O128&lt;&gt;"",'CDO Bespoke'!O128,"")</f>
        <v/>
      </c>
      <c r="AC127" s="487" t="str">
        <f ca="1">IF(AB127&lt;&gt;"",ABS(MIN(-0.75*('CDO Bespoke'!K128)+'CDO Bespoke'!T128,0)),"")</f>
        <v/>
      </c>
      <c r="AD127" s="487">
        <f t="shared" ca="1" si="12"/>
        <v>0</v>
      </c>
      <c r="AE127" s="491">
        <f t="shared" ca="1" si="13"/>
        <v>0</v>
      </c>
      <c r="AF127" s="273"/>
      <c r="AG127" s="496" t="str">
        <f ca="1">IF('CDO Bespoke'!C152&lt;&gt;"",'CDO Bespoke'!C152,"")</f>
        <v/>
      </c>
      <c r="AH127" s="498"/>
      <c r="AI127" s="587"/>
      <c r="AJ127" s="587"/>
      <c r="AK127" s="587"/>
      <c r="AL127" s="499"/>
      <c r="AM127" s="498"/>
      <c r="AN127" s="587"/>
      <c r="AO127" s="587"/>
      <c r="AP127" s="587"/>
      <c r="AQ127" s="499"/>
      <c r="AR127" s="582"/>
      <c r="AS127" s="582"/>
      <c r="AT127" s="582"/>
      <c r="AU127" s="582"/>
      <c r="AV127" s="582"/>
      <c r="AW127" s="582"/>
      <c r="AX127" s="581"/>
    </row>
    <row r="128" spans="2:50">
      <c r="B128" s="519" t="s">
        <v>541</v>
      </c>
      <c r="C128" s="520" t="s">
        <v>66</v>
      </c>
      <c r="D128" s="520" t="s">
        <v>57</v>
      </c>
      <c r="E128" s="520" t="s">
        <v>647</v>
      </c>
      <c r="F128" s="520" t="s">
        <v>673</v>
      </c>
      <c r="G128" s="527">
        <v>0.01</v>
      </c>
      <c r="H128" s="527">
        <v>8.7480000000000006E-3</v>
      </c>
      <c r="I128" s="529">
        <v>0.4</v>
      </c>
      <c r="J128" s="596">
        <v>5</v>
      </c>
      <c r="K128" s="521">
        <v>35</v>
      </c>
      <c r="L128" s="273"/>
      <c r="M128" s="273"/>
      <c r="P128" s="274"/>
      <c r="Q128" s="274"/>
      <c r="R128" s="274"/>
      <c r="S128" s="274"/>
      <c r="T128" s="578">
        <f ca="1"/>
        <v>0.15</v>
      </c>
      <c r="U128" s="575">
        <f ca="1"/>
        <v>120</v>
      </c>
      <c r="V128" s="578">
        <f t="shared" ca="1" si="14"/>
        <v>0</v>
      </c>
      <c r="W128" s="578">
        <f t="shared" ca="1" si="15"/>
        <v>0</v>
      </c>
      <c r="X128" s="486" t="str">
        <f ca="1">IF('CDO Bespoke'!O129&lt;&gt;"",'CDO Bespoke'!O129,"")</f>
        <v/>
      </c>
      <c r="Y128" s="487" t="str">
        <f ca="1">IF(X128&lt;&gt;"",ABS(MIN(-0.75*('CDO Bespoke'!Q129)+'CDO Bespoke'!T129,0)),"")</f>
        <v/>
      </c>
      <c r="Z128" s="487">
        <f t="shared" ca="1" si="10"/>
        <v>0</v>
      </c>
      <c r="AA128" s="487">
        <f t="shared" ca="1" si="11"/>
        <v>0</v>
      </c>
      <c r="AB128" s="486" t="str">
        <f ca="1">IF('CDO Bespoke'!O129&lt;&gt;"",'CDO Bespoke'!O129,"")</f>
        <v/>
      </c>
      <c r="AC128" s="487" t="str">
        <f ca="1">IF(AB128&lt;&gt;"",ABS(MIN(-0.75*('CDO Bespoke'!K129)+'CDO Bespoke'!T129,0)),"")</f>
        <v/>
      </c>
      <c r="AD128" s="487">
        <f t="shared" ca="1" si="12"/>
        <v>0</v>
      </c>
      <c r="AE128" s="491">
        <f t="shared" ca="1" si="13"/>
        <v>0</v>
      </c>
      <c r="AF128" s="273"/>
      <c r="AG128" s="496" t="str">
        <f ca="1">IF('CDO Bespoke'!C153&lt;&gt;"",'CDO Bespoke'!C153,"")</f>
        <v/>
      </c>
      <c r="AH128" s="498"/>
      <c r="AI128" s="587"/>
      <c r="AJ128" s="587"/>
      <c r="AK128" s="587"/>
      <c r="AL128" s="499"/>
      <c r="AM128" s="498"/>
      <c r="AN128" s="587"/>
      <c r="AO128" s="587"/>
      <c r="AP128" s="587"/>
      <c r="AQ128" s="499"/>
      <c r="AR128" s="582"/>
      <c r="AS128" s="582"/>
      <c r="AT128" s="582"/>
      <c r="AU128" s="582"/>
      <c r="AV128" s="582"/>
      <c r="AW128" s="582"/>
      <c r="AX128" s="581"/>
    </row>
    <row r="129" spans="2:50">
      <c r="B129" s="536" t="s">
        <v>541</v>
      </c>
      <c r="C129" s="537" t="s">
        <v>66</v>
      </c>
      <c r="D129" s="537" t="s">
        <v>59</v>
      </c>
      <c r="E129" s="537" t="s">
        <v>647</v>
      </c>
      <c r="F129" s="537" t="s">
        <v>673</v>
      </c>
      <c r="G129" s="538">
        <v>0.01</v>
      </c>
      <c r="H129" s="538">
        <v>1.2120000000000001E-2</v>
      </c>
      <c r="I129" s="539">
        <v>0.4</v>
      </c>
      <c r="J129" s="597">
        <v>5</v>
      </c>
      <c r="K129" s="540">
        <v>35</v>
      </c>
      <c r="L129" s="273"/>
      <c r="M129" s="273"/>
      <c r="P129" s="274"/>
      <c r="Q129" s="274"/>
      <c r="R129" s="274"/>
      <c r="S129" s="274"/>
      <c r="T129" s="578">
        <f ca="1"/>
        <v>0.15</v>
      </c>
      <c r="U129" s="575">
        <f ca="1"/>
        <v>121</v>
      </c>
      <c r="V129" s="578">
        <f t="shared" ca="1" si="14"/>
        <v>0</v>
      </c>
      <c r="W129" s="578">
        <f t="shared" ca="1" si="15"/>
        <v>0</v>
      </c>
      <c r="X129" s="486" t="str">
        <f ca="1">IF('CDO Bespoke'!O130&lt;&gt;"",'CDO Bespoke'!O130,"")</f>
        <v/>
      </c>
      <c r="Y129" s="487" t="str">
        <f ca="1">IF(X129&lt;&gt;"",ABS(MIN(-0.75*('CDO Bespoke'!Q130)+'CDO Bespoke'!T130,0)),"")</f>
        <v/>
      </c>
      <c r="Z129" s="487">
        <f t="shared" ca="1" si="10"/>
        <v>0</v>
      </c>
      <c r="AA129" s="487">
        <f t="shared" ca="1" si="11"/>
        <v>0</v>
      </c>
      <c r="AB129" s="486" t="str">
        <f ca="1">IF('CDO Bespoke'!O130&lt;&gt;"",'CDO Bespoke'!O130,"")</f>
        <v/>
      </c>
      <c r="AC129" s="487" t="str">
        <f ca="1">IF(AB129&lt;&gt;"",ABS(MIN(-0.75*('CDO Bespoke'!K130)+'CDO Bespoke'!T130,0)),"")</f>
        <v/>
      </c>
      <c r="AD129" s="487">
        <f t="shared" ca="1" si="12"/>
        <v>0</v>
      </c>
      <c r="AE129" s="491">
        <f t="shared" ca="1" si="13"/>
        <v>0</v>
      </c>
      <c r="AF129" s="273"/>
      <c r="AG129" s="496" t="str">
        <f ca="1">IF('CDO Bespoke'!C154&lt;&gt;"",'CDO Bespoke'!C154,"")</f>
        <v/>
      </c>
      <c r="AH129" s="498"/>
      <c r="AI129" s="587"/>
      <c r="AJ129" s="587"/>
      <c r="AK129" s="587"/>
      <c r="AL129" s="499"/>
      <c r="AM129" s="498"/>
      <c r="AN129" s="587"/>
      <c r="AO129" s="587"/>
      <c r="AP129" s="587"/>
      <c r="AQ129" s="499"/>
      <c r="AR129" s="582"/>
      <c r="AS129" s="582"/>
      <c r="AT129" s="582"/>
      <c r="AU129" s="582"/>
      <c r="AV129" s="582"/>
      <c r="AW129" s="582"/>
      <c r="AX129" s="581"/>
    </row>
    <row r="130" spans="2:50">
      <c r="B130" s="541" t="s">
        <v>528</v>
      </c>
      <c r="C130" s="542" t="s">
        <v>66</v>
      </c>
      <c r="D130" s="542" t="s">
        <v>55</v>
      </c>
      <c r="E130" s="542" t="s">
        <v>649</v>
      </c>
      <c r="F130" s="542" t="s">
        <v>676</v>
      </c>
      <c r="G130" s="543">
        <v>0.01</v>
      </c>
      <c r="H130" s="543">
        <v>4.2960000000000003E-3</v>
      </c>
      <c r="I130" s="544">
        <v>0.4</v>
      </c>
      <c r="J130" s="604">
        <v>3</v>
      </c>
      <c r="K130" s="545">
        <v>36</v>
      </c>
      <c r="L130" s="273"/>
      <c r="M130" s="273"/>
      <c r="P130" s="274"/>
      <c r="Q130" s="274"/>
      <c r="R130" s="274"/>
      <c r="S130" s="274"/>
      <c r="T130" s="578">
        <f ca="1"/>
        <v>0.15</v>
      </c>
      <c r="U130" s="575">
        <f ca="1"/>
        <v>122</v>
      </c>
      <c r="V130" s="578">
        <f t="shared" ca="1" si="14"/>
        <v>0</v>
      </c>
      <c r="W130" s="578">
        <f t="shared" ca="1" si="15"/>
        <v>0</v>
      </c>
      <c r="X130" s="486" t="str">
        <f ca="1">IF('CDO Bespoke'!O131&lt;&gt;"",'CDO Bespoke'!O131,"")</f>
        <v/>
      </c>
      <c r="Y130" s="487" t="str">
        <f ca="1">IF(X130&lt;&gt;"",ABS(MIN(-0.75*('CDO Bespoke'!Q131)+'CDO Bespoke'!T131,0)),"")</f>
        <v/>
      </c>
      <c r="Z130" s="487">
        <f t="shared" ca="1" si="10"/>
        <v>0</v>
      </c>
      <c r="AA130" s="487">
        <f t="shared" ca="1" si="11"/>
        <v>0</v>
      </c>
      <c r="AB130" s="486" t="str">
        <f ca="1">IF('CDO Bespoke'!O131&lt;&gt;"",'CDO Bespoke'!O131,"")</f>
        <v/>
      </c>
      <c r="AC130" s="487" t="str">
        <f ca="1">IF(AB130&lt;&gt;"",ABS(MIN(-0.75*('CDO Bespoke'!K131)+'CDO Bespoke'!T131,0)),"")</f>
        <v/>
      </c>
      <c r="AD130" s="487">
        <f t="shared" ca="1" si="12"/>
        <v>0</v>
      </c>
      <c r="AE130" s="491">
        <f t="shared" ca="1" si="13"/>
        <v>0</v>
      </c>
      <c r="AF130" s="273"/>
      <c r="AG130" s="496" t="str">
        <f ca="1">IF('CDO Bespoke'!C155&lt;&gt;"",'CDO Bespoke'!C155,"")</f>
        <v/>
      </c>
      <c r="AH130" s="498"/>
      <c r="AI130" s="587"/>
      <c r="AJ130" s="587"/>
      <c r="AK130" s="587"/>
      <c r="AL130" s="499"/>
      <c r="AM130" s="498"/>
      <c r="AN130" s="587"/>
      <c r="AO130" s="587"/>
      <c r="AP130" s="587"/>
      <c r="AQ130" s="499"/>
      <c r="AR130" s="582"/>
      <c r="AS130" s="582"/>
      <c r="AT130" s="582"/>
      <c r="AU130" s="582"/>
      <c r="AV130" s="582"/>
      <c r="AW130" s="582"/>
      <c r="AX130" s="581"/>
    </row>
    <row r="131" spans="2:50">
      <c r="B131" s="519" t="s">
        <v>528</v>
      </c>
      <c r="C131" s="520" t="s">
        <v>66</v>
      </c>
      <c r="D131" s="520" t="s">
        <v>57</v>
      </c>
      <c r="E131" s="520" t="s">
        <v>649</v>
      </c>
      <c r="F131" s="520" t="s">
        <v>676</v>
      </c>
      <c r="G131" s="527">
        <v>0.01</v>
      </c>
      <c r="H131" s="527">
        <v>6.79E-3</v>
      </c>
      <c r="I131" s="529">
        <v>0.4</v>
      </c>
      <c r="J131" s="596">
        <v>3</v>
      </c>
      <c r="K131" s="521">
        <v>36</v>
      </c>
      <c r="L131" s="273"/>
      <c r="M131" s="273"/>
      <c r="P131" s="274"/>
      <c r="Q131" s="274"/>
      <c r="R131" s="274"/>
      <c r="S131" s="274"/>
      <c r="T131" s="578">
        <f ca="1"/>
        <v>0.15</v>
      </c>
      <c r="U131" s="575">
        <f ca="1"/>
        <v>123</v>
      </c>
      <c r="V131" s="578">
        <f t="shared" ca="1" si="14"/>
        <v>0</v>
      </c>
      <c r="W131" s="578">
        <f t="shared" ca="1" si="15"/>
        <v>0</v>
      </c>
      <c r="X131" s="486" t="str">
        <f ca="1">IF('CDO Bespoke'!O132&lt;&gt;"",'CDO Bespoke'!O132,"")</f>
        <v/>
      </c>
      <c r="Y131" s="487" t="str">
        <f ca="1">IF(X131&lt;&gt;"",ABS(MIN(-0.75*('CDO Bespoke'!Q132)+'CDO Bespoke'!T132,0)),"")</f>
        <v/>
      </c>
      <c r="Z131" s="487">
        <f t="shared" ca="1" si="10"/>
        <v>0</v>
      </c>
      <c r="AA131" s="487">
        <f t="shared" ca="1" si="11"/>
        <v>0</v>
      </c>
      <c r="AB131" s="486" t="str">
        <f ca="1">IF('CDO Bespoke'!O132&lt;&gt;"",'CDO Bespoke'!O132,"")</f>
        <v/>
      </c>
      <c r="AC131" s="487" t="str">
        <f ca="1">IF(AB131&lt;&gt;"",ABS(MIN(-0.75*('CDO Bespoke'!K132)+'CDO Bespoke'!T132,0)),"")</f>
        <v/>
      </c>
      <c r="AD131" s="487">
        <f t="shared" ca="1" si="12"/>
        <v>0</v>
      </c>
      <c r="AE131" s="491">
        <f t="shared" ca="1" si="13"/>
        <v>0</v>
      </c>
      <c r="AF131" s="273"/>
      <c r="AG131" s="496" t="str">
        <f ca="1">IF('CDO Bespoke'!C156&lt;&gt;"",'CDO Bespoke'!C156,"")</f>
        <v/>
      </c>
      <c r="AH131" s="498"/>
      <c r="AI131" s="587"/>
      <c r="AJ131" s="587"/>
      <c r="AK131" s="587"/>
      <c r="AL131" s="499"/>
      <c r="AM131" s="498"/>
      <c r="AN131" s="587"/>
      <c r="AO131" s="587"/>
      <c r="AP131" s="587"/>
      <c r="AQ131" s="499"/>
      <c r="AR131" s="582"/>
      <c r="AS131" s="582"/>
      <c r="AT131" s="582"/>
      <c r="AU131" s="582"/>
      <c r="AV131" s="582"/>
      <c r="AW131" s="582"/>
      <c r="AX131" s="581"/>
    </row>
    <row r="132" spans="2:50">
      <c r="B132" s="536" t="s">
        <v>528</v>
      </c>
      <c r="C132" s="537" t="s">
        <v>66</v>
      </c>
      <c r="D132" s="537" t="s">
        <v>59</v>
      </c>
      <c r="E132" s="537" t="s">
        <v>649</v>
      </c>
      <c r="F132" s="537" t="s">
        <v>676</v>
      </c>
      <c r="G132" s="538">
        <v>0.01</v>
      </c>
      <c r="H132" s="538">
        <v>9.9900000000000006E-3</v>
      </c>
      <c r="I132" s="539">
        <v>0.4</v>
      </c>
      <c r="J132" s="597">
        <v>3</v>
      </c>
      <c r="K132" s="540">
        <v>36</v>
      </c>
      <c r="L132" s="273"/>
      <c r="M132" s="273"/>
      <c r="P132" s="274"/>
      <c r="Q132" s="274"/>
      <c r="R132" s="274"/>
      <c r="S132" s="274"/>
      <c r="T132" s="578">
        <f ca="1"/>
        <v>0.15</v>
      </c>
      <c r="U132" s="575">
        <f ca="1"/>
        <v>124</v>
      </c>
      <c r="V132" s="578">
        <f t="shared" ca="1" si="14"/>
        <v>0</v>
      </c>
      <c r="W132" s="578">
        <f t="shared" ca="1" si="15"/>
        <v>0</v>
      </c>
      <c r="X132" s="486" t="str">
        <f ca="1">IF('CDO Bespoke'!O133&lt;&gt;"",'CDO Bespoke'!O133,"")</f>
        <v/>
      </c>
      <c r="Y132" s="487" t="str">
        <f ca="1">IF(X132&lt;&gt;"",ABS(MIN(-0.75*('CDO Bespoke'!Q133)+'CDO Bespoke'!T133,0)),"")</f>
        <v/>
      </c>
      <c r="Z132" s="487">
        <f t="shared" ca="1" si="10"/>
        <v>0</v>
      </c>
      <c r="AA132" s="487">
        <f t="shared" ca="1" si="11"/>
        <v>0</v>
      </c>
      <c r="AB132" s="486" t="str">
        <f ca="1">IF('CDO Bespoke'!O133&lt;&gt;"",'CDO Bespoke'!O133,"")</f>
        <v/>
      </c>
      <c r="AC132" s="487" t="str">
        <f ca="1">IF(AB132&lt;&gt;"",ABS(MIN(-0.75*('CDO Bespoke'!K133)+'CDO Bespoke'!T133,0)),"")</f>
        <v/>
      </c>
      <c r="AD132" s="487">
        <f t="shared" ca="1" si="12"/>
        <v>0</v>
      </c>
      <c r="AE132" s="491">
        <f t="shared" ca="1" si="13"/>
        <v>0</v>
      </c>
      <c r="AF132" s="273"/>
      <c r="AG132" s="496" t="str">
        <f ca="1">IF('CDO Bespoke'!C157&lt;&gt;"",'CDO Bespoke'!C157,"")</f>
        <v/>
      </c>
      <c r="AH132" s="498"/>
      <c r="AI132" s="587"/>
      <c r="AJ132" s="587"/>
      <c r="AK132" s="587"/>
      <c r="AL132" s="499"/>
      <c r="AM132" s="498"/>
      <c r="AN132" s="587"/>
      <c r="AO132" s="587"/>
      <c r="AP132" s="587"/>
      <c r="AQ132" s="499"/>
      <c r="AR132" s="582"/>
      <c r="AS132" s="582"/>
      <c r="AT132" s="582"/>
      <c r="AU132" s="582"/>
      <c r="AV132" s="582"/>
      <c r="AW132" s="582"/>
      <c r="AX132" s="581"/>
    </row>
    <row r="133" spans="2:50" ht="12" thickBot="1">
      <c r="B133" s="541" t="s">
        <v>542</v>
      </c>
      <c r="C133" s="542" t="s">
        <v>66</v>
      </c>
      <c r="D133" s="542" t="s">
        <v>55</v>
      </c>
      <c r="E133" s="542" t="s">
        <v>649</v>
      </c>
      <c r="F133" s="542" t="s">
        <v>673</v>
      </c>
      <c r="G133" s="543">
        <v>0.01</v>
      </c>
      <c r="H133" s="543">
        <v>1.0371E-2</v>
      </c>
      <c r="I133" s="544">
        <v>0.4</v>
      </c>
      <c r="J133" s="604">
        <v>5</v>
      </c>
      <c r="K133" s="545">
        <v>37</v>
      </c>
      <c r="L133" s="273"/>
      <c r="M133" s="273"/>
      <c r="P133" s="274"/>
      <c r="Q133" s="274"/>
      <c r="R133" s="274"/>
      <c r="S133" s="274"/>
      <c r="T133" s="579">
        <f ca="1"/>
        <v>0.15</v>
      </c>
      <c r="U133" s="576">
        <f ca="1"/>
        <v>125</v>
      </c>
      <c r="V133" s="579">
        <f t="shared" ca="1" si="14"/>
        <v>0</v>
      </c>
      <c r="W133" s="578">
        <f t="shared" ca="1" si="15"/>
        <v>0</v>
      </c>
      <c r="X133" s="486" t="str">
        <f ca="1">IF('CDO Bespoke'!O134&lt;&gt;"",'CDO Bespoke'!O134,"")</f>
        <v/>
      </c>
      <c r="Y133" s="487" t="str">
        <f ca="1">IF(X133&lt;&gt;"",ABS(MIN(-0.75*('CDO Bespoke'!Q134)+'CDO Bespoke'!T134,0)),"")</f>
        <v/>
      </c>
      <c r="Z133" s="487">
        <f t="shared" ca="1" si="10"/>
        <v>0</v>
      </c>
      <c r="AA133" s="487">
        <f t="shared" ca="1" si="11"/>
        <v>0</v>
      </c>
      <c r="AB133" s="486" t="str">
        <f ca="1">IF('CDO Bespoke'!O134&lt;&gt;"",'CDO Bespoke'!O134,"")</f>
        <v/>
      </c>
      <c r="AC133" s="487" t="str">
        <f ca="1">IF(AB133&lt;&gt;"",ABS(MIN(-0.75*('CDO Bespoke'!K134)+'CDO Bespoke'!T134,0)),"")</f>
        <v/>
      </c>
      <c r="AD133" s="487">
        <f t="shared" ca="1" si="12"/>
        <v>0</v>
      </c>
      <c r="AE133" s="491">
        <f t="shared" ca="1" si="13"/>
        <v>0</v>
      </c>
      <c r="AF133" s="273"/>
      <c r="AG133" s="496" t="str">
        <f ca="1">IF('CDO Bespoke'!C158&lt;&gt;"",'CDO Bespoke'!C158,"")</f>
        <v/>
      </c>
      <c r="AH133" s="498"/>
      <c r="AI133" s="587"/>
      <c r="AJ133" s="587"/>
      <c r="AK133" s="587"/>
      <c r="AL133" s="499"/>
      <c r="AM133" s="498"/>
      <c r="AN133" s="587"/>
      <c r="AO133" s="587"/>
      <c r="AP133" s="587"/>
      <c r="AQ133" s="499"/>
      <c r="AR133" s="582"/>
      <c r="AS133" s="582"/>
      <c r="AT133" s="582"/>
      <c r="AU133" s="582"/>
      <c r="AV133" s="582"/>
      <c r="AW133" s="582"/>
      <c r="AX133" s="581"/>
    </row>
    <row r="134" spans="2:50">
      <c r="B134" s="519" t="s">
        <v>542</v>
      </c>
      <c r="C134" s="520" t="s">
        <v>66</v>
      </c>
      <c r="D134" s="520" t="s">
        <v>57</v>
      </c>
      <c r="E134" s="520" t="s">
        <v>649</v>
      </c>
      <c r="F134" s="520" t="s">
        <v>673</v>
      </c>
      <c r="G134" s="527">
        <v>0.01</v>
      </c>
      <c r="H134" s="527">
        <v>1.6621E-2</v>
      </c>
      <c r="I134" s="529">
        <v>0.4</v>
      </c>
      <c r="J134" s="596">
        <v>5</v>
      </c>
      <c r="K134" s="521">
        <v>37</v>
      </c>
      <c r="L134" s="273"/>
      <c r="M134" s="273"/>
      <c r="P134" s="274"/>
      <c r="Q134" s="274"/>
      <c r="R134" s="274"/>
      <c r="S134" s="274"/>
      <c r="T134" s="274"/>
      <c r="U134" s="274"/>
      <c r="V134" s="274"/>
      <c r="W134" s="274"/>
      <c r="X134" s="486" t="str">
        <f ca="1">IF('CDO Bespoke'!O135&lt;&gt;"",'CDO Bespoke'!O135,"")</f>
        <v/>
      </c>
      <c r="Y134" s="487" t="str">
        <f ca="1">IF(X134&lt;&gt;"",ABS(MIN(-0.75*('CDO Bespoke'!Q135)+'CDO Bespoke'!T135,0)),"")</f>
        <v/>
      </c>
      <c r="Z134" s="487">
        <f t="shared" ca="1" si="10"/>
        <v>0</v>
      </c>
      <c r="AA134" s="487">
        <f t="shared" ca="1" si="11"/>
        <v>0</v>
      </c>
      <c r="AB134" s="486" t="str">
        <f ca="1">IF('CDO Bespoke'!O135&lt;&gt;"",'CDO Bespoke'!O135,"")</f>
        <v/>
      </c>
      <c r="AC134" s="487" t="str">
        <f ca="1">IF(AB134&lt;&gt;"",ABS(MIN(-0.75*('CDO Bespoke'!K135)+'CDO Bespoke'!T135,0)),"")</f>
        <v/>
      </c>
      <c r="AD134" s="487">
        <f t="shared" ca="1" si="12"/>
        <v>0</v>
      </c>
      <c r="AE134" s="491">
        <f t="shared" ca="1" si="13"/>
        <v>0</v>
      </c>
      <c r="AF134" s="273"/>
      <c r="AG134" s="496" t="str">
        <f ca="1">IF('CDO Bespoke'!C159&lt;&gt;"",'CDO Bespoke'!C159,"")</f>
        <v/>
      </c>
      <c r="AH134" s="498"/>
      <c r="AI134" s="587"/>
      <c r="AJ134" s="587"/>
      <c r="AK134" s="587"/>
      <c r="AL134" s="499"/>
      <c r="AM134" s="498"/>
      <c r="AN134" s="587"/>
      <c r="AO134" s="587"/>
      <c r="AP134" s="587"/>
      <c r="AQ134" s="499"/>
      <c r="AR134" s="582"/>
      <c r="AS134" s="582"/>
      <c r="AT134" s="582"/>
      <c r="AU134" s="582"/>
      <c r="AV134" s="582"/>
      <c r="AW134" s="582"/>
      <c r="AX134" s="581"/>
    </row>
    <row r="135" spans="2:50">
      <c r="B135" s="536" t="s">
        <v>542</v>
      </c>
      <c r="C135" s="537" t="s">
        <v>66</v>
      </c>
      <c r="D135" s="537" t="s">
        <v>59</v>
      </c>
      <c r="E135" s="537" t="s">
        <v>649</v>
      </c>
      <c r="F135" s="537" t="s">
        <v>673</v>
      </c>
      <c r="G135" s="538">
        <v>0.01</v>
      </c>
      <c r="H135" s="538">
        <v>1.9375E-2</v>
      </c>
      <c r="I135" s="539">
        <v>0.4</v>
      </c>
      <c r="J135" s="597">
        <v>5</v>
      </c>
      <c r="K135" s="540">
        <v>37</v>
      </c>
      <c r="L135" s="273"/>
      <c r="M135" s="273"/>
      <c r="P135" s="274"/>
      <c r="Q135" s="274"/>
      <c r="R135" s="274"/>
      <c r="S135" s="274"/>
      <c r="T135" s="274"/>
      <c r="U135" s="274"/>
      <c r="V135" s="274"/>
      <c r="W135" s="274"/>
      <c r="X135" s="486" t="str">
        <f ca="1">IF('CDO Bespoke'!O136&lt;&gt;"",'CDO Bespoke'!O136,"")</f>
        <v/>
      </c>
      <c r="Y135" s="487" t="str">
        <f ca="1">IF(X135&lt;&gt;"",ABS(MIN(-0.75*('CDO Bespoke'!Q136)+'CDO Bespoke'!T136,0)),"")</f>
        <v/>
      </c>
      <c r="Z135" s="487">
        <f t="shared" ca="1" si="10"/>
        <v>0</v>
      </c>
      <c r="AA135" s="487">
        <f t="shared" ca="1" si="11"/>
        <v>0</v>
      </c>
      <c r="AB135" s="486" t="str">
        <f ca="1">IF('CDO Bespoke'!O136&lt;&gt;"",'CDO Bespoke'!O136,"")</f>
        <v/>
      </c>
      <c r="AC135" s="487" t="str">
        <f ca="1">IF(AB135&lt;&gt;"",ABS(MIN(-0.75*('CDO Bespoke'!K136)+'CDO Bespoke'!T136,0)),"")</f>
        <v/>
      </c>
      <c r="AD135" s="487">
        <f t="shared" ca="1" si="12"/>
        <v>0</v>
      </c>
      <c r="AE135" s="491">
        <f t="shared" ca="1" si="13"/>
        <v>0</v>
      </c>
      <c r="AF135" s="273"/>
      <c r="AG135" s="496" t="str">
        <f ca="1">IF('CDO Bespoke'!C160&lt;&gt;"",'CDO Bespoke'!C160,"")</f>
        <v/>
      </c>
      <c r="AH135" s="498"/>
      <c r="AI135" s="587"/>
      <c r="AJ135" s="587"/>
      <c r="AK135" s="587"/>
      <c r="AL135" s="499"/>
      <c r="AM135" s="498"/>
      <c r="AN135" s="587"/>
      <c r="AO135" s="587"/>
      <c r="AP135" s="587"/>
      <c r="AQ135" s="499"/>
      <c r="AR135" s="582"/>
      <c r="AS135" s="582"/>
      <c r="AT135" s="582"/>
      <c r="AU135" s="582"/>
      <c r="AV135" s="582"/>
      <c r="AW135" s="582"/>
      <c r="AX135" s="581"/>
    </row>
    <row r="136" spans="2:50">
      <c r="B136" s="541" t="s">
        <v>543</v>
      </c>
      <c r="C136" s="542" t="s">
        <v>66</v>
      </c>
      <c r="D136" s="542" t="s">
        <v>55</v>
      </c>
      <c r="E136" s="542" t="s">
        <v>647</v>
      </c>
      <c r="F136" s="542" t="s">
        <v>673</v>
      </c>
      <c r="G136" s="543">
        <v>0.01</v>
      </c>
      <c r="H136" s="543">
        <v>2.5300000000000001E-3</v>
      </c>
      <c r="I136" s="544">
        <v>0.4</v>
      </c>
      <c r="J136" s="604">
        <v>5</v>
      </c>
      <c r="K136" s="545">
        <v>38</v>
      </c>
      <c r="L136" s="273"/>
      <c r="M136" s="273"/>
      <c r="P136" s="274"/>
      <c r="Q136" s="274"/>
      <c r="R136" s="274"/>
      <c r="S136" s="274"/>
      <c r="T136" s="274"/>
      <c r="U136" s="274"/>
      <c r="V136" s="274"/>
      <c r="W136" s="274"/>
      <c r="X136" s="486" t="str">
        <f ca="1">IF('CDO Bespoke'!O137&lt;&gt;"",'CDO Bespoke'!O137,"")</f>
        <v/>
      </c>
      <c r="Y136" s="487" t="str">
        <f ca="1">IF(X136&lt;&gt;"",ABS(MIN(-0.75*('CDO Bespoke'!Q137)+'CDO Bespoke'!T137,0)),"")</f>
        <v/>
      </c>
      <c r="Z136" s="487">
        <f t="shared" ca="1" si="10"/>
        <v>0</v>
      </c>
      <c r="AA136" s="487">
        <f t="shared" ca="1" si="11"/>
        <v>0</v>
      </c>
      <c r="AB136" s="486" t="str">
        <f ca="1">IF('CDO Bespoke'!O137&lt;&gt;"",'CDO Bespoke'!O137,"")</f>
        <v/>
      </c>
      <c r="AC136" s="487" t="str">
        <f ca="1">IF(AB136&lt;&gt;"",ABS(MIN(-0.75*('CDO Bespoke'!K137)+'CDO Bespoke'!T137,0)),"")</f>
        <v/>
      </c>
      <c r="AD136" s="487">
        <f t="shared" ca="1" si="12"/>
        <v>0</v>
      </c>
      <c r="AE136" s="491">
        <f t="shared" ca="1" si="13"/>
        <v>0</v>
      </c>
      <c r="AF136" s="273"/>
      <c r="AG136" s="496" t="str">
        <f ca="1">IF('CDO Bespoke'!C161&lt;&gt;"",'CDO Bespoke'!C161,"")</f>
        <v/>
      </c>
      <c r="AH136" s="498"/>
      <c r="AI136" s="587"/>
      <c r="AJ136" s="587"/>
      <c r="AK136" s="587"/>
      <c r="AL136" s="499"/>
      <c r="AM136" s="498"/>
      <c r="AN136" s="587"/>
      <c r="AO136" s="587"/>
      <c r="AP136" s="587"/>
      <c r="AQ136" s="499"/>
      <c r="AR136" s="582"/>
      <c r="AS136" s="582"/>
      <c r="AT136" s="582"/>
      <c r="AU136" s="582"/>
      <c r="AV136" s="582"/>
      <c r="AW136" s="582"/>
      <c r="AX136" s="581"/>
    </row>
    <row r="137" spans="2:50">
      <c r="B137" s="519" t="s">
        <v>543</v>
      </c>
      <c r="C137" s="520" t="s">
        <v>66</v>
      </c>
      <c r="D137" s="520" t="s">
        <v>57</v>
      </c>
      <c r="E137" s="520" t="s">
        <v>647</v>
      </c>
      <c r="F137" s="520" t="s">
        <v>673</v>
      </c>
      <c r="G137" s="527">
        <v>0.01</v>
      </c>
      <c r="H137" s="527">
        <v>3.9699999999999996E-3</v>
      </c>
      <c r="I137" s="529">
        <v>0.4</v>
      </c>
      <c r="J137" s="596">
        <v>5</v>
      </c>
      <c r="K137" s="521">
        <v>38</v>
      </c>
      <c r="L137" s="273"/>
      <c r="M137" s="273"/>
      <c r="P137" s="274"/>
      <c r="Q137" s="274"/>
      <c r="R137" s="274"/>
      <c r="S137" s="274"/>
      <c r="T137" s="274"/>
      <c r="U137" s="274"/>
      <c r="V137" s="274"/>
      <c r="W137" s="274"/>
      <c r="X137" s="486" t="str">
        <f ca="1">IF('CDO Bespoke'!O138&lt;&gt;"",'CDO Bespoke'!O138,"")</f>
        <v/>
      </c>
      <c r="Y137" s="487" t="str">
        <f ca="1">IF(X137&lt;&gt;"",ABS(MIN(-0.75*('CDO Bespoke'!Q138)+'CDO Bespoke'!T138,0)),"")</f>
        <v/>
      </c>
      <c r="Z137" s="487">
        <f t="shared" ca="1" si="10"/>
        <v>0</v>
      </c>
      <c r="AA137" s="487">
        <f t="shared" ca="1" si="11"/>
        <v>0</v>
      </c>
      <c r="AB137" s="486" t="str">
        <f ca="1">IF('CDO Bespoke'!O138&lt;&gt;"",'CDO Bespoke'!O138,"")</f>
        <v/>
      </c>
      <c r="AC137" s="487" t="str">
        <f ca="1">IF(AB137&lt;&gt;"",ABS(MIN(-0.75*('CDO Bespoke'!K138)+'CDO Bespoke'!T138,0)),"")</f>
        <v/>
      </c>
      <c r="AD137" s="487">
        <f t="shared" ca="1" si="12"/>
        <v>0</v>
      </c>
      <c r="AE137" s="491">
        <f t="shared" ca="1" si="13"/>
        <v>0</v>
      </c>
      <c r="AF137" s="273"/>
      <c r="AG137" s="496" t="str">
        <f ca="1">IF('CDO Bespoke'!C162&lt;&gt;"",'CDO Bespoke'!C162,"")</f>
        <v/>
      </c>
      <c r="AH137" s="498"/>
      <c r="AI137" s="587"/>
      <c r="AJ137" s="587"/>
      <c r="AK137" s="587"/>
      <c r="AL137" s="499"/>
      <c r="AM137" s="498"/>
      <c r="AN137" s="587"/>
      <c r="AO137" s="587"/>
      <c r="AP137" s="587"/>
      <c r="AQ137" s="499"/>
      <c r="AR137" s="582"/>
      <c r="AS137" s="582"/>
      <c r="AT137" s="582"/>
      <c r="AU137" s="582"/>
      <c r="AV137" s="582"/>
      <c r="AW137" s="582"/>
      <c r="AX137" s="581"/>
    </row>
    <row r="138" spans="2:50">
      <c r="B138" s="536" t="s">
        <v>543</v>
      </c>
      <c r="C138" s="537" t="s">
        <v>66</v>
      </c>
      <c r="D138" s="537" t="s">
        <v>59</v>
      </c>
      <c r="E138" s="537" t="s">
        <v>647</v>
      </c>
      <c r="F138" s="537" t="s">
        <v>673</v>
      </c>
      <c r="G138" s="538">
        <v>0.01</v>
      </c>
      <c r="H138" s="538">
        <v>5.692E-3</v>
      </c>
      <c r="I138" s="539">
        <v>0.4</v>
      </c>
      <c r="J138" s="597">
        <v>5</v>
      </c>
      <c r="K138" s="540">
        <v>38</v>
      </c>
      <c r="L138" s="273"/>
      <c r="M138" s="273"/>
      <c r="P138" s="274"/>
      <c r="Q138" s="274"/>
      <c r="R138" s="274"/>
      <c r="S138" s="274"/>
      <c r="T138" s="274"/>
      <c r="U138" s="274"/>
      <c r="V138" s="274"/>
      <c r="W138" s="274"/>
      <c r="X138" s="486" t="str">
        <f ca="1">IF('CDO Bespoke'!O139&lt;&gt;"",'CDO Bespoke'!O139,"")</f>
        <v/>
      </c>
      <c r="Y138" s="487" t="str">
        <f ca="1">IF(X138&lt;&gt;"",ABS(MIN(-0.75*('CDO Bespoke'!Q139)+'CDO Bespoke'!T139,0)),"")</f>
        <v/>
      </c>
      <c r="Z138" s="487">
        <f t="shared" ca="1" si="10"/>
        <v>0</v>
      </c>
      <c r="AA138" s="487">
        <f t="shared" ca="1" si="11"/>
        <v>0</v>
      </c>
      <c r="AB138" s="486" t="str">
        <f ca="1">IF('CDO Bespoke'!O139&lt;&gt;"",'CDO Bespoke'!O139,"")</f>
        <v/>
      </c>
      <c r="AC138" s="487" t="str">
        <f ca="1">IF(AB138&lt;&gt;"",ABS(MIN(-0.75*('CDO Bespoke'!K139)+'CDO Bespoke'!T139,0)),"")</f>
        <v/>
      </c>
      <c r="AD138" s="487">
        <f t="shared" ca="1" si="12"/>
        <v>0</v>
      </c>
      <c r="AE138" s="491">
        <f t="shared" ca="1" si="13"/>
        <v>0</v>
      </c>
      <c r="AF138" s="273"/>
      <c r="AG138" s="496" t="str">
        <f ca="1">IF('CDO Bespoke'!C163&lt;&gt;"",'CDO Bespoke'!C163,"")</f>
        <v/>
      </c>
      <c r="AH138" s="498"/>
      <c r="AI138" s="587"/>
      <c r="AJ138" s="587"/>
      <c r="AK138" s="587"/>
      <c r="AL138" s="499"/>
      <c r="AM138" s="498"/>
      <c r="AN138" s="587"/>
      <c r="AO138" s="587"/>
      <c r="AP138" s="587"/>
      <c r="AQ138" s="499"/>
      <c r="AR138" s="582"/>
      <c r="AS138" s="582"/>
      <c r="AT138" s="582"/>
      <c r="AU138" s="582"/>
      <c r="AV138" s="582"/>
      <c r="AW138" s="582"/>
      <c r="AX138" s="581"/>
    </row>
    <row r="139" spans="2:50">
      <c r="B139" s="541" t="s">
        <v>544</v>
      </c>
      <c r="C139" s="542" t="s">
        <v>66</v>
      </c>
      <c r="D139" s="542" t="s">
        <v>55</v>
      </c>
      <c r="E139" s="542" t="s">
        <v>649</v>
      </c>
      <c r="F139" s="542" t="s">
        <v>673</v>
      </c>
      <c r="G139" s="543">
        <v>0.01</v>
      </c>
      <c r="H139" s="543">
        <v>3.9449999999999997E-3</v>
      </c>
      <c r="I139" s="544">
        <v>0.4</v>
      </c>
      <c r="J139" s="604">
        <v>5</v>
      </c>
      <c r="K139" s="545">
        <v>39</v>
      </c>
      <c r="L139" s="273"/>
      <c r="M139" s="273"/>
      <c r="P139" s="274"/>
      <c r="Q139" s="274"/>
      <c r="R139" s="274"/>
      <c r="S139" s="274"/>
      <c r="T139" s="274"/>
      <c r="U139" s="274"/>
      <c r="V139" s="274"/>
      <c r="W139" s="274"/>
      <c r="X139" s="486" t="str">
        <f ca="1">IF('CDO Bespoke'!O140&lt;&gt;"",'CDO Bespoke'!O140,"")</f>
        <v/>
      </c>
      <c r="Y139" s="487" t="str">
        <f ca="1">IF(X139&lt;&gt;"",ABS(MIN(-0.75*('CDO Bespoke'!Q140)+'CDO Bespoke'!T140,0)),"")</f>
        <v/>
      </c>
      <c r="Z139" s="487">
        <f t="shared" ca="1" si="10"/>
        <v>0</v>
      </c>
      <c r="AA139" s="487">
        <f t="shared" ca="1" si="11"/>
        <v>0</v>
      </c>
      <c r="AB139" s="486" t="str">
        <f ca="1">IF('CDO Bespoke'!O140&lt;&gt;"",'CDO Bespoke'!O140,"")</f>
        <v/>
      </c>
      <c r="AC139" s="487" t="str">
        <f ca="1">IF(AB139&lt;&gt;"",ABS(MIN(-0.75*('CDO Bespoke'!K140)+'CDO Bespoke'!T140,0)),"")</f>
        <v/>
      </c>
      <c r="AD139" s="487">
        <f t="shared" ca="1" si="12"/>
        <v>0</v>
      </c>
      <c r="AE139" s="491">
        <f t="shared" ca="1" si="13"/>
        <v>0</v>
      </c>
      <c r="AF139" s="273"/>
      <c r="AG139" s="496" t="str">
        <f ca="1">IF('CDO Bespoke'!C164&lt;&gt;"",'CDO Bespoke'!C164,"")</f>
        <v/>
      </c>
      <c r="AH139" s="498"/>
      <c r="AI139" s="587"/>
      <c r="AJ139" s="587"/>
      <c r="AK139" s="587"/>
      <c r="AL139" s="499"/>
      <c r="AM139" s="498"/>
      <c r="AN139" s="587"/>
      <c r="AO139" s="587"/>
      <c r="AP139" s="587"/>
      <c r="AQ139" s="499"/>
      <c r="AR139" s="582"/>
      <c r="AS139" s="582"/>
      <c r="AT139" s="582"/>
      <c r="AU139" s="582"/>
      <c r="AV139" s="582"/>
      <c r="AW139" s="582"/>
      <c r="AX139" s="581"/>
    </row>
    <row r="140" spans="2:50">
      <c r="B140" s="519" t="s">
        <v>544</v>
      </c>
      <c r="C140" s="520" t="s">
        <v>66</v>
      </c>
      <c r="D140" s="520" t="s">
        <v>57</v>
      </c>
      <c r="E140" s="520" t="s">
        <v>649</v>
      </c>
      <c r="F140" s="520" t="s">
        <v>673</v>
      </c>
      <c r="G140" s="527">
        <v>0.01</v>
      </c>
      <c r="H140" s="527">
        <v>6.7390000000000002E-3</v>
      </c>
      <c r="I140" s="529">
        <v>0.4</v>
      </c>
      <c r="J140" s="596">
        <v>5</v>
      </c>
      <c r="K140" s="521">
        <v>39</v>
      </c>
      <c r="L140" s="273"/>
      <c r="M140" s="273"/>
      <c r="P140" s="274"/>
      <c r="Q140" s="274"/>
      <c r="R140" s="274"/>
      <c r="S140" s="274"/>
      <c r="T140" s="274"/>
      <c r="U140" s="274"/>
      <c r="V140" s="274"/>
      <c r="W140" s="274"/>
      <c r="X140" s="486" t="str">
        <f ca="1">IF('CDO Bespoke'!O141&lt;&gt;"",'CDO Bespoke'!O141,"")</f>
        <v/>
      </c>
      <c r="Y140" s="487" t="str">
        <f ca="1">IF(X140&lt;&gt;"",ABS(MIN(-0.75*('CDO Bespoke'!Q141)+'CDO Bespoke'!T141,0)),"")</f>
        <v/>
      </c>
      <c r="Z140" s="487">
        <f t="shared" ca="1" si="10"/>
        <v>0</v>
      </c>
      <c r="AA140" s="487">
        <f t="shared" ca="1" si="11"/>
        <v>0</v>
      </c>
      <c r="AB140" s="486" t="str">
        <f ca="1">IF('CDO Bespoke'!O141&lt;&gt;"",'CDO Bespoke'!O141,"")</f>
        <v/>
      </c>
      <c r="AC140" s="487" t="str">
        <f ca="1">IF(AB140&lt;&gt;"",ABS(MIN(-0.75*('CDO Bespoke'!K141)+'CDO Bespoke'!T141,0)),"")</f>
        <v/>
      </c>
      <c r="AD140" s="487">
        <f t="shared" ca="1" si="12"/>
        <v>0</v>
      </c>
      <c r="AE140" s="491">
        <f t="shared" ca="1" si="13"/>
        <v>0</v>
      </c>
      <c r="AF140" s="273"/>
      <c r="AG140" s="496" t="str">
        <f ca="1">IF('CDO Bespoke'!C165&lt;&gt;"",'CDO Bespoke'!C165,"")</f>
        <v/>
      </c>
      <c r="AH140" s="498"/>
      <c r="AI140" s="587"/>
      <c r="AJ140" s="587"/>
      <c r="AK140" s="587"/>
      <c r="AL140" s="499"/>
      <c r="AM140" s="498"/>
      <c r="AN140" s="587"/>
      <c r="AO140" s="587"/>
      <c r="AP140" s="587"/>
      <c r="AQ140" s="499"/>
      <c r="AR140" s="582"/>
      <c r="AS140" s="582"/>
      <c r="AT140" s="582"/>
      <c r="AU140" s="582"/>
      <c r="AV140" s="582"/>
      <c r="AW140" s="582"/>
      <c r="AX140" s="581"/>
    </row>
    <row r="141" spans="2:50">
      <c r="B141" s="536" t="s">
        <v>544</v>
      </c>
      <c r="C141" s="537" t="s">
        <v>66</v>
      </c>
      <c r="D141" s="537" t="s">
        <v>59</v>
      </c>
      <c r="E141" s="537" t="s">
        <v>649</v>
      </c>
      <c r="F141" s="537" t="s">
        <v>673</v>
      </c>
      <c r="G141" s="538">
        <v>0.01</v>
      </c>
      <c r="H141" s="538">
        <v>9.7630000000000008E-3</v>
      </c>
      <c r="I141" s="539">
        <v>0.4</v>
      </c>
      <c r="J141" s="597">
        <v>5</v>
      </c>
      <c r="K141" s="540">
        <v>39</v>
      </c>
      <c r="L141" s="273"/>
      <c r="M141" s="273"/>
      <c r="P141" s="274"/>
      <c r="Q141" s="274"/>
      <c r="R141" s="274"/>
      <c r="S141" s="274"/>
      <c r="T141" s="274"/>
      <c r="U141" s="274"/>
      <c r="V141" s="274"/>
      <c r="W141" s="274"/>
      <c r="X141" s="486" t="str">
        <f ca="1">IF('CDO Bespoke'!O142&lt;&gt;"",'CDO Bespoke'!O142,"")</f>
        <v/>
      </c>
      <c r="Y141" s="487" t="str">
        <f ca="1">IF(X141&lt;&gt;"",ABS(MIN(-0.75*('CDO Bespoke'!Q142)+'CDO Bespoke'!T142,0)),"")</f>
        <v/>
      </c>
      <c r="Z141" s="487">
        <f t="shared" ca="1" si="10"/>
        <v>0</v>
      </c>
      <c r="AA141" s="487">
        <f t="shared" ca="1" si="11"/>
        <v>0</v>
      </c>
      <c r="AB141" s="486" t="str">
        <f ca="1">IF('CDO Bespoke'!O142&lt;&gt;"",'CDO Bespoke'!O142,"")</f>
        <v/>
      </c>
      <c r="AC141" s="487" t="str">
        <f ca="1">IF(AB141&lt;&gt;"",ABS(MIN(-0.75*('CDO Bespoke'!K142)+'CDO Bespoke'!T142,0)),"")</f>
        <v/>
      </c>
      <c r="AD141" s="487">
        <f t="shared" ca="1" si="12"/>
        <v>0</v>
      </c>
      <c r="AE141" s="491">
        <f t="shared" ca="1" si="13"/>
        <v>0</v>
      </c>
      <c r="AF141" s="273"/>
      <c r="AG141" s="496" t="str">
        <f ca="1">IF('CDO Bespoke'!C166&lt;&gt;"",'CDO Bespoke'!C166,"")</f>
        <v/>
      </c>
      <c r="AH141" s="498"/>
      <c r="AI141" s="587"/>
      <c r="AJ141" s="587"/>
      <c r="AK141" s="587"/>
      <c r="AL141" s="499"/>
      <c r="AM141" s="498"/>
      <c r="AN141" s="587"/>
      <c r="AO141" s="587"/>
      <c r="AP141" s="587"/>
      <c r="AQ141" s="499"/>
      <c r="AR141" s="582"/>
      <c r="AS141" s="582"/>
      <c r="AT141" s="582"/>
      <c r="AU141" s="582"/>
      <c r="AV141" s="582"/>
      <c r="AW141" s="582"/>
      <c r="AX141" s="581"/>
    </row>
    <row r="142" spans="2:50">
      <c r="B142" s="541" t="s">
        <v>560</v>
      </c>
      <c r="C142" s="542" t="s">
        <v>66</v>
      </c>
      <c r="D142" s="542" t="s">
        <v>55</v>
      </c>
      <c r="E142" s="542" t="s">
        <v>651</v>
      </c>
      <c r="F142" s="542" t="s">
        <v>673</v>
      </c>
      <c r="G142" s="543">
        <v>0.01</v>
      </c>
      <c r="H142" s="543">
        <v>1.738E-3</v>
      </c>
      <c r="I142" s="544">
        <v>0.4</v>
      </c>
      <c r="J142" s="604">
        <v>5</v>
      </c>
      <c r="K142" s="545">
        <v>40</v>
      </c>
      <c r="L142" s="273"/>
      <c r="M142" s="273"/>
      <c r="P142" s="274"/>
      <c r="Q142" s="274"/>
      <c r="R142" s="274"/>
      <c r="S142" s="274"/>
      <c r="T142" s="274"/>
      <c r="U142" s="274"/>
      <c r="V142" s="274"/>
      <c r="W142" s="274"/>
      <c r="X142" s="486" t="str">
        <f ca="1">IF('CDO Bespoke'!O143&lt;&gt;"",'CDO Bespoke'!O143,"")</f>
        <v/>
      </c>
      <c r="Y142" s="487" t="str">
        <f ca="1">IF(X142&lt;&gt;"",ABS(MIN(-0.75*('CDO Bespoke'!Q143)+'CDO Bespoke'!T143,0)),"")</f>
        <v/>
      </c>
      <c r="Z142" s="487">
        <f t="shared" ref="Z142:Z205" ca="1" si="16">IF(X142&lt;&gt;"",IF($Y$8,MAX(X142-Y142,0),X142),0)</f>
        <v>0</v>
      </c>
      <c r="AA142" s="487">
        <f t="shared" ref="AA142:AA205" ca="1" si="17">IF(X142&lt;&gt;"",IF($Y$8,0,Y142),0)</f>
        <v>0</v>
      </c>
      <c r="AB142" s="486" t="str">
        <f ca="1">IF('CDO Bespoke'!O143&lt;&gt;"",'CDO Bespoke'!O143,"")</f>
        <v/>
      </c>
      <c r="AC142" s="487" t="str">
        <f ca="1">IF(AB142&lt;&gt;"",ABS(MIN(-0.75*('CDO Bespoke'!K143)+'CDO Bespoke'!T143,0)),"")</f>
        <v/>
      </c>
      <c r="AD142" s="487">
        <f t="shared" ref="AD142:AD205" ca="1" si="18">IF(AB142&lt;&gt;"",IF($Y$8,MAX(AB142-AC142,0),AB142),0)</f>
        <v>0</v>
      </c>
      <c r="AE142" s="491">
        <f t="shared" ref="AE142:AE205" ca="1" si="19">IF(AB142&lt;&gt;"",IF($Y$8,0,AC142),0)</f>
        <v>0</v>
      </c>
      <c r="AF142" s="273"/>
      <c r="AG142" s="496" t="str">
        <f ca="1">IF('CDO Bespoke'!C167&lt;&gt;"",'CDO Bespoke'!C167,"")</f>
        <v/>
      </c>
      <c r="AH142" s="498"/>
      <c r="AI142" s="587"/>
      <c r="AJ142" s="587"/>
      <c r="AK142" s="587"/>
      <c r="AL142" s="499"/>
      <c r="AM142" s="498"/>
      <c r="AN142" s="587"/>
      <c r="AO142" s="587"/>
      <c r="AP142" s="587"/>
      <c r="AQ142" s="499"/>
      <c r="AR142" s="582"/>
      <c r="AS142" s="582"/>
      <c r="AT142" s="582"/>
      <c r="AU142" s="582"/>
      <c r="AV142" s="582"/>
      <c r="AW142" s="582"/>
      <c r="AX142" s="581"/>
    </row>
    <row r="143" spans="2:50">
      <c r="B143" s="519" t="s">
        <v>560</v>
      </c>
      <c r="C143" s="520" t="s">
        <v>66</v>
      </c>
      <c r="D143" s="520" t="s">
        <v>57</v>
      </c>
      <c r="E143" s="520" t="s">
        <v>651</v>
      </c>
      <c r="F143" s="520" t="s">
        <v>673</v>
      </c>
      <c r="G143" s="527">
        <v>0.01</v>
      </c>
      <c r="H143" s="527">
        <v>2.9610000000000001E-3</v>
      </c>
      <c r="I143" s="529">
        <v>0.4</v>
      </c>
      <c r="J143" s="596">
        <v>5</v>
      </c>
      <c r="K143" s="521">
        <v>40</v>
      </c>
      <c r="L143" s="273"/>
      <c r="M143" s="273"/>
      <c r="P143" s="274"/>
      <c r="Q143" s="274"/>
      <c r="R143" s="274"/>
      <c r="S143" s="274"/>
      <c r="T143" s="274"/>
      <c r="U143" s="274"/>
      <c r="V143" s="274"/>
      <c r="W143" s="274"/>
      <c r="X143" s="486" t="str">
        <f ca="1">IF('CDO Bespoke'!O144&lt;&gt;"",'CDO Bespoke'!O144,"")</f>
        <v/>
      </c>
      <c r="Y143" s="487" t="str">
        <f ca="1">IF(X143&lt;&gt;"",ABS(MIN(-0.75*('CDO Bespoke'!Q144)+'CDO Bespoke'!T144,0)),"")</f>
        <v/>
      </c>
      <c r="Z143" s="487">
        <f t="shared" ca="1" si="16"/>
        <v>0</v>
      </c>
      <c r="AA143" s="487">
        <f t="shared" ca="1" si="17"/>
        <v>0</v>
      </c>
      <c r="AB143" s="486" t="str">
        <f ca="1">IF('CDO Bespoke'!O144&lt;&gt;"",'CDO Bespoke'!O144,"")</f>
        <v/>
      </c>
      <c r="AC143" s="487" t="str">
        <f ca="1">IF(AB143&lt;&gt;"",ABS(MIN(-0.75*('CDO Bespoke'!K144)+'CDO Bespoke'!T144,0)),"")</f>
        <v/>
      </c>
      <c r="AD143" s="487">
        <f t="shared" ca="1" si="18"/>
        <v>0</v>
      </c>
      <c r="AE143" s="491">
        <f t="shared" ca="1" si="19"/>
        <v>0</v>
      </c>
      <c r="AF143" s="273"/>
      <c r="AG143" s="496" t="str">
        <f ca="1">IF('CDO Bespoke'!C168&lt;&gt;"",'CDO Bespoke'!C168,"")</f>
        <v/>
      </c>
      <c r="AH143" s="498"/>
      <c r="AI143" s="587"/>
      <c r="AJ143" s="587"/>
      <c r="AK143" s="587"/>
      <c r="AL143" s="499"/>
      <c r="AM143" s="498"/>
      <c r="AN143" s="587"/>
      <c r="AO143" s="587"/>
      <c r="AP143" s="587"/>
      <c r="AQ143" s="499"/>
      <c r="AR143" s="582"/>
      <c r="AS143" s="582"/>
      <c r="AT143" s="582"/>
      <c r="AU143" s="582"/>
      <c r="AV143" s="582"/>
      <c r="AW143" s="582"/>
      <c r="AX143" s="581"/>
    </row>
    <row r="144" spans="2:50">
      <c r="B144" s="536" t="s">
        <v>560</v>
      </c>
      <c r="C144" s="537" t="s">
        <v>66</v>
      </c>
      <c r="D144" s="537" t="s">
        <v>59</v>
      </c>
      <c r="E144" s="537" t="s">
        <v>651</v>
      </c>
      <c r="F144" s="537" t="s">
        <v>673</v>
      </c>
      <c r="G144" s="538">
        <v>0.01</v>
      </c>
      <c r="H144" s="538">
        <v>4.1469999999999996E-3</v>
      </c>
      <c r="I144" s="539">
        <v>0.4</v>
      </c>
      <c r="J144" s="597">
        <v>5</v>
      </c>
      <c r="K144" s="540">
        <v>40</v>
      </c>
      <c r="L144" s="273"/>
      <c r="M144" s="273"/>
      <c r="P144" s="274"/>
      <c r="Q144" s="274"/>
      <c r="R144" s="274"/>
      <c r="S144" s="274"/>
      <c r="T144" s="274"/>
      <c r="U144" s="274"/>
      <c r="V144" s="274"/>
      <c r="W144" s="274"/>
      <c r="X144" s="486" t="str">
        <f ca="1">IF('CDO Bespoke'!O145&lt;&gt;"",'CDO Bespoke'!O145,"")</f>
        <v/>
      </c>
      <c r="Y144" s="487" t="str">
        <f ca="1">IF(X144&lt;&gt;"",ABS(MIN(-0.75*('CDO Bespoke'!Q145)+'CDO Bespoke'!T145,0)),"")</f>
        <v/>
      </c>
      <c r="Z144" s="487">
        <f t="shared" ca="1" si="16"/>
        <v>0</v>
      </c>
      <c r="AA144" s="487">
        <f t="shared" ca="1" si="17"/>
        <v>0</v>
      </c>
      <c r="AB144" s="486" t="str">
        <f ca="1">IF('CDO Bespoke'!O145&lt;&gt;"",'CDO Bespoke'!O145,"")</f>
        <v/>
      </c>
      <c r="AC144" s="487" t="str">
        <f ca="1">IF(AB144&lt;&gt;"",ABS(MIN(-0.75*('CDO Bespoke'!K145)+'CDO Bespoke'!T145,0)),"")</f>
        <v/>
      </c>
      <c r="AD144" s="487">
        <f t="shared" ca="1" si="18"/>
        <v>0</v>
      </c>
      <c r="AE144" s="491">
        <f t="shared" ca="1" si="19"/>
        <v>0</v>
      </c>
      <c r="AF144" s="273"/>
      <c r="AG144" s="496" t="str">
        <f ca="1">IF('CDO Bespoke'!C169&lt;&gt;"",'CDO Bespoke'!C169,"")</f>
        <v/>
      </c>
      <c r="AH144" s="498"/>
      <c r="AI144" s="587"/>
      <c r="AJ144" s="587"/>
      <c r="AK144" s="587"/>
      <c r="AL144" s="499"/>
      <c r="AM144" s="498"/>
      <c r="AN144" s="587"/>
      <c r="AO144" s="587"/>
      <c r="AP144" s="587"/>
      <c r="AQ144" s="499"/>
      <c r="AR144" s="582"/>
      <c r="AS144" s="582"/>
      <c r="AT144" s="582"/>
      <c r="AU144" s="582"/>
      <c r="AV144" s="582"/>
      <c r="AW144" s="582"/>
      <c r="AX144" s="581"/>
    </row>
    <row r="145" spans="2:50">
      <c r="B145" s="541" t="s">
        <v>545</v>
      </c>
      <c r="C145" s="542" t="s">
        <v>66</v>
      </c>
      <c r="D145" s="542" t="s">
        <v>55</v>
      </c>
      <c r="E145" s="542" t="s">
        <v>649</v>
      </c>
      <c r="F145" s="542" t="s">
        <v>673</v>
      </c>
      <c r="G145" s="543">
        <v>0.01</v>
      </c>
      <c r="H145" s="543">
        <v>2.8939999999999999E-3</v>
      </c>
      <c r="I145" s="544">
        <v>0.4</v>
      </c>
      <c r="J145" s="604">
        <v>5</v>
      </c>
      <c r="K145" s="545">
        <v>41</v>
      </c>
      <c r="L145" s="273"/>
      <c r="M145" s="273"/>
      <c r="P145" s="274"/>
      <c r="Q145" s="274"/>
      <c r="R145" s="274"/>
      <c r="S145" s="274"/>
      <c r="T145" s="274"/>
      <c r="U145" s="274"/>
      <c r="V145" s="274"/>
      <c r="W145" s="274"/>
      <c r="X145" s="486" t="str">
        <f ca="1">IF('CDO Bespoke'!O146&lt;&gt;"",'CDO Bespoke'!O146,"")</f>
        <v/>
      </c>
      <c r="Y145" s="487" t="str">
        <f ca="1">IF(X145&lt;&gt;"",ABS(MIN(-0.75*('CDO Bespoke'!Q146)+'CDO Bespoke'!T146,0)),"")</f>
        <v/>
      </c>
      <c r="Z145" s="487">
        <f t="shared" ca="1" si="16"/>
        <v>0</v>
      </c>
      <c r="AA145" s="487">
        <f t="shared" ca="1" si="17"/>
        <v>0</v>
      </c>
      <c r="AB145" s="486" t="str">
        <f ca="1">IF('CDO Bespoke'!O146&lt;&gt;"",'CDO Bespoke'!O146,"")</f>
        <v/>
      </c>
      <c r="AC145" s="487" t="str">
        <f ca="1">IF(AB145&lt;&gt;"",ABS(MIN(-0.75*('CDO Bespoke'!K146)+'CDO Bespoke'!T146,0)),"")</f>
        <v/>
      </c>
      <c r="AD145" s="487">
        <f t="shared" ca="1" si="18"/>
        <v>0</v>
      </c>
      <c r="AE145" s="491">
        <f t="shared" ca="1" si="19"/>
        <v>0</v>
      </c>
      <c r="AF145" s="273"/>
      <c r="AG145" s="496" t="str">
        <f ca="1">IF('CDO Bespoke'!C170&lt;&gt;"",'CDO Bespoke'!C170,"")</f>
        <v/>
      </c>
      <c r="AH145" s="498"/>
      <c r="AI145" s="587"/>
      <c r="AJ145" s="587"/>
      <c r="AK145" s="587"/>
      <c r="AL145" s="499"/>
      <c r="AM145" s="498"/>
      <c r="AN145" s="587"/>
      <c r="AO145" s="587"/>
      <c r="AP145" s="587"/>
      <c r="AQ145" s="499"/>
      <c r="AR145" s="582"/>
      <c r="AS145" s="582"/>
      <c r="AT145" s="582"/>
      <c r="AU145" s="582"/>
      <c r="AV145" s="582"/>
      <c r="AW145" s="582"/>
      <c r="AX145" s="581"/>
    </row>
    <row r="146" spans="2:50">
      <c r="B146" s="519" t="s">
        <v>545</v>
      </c>
      <c r="C146" s="520" t="s">
        <v>66</v>
      </c>
      <c r="D146" s="520" t="s">
        <v>57</v>
      </c>
      <c r="E146" s="520" t="s">
        <v>649</v>
      </c>
      <c r="F146" s="520" t="s">
        <v>673</v>
      </c>
      <c r="G146" s="527">
        <v>0.01</v>
      </c>
      <c r="H146" s="527">
        <v>5.0400000000000002E-3</v>
      </c>
      <c r="I146" s="529">
        <v>0.4</v>
      </c>
      <c r="J146" s="596">
        <v>5</v>
      </c>
      <c r="K146" s="521">
        <v>41</v>
      </c>
      <c r="L146" s="273"/>
      <c r="M146" s="273"/>
      <c r="P146" s="274"/>
      <c r="Q146" s="274"/>
      <c r="R146" s="274"/>
      <c r="S146" s="274"/>
      <c r="T146" s="274"/>
      <c r="U146" s="274"/>
      <c r="V146" s="274"/>
      <c r="W146" s="274"/>
      <c r="X146" s="486" t="str">
        <f ca="1">IF('CDO Bespoke'!O147&lt;&gt;"",'CDO Bespoke'!O147,"")</f>
        <v/>
      </c>
      <c r="Y146" s="487" t="str">
        <f ca="1">IF(X146&lt;&gt;"",ABS(MIN(-0.75*('CDO Bespoke'!Q147)+'CDO Bespoke'!T147,0)),"")</f>
        <v/>
      </c>
      <c r="Z146" s="487">
        <f t="shared" ca="1" si="16"/>
        <v>0</v>
      </c>
      <c r="AA146" s="487">
        <f t="shared" ca="1" si="17"/>
        <v>0</v>
      </c>
      <c r="AB146" s="486" t="str">
        <f ca="1">IF('CDO Bespoke'!O147&lt;&gt;"",'CDO Bespoke'!O147,"")</f>
        <v/>
      </c>
      <c r="AC146" s="487" t="str">
        <f ca="1">IF(AB146&lt;&gt;"",ABS(MIN(-0.75*('CDO Bespoke'!K147)+'CDO Bespoke'!T147,0)),"")</f>
        <v/>
      </c>
      <c r="AD146" s="487">
        <f t="shared" ca="1" si="18"/>
        <v>0</v>
      </c>
      <c r="AE146" s="491">
        <f t="shared" ca="1" si="19"/>
        <v>0</v>
      </c>
      <c r="AF146" s="273"/>
      <c r="AG146" s="496" t="str">
        <f ca="1">IF('CDO Bespoke'!C171&lt;&gt;"",'CDO Bespoke'!C171,"")</f>
        <v/>
      </c>
      <c r="AH146" s="498"/>
      <c r="AI146" s="587"/>
      <c r="AJ146" s="587"/>
      <c r="AK146" s="587"/>
      <c r="AL146" s="499"/>
      <c r="AM146" s="498"/>
      <c r="AN146" s="587"/>
      <c r="AO146" s="587"/>
      <c r="AP146" s="587"/>
      <c r="AQ146" s="499"/>
      <c r="AR146" s="582"/>
      <c r="AS146" s="582"/>
      <c r="AT146" s="582"/>
      <c r="AU146" s="582"/>
      <c r="AV146" s="582"/>
      <c r="AW146" s="582"/>
      <c r="AX146" s="581"/>
    </row>
    <row r="147" spans="2:50">
      <c r="B147" s="536" t="s">
        <v>545</v>
      </c>
      <c r="C147" s="537" t="s">
        <v>66</v>
      </c>
      <c r="D147" s="537" t="s">
        <v>59</v>
      </c>
      <c r="E147" s="537" t="s">
        <v>649</v>
      </c>
      <c r="F147" s="537" t="s">
        <v>673</v>
      </c>
      <c r="G147" s="538">
        <v>0.01</v>
      </c>
      <c r="H147" s="538">
        <v>7.5799999999999999E-3</v>
      </c>
      <c r="I147" s="539">
        <v>0.4</v>
      </c>
      <c r="J147" s="597">
        <v>5</v>
      </c>
      <c r="K147" s="540">
        <v>41</v>
      </c>
      <c r="L147" s="273"/>
      <c r="M147" s="273"/>
      <c r="P147" s="274"/>
      <c r="Q147" s="274"/>
      <c r="R147" s="274"/>
      <c r="S147" s="274"/>
      <c r="T147" s="274"/>
      <c r="U147" s="274"/>
      <c r="V147" s="274"/>
      <c r="W147" s="274"/>
      <c r="X147" s="486" t="str">
        <f ca="1">IF('CDO Bespoke'!O148&lt;&gt;"",'CDO Bespoke'!O148,"")</f>
        <v/>
      </c>
      <c r="Y147" s="487" t="str">
        <f ca="1">IF(X147&lt;&gt;"",ABS(MIN(-0.75*('CDO Bespoke'!Q148)+'CDO Bespoke'!T148,0)),"")</f>
        <v/>
      </c>
      <c r="Z147" s="487">
        <f t="shared" ca="1" si="16"/>
        <v>0</v>
      </c>
      <c r="AA147" s="487">
        <f t="shared" ca="1" si="17"/>
        <v>0</v>
      </c>
      <c r="AB147" s="486" t="str">
        <f ca="1">IF('CDO Bespoke'!O148&lt;&gt;"",'CDO Bespoke'!O148,"")</f>
        <v/>
      </c>
      <c r="AC147" s="487" t="str">
        <f ca="1">IF(AB147&lt;&gt;"",ABS(MIN(-0.75*('CDO Bespoke'!K148)+'CDO Bespoke'!T148,0)),"")</f>
        <v/>
      </c>
      <c r="AD147" s="487">
        <f t="shared" ca="1" si="18"/>
        <v>0</v>
      </c>
      <c r="AE147" s="491">
        <f t="shared" ca="1" si="19"/>
        <v>0</v>
      </c>
      <c r="AF147" s="273"/>
      <c r="AG147" s="496" t="str">
        <f ca="1">IF('CDO Bespoke'!C172&lt;&gt;"",'CDO Bespoke'!C172,"")</f>
        <v/>
      </c>
      <c r="AH147" s="498"/>
      <c r="AI147" s="587"/>
      <c r="AJ147" s="587"/>
      <c r="AK147" s="587"/>
      <c r="AL147" s="499"/>
      <c r="AM147" s="498"/>
      <c r="AN147" s="587"/>
      <c r="AO147" s="587"/>
      <c r="AP147" s="587"/>
      <c r="AQ147" s="499"/>
      <c r="AR147" s="582"/>
      <c r="AS147" s="582"/>
      <c r="AT147" s="582"/>
      <c r="AU147" s="582"/>
      <c r="AV147" s="582"/>
      <c r="AW147" s="582"/>
      <c r="AX147" s="581"/>
    </row>
    <row r="148" spans="2:50">
      <c r="B148" s="541" t="s">
        <v>546</v>
      </c>
      <c r="C148" s="542" t="s">
        <v>66</v>
      </c>
      <c r="D148" s="542" t="s">
        <v>55</v>
      </c>
      <c r="E148" s="542" t="s">
        <v>651</v>
      </c>
      <c r="F148" s="542" t="s">
        <v>673</v>
      </c>
      <c r="G148" s="543">
        <v>0.01</v>
      </c>
      <c r="H148" s="543">
        <v>1.31E-3</v>
      </c>
      <c r="I148" s="544">
        <v>0.4</v>
      </c>
      <c r="J148" s="604">
        <v>5</v>
      </c>
      <c r="K148" s="545">
        <v>42</v>
      </c>
      <c r="L148" s="273"/>
      <c r="M148" s="273"/>
      <c r="P148" s="274"/>
      <c r="Q148" s="274"/>
      <c r="R148" s="274"/>
      <c r="S148" s="274"/>
      <c r="T148" s="274"/>
      <c r="U148" s="274"/>
      <c r="V148" s="274"/>
      <c r="W148" s="274"/>
      <c r="X148" s="486" t="str">
        <f ca="1">IF('CDO Bespoke'!O149&lt;&gt;"",'CDO Bespoke'!O149,"")</f>
        <v/>
      </c>
      <c r="Y148" s="487" t="str">
        <f ca="1">IF(X148&lt;&gt;"",ABS(MIN(-0.75*('CDO Bespoke'!Q149)+'CDO Bespoke'!T149,0)),"")</f>
        <v/>
      </c>
      <c r="Z148" s="487">
        <f t="shared" ca="1" si="16"/>
        <v>0</v>
      </c>
      <c r="AA148" s="487">
        <f t="shared" ca="1" si="17"/>
        <v>0</v>
      </c>
      <c r="AB148" s="486" t="str">
        <f ca="1">IF('CDO Bespoke'!O149&lt;&gt;"",'CDO Bespoke'!O149,"")</f>
        <v/>
      </c>
      <c r="AC148" s="487" t="str">
        <f ca="1">IF(AB148&lt;&gt;"",ABS(MIN(-0.75*('CDO Bespoke'!K149)+'CDO Bespoke'!T149,0)),"")</f>
        <v/>
      </c>
      <c r="AD148" s="487">
        <f t="shared" ca="1" si="18"/>
        <v>0</v>
      </c>
      <c r="AE148" s="491">
        <f t="shared" ca="1" si="19"/>
        <v>0</v>
      </c>
      <c r="AF148" s="273"/>
      <c r="AG148" s="496" t="str">
        <f ca="1">IF('CDO Bespoke'!C173&lt;&gt;"",'CDO Bespoke'!C173,"")</f>
        <v/>
      </c>
      <c r="AH148" s="498"/>
      <c r="AI148" s="587"/>
      <c r="AJ148" s="587"/>
      <c r="AK148" s="587"/>
      <c r="AL148" s="499"/>
      <c r="AM148" s="498"/>
      <c r="AN148" s="587"/>
      <c r="AO148" s="587"/>
      <c r="AP148" s="587"/>
      <c r="AQ148" s="499"/>
      <c r="AR148" s="582"/>
      <c r="AS148" s="582"/>
      <c r="AT148" s="582"/>
      <c r="AU148" s="582"/>
      <c r="AV148" s="582"/>
      <c r="AW148" s="582"/>
      <c r="AX148" s="581"/>
    </row>
    <row r="149" spans="2:50">
      <c r="B149" s="519" t="s">
        <v>546</v>
      </c>
      <c r="C149" s="520" t="s">
        <v>66</v>
      </c>
      <c r="D149" s="520" t="s">
        <v>57</v>
      </c>
      <c r="E149" s="520" t="s">
        <v>651</v>
      </c>
      <c r="F149" s="520" t="s">
        <v>673</v>
      </c>
      <c r="G149" s="527">
        <v>0.01</v>
      </c>
      <c r="H149" s="527">
        <v>2.2300000000000002E-3</v>
      </c>
      <c r="I149" s="529">
        <v>0.4</v>
      </c>
      <c r="J149" s="596">
        <v>5</v>
      </c>
      <c r="K149" s="521">
        <v>42</v>
      </c>
      <c r="L149" s="273"/>
      <c r="M149" s="273"/>
      <c r="P149" s="274"/>
      <c r="Q149" s="274"/>
      <c r="R149" s="274"/>
      <c r="S149" s="274"/>
      <c r="T149" s="274"/>
      <c r="U149" s="274"/>
      <c r="V149" s="274"/>
      <c r="W149" s="274"/>
      <c r="X149" s="486" t="str">
        <f ca="1">IF('CDO Bespoke'!O150&lt;&gt;"",'CDO Bespoke'!O150,"")</f>
        <v/>
      </c>
      <c r="Y149" s="487" t="str">
        <f ca="1">IF(X149&lt;&gt;"",ABS(MIN(-0.75*('CDO Bespoke'!Q150)+'CDO Bespoke'!T150,0)),"")</f>
        <v/>
      </c>
      <c r="Z149" s="487">
        <f t="shared" ca="1" si="16"/>
        <v>0</v>
      </c>
      <c r="AA149" s="487">
        <f t="shared" ca="1" si="17"/>
        <v>0</v>
      </c>
      <c r="AB149" s="486" t="str">
        <f ca="1">IF('CDO Bespoke'!O150&lt;&gt;"",'CDO Bespoke'!O150,"")</f>
        <v/>
      </c>
      <c r="AC149" s="487" t="str">
        <f ca="1">IF(AB149&lt;&gt;"",ABS(MIN(-0.75*('CDO Bespoke'!K150)+'CDO Bespoke'!T150,0)),"")</f>
        <v/>
      </c>
      <c r="AD149" s="487">
        <f t="shared" ca="1" si="18"/>
        <v>0</v>
      </c>
      <c r="AE149" s="491">
        <f t="shared" ca="1" si="19"/>
        <v>0</v>
      </c>
      <c r="AF149" s="273"/>
      <c r="AG149" s="496" t="str">
        <f ca="1">IF('CDO Bespoke'!C174&lt;&gt;"",'CDO Bespoke'!C174,"")</f>
        <v/>
      </c>
      <c r="AH149" s="498"/>
      <c r="AI149" s="587"/>
      <c r="AJ149" s="587"/>
      <c r="AK149" s="587"/>
      <c r="AL149" s="499"/>
      <c r="AM149" s="498"/>
      <c r="AN149" s="587"/>
      <c r="AO149" s="587"/>
      <c r="AP149" s="587"/>
      <c r="AQ149" s="499"/>
      <c r="AR149" s="582"/>
      <c r="AS149" s="582"/>
      <c r="AT149" s="582"/>
      <c r="AU149" s="582"/>
      <c r="AV149" s="582"/>
      <c r="AW149" s="582"/>
      <c r="AX149" s="581"/>
    </row>
    <row r="150" spans="2:50">
      <c r="B150" s="536" t="s">
        <v>546</v>
      </c>
      <c r="C150" s="537" t="s">
        <v>66</v>
      </c>
      <c r="D150" s="537" t="s">
        <v>59</v>
      </c>
      <c r="E150" s="537" t="s">
        <v>651</v>
      </c>
      <c r="F150" s="537" t="s">
        <v>673</v>
      </c>
      <c r="G150" s="538">
        <v>0.01</v>
      </c>
      <c r="H150" s="538">
        <v>3.3579999999999999E-3</v>
      </c>
      <c r="I150" s="539">
        <v>0.4</v>
      </c>
      <c r="J150" s="597">
        <v>5</v>
      </c>
      <c r="K150" s="540">
        <v>42</v>
      </c>
      <c r="L150" s="273"/>
      <c r="M150" s="273"/>
      <c r="P150" s="274"/>
      <c r="Q150" s="274"/>
      <c r="R150" s="274"/>
      <c r="S150" s="274"/>
      <c r="T150" s="274"/>
      <c r="U150" s="274"/>
      <c r="V150" s="274"/>
      <c r="W150" s="274"/>
      <c r="X150" s="486" t="str">
        <f ca="1">IF('CDO Bespoke'!O151&lt;&gt;"",'CDO Bespoke'!O151,"")</f>
        <v/>
      </c>
      <c r="Y150" s="487" t="str">
        <f ca="1">IF(X150&lt;&gt;"",ABS(MIN(-0.75*('CDO Bespoke'!Q151)+'CDO Bespoke'!T151,0)),"")</f>
        <v/>
      </c>
      <c r="Z150" s="487">
        <f t="shared" ca="1" si="16"/>
        <v>0</v>
      </c>
      <c r="AA150" s="487">
        <f t="shared" ca="1" si="17"/>
        <v>0</v>
      </c>
      <c r="AB150" s="486" t="str">
        <f ca="1">IF('CDO Bespoke'!O151&lt;&gt;"",'CDO Bespoke'!O151,"")</f>
        <v/>
      </c>
      <c r="AC150" s="487" t="str">
        <f ca="1">IF(AB150&lt;&gt;"",ABS(MIN(-0.75*('CDO Bespoke'!K151)+'CDO Bespoke'!T151,0)),"")</f>
        <v/>
      </c>
      <c r="AD150" s="487">
        <f t="shared" ca="1" si="18"/>
        <v>0</v>
      </c>
      <c r="AE150" s="491">
        <f t="shared" ca="1" si="19"/>
        <v>0</v>
      </c>
      <c r="AF150" s="273"/>
      <c r="AG150" s="496" t="str">
        <f ca="1">IF('CDO Bespoke'!C175&lt;&gt;"",'CDO Bespoke'!C175,"")</f>
        <v/>
      </c>
      <c r="AH150" s="498"/>
      <c r="AI150" s="587"/>
      <c r="AJ150" s="587"/>
      <c r="AK150" s="587"/>
      <c r="AL150" s="499"/>
      <c r="AM150" s="498"/>
      <c r="AN150" s="587"/>
      <c r="AO150" s="587"/>
      <c r="AP150" s="587"/>
      <c r="AQ150" s="499"/>
      <c r="AR150" s="582"/>
      <c r="AS150" s="582"/>
      <c r="AT150" s="582"/>
      <c r="AU150" s="582"/>
      <c r="AV150" s="582"/>
      <c r="AW150" s="582"/>
      <c r="AX150" s="581"/>
    </row>
    <row r="151" spans="2:50">
      <c r="B151" s="541" t="s">
        <v>561</v>
      </c>
      <c r="C151" s="542" t="s">
        <v>66</v>
      </c>
      <c r="D151" s="542" t="s">
        <v>55</v>
      </c>
      <c r="E151" s="542" t="s">
        <v>647</v>
      </c>
      <c r="F151" s="542" t="s">
        <v>673</v>
      </c>
      <c r="G151" s="543">
        <v>0.01</v>
      </c>
      <c r="H151" s="543">
        <v>2.1749999999999999E-3</v>
      </c>
      <c r="I151" s="544">
        <v>0.4</v>
      </c>
      <c r="J151" s="604">
        <v>5</v>
      </c>
      <c r="K151" s="545">
        <v>43</v>
      </c>
      <c r="L151" s="273"/>
      <c r="M151" s="273"/>
      <c r="P151" s="274"/>
      <c r="Q151" s="274"/>
      <c r="R151" s="274"/>
      <c r="S151" s="274"/>
      <c r="T151" s="274"/>
      <c r="U151" s="274"/>
      <c r="V151" s="274"/>
      <c r="W151" s="274"/>
      <c r="X151" s="486" t="str">
        <f ca="1">IF('CDO Bespoke'!O152&lt;&gt;"",'CDO Bespoke'!O152,"")</f>
        <v/>
      </c>
      <c r="Y151" s="487" t="str">
        <f ca="1">IF(X151&lt;&gt;"",ABS(MIN(-0.75*('CDO Bespoke'!Q152)+'CDO Bespoke'!T152,0)),"")</f>
        <v/>
      </c>
      <c r="Z151" s="487">
        <f t="shared" ca="1" si="16"/>
        <v>0</v>
      </c>
      <c r="AA151" s="487">
        <f t="shared" ca="1" si="17"/>
        <v>0</v>
      </c>
      <c r="AB151" s="486" t="str">
        <f ca="1">IF('CDO Bespoke'!O152&lt;&gt;"",'CDO Bespoke'!O152,"")</f>
        <v/>
      </c>
      <c r="AC151" s="487" t="str">
        <f ca="1">IF(AB151&lt;&gt;"",ABS(MIN(-0.75*('CDO Bespoke'!K152)+'CDO Bespoke'!T152,0)),"")</f>
        <v/>
      </c>
      <c r="AD151" s="487">
        <f t="shared" ca="1" si="18"/>
        <v>0</v>
      </c>
      <c r="AE151" s="491">
        <f t="shared" ca="1" si="19"/>
        <v>0</v>
      </c>
      <c r="AF151" s="273"/>
      <c r="AG151" s="496" t="str">
        <f ca="1">IF('CDO Bespoke'!C176&lt;&gt;"",'CDO Bespoke'!C176,"")</f>
        <v/>
      </c>
      <c r="AH151" s="498"/>
      <c r="AI151" s="587"/>
      <c r="AJ151" s="587"/>
      <c r="AK151" s="587"/>
      <c r="AL151" s="499"/>
      <c r="AM151" s="498"/>
      <c r="AN151" s="587"/>
      <c r="AO151" s="587"/>
      <c r="AP151" s="587"/>
      <c r="AQ151" s="499"/>
      <c r="AR151" s="582"/>
      <c r="AS151" s="582"/>
      <c r="AT151" s="582"/>
      <c r="AU151" s="582"/>
      <c r="AV151" s="582"/>
      <c r="AW151" s="582"/>
      <c r="AX151" s="581"/>
    </row>
    <row r="152" spans="2:50">
      <c r="B152" s="519" t="s">
        <v>561</v>
      </c>
      <c r="C152" s="520" t="s">
        <v>66</v>
      </c>
      <c r="D152" s="520" t="s">
        <v>57</v>
      </c>
      <c r="E152" s="520" t="s">
        <v>647</v>
      </c>
      <c r="F152" s="520" t="s">
        <v>673</v>
      </c>
      <c r="G152" s="527">
        <v>0.01</v>
      </c>
      <c r="H152" s="527">
        <v>3.539E-3</v>
      </c>
      <c r="I152" s="529">
        <v>0.4</v>
      </c>
      <c r="J152" s="596">
        <v>5</v>
      </c>
      <c r="K152" s="521">
        <v>43</v>
      </c>
      <c r="L152" s="273"/>
      <c r="M152" s="273"/>
      <c r="P152" s="274"/>
      <c r="Q152" s="274"/>
      <c r="R152" s="274"/>
      <c r="S152" s="274"/>
      <c r="T152" s="274"/>
      <c r="U152" s="274"/>
      <c r="V152" s="274"/>
      <c r="W152" s="274"/>
      <c r="X152" s="486" t="str">
        <f ca="1">IF('CDO Bespoke'!O153&lt;&gt;"",'CDO Bespoke'!O153,"")</f>
        <v/>
      </c>
      <c r="Y152" s="487" t="str">
        <f ca="1">IF(X152&lt;&gt;"",ABS(MIN(-0.75*('CDO Bespoke'!Q153)+'CDO Bespoke'!T153,0)),"")</f>
        <v/>
      </c>
      <c r="Z152" s="487">
        <f t="shared" ca="1" si="16"/>
        <v>0</v>
      </c>
      <c r="AA152" s="487">
        <f t="shared" ca="1" si="17"/>
        <v>0</v>
      </c>
      <c r="AB152" s="486" t="str">
        <f ca="1">IF('CDO Bespoke'!O153&lt;&gt;"",'CDO Bespoke'!O153,"")</f>
        <v/>
      </c>
      <c r="AC152" s="487" t="str">
        <f ca="1">IF(AB152&lt;&gt;"",ABS(MIN(-0.75*('CDO Bespoke'!K153)+'CDO Bespoke'!T153,0)),"")</f>
        <v/>
      </c>
      <c r="AD152" s="487">
        <f t="shared" ca="1" si="18"/>
        <v>0</v>
      </c>
      <c r="AE152" s="491">
        <f t="shared" ca="1" si="19"/>
        <v>0</v>
      </c>
      <c r="AF152" s="273"/>
      <c r="AG152" s="496" t="str">
        <f ca="1">IF('CDO Bespoke'!C177&lt;&gt;"",'CDO Bespoke'!C177,"")</f>
        <v/>
      </c>
      <c r="AH152" s="498"/>
      <c r="AI152" s="587"/>
      <c r="AJ152" s="587"/>
      <c r="AK152" s="587"/>
      <c r="AL152" s="499"/>
      <c r="AM152" s="498"/>
      <c r="AN152" s="587"/>
      <c r="AO152" s="587"/>
      <c r="AP152" s="587"/>
      <c r="AQ152" s="499"/>
      <c r="AR152" s="582"/>
      <c r="AS152" s="582"/>
      <c r="AT152" s="582"/>
      <c r="AU152" s="582"/>
      <c r="AV152" s="582"/>
      <c r="AW152" s="582"/>
      <c r="AX152" s="581"/>
    </row>
    <row r="153" spans="2:50">
      <c r="B153" s="536" t="s">
        <v>561</v>
      </c>
      <c r="C153" s="537" t="s">
        <v>66</v>
      </c>
      <c r="D153" s="537" t="s">
        <v>59</v>
      </c>
      <c r="E153" s="537" t="s">
        <v>647</v>
      </c>
      <c r="F153" s="537" t="s">
        <v>673</v>
      </c>
      <c r="G153" s="538">
        <v>0.01</v>
      </c>
      <c r="H153" s="538">
        <v>4.816E-3</v>
      </c>
      <c r="I153" s="539">
        <v>0.4</v>
      </c>
      <c r="J153" s="597">
        <v>5</v>
      </c>
      <c r="K153" s="540">
        <v>43</v>
      </c>
      <c r="L153" s="273"/>
      <c r="M153" s="273"/>
      <c r="P153" s="274"/>
      <c r="Q153" s="274"/>
      <c r="R153" s="274"/>
      <c r="S153" s="274"/>
      <c r="T153" s="274"/>
      <c r="U153" s="274"/>
      <c r="V153" s="274"/>
      <c r="W153" s="274"/>
      <c r="X153" s="486" t="str">
        <f ca="1">IF('CDO Bespoke'!O154&lt;&gt;"",'CDO Bespoke'!O154,"")</f>
        <v/>
      </c>
      <c r="Y153" s="487" t="str">
        <f ca="1">IF(X153&lt;&gt;"",ABS(MIN(-0.75*('CDO Bespoke'!Q154)+'CDO Bespoke'!T154,0)),"")</f>
        <v/>
      </c>
      <c r="Z153" s="487">
        <f t="shared" ca="1" si="16"/>
        <v>0</v>
      </c>
      <c r="AA153" s="487">
        <f t="shared" ca="1" si="17"/>
        <v>0</v>
      </c>
      <c r="AB153" s="486" t="str">
        <f ca="1">IF('CDO Bespoke'!O154&lt;&gt;"",'CDO Bespoke'!O154,"")</f>
        <v/>
      </c>
      <c r="AC153" s="487" t="str">
        <f ca="1">IF(AB153&lt;&gt;"",ABS(MIN(-0.75*('CDO Bespoke'!K154)+'CDO Bespoke'!T154,0)),"")</f>
        <v/>
      </c>
      <c r="AD153" s="487">
        <f t="shared" ca="1" si="18"/>
        <v>0</v>
      </c>
      <c r="AE153" s="491">
        <f t="shared" ca="1" si="19"/>
        <v>0</v>
      </c>
      <c r="AF153" s="273"/>
      <c r="AG153" s="496" t="str">
        <f ca="1">IF('CDO Bespoke'!C178&lt;&gt;"",'CDO Bespoke'!C178,"")</f>
        <v/>
      </c>
      <c r="AH153" s="498"/>
      <c r="AI153" s="587"/>
      <c r="AJ153" s="587"/>
      <c r="AK153" s="587"/>
      <c r="AL153" s="499"/>
      <c r="AM153" s="498"/>
      <c r="AN153" s="587"/>
      <c r="AO153" s="587"/>
      <c r="AP153" s="587"/>
      <c r="AQ153" s="499"/>
      <c r="AR153" s="582"/>
      <c r="AS153" s="582"/>
      <c r="AT153" s="582"/>
      <c r="AU153" s="582"/>
      <c r="AV153" s="582"/>
      <c r="AW153" s="582"/>
      <c r="AX153" s="581"/>
    </row>
    <row r="154" spans="2:50">
      <c r="B154" s="541" t="s">
        <v>547</v>
      </c>
      <c r="C154" s="542" t="s">
        <v>66</v>
      </c>
      <c r="D154" s="542" t="s">
        <v>55</v>
      </c>
      <c r="E154" s="542" t="s">
        <v>651</v>
      </c>
      <c r="F154" s="542" t="s">
        <v>673</v>
      </c>
      <c r="G154" s="543">
        <v>0.01</v>
      </c>
      <c r="H154" s="543">
        <v>1.6999999999999999E-3</v>
      </c>
      <c r="I154" s="544">
        <v>0.4</v>
      </c>
      <c r="J154" s="604">
        <v>5</v>
      </c>
      <c r="K154" s="545">
        <v>44</v>
      </c>
      <c r="L154" s="273"/>
      <c r="M154" s="273"/>
      <c r="P154" s="274"/>
      <c r="Q154" s="274"/>
      <c r="R154" s="274"/>
      <c r="S154" s="274"/>
      <c r="T154" s="274"/>
      <c r="U154" s="274"/>
      <c r="V154" s="274"/>
      <c r="W154" s="274"/>
      <c r="X154" s="486" t="str">
        <f ca="1">IF('CDO Bespoke'!O155&lt;&gt;"",'CDO Bespoke'!O155,"")</f>
        <v/>
      </c>
      <c r="Y154" s="487" t="str">
        <f ca="1">IF(X154&lt;&gt;"",ABS(MIN(-0.75*('CDO Bespoke'!Q155)+'CDO Bespoke'!T155,0)),"")</f>
        <v/>
      </c>
      <c r="Z154" s="487">
        <f t="shared" ca="1" si="16"/>
        <v>0</v>
      </c>
      <c r="AA154" s="487">
        <f t="shared" ca="1" si="17"/>
        <v>0</v>
      </c>
      <c r="AB154" s="486" t="str">
        <f ca="1">IF('CDO Bespoke'!O155&lt;&gt;"",'CDO Bespoke'!O155,"")</f>
        <v/>
      </c>
      <c r="AC154" s="487" t="str">
        <f ca="1">IF(AB154&lt;&gt;"",ABS(MIN(-0.75*('CDO Bespoke'!K155)+'CDO Bespoke'!T155,0)),"")</f>
        <v/>
      </c>
      <c r="AD154" s="487">
        <f t="shared" ca="1" si="18"/>
        <v>0</v>
      </c>
      <c r="AE154" s="491">
        <f t="shared" ca="1" si="19"/>
        <v>0</v>
      </c>
      <c r="AF154" s="273"/>
      <c r="AG154" s="496" t="str">
        <f ca="1">IF('CDO Bespoke'!C179&lt;&gt;"",'CDO Bespoke'!C179,"")</f>
        <v/>
      </c>
      <c r="AH154" s="498"/>
      <c r="AI154" s="587"/>
      <c r="AJ154" s="587"/>
      <c r="AK154" s="587"/>
      <c r="AL154" s="499"/>
      <c r="AM154" s="498"/>
      <c r="AN154" s="587"/>
      <c r="AO154" s="587"/>
      <c r="AP154" s="587"/>
      <c r="AQ154" s="499"/>
      <c r="AR154" s="582"/>
      <c r="AS154" s="582"/>
      <c r="AT154" s="582"/>
      <c r="AU154" s="582"/>
      <c r="AV154" s="582"/>
      <c r="AW154" s="582"/>
      <c r="AX154" s="581"/>
    </row>
    <row r="155" spans="2:50">
      <c r="B155" s="519" t="s">
        <v>547</v>
      </c>
      <c r="C155" s="520" t="s">
        <v>66</v>
      </c>
      <c r="D155" s="520" t="s">
        <v>57</v>
      </c>
      <c r="E155" s="520" t="s">
        <v>651</v>
      </c>
      <c r="F155" s="520" t="s">
        <v>673</v>
      </c>
      <c r="G155" s="527">
        <v>0.01</v>
      </c>
      <c r="H155" s="527">
        <v>2.6360000000000001E-2</v>
      </c>
      <c r="I155" s="529">
        <v>0.4</v>
      </c>
      <c r="J155" s="596">
        <v>5</v>
      </c>
      <c r="K155" s="521">
        <v>44</v>
      </c>
      <c r="L155" s="273"/>
      <c r="M155" s="273"/>
      <c r="P155" s="274"/>
      <c r="Q155" s="274"/>
      <c r="R155" s="274"/>
      <c r="S155" s="274"/>
      <c r="T155" s="274"/>
      <c r="U155" s="274"/>
      <c r="V155" s="274"/>
      <c r="W155" s="274"/>
      <c r="X155" s="486" t="str">
        <f ca="1">IF('CDO Bespoke'!O156&lt;&gt;"",'CDO Bespoke'!O156,"")</f>
        <v/>
      </c>
      <c r="Y155" s="487" t="str">
        <f ca="1">IF(X155&lt;&gt;"",ABS(MIN(-0.75*('CDO Bespoke'!Q156)+'CDO Bespoke'!T156,0)),"")</f>
        <v/>
      </c>
      <c r="Z155" s="487">
        <f t="shared" ca="1" si="16"/>
        <v>0</v>
      </c>
      <c r="AA155" s="487">
        <f t="shared" ca="1" si="17"/>
        <v>0</v>
      </c>
      <c r="AB155" s="486" t="str">
        <f ca="1">IF('CDO Bespoke'!O156&lt;&gt;"",'CDO Bespoke'!O156,"")</f>
        <v/>
      </c>
      <c r="AC155" s="487" t="str">
        <f ca="1">IF(AB155&lt;&gt;"",ABS(MIN(-0.75*('CDO Bespoke'!K156)+'CDO Bespoke'!T156,0)),"")</f>
        <v/>
      </c>
      <c r="AD155" s="487">
        <f t="shared" ca="1" si="18"/>
        <v>0</v>
      </c>
      <c r="AE155" s="491">
        <f t="shared" ca="1" si="19"/>
        <v>0</v>
      </c>
      <c r="AF155" s="273"/>
      <c r="AG155" s="496" t="str">
        <f ca="1">IF('CDO Bespoke'!C180&lt;&gt;"",'CDO Bespoke'!C180,"")</f>
        <v/>
      </c>
      <c r="AH155" s="498"/>
      <c r="AI155" s="587"/>
      <c r="AJ155" s="587"/>
      <c r="AK155" s="587"/>
      <c r="AL155" s="499"/>
      <c r="AM155" s="498"/>
      <c r="AN155" s="587"/>
      <c r="AO155" s="587"/>
      <c r="AP155" s="587"/>
      <c r="AQ155" s="499"/>
      <c r="AR155" s="582"/>
      <c r="AS155" s="582"/>
      <c r="AT155" s="582"/>
      <c r="AU155" s="582"/>
      <c r="AV155" s="582"/>
      <c r="AW155" s="582"/>
      <c r="AX155" s="581"/>
    </row>
    <row r="156" spans="2:50">
      <c r="B156" s="536" t="s">
        <v>547</v>
      </c>
      <c r="C156" s="537" t="s">
        <v>66</v>
      </c>
      <c r="D156" s="537" t="s">
        <v>59</v>
      </c>
      <c r="E156" s="537" t="s">
        <v>651</v>
      </c>
      <c r="F156" s="537" t="s">
        <v>673</v>
      </c>
      <c r="G156" s="538">
        <v>0.01</v>
      </c>
      <c r="H156" s="538">
        <v>3.9090000000000001E-3</v>
      </c>
      <c r="I156" s="539">
        <v>0.4</v>
      </c>
      <c r="J156" s="597">
        <v>5</v>
      </c>
      <c r="K156" s="540">
        <v>44</v>
      </c>
      <c r="L156" s="273"/>
      <c r="M156" s="273"/>
      <c r="P156" s="274"/>
      <c r="Q156" s="274"/>
      <c r="R156" s="274"/>
      <c r="S156" s="274"/>
      <c r="T156" s="274"/>
      <c r="U156" s="274"/>
      <c r="V156" s="274"/>
      <c r="W156" s="274"/>
      <c r="X156" s="486" t="str">
        <f ca="1">IF('CDO Bespoke'!O157&lt;&gt;"",'CDO Bespoke'!O157,"")</f>
        <v/>
      </c>
      <c r="Y156" s="487" t="str">
        <f ca="1">IF(X156&lt;&gt;"",ABS(MIN(-0.75*('CDO Bespoke'!Q157)+'CDO Bespoke'!T157,0)),"")</f>
        <v/>
      </c>
      <c r="Z156" s="487">
        <f t="shared" ca="1" si="16"/>
        <v>0</v>
      </c>
      <c r="AA156" s="487">
        <f t="shared" ca="1" si="17"/>
        <v>0</v>
      </c>
      <c r="AB156" s="486" t="str">
        <f ca="1">IF('CDO Bespoke'!O157&lt;&gt;"",'CDO Bespoke'!O157,"")</f>
        <v/>
      </c>
      <c r="AC156" s="487" t="str">
        <f ca="1">IF(AB156&lt;&gt;"",ABS(MIN(-0.75*('CDO Bespoke'!K157)+'CDO Bespoke'!T157,0)),"")</f>
        <v/>
      </c>
      <c r="AD156" s="487">
        <f t="shared" ca="1" si="18"/>
        <v>0</v>
      </c>
      <c r="AE156" s="491">
        <f t="shared" ca="1" si="19"/>
        <v>0</v>
      </c>
      <c r="AF156" s="273"/>
      <c r="AG156" s="496" t="str">
        <f ca="1">IF('CDO Bespoke'!C181&lt;&gt;"",'CDO Bespoke'!C181,"")</f>
        <v/>
      </c>
      <c r="AH156" s="498"/>
      <c r="AI156" s="587"/>
      <c r="AJ156" s="587"/>
      <c r="AK156" s="587"/>
      <c r="AL156" s="499"/>
      <c r="AM156" s="498"/>
      <c r="AN156" s="587"/>
      <c r="AO156" s="587"/>
      <c r="AP156" s="587"/>
      <c r="AQ156" s="499"/>
      <c r="AR156" s="582"/>
      <c r="AS156" s="582"/>
      <c r="AT156" s="582"/>
      <c r="AU156" s="582"/>
      <c r="AV156" s="582"/>
      <c r="AW156" s="582"/>
      <c r="AX156" s="581"/>
    </row>
    <row r="157" spans="2:50">
      <c r="B157" s="541" t="s">
        <v>615</v>
      </c>
      <c r="C157" s="542" t="s">
        <v>66</v>
      </c>
      <c r="D157" s="542" t="s">
        <v>55</v>
      </c>
      <c r="E157" s="542" t="s">
        <v>649</v>
      </c>
      <c r="F157" s="542" t="s">
        <v>673</v>
      </c>
      <c r="G157" s="543">
        <v>0.01</v>
      </c>
      <c r="H157" s="543">
        <v>1.7680000000000001E-2</v>
      </c>
      <c r="I157" s="544">
        <v>0.4</v>
      </c>
      <c r="J157" s="604">
        <v>5</v>
      </c>
      <c r="K157" s="545">
        <v>45</v>
      </c>
      <c r="L157" s="273"/>
      <c r="M157" s="273"/>
      <c r="P157" s="274"/>
      <c r="Q157" s="274"/>
      <c r="R157" s="274"/>
      <c r="S157" s="274"/>
      <c r="T157" s="274"/>
      <c r="U157" s="274"/>
      <c r="V157" s="274"/>
      <c r="W157" s="274"/>
      <c r="X157" s="486" t="str">
        <f ca="1">IF('CDO Bespoke'!O158&lt;&gt;"",'CDO Bespoke'!O158,"")</f>
        <v/>
      </c>
      <c r="Y157" s="487" t="str">
        <f ca="1">IF(X157&lt;&gt;"",ABS(MIN(-0.75*('CDO Bespoke'!Q158)+'CDO Bespoke'!T158,0)),"")</f>
        <v/>
      </c>
      <c r="Z157" s="487">
        <f t="shared" ca="1" si="16"/>
        <v>0</v>
      </c>
      <c r="AA157" s="487">
        <f t="shared" ca="1" si="17"/>
        <v>0</v>
      </c>
      <c r="AB157" s="486" t="str">
        <f ca="1">IF('CDO Bespoke'!O158&lt;&gt;"",'CDO Bespoke'!O158,"")</f>
        <v/>
      </c>
      <c r="AC157" s="487" t="str">
        <f ca="1">IF(AB157&lt;&gt;"",ABS(MIN(-0.75*('CDO Bespoke'!K158)+'CDO Bespoke'!T158,0)),"")</f>
        <v/>
      </c>
      <c r="AD157" s="487">
        <f t="shared" ca="1" si="18"/>
        <v>0</v>
      </c>
      <c r="AE157" s="491">
        <f t="shared" ca="1" si="19"/>
        <v>0</v>
      </c>
      <c r="AF157" s="273"/>
      <c r="AG157" s="496" t="str">
        <f ca="1">IF('CDO Bespoke'!C182&lt;&gt;"",'CDO Bespoke'!C182,"")</f>
        <v/>
      </c>
      <c r="AH157" s="498"/>
      <c r="AI157" s="587"/>
      <c r="AJ157" s="587"/>
      <c r="AK157" s="587"/>
      <c r="AL157" s="499"/>
      <c r="AM157" s="498"/>
      <c r="AN157" s="587"/>
      <c r="AO157" s="587"/>
      <c r="AP157" s="587"/>
      <c r="AQ157" s="499"/>
      <c r="AR157" s="582"/>
      <c r="AS157" s="582"/>
      <c r="AT157" s="582"/>
      <c r="AU157" s="582"/>
      <c r="AV157" s="582"/>
      <c r="AW157" s="582"/>
      <c r="AX157" s="581"/>
    </row>
    <row r="158" spans="2:50">
      <c r="B158" s="519" t="s">
        <v>615</v>
      </c>
      <c r="C158" s="520" t="s">
        <v>66</v>
      </c>
      <c r="D158" s="520" t="s">
        <v>57</v>
      </c>
      <c r="E158" s="520" t="s">
        <v>649</v>
      </c>
      <c r="F158" s="520" t="s">
        <v>673</v>
      </c>
      <c r="G158" s="527">
        <v>0.01</v>
      </c>
      <c r="H158" s="527">
        <v>2.5177000000000001E-2</v>
      </c>
      <c r="I158" s="529">
        <v>0.4</v>
      </c>
      <c r="J158" s="596">
        <v>5</v>
      </c>
      <c r="K158" s="521">
        <v>45</v>
      </c>
      <c r="L158" s="273"/>
      <c r="M158" s="273"/>
      <c r="P158" s="274"/>
      <c r="Q158" s="274"/>
      <c r="R158" s="274"/>
      <c r="S158" s="274"/>
      <c r="T158" s="274"/>
      <c r="U158" s="274"/>
      <c r="V158" s="274"/>
      <c r="W158" s="274"/>
      <c r="X158" s="486" t="str">
        <f ca="1">IF('CDO Bespoke'!O159&lt;&gt;"",'CDO Bespoke'!O159,"")</f>
        <v/>
      </c>
      <c r="Y158" s="487" t="str">
        <f ca="1">IF(X158&lt;&gt;"",ABS(MIN(-0.75*('CDO Bespoke'!Q159)+'CDO Bespoke'!T159,0)),"")</f>
        <v/>
      </c>
      <c r="Z158" s="487">
        <f t="shared" ca="1" si="16"/>
        <v>0</v>
      </c>
      <c r="AA158" s="487">
        <f t="shared" ca="1" si="17"/>
        <v>0</v>
      </c>
      <c r="AB158" s="486" t="str">
        <f ca="1">IF('CDO Bespoke'!O159&lt;&gt;"",'CDO Bespoke'!O159,"")</f>
        <v/>
      </c>
      <c r="AC158" s="487" t="str">
        <f ca="1">IF(AB158&lt;&gt;"",ABS(MIN(-0.75*('CDO Bespoke'!K159)+'CDO Bespoke'!T159,0)),"")</f>
        <v/>
      </c>
      <c r="AD158" s="487">
        <f t="shared" ca="1" si="18"/>
        <v>0</v>
      </c>
      <c r="AE158" s="491">
        <f t="shared" ca="1" si="19"/>
        <v>0</v>
      </c>
      <c r="AF158" s="273"/>
      <c r="AG158" s="496" t="str">
        <f ca="1">IF('CDO Bespoke'!C183&lt;&gt;"",'CDO Bespoke'!C183,"")</f>
        <v/>
      </c>
      <c r="AH158" s="498"/>
      <c r="AI158" s="587"/>
      <c r="AJ158" s="587"/>
      <c r="AK158" s="587"/>
      <c r="AL158" s="499"/>
      <c r="AM158" s="498"/>
      <c r="AN158" s="587"/>
      <c r="AO158" s="587"/>
      <c r="AP158" s="587"/>
      <c r="AQ158" s="499"/>
      <c r="AR158" s="582"/>
      <c r="AS158" s="582"/>
      <c r="AT158" s="582"/>
      <c r="AU158" s="582"/>
      <c r="AV158" s="582"/>
      <c r="AW158" s="582"/>
      <c r="AX158" s="581"/>
    </row>
    <row r="159" spans="2:50">
      <c r="B159" s="536" t="s">
        <v>615</v>
      </c>
      <c r="C159" s="537" t="s">
        <v>66</v>
      </c>
      <c r="D159" s="537" t="s">
        <v>59</v>
      </c>
      <c r="E159" s="537" t="s">
        <v>649</v>
      </c>
      <c r="F159" s="537" t="s">
        <v>673</v>
      </c>
      <c r="G159" s="538">
        <v>0.01</v>
      </c>
      <c r="H159" s="538">
        <v>3.0232999999999999E-2</v>
      </c>
      <c r="I159" s="539">
        <v>0.4</v>
      </c>
      <c r="J159" s="597">
        <v>5</v>
      </c>
      <c r="K159" s="540">
        <v>45</v>
      </c>
      <c r="L159" s="273"/>
      <c r="M159" s="273"/>
      <c r="P159" s="274"/>
      <c r="Q159" s="274"/>
      <c r="R159" s="274"/>
      <c r="S159" s="274"/>
      <c r="T159" s="274"/>
      <c r="U159" s="274"/>
      <c r="V159" s="274"/>
      <c r="W159" s="274"/>
      <c r="X159" s="486" t="str">
        <f ca="1">IF('CDO Bespoke'!O160&lt;&gt;"",'CDO Bespoke'!O160,"")</f>
        <v/>
      </c>
      <c r="Y159" s="487" t="str">
        <f ca="1">IF(X159&lt;&gt;"",ABS(MIN(-0.75*('CDO Bespoke'!Q160)+'CDO Bespoke'!T160,0)),"")</f>
        <v/>
      </c>
      <c r="Z159" s="487">
        <f t="shared" ca="1" si="16"/>
        <v>0</v>
      </c>
      <c r="AA159" s="487">
        <f t="shared" ca="1" si="17"/>
        <v>0</v>
      </c>
      <c r="AB159" s="486" t="str">
        <f ca="1">IF('CDO Bespoke'!O160&lt;&gt;"",'CDO Bespoke'!O160,"")</f>
        <v/>
      </c>
      <c r="AC159" s="487" t="str">
        <f ca="1">IF(AB159&lt;&gt;"",ABS(MIN(-0.75*('CDO Bespoke'!K160)+'CDO Bespoke'!T160,0)),"")</f>
        <v/>
      </c>
      <c r="AD159" s="487">
        <f t="shared" ca="1" si="18"/>
        <v>0</v>
      </c>
      <c r="AE159" s="491">
        <f t="shared" ca="1" si="19"/>
        <v>0</v>
      </c>
      <c r="AF159" s="273"/>
      <c r="AG159" s="496" t="str">
        <f ca="1">IF('CDO Bespoke'!C184&lt;&gt;"",'CDO Bespoke'!C184,"")</f>
        <v/>
      </c>
      <c r="AH159" s="498"/>
      <c r="AI159" s="587"/>
      <c r="AJ159" s="587"/>
      <c r="AK159" s="587"/>
      <c r="AL159" s="499"/>
      <c r="AM159" s="498"/>
      <c r="AN159" s="587"/>
      <c r="AO159" s="587"/>
      <c r="AP159" s="587"/>
      <c r="AQ159" s="499"/>
      <c r="AR159" s="582"/>
      <c r="AS159" s="582"/>
      <c r="AT159" s="582"/>
      <c r="AU159" s="582"/>
      <c r="AV159" s="582"/>
      <c r="AW159" s="582"/>
      <c r="AX159" s="581"/>
    </row>
    <row r="160" spans="2:50">
      <c r="B160" s="541" t="s">
        <v>562</v>
      </c>
      <c r="C160" s="542" t="s">
        <v>66</v>
      </c>
      <c r="D160" s="542" t="s">
        <v>55</v>
      </c>
      <c r="E160" s="542" t="s">
        <v>649</v>
      </c>
      <c r="F160" s="542" t="s">
        <v>673</v>
      </c>
      <c r="G160" s="543">
        <v>0.01</v>
      </c>
      <c r="H160" s="543">
        <v>1.828E-3</v>
      </c>
      <c r="I160" s="544">
        <v>0.4</v>
      </c>
      <c r="J160" s="604">
        <v>5</v>
      </c>
      <c r="K160" s="545">
        <v>46</v>
      </c>
      <c r="L160" s="273"/>
      <c r="M160" s="273"/>
      <c r="P160" s="274"/>
      <c r="Q160" s="274"/>
      <c r="R160" s="274"/>
      <c r="S160" s="274"/>
      <c r="T160" s="274"/>
      <c r="U160" s="274"/>
      <c r="V160" s="274"/>
      <c r="W160" s="274"/>
      <c r="X160" s="486" t="str">
        <f ca="1">IF('CDO Bespoke'!O161&lt;&gt;"",'CDO Bespoke'!O161,"")</f>
        <v/>
      </c>
      <c r="Y160" s="487" t="str">
        <f ca="1">IF(X160&lt;&gt;"",ABS(MIN(-0.75*('CDO Bespoke'!Q161)+'CDO Bespoke'!T161,0)),"")</f>
        <v/>
      </c>
      <c r="Z160" s="487">
        <f t="shared" ca="1" si="16"/>
        <v>0</v>
      </c>
      <c r="AA160" s="487">
        <f t="shared" ca="1" si="17"/>
        <v>0</v>
      </c>
      <c r="AB160" s="486" t="str">
        <f ca="1">IF('CDO Bespoke'!O161&lt;&gt;"",'CDO Bespoke'!O161,"")</f>
        <v/>
      </c>
      <c r="AC160" s="487" t="str">
        <f ca="1">IF(AB160&lt;&gt;"",ABS(MIN(-0.75*('CDO Bespoke'!K161)+'CDO Bespoke'!T161,0)),"")</f>
        <v/>
      </c>
      <c r="AD160" s="487">
        <f t="shared" ca="1" si="18"/>
        <v>0</v>
      </c>
      <c r="AE160" s="491">
        <f t="shared" ca="1" si="19"/>
        <v>0</v>
      </c>
      <c r="AF160" s="273"/>
      <c r="AG160" s="496" t="str">
        <f ca="1">IF('CDO Bespoke'!C185&lt;&gt;"",'CDO Bespoke'!C185,"")</f>
        <v/>
      </c>
      <c r="AH160" s="498"/>
      <c r="AI160" s="587"/>
      <c r="AJ160" s="587"/>
      <c r="AK160" s="587"/>
      <c r="AL160" s="499"/>
      <c r="AM160" s="498"/>
      <c r="AN160" s="587"/>
      <c r="AO160" s="587"/>
      <c r="AP160" s="587"/>
      <c r="AQ160" s="499"/>
      <c r="AR160" s="582"/>
      <c r="AS160" s="582"/>
      <c r="AT160" s="582"/>
      <c r="AU160" s="582"/>
      <c r="AV160" s="582"/>
      <c r="AW160" s="582"/>
      <c r="AX160" s="581"/>
    </row>
    <row r="161" spans="2:50">
      <c r="B161" s="519" t="s">
        <v>562</v>
      </c>
      <c r="C161" s="520" t="s">
        <v>66</v>
      </c>
      <c r="D161" s="520" t="s">
        <v>57</v>
      </c>
      <c r="E161" s="520" t="s">
        <v>649</v>
      </c>
      <c r="F161" s="520" t="s">
        <v>673</v>
      </c>
      <c r="G161" s="527">
        <v>0.01</v>
      </c>
      <c r="H161" s="527">
        <v>3.0709999999999999E-3</v>
      </c>
      <c r="I161" s="529">
        <v>0.4</v>
      </c>
      <c r="J161" s="596">
        <v>5</v>
      </c>
      <c r="K161" s="521">
        <v>46</v>
      </c>
      <c r="L161" s="273"/>
      <c r="M161" s="273"/>
      <c r="P161" s="274"/>
      <c r="Q161" s="274"/>
      <c r="R161" s="274"/>
      <c r="S161" s="274"/>
      <c r="T161" s="274"/>
      <c r="U161" s="274"/>
      <c r="V161" s="274"/>
      <c r="W161" s="274"/>
      <c r="X161" s="486" t="str">
        <f ca="1">IF('CDO Bespoke'!O162&lt;&gt;"",'CDO Bespoke'!O162,"")</f>
        <v/>
      </c>
      <c r="Y161" s="487" t="str">
        <f ca="1">IF(X161&lt;&gt;"",ABS(MIN(-0.75*('CDO Bespoke'!Q162)+'CDO Bespoke'!T162,0)),"")</f>
        <v/>
      </c>
      <c r="Z161" s="487">
        <f t="shared" ca="1" si="16"/>
        <v>0</v>
      </c>
      <c r="AA161" s="487">
        <f t="shared" ca="1" si="17"/>
        <v>0</v>
      </c>
      <c r="AB161" s="486" t="str">
        <f ca="1">IF('CDO Bespoke'!O162&lt;&gt;"",'CDO Bespoke'!O162,"")</f>
        <v/>
      </c>
      <c r="AC161" s="487" t="str">
        <f ca="1">IF(AB161&lt;&gt;"",ABS(MIN(-0.75*('CDO Bespoke'!K162)+'CDO Bespoke'!T162,0)),"")</f>
        <v/>
      </c>
      <c r="AD161" s="487">
        <f t="shared" ca="1" si="18"/>
        <v>0</v>
      </c>
      <c r="AE161" s="491">
        <f t="shared" ca="1" si="19"/>
        <v>0</v>
      </c>
      <c r="AF161" s="273"/>
      <c r="AG161" s="496" t="str">
        <f ca="1">IF('CDO Bespoke'!C186&lt;&gt;"",'CDO Bespoke'!C186,"")</f>
        <v/>
      </c>
      <c r="AH161" s="498"/>
      <c r="AI161" s="587"/>
      <c r="AJ161" s="587"/>
      <c r="AK161" s="587"/>
      <c r="AL161" s="499"/>
      <c r="AM161" s="498"/>
      <c r="AN161" s="587"/>
      <c r="AO161" s="587"/>
      <c r="AP161" s="587"/>
      <c r="AQ161" s="499"/>
      <c r="AR161" s="582"/>
      <c r="AS161" s="582"/>
      <c r="AT161" s="582"/>
      <c r="AU161" s="582"/>
      <c r="AV161" s="582"/>
      <c r="AW161" s="582"/>
      <c r="AX161" s="581"/>
    </row>
    <row r="162" spans="2:50">
      <c r="B162" s="536" t="s">
        <v>562</v>
      </c>
      <c r="C162" s="537" t="s">
        <v>66</v>
      </c>
      <c r="D162" s="537" t="s">
        <v>59</v>
      </c>
      <c r="E162" s="537" t="s">
        <v>649</v>
      </c>
      <c r="F162" s="537" t="s">
        <v>673</v>
      </c>
      <c r="G162" s="538">
        <v>0.01</v>
      </c>
      <c r="H162" s="538">
        <v>4.3569999999999998E-3</v>
      </c>
      <c r="I162" s="539">
        <v>0.4</v>
      </c>
      <c r="J162" s="597">
        <v>5</v>
      </c>
      <c r="K162" s="540">
        <v>46</v>
      </c>
      <c r="L162" s="273"/>
      <c r="M162" s="273"/>
      <c r="P162" s="274"/>
      <c r="Q162" s="274"/>
      <c r="R162" s="274"/>
      <c r="S162" s="274"/>
      <c r="T162" s="274"/>
      <c r="U162" s="274"/>
      <c r="V162" s="274"/>
      <c r="W162" s="274"/>
      <c r="X162" s="486" t="str">
        <f ca="1">IF('CDO Bespoke'!O163&lt;&gt;"",'CDO Bespoke'!O163,"")</f>
        <v/>
      </c>
      <c r="Y162" s="487" t="str">
        <f ca="1">IF(X162&lt;&gt;"",ABS(MIN(-0.75*('CDO Bespoke'!Q163)+'CDO Bespoke'!T163,0)),"")</f>
        <v/>
      </c>
      <c r="Z162" s="487">
        <f t="shared" ca="1" si="16"/>
        <v>0</v>
      </c>
      <c r="AA162" s="487">
        <f t="shared" ca="1" si="17"/>
        <v>0</v>
      </c>
      <c r="AB162" s="486" t="str">
        <f ca="1">IF('CDO Bespoke'!O163&lt;&gt;"",'CDO Bespoke'!O163,"")</f>
        <v/>
      </c>
      <c r="AC162" s="487" t="str">
        <f ca="1">IF(AB162&lt;&gt;"",ABS(MIN(-0.75*('CDO Bespoke'!K163)+'CDO Bespoke'!T163,0)),"")</f>
        <v/>
      </c>
      <c r="AD162" s="487">
        <f t="shared" ca="1" si="18"/>
        <v>0</v>
      </c>
      <c r="AE162" s="491">
        <f t="shared" ca="1" si="19"/>
        <v>0</v>
      </c>
      <c r="AF162" s="273"/>
      <c r="AG162" s="496" t="str">
        <f ca="1">IF('CDO Bespoke'!C187&lt;&gt;"",'CDO Bespoke'!C187,"")</f>
        <v/>
      </c>
      <c r="AH162" s="498"/>
      <c r="AI162" s="587"/>
      <c r="AJ162" s="587"/>
      <c r="AK162" s="587"/>
      <c r="AL162" s="499"/>
      <c r="AM162" s="498"/>
      <c r="AN162" s="587"/>
      <c r="AO162" s="587"/>
      <c r="AP162" s="587"/>
      <c r="AQ162" s="499"/>
      <c r="AR162" s="582"/>
      <c r="AS162" s="582"/>
      <c r="AT162" s="582"/>
      <c r="AU162" s="582"/>
      <c r="AV162" s="582"/>
      <c r="AW162" s="582"/>
      <c r="AX162" s="581"/>
    </row>
    <row r="163" spans="2:50">
      <c r="B163" s="541" t="s">
        <v>548</v>
      </c>
      <c r="C163" s="542" t="s">
        <v>66</v>
      </c>
      <c r="D163" s="542" t="s">
        <v>55</v>
      </c>
      <c r="E163" s="542" t="s">
        <v>647</v>
      </c>
      <c r="F163" s="542" t="s">
        <v>673</v>
      </c>
      <c r="G163" s="543">
        <v>0.01</v>
      </c>
      <c r="H163" s="543">
        <v>1.338E-3</v>
      </c>
      <c r="I163" s="544">
        <v>0.4</v>
      </c>
      <c r="J163" s="604">
        <v>5</v>
      </c>
      <c r="K163" s="545">
        <v>47</v>
      </c>
      <c r="L163" s="273"/>
      <c r="M163" s="273"/>
      <c r="P163" s="274"/>
      <c r="Q163" s="274"/>
      <c r="R163" s="274"/>
      <c r="S163" s="274"/>
      <c r="T163" s="274"/>
      <c r="U163" s="274"/>
      <c r="V163" s="274"/>
      <c r="W163" s="274"/>
      <c r="X163" s="486" t="str">
        <f ca="1">IF('CDO Bespoke'!O164&lt;&gt;"",'CDO Bespoke'!O164,"")</f>
        <v/>
      </c>
      <c r="Y163" s="487" t="str">
        <f ca="1">IF(X163&lt;&gt;"",ABS(MIN(-0.75*('CDO Bespoke'!Q164)+'CDO Bespoke'!T164,0)),"")</f>
        <v/>
      </c>
      <c r="Z163" s="487">
        <f t="shared" ca="1" si="16"/>
        <v>0</v>
      </c>
      <c r="AA163" s="487">
        <f t="shared" ca="1" si="17"/>
        <v>0</v>
      </c>
      <c r="AB163" s="486" t="str">
        <f ca="1">IF('CDO Bespoke'!O164&lt;&gt;"",'CDO Bespoke'!O164,"")</f>
        <v/>
      </c>
      <c r="AC163" s="487" t="str">
        <f ca="1">IF(AB163&lt;&gt;"",ABS(MIN(-0.75*('CDO Bespoke'!K164)+'CDO Bespoke'!T164,0)),"")</f>
        <v/>
      </c>
      <c r="AD163" s="487">
        <f t="shared" ca="1" si="18"/>
        <v>0</v>
      </c>
      <c r="AE163" s="491">
        <f t="shared" ca="1" si="19"/>
        <v>0</v>
      </c>
      <c r="AF163" s="273"/>
      <c r="AG163" s="496" t="str">
        <f ca="1">IF('CDO Bespoke'!C188&lt;&gt;"",'CDO Bespoke'!C188,"")</f>
        <v/>
      </c>
      <c r="AH163" s="498"/>
      <c r="AI163" s="587"/>
      <c r="AJ163" s="587"/>
      <c r="AK163" s="587"/>
      <c r="AL163" s="499"/>
      <c r="AM163" s="498"/>
      <c r="AN163" s="587"/>
      <c r="AO163" s="587"/>
      <c r="AP163" s="587"/>
      <c r="AQ163" s="499"/>
      <c r="AR163" s="582"/>
      <c r="AS163" s="582"/>
      <c r="AT163" s="582"/>
      <c r="AU163" s="582"/>
      <c r="AV163" s="582"/>
      <c r="AW163" s="582"/>
      <c r="AX163" s="581"/>
    </row>
    <row r="164" spans="2:50">
      <c r="B164" s="519" t="s">
        <v>548</v>
      </c>
      <c r="C164" s="520" t="s">
        <v>66</v>
      </c>
      <c r="D164" s="520" t="s">
        <v>57</v>
      </c>
      <c r="E164" s="520" t="s">
        <v>647</v>
      </c>
      <c r="F164" s="520" t="s">
        <v>673</v>
      </c>
      <c r="G164" s="527">
        <v>0.01</v>
      </c>
      <c r="H164" s="527">
        <v>2.0349999999999999E-3</v>
      </c>
      <c r="I164" s="529">
        <v>0.4</v>
      </c>
      <c r="J164" s="596">
        <v>5</v>
      </c>
      <c r="K164" s="521">
        <v>47</v>
      </c>
      <c r="L164" s="273"/>
      <c r="M164" s="273"/>
      <c r="P164" s="274"/>
      <c r="Q164" s="274"/>
      <c r="R164" s="274"/>
      <c r="S164" s="274"/>
      <c r="T164" s="274"/>
      <c r="U164" s="274"/>
      <c r="V164" s="274"/>
      <c r="W164" s="274"/>
      <c r="X164" s="486" t="str">
        <f ca="1">IF('CDO Bespoke'!O165&lt;&gt;"",'CDO Bespoke'!O165,"")</f>
        <v/>
      </c>
      <c r="Y164" s="487" t="str">
        <f ca="1">IF(X164&lt;&gt;"",ABS(MIN(-0.75*('CDO Bespoke'!Q165)+'CDO Bespoke'!T165,0)),"")</f>
        <v/>
      </c>
      <c r="Z164" s="487">
        <f t="shared" ca="1" si="16"/>
        <v>0</v>
      </c>
      <c r="AA164" s="487">
        <f t="shared" ca="1" si="17"/>
        <v>0</v>
      </c>
      <c r="AB164" s="486" t="str">
        <f ca="1">IF('CDO Bespoke'!O165&lt;&gt;"",'CDO Bespoke'!O165,"")</f>
        <v/>
      </c>
      <c r="AC164" s="487" t="str">
        <f ca="1">IF(AB164&lt;&gt;"",ABS(MIN(-0.75*('CDO Bespoke'!K165)+'CDO Bespoke'!T165,0)),"")</f>
        <v/>
      </c>
      <c r="AD164" s="487">
        <f t="shared" ca="1" si="18"/>
        <v>0</v>
      </c>
      <c r="AE164" s="491">
        <f t="shared" ca="1" si="19"/>
        <v>0</v>
      </c>
      <c r="AF164" s="273"/>
      <c r="AG164" s="496" t="str">
        <f ca="1">IF('CDO Bespoke'!C189&lt;&gt;"",'CDO Bespoke'!C189,"")</f>
        <v/>
      </c>
      <c r="AH164" s="498"/>
      <c r="AI164" s="587"/>
      <c r="AJ164" s="587"/>
      <c r="AK164" s="587"/>
      <c r="AL164" s="499"/>
      <c r="AM164" s="498"/>
      <c r="AN164" s="587"/>
      <c r="AO164" s="587"/>
      <c r="AP164" s="587"/>
      <c r="AQ164" s="499"/>
      <c r="AR164" s="582"/>
      <c r="AS164" s="582"/>
      <c r="AT164" s="582"/>
      <c r="AU164" s="582"/>
      <c r="AV164" s="582"/>
      <c r="AW164" s="582"/>
      <c r="AX164" s="581"/>
    </row>
    <row r="165" spans="2:50">
      <c r="B165" s="536" t="s">
        <v>548</v>
      </c>
      <c r="C165" s="537" t="s">
        <v>66</v>
      </c>
      <c r="D165" s="537" t="s">
        <v>59</v>
      </c>
      <c r="E165" s="537" t="s">
        <v>647</v>
      </c>
      <c r="F165" s="537" t="s">
        <v>673</v>
      </c>
      <c r="G165" s="538">
        <v>0.01</v>
      </c>
      <c r="H165" s="538">
        <v>2.843E-3</v>
      </c>
      <c r="I165" s="539">
        <v>0.4</v>
      </c>
      <c r="J165" s="597">
        <v>5</v>
      </c>
      <c r="K165" s="540">
        <v>47</v>
      </c>
      <c r="L165" s="273"/>
      <c r="M165" s="273"/>
      <c r="P165" s="274"/>
      <c r="Q165" s="274"/>
      <c r="R165" s="274"/>
      <c r="S165" s="274"/>
      <c r="T165" s="274"/>
      <c r="U165" s="274"/>
      <c r="V165" s="274"/>
      <c r="W165" s="274"/>
      <c r="X165" s="486" t="str">
        <f ca="1">IF('CDO Bespoke'!O166&lt;&gt;"",'CDO Bespoke'!O166,"")</f>
        <v/>
      </c>
      <c r="Y165" s="487" t="str">
        <f ca="1">IF(X165&lt;&gt;"",ABS(MIN(-0.75*('CDO Bespoke'!Q166)+'CDO Bespoke'!T166,0)),"")</f>
        <v/>
      </c>
      <c r="Z165" s="487">
        <f t="shared" ca="1" si="16"/>
        <v>0</v>
      </c>
      <c r="AA165" s="487">
        <f t="shared" ca="1" si="17"/>
        <v>0</v>
      </c>
      <c r="AB165" s="486" t="str">
        <f ca="1">IF('CDO Bespoke'!O166&lt;&gt;"",'CDO Bespoke'!O166,"")</f>
        <v/>
      </c>
      <c r="AC165" s="487" t="str">
        <f ca="1">IF(AB165&lt;&gt;"",ABS(MIN(-0.75*('CDO Bespoke'!K166)+'CDO Bespoke'!T166,0)),"")</f>
        <v/>
      </c>
      <c r="AD165" s="487">
        <f t="shared" ca="1" si="18"/>
        <v>0</v>
      </c>
      <c r="AE165" s="491">
        <f t="shared" ca="1" si="19"/>
        <v>0</v>
      </c>
      <c r="AF165" s="273"/>
      <c r="AG165" s="496" t="str">
        <f ca="1">IF('CDO Bespoke'!C190&lt;&gt;"",'CDO Bespoke'!C190,"")</f>
        <v/>
      </c>
      <c r="AH165" s="498"/>
      <c r="AI165" s="587"/>
      <c r="AJ165" s="587"/>
      <c r="AK165" s="587"/>
      <c r="AL165" s="499"/>
      <c r="AM165" s="498"/>
      <c r="AN165" s="587"/>
      <c r="AO165" s="587"/>
      <c r="AP165" s="587"/>
      <c r="AQ165" s="499"/>
      <c r="AR165" s="582"/>
      <c r="AS165" s="582"/>
      <c r="AT165" s="582"/>
      <c r="AU165" s="582"/>
      <c r="AV165" s="582"/>
      <c r="AW165" s="582"/>
      <c r="AX165" s="581"/>
    </row>
    <row r="166" spans="2:50">
      <c r="B166" s="541" t="s">
        <v>563</v>
      </c>
      <c r="C166" s="542" t="s">
        <v>66</v>
      </c>
      <c r="D166" s="542" t="s">
        <v>55</v>
      </c>
      <c r="E166" s="542" t="s">
        <v>649</v>
      </c>
      <c r="F166" s="542" t="s">
        <v>673</v>
      </c>
      <c r="G166" s="543">
        <v>0.01</v>
      </c>
      <c r="H166" s="543">
        <v>4.5620000000000001E-3</v>
      </c>
      <c r="I166" s="544">
        <v>0.4</v>
      </c>
      <c r="J166" s="604">
        <v>5</v>
      </c>
      <c r="K166" s="545">
        <v>48</v>
      </c>
      <c r="L166" s="273"/>
      <c r="M166" s="273"/>
      <c r="P166" s="274"/>
      <c r="Q166" s="274"/>
      <c r="R166" s="274"/>
      <c r="S166" s="274"/>
      <c r="T166" s="274"/>
      <c r="U166" s="274"/>
      <c r="V166" s="274"/>
      <c r="W166" s="274"/>
      <c r="X166" s="486" t="str">
        <f ca="1">IF('CDO Bespoke'!O167&lt;&gt;"",'CDO Bespoke'!O167,"")</f>
        <v/>
      </c>
      <c r="Y166" s="487" t="str">
        <f ca="1">IF(X166&lt;&gt;"",ABS(MIN(-0.75*('CDO Bespoke'!Q167)+'CDO Bespoke'!T167,0)),"")</f>
        <v/>
      </c>
      <c r="Z166" s="487">
        <f t="shared" ca="1" si="16"/>
        <v>0</v>
      </c>
      <c r="AA166" s="487">
        <f t="shared" ca="1" si="17"/>
        <v>0</v>
      </c>
      <c r="AB166" s="486" t="str">
        <f ca="1">IF('CDO Bespoke'!O167&lt;&gt;"",'CDO Bespoke'!O167,"")</f>
        <v/>
      </c>
      <c r="AC166" s="487" t="str">
        <f ca="1">IF(AB166&lt;&gt;"",ABS(MIN(-0.75*('CDO Bespoke'!K167)+'CDO Bespoke'!T167,0)),"")</f>
        <v/>
      </c>
      <c r="AD166" s="487">
        <f t="shared" ca="1" si="18"/>
        <v>0</v>
      </c>
      <c r="AE166" s="491">
        <f t="shared" ca="1" si="19"/>
        <v>0</v>
      </c>
      <c r="AF166" s="273"/>
      <c r="AG166" s="496" t="str">
        <f ca="1">IF('CDO Bespoke'!C191&lt;&gt;"",'CDO Bespoke'!C191,"")</f>
        <v/>
      </c>
      <c r="AH166" s="498"/>
      <c r="AI166" s="587"/>
      <c r="AJ166" s="587"/>
      <c r="AK166" s="587"/>
      <c r="AL166" s="499"/>
      <c r="AM166" s="498"/>
      <c r="AN166" s="587"/>
      <c r="AO166" s="587"/>
      <c r="AP166" s="587"/>
      <c r="AQ166" s="499"/>
      <c r="AR166" s="582"/>
      <c r="AS166" s="582"/>
      <c r="AT166" s="582"/>
      <c r="AU166" s="582"/>
      <c r="AV166" s="582"/>
      <c r="AW166" s="582"/>
      <c r="AX166" s="581"/>
    </row>
    <row r="167" spans="2:50">
      <c r="B167" s="519" t="s">
        <v>563</v>
      </c>
      <c r="C167" s="520" t="s">
        <v>66</v>
      </c>
      <c r="D167" s="520" t="s">
        <v>57</v>
      </c>
      <c r="E167" s="520" t="s">
        <v>649</v>
      </c>
      <c r="F167" s="520" t="s">
        <v>673</v>
      </c>
      <c r="G167" s="527">
        <v>0.01</v>
      </c>
      <c r="H167" s="527">
        <v>7.5360000000000002E-3</v>
      </c>
      <c r="I167" s="529">
        <v>0.4</v>
      </c>
      <c r="J167" s="596">
        <v>5</v>
      </c>
      <c r="K167" s="521">
        <v>48</v>
      </c>
      <c r="L167" s="273"/>
      <c r="M167" s="273"/>
      <c r="P167" s="274"/>
      <c r="Q167" s="274"/>
      <c r="R167" s="274"/>
      <c r="S167" s="274"/>
      <c r="T167" s="274"/>
      <c r="U167" s="274"/>
      <c r="V167" s="274"/>
      <c r="W167" s="274"/>
      <c r="X167" s="486" t="str">
        <f ca="1">IF('CDO Bespoke'!O168&lt;&gt;"",'CDO Bespoke'!O168,"")</f>
        <v/>
      </c>
      <c r="Y167" s="487" t="str">
        <f ca="1">IF(X167&lt;&gt;"",ABS(MIN(-0.75*('CDO Bespoke'!Q168)+'CDO Bespoke'!T168,0)),"")</f>
        <v/>
      </c>
      <c r="Z167" s="487">
        <f t="shared" ca="1" si="16"/>
        <v>0</v>
      </c>
      <c r="AA167" s="487">
        <f t="shared" ca="1" si="17"/>
        <v>0</v>
      </c>
      <c r="AB167" s="486" t="str">
        <f ca="1">IF('CDO Bespoke'!O168&lt;&gt;"",'CDO Bespoke'!O168,"")</f>
        <v/>
      </c>
      <c r="AC167" s="487" t="str">
        <f ca="1">IF(AB167&lt;&gt;"",ABS(MIN(-0.75*('CDO Bespoke'!K168)+'CDO Bespoke'!T168,0)),"")</f>
        <v/>
      </c>
      <c r="AD167" s="487">
        <f t="shared" ca="1" si="18"/>
        <v>0</v>
      </c>
      <c r="AE167" s="491">
        <f t="shared" ca="1" si="19"/>
        <v>0</v>
      </c>
      <c r="AF167" s="273"/>
      <c r="AG167" s="496" t="str">
        <f ca="1">IF('CDO Bespoke'!C192&lt;&gt;"",'CDO Bespoke'!C192,"")</f>
        <v/>
      </c>
      <c r="AH167" s="498"/>
      <c r="AI167" s="587"/>
      <c r="AJ167" s="587"/>
      <c r="AK167" s="587"/>
      <c r="AL167" s="499"/>
      <c r="AM167" s="498"/>
      <c r="AN167" s="587"/>
      <c r="AO167" s="587"/>
      <c r="AP167" s="587"/>
      <c r="AQ167" s="499"/>
      <c r="AR167" s="582"/>
      <c r="AS167" s="582"/>
      <c r="AT167" s="582"/>
      <c r="AU167" s="582"/>
      <c r="AV167" s="582"/>
      <c r="AW167" s="582"/>
      <c r="AX167" s="581"/>
    </row>
    <row r="168" spans="2:50">
      <c r="B168" s="536" t="s">
        <v>563</v>
      </c>
      <c r="C168" s="537" t="s">
        <v>66</v>
      </c>
      <c r="D168" s="537" t="s">
        <v>59</v>
      </c>
      <c r="E168" s="537" t="s">
        <v>649</v>
      </c>
      <c r="F168" s="537" t="s">
        <v>673</v>
      </c>
      <c r="G168" s="538">
        <v>0.01</v>
      </c>
      <c r="H168" s="538">
        <v>1.0989000000000001E-2</v>
      </c>
      <c r="I168" s="539">
        <v>0.4</v>
      </c>
      <c r="J168" s="597">
        <v>5</v>
      </c>
      <c r="K168" s="540">
        <v>48</v>
      </c>
      <c r="L168" s="273"/>
      <c r="M168" s="273"/>
      <c r="P168" s="274"/>
      <c r="Q168" s="274"/>
      <c r="R168" s="274"/>
      <c r="S168" s="274"/>
      <c r="T168" s="274"/>
      <c r="U168" s="274"/>
      <c r="V168" s="274"/>
      <c r="W168" s="274"/>
      <c r="X168" s="486" t="str">
        <f ca="1">IF('CDO Bespoke'!O169&lt;&gt;"",'CDO Bespoke'!O169,"")</f>
        <v/>
      </c>
      <c r="Y168" s="487" t="str">
        <f ca="1">IF(X168&lt;&gt;"",ABS(MIN(-0.75*('CDO Bespoke'!Q169)+'CDO Bespoke'!T169,0)),"")</f>
        <v/>
      </c>
      <c r="Z168" s="487">
        <f t="shared" ca="1" si="16"/>
        <v>0</v>
      </c>
      <c r="AA168" s="487">
        <f t="shared" ca="1" si="17"/>
        <v>0</v>
      </c>
      <c r="AB168" s="486" t="str">
        <f ca="1">IF('CDO Bespoke'!O169&lt;&gt;"",'CDO Bespoke'!O169,"")</f>
        <v/>
      </c>
      <c r="AC168" s="487" t="str">
        <f ca="1">IF(AB168&lt;&gt;"",ABS(MIN(-0.75*('CDO Bespoke'!K169)+'CDO Bespoke'!T169,0)),"")</f>
        <v/>
      </c>
      <c r="AD168" s="487">
        <f t="shared" ca="1" si="18"/>
        <v>0</v>
      </c>
      <c r="AE168" s="491">
        <f t="shared" ca="1" si="19"/>
        <v>0</v>
      </c>
      <c r="AF168" s="273"/>
      <c r="AG168" s="496" t="str">
        <f ca="1">IF('CDO Bespoke'!C193&lt;&gt;"",'CDO Bespoke'!C193,"")</f>
        <v/>
      </c>
      <c r="AH168" s="498"/>
      <c r="AI168" s="587"/>
      <c r="AJ168" s="587"/>
      <c r="AK168" s="587"/>
      <c r="AL168" s="499"/>
      <c r="AM168" s="498"/>
      <c r="AN168" s="587"/>
      <c r="AO168" s="587"/>
      <c r="AP168" s="587"/>
      <c r="AQ168" s="499"/>
      <c r="AR168" s="582"/>
      <c r="AS168" s="582"/>
      <c r="AT168" s="582"/>
      <c r="AU168" s="582"/>
      <c r="AV168" s="582"/>
      <c r="AW168" s="582"/>
      <c r="AX168" s="581"/>
    </row>
    <row r="169" spans="2:50">
      <c r="B169" s="541" t="s">
        <v>549</v>
      </c>
      <c r="C169" s="542" t="s">
        <v>66</v>
      </c>
      <c r="D169" s="542" t="s">
        <v>55</v>
      </c>
      <c r="E169" s="542" t="s">
        <v>647</v>
      </c>
      <c r="F169" s="542" t="s">
        <v>673</v>
      </c>
      <c r="G169" s="543">
        <v>0.01</v>
      </c>
      <c r="H169" s="543">
        <v>2.6589999999999999E-3</v>
      </c>
      <c r="I169" s="544">
        <v>0.4</v>
      </c>
      <c r="J169" s="604">
        <v>5</v>
      </c>
      <c r="K169" s="545">
        <v>49</v>
      </c>
      <c r="L169" s="273"/>
      <c r="M169" s="273"/>
      <c r="P169" s="274"/>
      <c r="Q169" s="274"/>
      <c r="R169" s="274"/>
      <c r="S169" s="274"/>
      <c r="T169" s="274"/>
      <c r="U169" s="274"/>
      <c r="V169" s="274"/>
      <c r="W169" s="274"/>
      <c r="X169" s="486" t="str">
        <f ca="1">IF('CDO Bespoke'!O170&lt;&gt;"",'CDO Bespoke'!O170,"")</f>
        <v/>
      </c>
      <c r="Y169" s="487" t="str">
        <f ca="1">IF(X169&lt;&gt;"",ABS(MIN(-0.75*('CDO Bespoke'!Q170)+'CDO Bespoke'!T170,0)),"")</f>
        <v/>
      </c>
      <c r="Z169" s="487">
        <f t="shared" ca="1" si="16"/>
        <v>0</v>
      </c>
      <c r="AA169" s="487">
        <f t="shared" ca="1" si="17"/>
        <v>0</v>
      </c>
      <c r="AB169" s="486" t="str">
        <f ca="1">IF('CDO Bespoke'!O170&lt;&gt;"",'CDO Bespoke'!O170,"")</f>
        <v/>
      </c>
      <c r="AC169" s="487" t="str">
        <f ca="1">IF(AB169&lt;&gt;"",ABS(MIN(-0.75*('CDO Bespoke'!K170)+'CDO Bespoke'!T170,0)),"")</f>
        <v/>
      </c>
      <c r="AD169" s="487">
        <f t="shared" ca="1" si="18"/>
        <v>0</v>
      </c>
      <c r="AE169" s="491">
        <f t="shared" ca="1" si="19"/>
        <v>0</v>
      </c>
      <c r="AF169" s="273"/>
      <c r="AG169" s="496" t="str">
        <f ca="1">IF('CDO Bespoke'!C194&lt;&gt;"",'CDO Bespoke'!C194,"")</f>
        <v/>
      </c>
      <c r="AH169" s="498"/>
      <c r="AI169" s="587"/>
      <c r="AJ169" s="587"/>
      <c r="AK169" s="587"/>
      <c r="AL169" s="499"/>
      <c r="AM169" s="498"/>
      <c r="AN169" s="587"/>
      <c r="AO169" s="587"/>
      <c r="AP169" s="587"/>
      <c r="AQ169" s="499"/>
      <c r="AR169" s="582"/>
      <c r="AS169" s="582"/>
      <c r="AT169" s="582"/>
      <c r="AU169" s="582"/>
      <c r="AV169" s="582"/>
      <c r="AW169" s="582"/>
      <c r="AX169" s="581"/>
    </row>
    <row r="170" spans="2:50">
      <c r="B170" s="519" t="s">
        <v>549</v>
      </c>
      <c r="C170" s="520" t="s">
        <v>66</v>
      </c>
      <c r="D170" s="520" t="s">
        <v>57</v>
      </c>
      <c r="E170" s="520" t="s">
        <v>647</v>
      </c>
      <c r="F170" s="520" t="s">
        <v>673</v>
      </c>
      <c r="G170" s="527">
        <v>0.01</v>
      </c>
      <c r="H170" s="527">
        <v>4.2420000000000001E-3</v>
      </c>
      <c r="I170" s="529">
        <v>0.4</v>
      </c>
      <c r="J170" s="596">
        <v>5</v>
      </c>
      <c r="K170" s="521">
        <v>49</v>
      </c>
      <c r="L170" s="273"/>
      <c r="M170" s="273"/>
      <c r="P170" s="274"/>
      <c r="Q170" s="274"/>
      <c r="R170" s="274"/>
      <c r="S170" s="274"/>
      <c r="T170" s="274"/>
      <c r="U170" s="274"/>
      <c r="V170" s="274"/>
      <c r="W170" s="274"/>
      <c r="X170" s="486" t="str">
        <f ca="1">IF('CDO Bespoke'!O171&lt;&gt;"",'CDO Bespoke'!O171,"")</f>
        <v/>
      </c>
      <c r="Y170" s="487" t="str">
        <f ca="1">IF(X170&lt;&gt;"",ABS(MIN(-0.75*('CDO Bespoke'!Q171)+'CDO Bespoke'!T171,0)),"")</f>
        <v/>
      </c>
      <c r="Z170" s="487">
        <f t="shared" ca="1" si="16"/>
        <v>0</v>
      </c>
      <c r="AA170" s="487">
        <f t="shared" ca="1" si="17"/>
        <v>0</v>
      </c>
      <c r="AB170" s="486" t="str">
        <f ca="1">IF('CDO Bespoke'!O171&lt;&gt;"",'CDO Bespoke'!O171,"")</f>
        <v/>
      </c>
      <c r="AC170" s="487" t="str">
        <f ca="1">IF(AB170&lt;&gt;"",ABS(MIN(-0.75*('CDO Bespoke'!K171)+'CDO Bespoke'!T171,0)),"")</f>
        <v/>
      </c>
      <c r="AD170" s="487">
        <f t="shared" ca="1" si="18"/>
        <v>0</v>
      </c>
      <c r="AE170" s="491">
        <f t="shared" ca="1" si="19"/>
        <v>0</v>
      </c>
      <c r="AF170" s="273"/>
      <c r="AG170" s="496" t="str">
        <f ca="1">IF('CDO Bespoke'!C195&lt;&gt;"",'CDO Bespoke'!C195,"")</f>
        <v/>
      </c>
      <c r="AH170" s="498"/>
      <c r="AI170" s="587"/>
      <c r="AJ170" s="587"/>
      <c r="AK170" s="587"/>
      <c r="AL170" s="499"/>
      <c r="AM170" s="498"/>
      <c r="AN170" s="587"/>
      <c r="AO170" s="587"/>
      <c r="AP170" s="587"/>
      <c r="AQ170" s="499"/>
      <c r="AR170" s="582"/>
      <c r="AS170" s="582"/>
      <c r="AT170" s="582"/>
      <c r="AU170" s="582"/>
      <c r="AV170" s="582"/>
      <c r="AW170" s="582"/>
      <c r="AX170" s="581"/>
    </row>
    <row r="171" spans="2:50">
      <c r="B171" s="536" t="s">
        <v>549</v>
      </c>
      <c r="C171" s="537" t="s">
        <v>66</v>
      </c>
      <c r="D171" s="537" t="s">
        <v>59</v>
      </c>
      <c r="E171" s="537" t="s">
        <v>647</v>
      </c>
      <c r="F171" s="537" t="s">
        <v>673</v>
      </c>
      <c r="G171" s="538">
        <v>0.01</v>
      </c>
      <c r="H171" s="538">
        <v>5.659E-3</v>
      </c>
      <c r="I171" s="539">
        <v>0.4</v>
      </c>
      <c r="J171" s="597">
        <v>5</v>
      </c>
      <c r="K171" s="540">
        <v>49</v>
      </c>
      <c r="L171" s="273"/>
      <c r="M171" s="273"/>
      <c r="P171" s="274"/>
      <c r="Q171" s="274"/>
      <c r="R171" s="274"/>
      <c r="S171" s="274"/>
      <c r="T171" s="274"/>
      <c r="U171" s="274"/>
      <c r="V171" s="274"/>
      <c r="W171" s="274"/>
      <c r="X171" s="486" t="str">
        <f ca="1">IF('CDO Bespoke'!O172&lt;&gt;"",'CDO Bespoke'!O172,"")</f>
        <v/>
      </c>
      <c r="Y171" s="487" t="str">
        <f ca="1">IF(X171&lt;&gt;"",ABS(MIN(-0.75*('CDO Bespoke'!Q172)+'CDO Bespoke'!T172,0)),"")</f>
        <v/>
      </c>
      <c r="Z171" s="487">
        <f t="shared" ca="1" si="16"/>
        <v>0</v>
      </c>
      <c r="AA171" s="487">
        <f t="shared" ca="1" si="17"/>
        <v>0</v>
      </c>
      <c r="AB171" s="486" t="str">
        <f ca="1">IF('CDO Bespoke'!O172&lt;&gt;"",'CDO Bespoke'!O172,"")</f>
        <v/>
      </c>
      <c r="AC171" s="487" t="str">
        <f ca="1">IF(AB171&lt;&gt;"",ABS(MIN(-0.75*('CDO Bespoke'!K172)+'CDO Bespoke'!T172,0)),"")</f>
        <v/>
      </c>
      <c r="AD171" s="487">
        <f t="shared" ca="1" si="18"/>
        <v>0</v>
      </c>
      <c r="AE171" s="491">
        <f t="shared" ca="1" si="19"/>
        <v>0</v>
      </c>
      <c r="AF171" s="273"/>
      <c r="AG171" s="496" t="str">
        <f ca="1">IF('CDO Bespoke'!C196&lt;&gt;"",'CDO Bespoke'!C196,"")</f>
        <v/>
      </c>
      <c r="AH171" s="498"/>
      <c r="AI171" s="587"/>
      <c r="AJ171" s="587"/>
      <c r="AK171" s="587"/>
      <c r="AL171" s="499"/>
      <c r="AM171" s="498"/>
      <c r="AN171" s="587"/>
      <c r="AO171" s="587"/>
      <c r="AP171" s="587"/>
      <c r="AQ171" s="499"/>
      <c r="AR171" s="582"/>
      <c r="AS171" s="582"/>
      <c r="AT171" s="582"/>
      <c r="AU171" s="582"/>
      <c r="AV171" s="582"/>
      <c r="AW171" s="582"/>
      <c r="AX171" s="581"/>
    </row>
    <row r="172" spans="2:50">
      <c r="B172" s="541" t="s">
        <v>550</v>
      </c>
      <c r="C172" s="542" t="s">
        <v>66</v>
      </c>
      <c r="D172" s="542" t="s">
        <v>55</v>
      </c>
      <c r="E172" s="542" t="s">
        <v>649</v>
      </c>
      <c r="F172" s="542" t="s">
        <v>673</v>
      </c>
      <c r="G172" s="543">
        <v>0.01</v>
      </c>
      <c r="H172" s="543">
        <v>1.866E-3</v>
      </c>
      <c r="I172" s="544">
        <v>0.4</v>
      </c>
      <c r="J172" s="604">
        <v>5</v>
      </c>
      <c r="K172" s="545">
        <v>50</v>
      </c>
      <c r="L172" s="273"/>
      <c r="M172" s="273"/>
      <c r="P172" s="274"/>
      <c r="Q172" s="274"/>
      <c r="R172" s="274"/>
      <c r="S172" s="274"/>
      <c r="T172" s="274"/>
      <c r="U172" s="274"/>
      <c r="V172" s="274"/>
      <c r="W172" s="274"/>
      <c r="X172" s="486" t="str">
        <f ca="1">IF('CDO Bespoke'!O173&lt;&gt;"",'CDO Bespoke'!O173,"")</f>
        <v/>
      </c>
      <c r="Y172" s="487" t="str">
        <f ca="1">IF(X172&lt;&gt;"",ABS(MIN(-0.75*('CDO Bespoke'!Q173)+'CDO Bespoke'!T173,0)),"")</f>
        <v/>
      </c>
      <c r="Z172" s="487">
        <f t="shared" ca="1" si="16"/>
        <v>0</v>
      </c>
      <c r="AA172" s="487">
        <f t="shared" ca="1" si="17"/>
        <v>0</v>
      </c>
      <c r="AB172" s="486" t="str">
        <f ca="1">IF('CDO Bespoke'!O173&lt;&gt;"",'CDO Bespoke'!O173,"")</f>
        <v/>
      </c>
      <c r="AC172" s="487" t="str">
        <f ca="1">IF(AB172&lt;&gt;"",ABS(MIN(-0.75*('CDO Bespoke'!K173)+'CDO Bespoke'!T173,0)),"")</f>
        <v/>
      </c>
      <c r="AD172" s="487">
        <f t="shared" ca="1" si="18"/>
        <v>0</v>
      </c>
      <c r="AE172" s="491">
        <f t="shared" ca="1" si="19"/>
        <v>0</v>
      </c>
      <c r="AF172" s="273"/>
      <c r="AG172" s="496" t="str">
        <f ca="1">IF('CDO Bespoke'!C197&lt;&gt;"",'CDO Bespoke'!C197,"")</f>
        <v/>
      </c>
      <c r="AH172" s="498"/>
      <c r="AI172" s="587"/>
      <c r="AJ172" s="587"/>
      <c r="AK172" s="587"/>
      <c r="AL172" s="499"/>
      <c r="AM172" s="498"/>
      <c r="AN172" s="587"/>
      <c r="AO172" s="587"/>
      <c r="AP172" s="587"/>
      <c r="AQ172" s="499"/>
      <c r="AR172" s="582"/>
      <c r="AS172" s="582"/>
      <c r="AT172" s="582"/>
      <c r="AU172" s="582"/>
      <c r="AV172" s="582"/>
      <c r="AW172" s="582"/>
      <c r="AX172" s="581"/>
    </row>
    <row r="173" spans="2:50">
      <c r="B173" s="519" t="s">
        <v>550</v>
      </c>
      <c r="C173" s="520" t="s">
        <v>66</v>
      </c>
      <c r="D173" s="520" t="s">
        <v>57</v>
      </c>
      <c r="E173" s="520" t="s">
        <v>649</v>
      </c>
      <c r="F173" s="520" t="s">
        <v>673</v>
      </c>
      <c r="G173" s="527">
        <v>0.01</v>
      </c>
      <c r="H173" s="527">
        <v>3.0259999999999999E-2</v>
      </c>
      <c r="I173" s="529">
        <v>0.4</v>
      </c>
      <c r="J173" s="596">
        <v>5</v>
      </c>
      <c r="K173" s="521">
        <v>50</v>
      </c>
      <c r="L173" s="273"/>
      <c r="M173" s="273"/>
      <c r="P173" s="274"/>
      <c r="Q173" s="274"/>
      <c r="R173" s="274"/>
      <c r="S173" s="274"/>
      <c r="T173" s="274"/>
      <c r="U173" s="274"/>
      <c r="V173" s="274"/>
      <c r="W173" s="274"/>
      <c r="X173" s="486" t="str">
        <f ca="1">IF('CDO Bespoke'!O174&lt;&gt;"",'CDO Bespoke'!O174,"")</f>
        <v/>
      </c>
      <c r="Y173" s="487" t="str">
        <f ca="1">IF(X173&lt;&gt;"",ABS(MIN(-0.75*('CDO Bespoke'!Q174)+'CDO Bespoke'!T174,0)),"")</f>
        <v/>
      </c>
      <c r="Z173" s="487">
        <f t="shared" ca="1" si="16"/>
        <v>0</v>
      </c>
      <c r="AA173" s="487">
        <f t="shared" ca="1" si="17"/>
        <v>0</v>
      </c>
      <c r="AB173" s="486" t="str">
        <f ca="1">IF('CDO Bespoke'!O174&lt;&gt;"",'CDO Bespoke'!O174,"")</f>
        <v/>
      </c>
      <c r="AC173" s="487" t="str">
        <f ca="1">IF(AB173&lt;&gt;"",ABS(MIN(-0.75*('CDO Bespoke'!K174)+'CDO Bespoke'!T174,0)),"")</f>
        <v/>
      </c>
      <c r="AD173" s="487">
        <f t="shared" ca="1" si="18"/>
        <v>0</v>
      </c>
      <c r="AE173" s="491">
        <f t="shared" ca="1" si="19"/>
        <v>0</v>
      </c>
      <c r="AF173" s="273"/>
      <c r="AG173" s="496" t="str">
        <f ca="1">IF('CDO Bespoke'!C198&lt;&gt;"",'CDO Bespoke'!C198,"")</f>
        <v/>
      </c>
      <c r="AH173" s="498"/>
      <c r="AI173" s="587"/>
      <c r="AJ173" s="587"/>
      <c r="AK173" s="587"/>
      <c r="AL173" s="499"/>
      <c r="AM173" s="498"/>
      <c r="AN173" s="587"/>
      <c r="AO173" s="587"/>
      <c r="AP173" s="587"/>
      <c r="AQ173" s="499"/>
      <c r="AR173" s="582"/>
      <c r="AS173" s="582"/>
      <c r="AT173" s="582"/>
      <c r="AU173" s="582"/>
      <c r="AV173" s="582"/>
      <c r="AW173" s="582"/>
      <c r="AX173" s="581"/>
    </row>
    <row r="174" spans="2:50">
      <c r="B174" s="536" t="s">
        <v>550</v>
      </c>
      <c r="C174" s="537" t="s">
        <v>66</v>
      </c>
      <c r="D174" s="537" t="s">
        <v>59</v>
      </c>
      <c r="E174" s="537" t="s">
        <v>649</v>
      </c>
      <c r="F174" s="537" t="s">
        <v>673</v>
      </c>
      <c r="G174" s="538">
        <v>0.01</v>
      </c>
      <c r="H174" s="538">
        <v>4.2849999999999997E-3</v>
      </c>
      <c r="I174" s="539">
        <v>0.4</v>
      </c>
      <c r="J174" s="597">
        <v>5</v>
      </c>
      <c r="K174" s="540">
        <v>50</v>
      </c>
      <c r="L174" s="273"/>
      <c r="M174" s="273"/>
      <c r="P174" s="274"/>
      <c r="Q174" s="274"/>
      <c r="R174" s="274"/>
      <c r="S174" s="274"/>
      <c r="T174" s="274"/>
      <c r="U174" s="274"/>
      <c r="V174" s="274"/>
      <c r="W174" s="274"/>
      <c r="X174" s="486" t="str">
        <f ca="1">IF('CDO Bespoke'!O175&lt;&gt;"",'CDO Bespoke'!O175,"")</f>
        <v/>
      </c>
      <c r="Y174" s="487" t="str">
        <f ca="1">IF(X174&lt;&gt;"",ABS(MIN(-0.75*('CDO Bespoke'!Q175)+'CDO Bespoke'!T175,0)),"")</f>
        <v/>
      </c>
      <c r="Z174" s="487">
        <f t="shared" ca="1" si="16"/>
        <v>0</v>
      </c>
      <c r="AA174" s="487">
        <f t="shared" ca="1" si="17"/>
        <v>0</v>
      </c>
      <c r="AB174" s="486" t="str">
        <f ca="1">IF('CDO Bespoke'!O175&lt;&gt;"",'CDO Bespoke'!O175,"")</f>
        <v/>
      </c>
      <c r="AC174" s="487" t="str">
        <f ca="1">IF(AB174&lt;&gt;"",ABS(MIN(-0.75*('CDO Bespoke'!K175)+'CDO Bespoke'!T175,0)),"")</f>
        <v/>
      </c>
      <c r="AD174" s="487">
        <f t="shared" ca="1" si="18"/>
        <v>0</v>
      </c>
      <c r="AE174" s="491">
        <f t="shared" ca="1" si="19"/>
        <v>0</v>
      </c>
      <c r="AF174" s="273"/>
      <c r="AG174" s="496" t="str">
        <f ca="1">IF('CDO Bespoke'!C199&lt;&gt;"",'CDO Bespoke'!C199,"")</f>
        <v/>
      </c>
      <c r="AH174" s="498"/>
      <c r="AI174" s="587"/>
      <c r="AJ174" s="587"/>
      <c r="AK174" s="587"/>
      <c r="AL174" s="499"/>
      <c r="AM174" s="498"/>
      <c r="AN174" s="587"/>
      <c r="AO174" s="587"/>
      <c r="AP174" s="587"/>
      <c r="AQ174" s="499"/>
      <c r="AR174" s="582"/>
      <c r="AS174" s="582"/>
      <c r="AT174" s="582"/>
      <c r="AU174" s="582"/>
      <c r="AV174" s="582"/>
      <c r="AW174" s="582"/>
      <c r="AX174" s="581"/>
    </row>
    <row r="175" spans="2:50">
      <c r="B175" s="541" t="s">
        <v>551</v>
      </c>
      <c r="C175" s="542" t="s">
        <v>66</v>
      </c>
      <c r="D175" s="542" t="s">
        <v>55</v>
      </c>
      <c r="E175" s="542" t="s">
        <v>649</v>
      </c>
      <c r="F175" s="542" t="s">
        <v>673</v>
      </c>
      <c r="G175" s="543">
        <v>0.01</v>
      </c>
      <c r="H175" s="543">
        <v>3.153E-3</v>
      </c>
      <c r="I175" s="544">
        <v>0.4</v>
      </c>
      <c r="J175" s="604">
        <v>5</v>
      </c>
      <c r="K175" s="545">
        <v>51</v>
      </c>
      <c r="L175" s="273"/>
      <c r="M175" s="273"/>
      <c r="P175" s="274"/>
      <c r="Q175" s="274"/>
      <c r="R175" s="274"/>
      <c r="S175" s="274"/>
      <c r="T175" s="274"/>
      <c r="U175" s="274"/>
      <c r="V175" s="274"/>
      <c r="W175" s="274"/>
      <c r="X175" s="486" t="str">
        <f ca="1">IF('CDO Bespoke'!O176&lt;&gt;"",'CDO Bespoke'!O176,"")</f>
        <v/>
      </c>
      <c r="Y175" s="487" t="str">
        <f ca="1">IF(X175&lt;&gt;"",ABS(MIN(-0.75*('CDO Bespoke'!Q176)+'CDO Bespoke'!T176,0)),"")</f>
        <v/>
      </c>
      <c r="Z175" s="487">
        <f t="shared" ca="1" si="16"/>
        <v>0</v>
      </c>
      <c r="AA175" s="487">
        <f t="shared" ca="1" si="17"/>
        <v>0</v>
      </c>
      <c r="AB175" s="486" t="str">
        <f ca="1">IF('CDO Bespoke'!O176&lt;&gt;"",'CDO Bespoke'!O176,"")</f>
        <v/>
      </c>
      <c r="AC175" s="487" t="str">
        <f ca="1">IF(AB175&lt;&gt;"",ABS(MIN(-0.75*('CDO Bespoke'!K176)+'CDO Bespoke'!T176,0)),"")</f>
        <v/>
      </c>
      <c r="AD175" s="487">
        <f t="shared" ca="1" si="18"/>
        <v>0</v>
      </c>
      <c r="AE175" s="491">
        <f t="shared" ca="1" si="19"/>
        <v>0</v>
      </c>
      <c r="AF175" s="273"/>
      <c r="AG175" s="496" t="str">
        <f ca="1">IF('CDO Bespoke'!C200&lt;&gt;"",'CDO Bespoke'!C200,"")</f>
        <v/>
      </c>
      <c r="AH175" s="498"/>
      <c r="AI175" s="587"/>
      <c r="AJ175" s="587"/>
      <c r="AK175" s="587"/>
      <c r="AL175" s="499"/>
      <c r="AM175" s="498"/>
      <c r="AN175" s="587"/>
      <c r="AO175" s="587"/>
      <c r="AP175" s="587"/>
      <c r="AQ175" s="499"/>
      <c r="AR175" s="582"/>
      <c r="AS175" s="582"/>
      <c r="AT175" s="582"/>
      <c r="AU175" s="582"/>
      <c r="AV175" s="582"/>
      <c r="AW175" s="582"/>
      <c r="AX175" s="581"/>
    </row>
    <row r="176" spans="2:50">
      <c r="B176" s="519" t="s">
        <v>551</v>
      </c>
      <c r="C176" s="520" t="s">
        <v>66</v>
      </c>
      <c r="D176" s="520" t="s">
        <v>57</v>
      </c>
      <c r="E176" s="520" t="s">
        <v>649</v>
      </c>
      <c r="F176" s="520" t="s">
        <v>673</v>
      </c>
      <c r="G176" s="527">
        <v>0.01</v>
      </c>
      <c r="H176" s="527">
        <v>4.9170000000000004E-3</v>
      </c>
      <c r="I176" s="529">
        <v>0.4</v>
      </c>
      <c r="J176" s="596">
        <v>5</v>
      </c>
      <c r="K176" s="521">
        <v>51</v>
      </c>
      <c r="L176" s="273"/>
      <c r="M176" s="273"/>
      <c r="P176" s="274"/>
      <c r="Q176" s="274"/>
      <c r="R176" s="274"/>
      <c r="S176" s="274"/>
      <c r="T176" s="274"/>
      <c r="U176" s="274"/>
      <c r="V176" s="274"/>
      <c r="W176" s="274"/>
      <c r="X176" s="486" t="str">
        <f ca="1">IF('CDO Bespoke'!O177&lt;&gt;"",'CDO Bespoke'!O177,"")</f>
        <v/>
      </c>
      <c r="Y176" s="487" t="str">
        <f ca="1">IF(X176&lt;&gt;"",ABS(MIN(-0.75*('CDO Bespoke'!Q177)+'CDO Bespoke'!T177,0)),"")</f>
        <v/>
      </c>
      <c r="Z176" s="487">
        <f t="shared" ca="1" si="16"/>
        <v>0</v>
      </c>
      <c r="AA176" s="487">
        <f t="shared" ca="1" si="17"/>
        <v>0</v>
      </c>
      <c r="AB176" s="486" t="str">
        <f ca="1">IF('CDO Bespoke'!O177&lt;&gt;"",'CDO Bespoke'!O177,"")</f>
        <v/>
      </c>
      <c r="AC176" s="487" t="str">
        <f ca="1">IF(AB176&lt;&gt;"",ABS(MIN(-0.75*('CDO Bespoke'!K177)+'CDO Bespoke'!T177,0)),"")</f>
        <v/>
      </c>
      <c r="AD176" s="487">
        <f t="shared" ca="1" si="18"/>
        <v>0</v>
      </c>
      <c r="AE176" s="491">
        <f t="shared" ca="1" si="19"/>
        <v>0</v>
      </c>
      <c r="AF176" s="273"/>
      <c r="AG176" s="496" t="str">
        <f ca="1">IF('CDO Bespoke'!C201&lt;&gt;"",'CDO Bespoke'!C201,"")</f>
        <v/>
      </c>
      <c r="AH176" s="498"/>
      <c r="AI176" s="587"/>
      <c r="AJ176" s="587"/>
      <c r="AK176" s="587"/>
      <c r="AL176" s="499"/>
      <c r="AM176" s="498"/>
      <c r="AN176" s="587"/>
      <c r="AO176" s="587"/>
      <c r="AP176" s="587"/>
      <c r="AQ176" s="499"/>
      <c r="AR176" s="582"/>
      <c r="AS176" s="582"/>
      <c r="AT176" s="582"/>
      <c r="AU176" s="582"/>
      <c r="AV176" s="582"/>
      <c r="AW176" s="582"/>
      <c r="AX176" s="581"/>
    </row>
    <row r="177" spans="2:50">
      <c r="B177" s="536" t="s">
        <v>551</v>
      </c>
      <c r="C177" s="537" t="s">
        <v>66</v>
      </c>
      <c r="D177" s="537" t="s">
        <v>59</v>
      </c>
      <c r="E177" s="537" t="s">
        <v>649</v>
      </c>
      <c r="F177" s="537" t="s">
        <v>673</v>
      </c>
      <c r="G177" s="538">
        <v>0.01</v>
      </c>
      <c r="H177" s="538">
        <v>6.8279999999999999E-3</v>
      </c>
      <c r="I177" s="539">
        <v>0.4</v>
      </c>
      <c r="J177" s="597">
        <v>5</v>
      </c>
      <c r="K177" s="540">
        <v>51</v>
      </c>
      <c r="L177" s="273"/>
      <c r="M177" s="273"/>
      <c r="P177" s="274"/>
      <c r="Q177" s="274"/>
      <c r="R177" s="274"/>
      <c r="S177" s="274"/>
      <c r="T177" s="274"/>
      <c r="U177" s="274"/>
      <c r="V177" s="274"/>
      <c r="W177" s="274"/>
      <c r="X177" s="486" t="str">
        <f ca="1">IF('CDO Bespoke'!O178&lt;&gt;"",'CDO Bespoke'!O178,"")</f>
        <v/>
      </c>
      <c r="Y177" s="487" t="str">
        <f ca="1">IF(X177&lt;&gt;"",ABS(MIN(-0.75*('CDO Bespoke'!Q178)+'CDO Bespoke'!T178,0)),"")</f>
        <v/>
      </c>
      <c r="Z177" s="487">
        <f t="shared" ca="1" si="16"/>
        <v>0</v>
      </c>
      <c r="AA177" s="487">
        <f t="shared" ca="1" si="17"/>
        <v>0</v>
      </c>
      <c r="AB177" s="486" t="str">
        <f ca="1">IF('CDO Bespoke'!O178&lt;&gt;"",'CDO Bespoke'!O178,"")</f>
        <v/>
      </c>
      <c r="AC177" s="487" t="str">
        <f ca="1">IF(AB177&lt;&gt;"",ABS(MIN(-0.75*('CDO Bespoke'!K178)+'CDO Bespoke'!T178,0)),"")</f>
        <v/>
      </c>
      <c r="AD177" s="487">
        <f t="shared" ca="1" si="18"/>
        <v>0</v>
      </c>
      <c r="AE177" s="491">
        <f t="shared" ca="1" si="19"/>
        <v>0</v>
      </c>
      <c r="AF177" s="273"/>
      <c r="AG177" s="496" t="str">
        <f ca="1">IF('CDO Bespoke'!C202&lt;&gt;"",'CDO Bespoke'!C202,"")</f>
        <v/>
      </c>
      <c r="AH177" s="498"/>
      <c r="AI177" s="587"/>
      <c r="AJ177" s="587"/>
      <c r="AK177" s="587"/>
      <c r="AL177" s="499"/>
      <c r="AM177" s="498"/>
      <c r="AN177" s="587"/>
      <c r="AO177" s="587"/>
      <c r="AP177" s="587"/>
      <c r="AQ177" s="499"/>
      <c r="AR177" s="582"/>
      <c r="AS177" s="582"/>
      <c r="AT177" s="582"/>
      <c r="AU177" s="582"/>
      <c r="AV177" s="582"/>
      <c r="AW177" s="582"/>
      <c r="AX177" s="581"/>
    </row>
    <row r="178" spans="2:50">
      <c r="B178" s="541" t="s">
        <v>552</v>
      </c>
      <c r="C178" s="542" t="s">
        <v>66</v>
      </c>
      <c r="D178" s="542" t="s">
        <v>55</v>
      </c>
      <c r="E178" s="542" t="s">
        <v>649</v>
      </c>
      <c r="F178" s="542" t="s">
        <v>673</v>
      </c>
      <c r="G178" s="543">
        <v>0.01</v>
      </c>
      <c r="H178" s="543">
        <v>6.7999999999999996E-3</v>
      </c>
      <c r="I178" s="544">
        <v>0.4</v>
      </c>
      <c r="J178" s="604">
        <v>5</v>
      </c>
      <c r="K178" s="545">
        <v>52</v>
      </c>
      <c r="L178" s="273"/>
      <c r="M178" s="273"/>
      <c r="P178" s="274"/>
      <c r="Q178" s="274"/>
      <c r="R178" s="274"/>
      <c r="S178" s="274"/>
      <c r="T178" s="274"/>
      <c r="U178" s="274"/>
      <c r="V178" s="274"/>
      <c r="W178" s="274"/>
      <c r="X178" s="486" t="str">
        <f ca="1">IF('CDO Bespoke'!O179&lt;&gt;"",'CDO Bespoke'!O179,"")</f>
        <v/>
      </c>
      <c r="Y178" s="487" t="str">
        <f ca="1">IF(X178&lt;&gt;"",ABS(MIN(-0.75*('CDO Bespoke'!Q179)+'CDO Bespoke'!T179,0)),"")</f>
        <v/>
      </c>
      <c r="Z178" s="487">
        <f t="shared" ca="1" si="16"/>
        <v>0</v>
      </c>
      <c r="AA178" s="487">
        <f t="shared" ca="1" si="17"/>
        <v>0</v>
      </c>
      <c r="AB178" s="486" t="str">
        <f ca="1">IF('CDO Bespoke'!O179&lt;&gt;"",'CDO Bespoke'!O179,"")</f>
        <v/>
      </c>
      <c r="AC178" s="487" t="str">
        <f ca="1">IF(AB178&lt;&gt;"",ABS(MIN(-0.75*('CDO Bespoke'!K179)+'CDO Bespoke'!T179,0)),"")</f>
        <v/>
      </c>
      <c r="AD178" s="487">
        <f t="shared" ca="1" si="18"/>
        <v>0</v>
      </c>
      <c r="AE178" s="491">
        <f t="shared" ca="1" si="19"/>
        <v>0</v>
      </c>
      <c r="AF178" s="273"/>
      <c r="AG178" s="496" t="str">
        <f ca="1">IF('CDO Bespoke'!C203&lt;&gt;"",'CDO Bespoke'!C203,"")</f>
        <v/>
      </c>
      <c r="AH178" s="498"/>
      <c r="AI178" s="587"/>
      <c r="AJ178" s="587"/>
      <c r="AK178" s="587"/>
      <c r="AL178" s="499"/>
      <c r="AM178" s="498"/>
      <c r="AN178" s="587"/>
      <c r="AO178" s="587"/>
      <c r="AP178" s="587"/>
      <c r="AQ178" s="499"/>
      <c r="AR178" s="582"/>
      <c r="AS178" s="582"/>
      <c r="AT178" s="582"/>
      <c r="AU178" s="582"/>
      <c r="AV178" s="582"/>
      <c r="AW178" s="582"/>
      <c r="AX178" s="581"/>
    </row>
    <row r="179" spans="2:50">
      <c r="B179" s="519" t="s">
        <v>552</v>
      </c>
      <c r="C179" s="520" t="s">
        <v>66</v>
      </c>
      <c r="D179" s="520" t="s">
        <v>57</v>
      </c>
      <c r="E179" s="520" t="s">
        <v>649</v>
      </c>
      <c r="F179" s="520" t="s">
        <v>673</v>
      </c>
      <c r="G179" s="527">
        <v>0.01</v>
      </c>
      <c r="H179" s="527">
        <v>1.1743E-2</v>
      </c>
      <c r="I179" s="529">
        <v>0.4</v>
      </c>
      <c r="J179" s="596">
        <v>5</v>
      </c>
      <c r="K179" s="521">
        <v>52</v>
      </c>
      <c r="L179" s="273"/>
      <c r="M179" s="273"/>
      <c r="P179" s="274"/>
      <c r="Q179" s="274"/>
      <c r="R179" s="274"/>
      <c r="S179" s="274"/>
      <c r="T179" s="274"/>
      <c r="U179" s="274"/>
      <c r="V179" s="274"/>
      <c r="W179" s="274"/>
      <c r="X179" s="486" t="str">
        <f ca="1">IF('CDO Bespoke'!O180&lt;&gt;"",'CDO Bespoke'!O180,"")</f>
        <v/>
      </c>
      <c r="Y179" s="487" t="str">
        <f ca="1">IF(X179&lt;&gt;"",ABS(MIN(-0.75*('CDO Bespoke'!Q180)+'CDO Bespoke'!T180,0)),"")</f>
        <v/>
      </c>
      <c r="Z179" s="487">
        <f t="shared" ca="1" si="16"/>
        <v>0</v>
      </c>
      <c r="AA179" s="487">
        <f t="shared" ca="1" si="17"/>
        <v>0</v>
      </c>
      <c r="AB179" s="486" t="str">
        <f ca="1">IF('CDO Bespoke'!O180&lt;&gt;"",'CDO Bespoke'!O180,"")</f>
        <v/>
      </c>
      <c r="AC179" s="487" t="str">
        <f ca="1">IF(AB179&lt;&gt;"",ABS(MIN(-0.75*('CDO Bespoke'!K180)+'CDO Bespoke'!T180,0)),"")</f>
        <v/>
      </c>
      <c r="AD179" s="487">
        <f t="shared" ca="1" si="18"/>
        <v>0</v>
      </c>
      <c r="AE179" s="491">
        <f t="shared" ca="1" si="19"/>
        <v>0</v>
      </c>
      <c r="AF179" s="273"/>
      <c r="AG179" s="496" t="str">
        <f ca="1">IF('CDO Bespoke'!C204&lt;&gt;"",'CDO Bespoke'!C204,"")</f>
        <v/>
      </c>
      <c r="AH179" s="498"/>
      <c r="AI179" s="587"/>
      <c r="AJ179" s="587"/>
      <c r="AK179" s="587"/>
      <c r="AL179" s="499"/>
      <c r="AM179" s="498"/>
      <c r="AN179" s="587"/>
      <c r="AO179" s="587"/>
      <c r="AP179" s="587"/>
      <c r="AQ179" s="499"/>
      <c r="AR179" s="582"/>
      <c r="AS179" s="582"/>
      <c r="AT179" s="582"/>
      <c r="AU179" s="582"/>
      <c r="AV179" s="582"/>
      <c r="AW179" s="582"/>
      <c r="AX179" s="581"/>
    </row>
    <row r="180" spans="2:50">
      <c r="B180" s="536" t="s">
        <v>552</v>
      </c>
      <c r="C180" s="537" t="s">
        <v>66</v>
      </c>
      <c r="D180" s="537" t="s">
        <v>59</v>
      </c>
      <c r="E180" s="537" t="s">
        <v>649</v>
      </c>
      <c r="F180" s="537" t="s">
        <v>673</v>
      </c>
      <c r="G180" s="538">
        <v>0.01</v>
      </c>
      <c r="H180" s="538">
        <v>1.5325E-2</v>
      </c>
      <c r="I180" s="539">
        <v>0.4</v>
      </c>
      <c r="J180" s="597">
        <v>5</v>
      </c>
      <c r="K180" s="540">
        <v>52</v>
      </c>
      <c r="L180" s="273"/>
      <c r="M180" s="273"/>
      <c r="P180" s="274"/>
      <c r="Q180" s="274"/>
      <c r="R180" s="274"/>
      <c r="S180" s="274"/>
      <c r="T180" s="274"/>
      <c r="U180" s="274"/>
      <c r="V180" s="274"/>
      <c r="W180" s="274"/>
      <c r="X180" s="486" t="str">
        <f ca="1">IF('CDO Bespoke'!O181&lt;&gt;"",'CDO Bespoke'!O181,"")</f>
        <v/>
      </c>
      <c r="Y180" s="487" t="str">
        <f ca="1">IF(X180&lt;&gt;"",ABS(MIN(-0.75*('CDO Bespoke'!Q181)+'CDO Bespoke'!T181,0)),"")</f>
        <v/>
      </c>
      <c r="Z180" s="487">
        <f t="shared" ca="1" si="16"/>
        <v>0</v>
      </c>
      <c r="AA180" s="487">
        <f t="shared" ca="1" si="17"/>
        <v>0</v>
      </c>
      <c r="AB180" s="486" t="str">
        <f ca="1">IF('CDO Bespoke'!O181&lt;&gt;"",'CDO Bespoke'!O181,"")</f>
        <v/>
      </c>
      <c r="AC180" s="487" t="str">
        <f ca="1">IF(AB180&lt;&gt;"",ABS(MIN(-0.75*('CDO Bespoke'!K181)+'CDO Bespoke'!T181,0)),"")</f>
        <v/>
      </c>
      <c r="AD180" s="487">
        <f t="shared" ca="1" si="18"/>
        <v>0</v>
      </c>
      <c r="AE180" s="491">
        <f t="shared" ca="1" si="19"/>
        <v>0</v>
      </c>
      <c r="AF180" s="273"/>
      <c r="AG180" s="496" t="str">
        <f ca="1">IF('CDO Bespoke'!C205&lt;&gt;"",'CDO Bespoke'!C205,"")</f>
        <v/>
      </c>
      <c r="AH180" s="498"/>
      <c r="AI180" s="587"/>
      <c r="AJ180" s="587"/>
      <c r="AK180" s="587"/>
      <c r="AL180" s="499"/>
      <c r="AM180" s="498"/>
      <c r="AN180" s="587"/>
      <c r="AO180" s="587"/>
      <c r="AP180" s="587"/>
      <c r="AQ180" s="499"/>
      <c r="AR180" s="582"/>
      <c r="AS180" s="582"/>
      <c r="AT180" s="582"/>
      <c r="AU180" s="582"/>
      <c r="AV180" s="582"/>
      <c r="AW180" s="582"/>
      <c r="AX180" s="581"/>
    </row>
    <row r="181" spans="2:50">
      <c r="B181" s="541" t="s">
        <v>553</v>
      </c>
      <c r="C181" s="542" t="s">
        <v>66</v>
      </c>
      <c r="D181" s="542" t="s">
        <v>55</v>
      </c>
      <c r="E181" s="542" t="s">
        <v>651</v>
      </c>
      <c r="F181" s="542" t="s">
        <v>673</v>
      </c>
      <c r="G181" s="543">
        <v>0.01</v>
      </c>
      <c r="H181" s="543">
        <v>1.8079999999999999E-3</v>
      </c>
      <c r="I181" s="544">
        <v>0.4</v>
      </c>
      <c r="J181" s="604">
        <v>5</v>
      </c>
      <c r="K181" s="545">
        <v>53</v>
      </c>
      <c r="L181" s="273"/>
      <c r="M181" s="273"/>
      <c r="P181" s="274"/>
      <c r="Q181" s="274"/>
      <c r="R181" s="274"/>
      <c r="S181" s="274"/>
      <c r="T181" s="274"/>
      <c r="U181" s="274"/>
      <c r="V181" s="274"/>
      <c r="W181" s="274"/>
      <c r="X181" s="486" t="str">
        <f ca="1">IF('CDO Bespoke'!O182&lt;&gt;"",'CDO Bespoke'!O182,"")</f>
        <v/>
      </c>
      <c r="Y181" s="487" t="str">
        <f ca="1">IF(X181&lt;&gt;"",ABS(MIN(-0.75*('CDO Bespoke'!Q182)+'CDO Bespoke'!T182,0)),"")</f>
        <v/>
      </c>
      <c r="Z181" s="487">
        <f t="shared" ca="1" si="16"/>
        <v>0</v>
      </c>
      <c r="AA181" s="487">
        <f t="shared" ca="1" si="17"/>
        <v>0</v>
      </c>
      <c r="AB181" s="486" t="str">
        <f ca="1">IF('CDO Bespoke'!O182&lt;&gt;"",'CDO Bespoke'!O182,"")</f>
        <v/>
      </c>
      <c r="AC181" s="487" t="str">
        <f ca="1">IF(AB181&lt;&gt;"",ABS(MIN(-0.75*('CDO Bespoke'!K182)+'CDO Bespoke'!T182,0)),"")</f>
        <v/>
      </c>
      <c r="AD181" s="487">
        <f t="shared" ca="1" si="18"/>
        <v>0</v>
      </c>
      <c r="AE181" s="491">
        <f t="shared" ca="1" si="19"/>
        <v>0</v>
      </c>
      <c r="AF181" s="273"/>
      <c r="AG181" s="496" t="str">
        <f ca="1">IF('CDO Bespoke'!C206&lt;&gt;"",'CDO Bespoke'!C206,"")</f>
        <v/>
      </c>
      <c r="AH181" s="498"/>
      <c r="AI181" s="587"/>
      <c r="AJ181" s="587"/>
      <c r="AK181" s="587"/>
      <c r="AL181" s="499"/>
      <c r="AM181" s="498"/>
      <c r="AN181" s="587"/>
      <c r="AO181" s="587"/>
      <c r="AP181" s="587"/>
      <c r="AQ181" s="499"/>
      <c r="AR181" s="582"/>
      <c r="AS181" s="582"/>
      <c r="AT181" s="582"/>
      <c r="AU181" s="582"/>
      <c r="AV181" s="582"/>
      <c r="AW181" s="582"/>
      <c r="AX181" s="581"/>
    </row>
    <row r="182" spans="2:50">
      <c r="B182" s="519" t="s">
        <v>553</v>
      </c>
      <c r="C182" s="520" t="s">
        <v>66</v>
      </c>
      <c r="D182" s="520" t="s">
        <v>57</v>
      </c>
      <c r="E182" s="520" t="s">
        <v>651</v>
      </c>
      <c r="F182" s="520" t="s">
        <v>673</v>
      </c>
      <c r="G182" s="527">
        <v>0.01</v>
      </c>
      <c r="H182" s="527">
        <v>3.0379999999999999E-3</v>
      </c>
      <c r="I182" s="529">
        <v>0.4</v>
      </c>
      <c r="J182" s="596">
        <v>5</v>
      </c>
      <c r="K182" s="521">
        <v>53</v>
      </c>
      <c r="L182" s="273"/>
      <c r="M182" s="273"/>
      <c r="P182" s="274"/>
      <c r="Q182" s="274"/>
      <c r="R182" s="274"/>
      <c r="S182" s="274"/>
      <c r="T182" s="274"/>
      <c r="U182" s="274"/>
      <c r="V182" s="274"/>
      <c r="W182" s="274"/>
      <c r="X182" s="486" t="str">
        <f ca="1">IF('CDO Bespoke'!O183&lt;&gt;"",'CDO Bespoke'!O183,"")</f>
        <v/>
      </c>
      <c r="Y182" s="487" t="str">
        <f ca="1">IF(X182&lt;&gt;"",ABS(MIN(-0.75*('CDO Bespoke'!Q183)+'CDO Bespoke'!T183,0)),"")</f>
        <v/>
      </c>
      <c r="Z182" s="487">
        <f t="shared" ca="1" si="16"/>
        <v>0</v>
      </c>
      <c r="AA182" s="487">
        <f t="shared" ca="1" si="17"/>
        <v>0</v>
      </c>
      <c r="AB182" s="486" t="str">
        <f ca="1">IF('CDO Bespoke'!O183&lt;&gt;"",'CDO Bespoke'!O183,"")</f>
        <v/>
      </c>
      <c r="AC182" s="487" t="str">
        <f ca="1">IF(AB182&lt;&gt;"",ABS(MIN(-0.75*('CDO Bespoke'!K183)+'CDO Bespoke'!T183,0)),"")</f>
        <v/>
      </c>
      <c r="AD182" s="487">
        <f t="shared" ca="1" si="18"/>
        <v>0</v>
      </c>
      <c r="AE182" s="491">
        <f t="shared" ca="1" si="19"/>
        <v>0</v>
      </c>
      <c r="AF182" s="273"/>
      <c r="AG182" s="496" t="str">
        <f ca="1">IF('CDO Bespoke'!C207&lt;&gt;"",'CDO Bespoke'!C207,"")</f>
        <v/>
      </c>
      <c r="AH182" s="498"/>
      <c r="AI182" s="587"/>
      <c r="AJ182" s="587"/>
      <c r="AK182" s="587"/>
      <c r="AL182" s="499"/>
      <c r="AM182" s="498"/>
      <c r="AN182" s="587"/>
      <c r="AO182" s="587"/>
      <c r="AP182" s="587"/>
      <c r="AQ182" s="499"/>
      <c r="AR182" s="582"/>
      <c r="AS182" s="582"/>
      <c r="AT182" s="582"/>
      <c r="AU182" s="582"/>
      <c r="AV182" s="582"/>
      <c r="AW182" s="582"/>
      <c r="AX182" s="581"/>
    </row>
    <row r="183" spans="2:50">
      <c r="B183" s="536" t="s">
        <v>553</v>
      </c>
      <c r="C183" s="537" t="s">
        <v>66</v>
      </c>
      <c r="D183" s="537" t="s">
        <v>59</v>
      </c>
      <c r="E183" s="537" t="s">
        <v>651</v>
      </c>
      <c r="F183" s="537" t="s">
        <v>673</v>
      </c>
      <c r="G183" s="538">
        <v>0.01</v>
      </c>
      <c r="H183" s="538">
        <v>4.2700000000000004E-3</v>
      </c>
      <c r="I183" s="539">
        <v>0.4</v>
      </c>
      <c r="J183" s="597">
        <v>5</v>
      </c>
      <c r="K183" s="540">
        <v>53</v>
      </c>
      <c r="L183" s="273"/>
      <c r="M183" s="273"/>
      <c r="P183" s="274"/>
      <c r="Q183" s="274"/>
      <c r="R183" s="274"/>
      <c r="S183" s="274"/>
      <c r="T183" s="274"/>
      <c r="U183" s="274"/>
      <c r="V183" s="274"/>
      <c r="W183" s="274"/>
      <c r="X183" s="486" t="str">
        <f ca="1">IF('CDO Bespoke'!O184&lt;&gt;"",'CDO Bespoke'!O184,"")</f>
        <v/>
      </c>
      <c r="Y183" s="487" t="str">
        <f ca="1">IF(X183&lt;&gt;"",ABS(MIN(-0.75*('CDO Bespoke'!Q184)+'CDO Bespoke'!T184,0)),"")</f>
        <v/>
      </c>
      <c r="Z183" s="487">
        <f t="shared" ca="1" si="16"/>
        <v>0</v>
      </c>
      <c r="AA183" s="487">
        <f t="shared" ca="1" si="17"/>
        <v>0</v>
      </c>
      <c r="AB183" s="486" t="str">
        <f ca="1">IF('CDO Bespoke'!O184&lt;&gt;"",'CDO Bespoke'!O184,"")</f>
        <v/>
      </c>
      <c r="AC183" s="487" t="str">
        <f ca="1">IF(AB183&lt;&gt;"",ABS(MIN(-0.75*('CDO Bespoke'!K184)+'CDO Bespoke'!T184,0)),"")</f>
        <v/>
      </c>
      <c r="AD183" s="487">
        <f t="shared" ca="1" si="18"/>
        <v>0</v>
      </c>
      <c r="AE183" s="491">
        <f t="shared" ca="1" si="19"/>
        <v>0</v>
      </c>
      <c r="AF183" s="273"/>
      <c r="AG183" s="496" t="str">
        <f ca="1">IF('CDO Bespoke'!C208&lt;&gt;"",'CDO Bespoke'!C208,"")</f>
        <v/>
      </c>
      <c r="AH183" s="498"/>
      <c r="AI183" s="587"/>
      <c r="AJ183" s="587"/>
      <c r="AK183" s="587"/>
      <c r="AL183" s="499"/>
      <c r="AM183" s="498"/>
      <c r="AN183" s="587"/>
      <c r="AO183" s="587"/>
      <c r="AP183" s="587"/>
      <c r="AQ183" s="499"/>
      <c r="AR183" s="582"/>
      <c r="AS183" s="582"/>
      <c r="AT183" s="582"/>
      <c r="AU183" s="582"/>
      <c r="AV183" s="582"/>
      <c r="AW183" s="582"/>
      <c r="AX183" s="581"/>
    </row>
    <row r="184" spans="2:50">
      <c r="B184" s="541" t="s">
        <v>554</v>
      </c>
      <c r="C184" s="542" t="s">
        <v>66</v>
      </c>
      <c r="D184" s="542" t="s">
        <v>55</v>
      </c>
      <c r="E184" s="542" t="s">
        <v>651</v>
      </c>
      <c r="F184" s="542" t="s">
        <v>673</v>
      </c>
      <c r="G184" s="543">
        <v>0.01</v>
      </c>
      <c r="H184" s="543">
        <v>1.957E-3</v>
      </c>
      <c r="I184" s="544">
        <v>0.4</v>
      </c>
      <c r="J184" s="604">
        <v>5</v>
      </c>
      <c r="K184" s="545">
        <v>54</v>
      </c>
      <c r="L184" s="273"/>
      <c r="M184" s="273"/>
      <c r="P184" s="274"/>
      <c r="Q184" s="274"/>
      <c r="R184" s="274"/>
      <c r="S184" s="274"/>
      <c r="T184" s="274"/>
      <c r="U184" s="274"/>
      <c r="V184" s="274"/>
      <c r="W184" s="274"/>
      <c r="X184" s="486" t="str">
        <f ca="1">IF('CDO Bespoke'!O185&lt;&gt;"",'CDO Bespoke'!O185,"")</f>
        <v/>
      </c>
      <c r="Y184" s="487" t="str">
        <f ca="1">IF(X184&lt;&gt;"",ABS(MIN(-0.75*('CDO Bespoke'!Q185)+'CDO Bespoke'!T185,0)),"")</f>
        <v/>
      </c>
      <c r="Z184" s="487">
        <f t="shared" ca="1" si="16"/>
        <v>0</v>
      </c>
      <c r="AA184" s="487">
        <f t="shared" ca="1" si="17"/>
        <v>0</v>
      </c>
      <c r="AB184" s="486" t="str">
        <f ca="1">IF('CDO Bespoke'!O185&lt;&gt;"",'CDO Bespoke'!O185,"")</f>
        <v/>
      </c>
      <c r="AC184" s="487" t="str">
        <f ca="1">IF(AB184&lt;&gt;"",ABS(MIN(-0.75*('CDO Bespoke'!K185)+'CDO Bespoke'!T185,0)),"")</f>
        <v/>
      </c>
      <c r="AD184" s="487">
        <f t="shared" ca="1" si="18"/>
        <v>0</v>
      </c>
      <c r="AE184" s="491">
        <f t="shared" ca="1" si="19"/>
        <v>0</v>
      </c>
      <c r="AF184" s="273"/>
      <c r="AG184" s="496" t="str">
        <f ca="1">IF('CDO Bespoke'!C209&lt;&gt;"",'CDO Bespoke'!C209,"")</f>
        <v/>
      </c>
      <c r="AH184" s="498"/>
      <c r="AI184" s="587"/>
      <c r="AJ184" s="587"/>
      <c r="AK184" s="587"/>
      <c r="AL184" s="499"/>
      <c r="AM184" s="498"/>
      <c r="AN184" s="587"/>
      <c r="AO184" s="587"/>
      <c r="AP184" s="587"/>
      <c r="AQ184" s="499"/>
      <c r="AR184" s="582"/>
      <c r="AS184" s="582"/>
      <c r="AT184" s="582"/>
      <c r="AU184" s="582"/>
      <c r="AV184" s="582"/>
      <c r="AW184" s="582"/>
      <c r="AX184" s="581"/>
    </row>
    <row r="185" spans="2:50">
      <c r="B185" s="519" t="s">
        <v>554</v>
      </c>
      <c r="C185" s="520" t="s">
        <v>66</v>
      </c>
      <c r="D185" s="520" t="s">
        <v>57</v>
      </c>
      <c r="E185" s="520" t="s">
        <v>651</v>
      </c>
      <c r="F185" s="520" t="s">
        <v>673</v>
      </c>
      <c r="G185" s="527">
        <v>0.01</v>
      </c>
      <c r="H185" s="527">
        <v>2.7009999999999998E-3</v>
      </c>
      <c r="I185" s="529">
        <v>0.4</v>
      </c>
      <c r="J185" s="596">
        <v>5</v>
      </c>
      <c r="K185" s="521">
        <v>54</v>
      </c>
      <c r="L185" s="273"/>
      <c r="M185" s="273"/>
      <c r="P185" s="274"/>
      <c r="Q185" s="274"/>
      <c r="R185" s="274"/>
      <c r="S185" s="274"/>
      <c r="T185" s="274"/>
      <c r="U185" s="274"/>
      <c r="V185" s="274"/>
      <c r="W185" s="274"/>
      <c r="X185" s="486" t="str">
        <f ca="1">IF('CDO Bespoke'!O186&lt;&gt;"",'CDO Bespoke'!O186,"")</f>
        <v/>
      </c>
      <c r="Y185" s="487" t="str">
        <f ca="1">IF(X185&lt;&gt;"",ABS(MIN(-0.75*('CDO Bespoke'!Q186)+'CDO Bespoke'!T186,0)),"")</f>
        <v/>
      </c>
      <c r="Z185" s="487">
        <f t="shared" ca="1" si="16"/>
        <v>0</v>
      </c>
      <c r="AA185" s="487">
        <f t="shared" ca="1" si="17"/>
        <v>0</v>
      </c>
      <c r="AB185" s="486" t="str">
        <f ca="1">IF('CDO Bespoke'!O186&lt;&gt;"",'CDO Bespoke'!O186,"")</f>
        <v/>
      </c>
      <c r="AC185" s="487" t="str">
        <f ca="1">IF(AB185&lt;&gt;"",ABS(MIN(-0.75*('CDO Bespoke'!K186)+'CDO Bespoke'!T186,0)),"")</f>
        <v/>
      </c>
      <c r="AD185" s="487">
        <f t="shared" ca="1" si="18"/>
        <v>0</v>
      </c>
      <c r="AE185" s="491">
        <f t="shared" ca="1" si="19"/>
        <v>0</v>
      </c>
      <c r="AF185" s="273"/>
      <c r="AG185" s="496" t="str">
        <f ca="1">IF('CDO Bespoke'!C210&lt;&gt;"",'CDO Bespoke'!C210,"")</f>
        <v/>
      </c>
      <c r="AH185" s="498"/>
      <c r="AI185" s="587"/>
      <c r="AJ185" s="587"/>
      <c r="AK185" s="587"/>
      <c r="AL185" s="499"/>
      <c r="AM185" s="498"/>
      <c r="AN185" s="587"/>
      <c r="AO185" s="587"/>
      <c r="AP185" s="587"/>
      <c r="AQ185" s="499"/>
      <c r="AR185" s="582"/>
      <c r="AS185" s="582"/>
      <c r="AT185" s="582"/>
      <c r="AU185" s="582"/>
      <c r="AV185" s="582"/>
      <c r="AW185" s="582"/>
      <c r="AX185" s="581"/>
    </row>
    <row r="186" spans="2:50">
      <c r="B186" s="536" t="s">
        <v>554</v>
      </c>
      <c r="C186" s="537" t="s">
        <v>66</v>
      </c>
      <c r="D186" s="537" t="s">
        <v>59</v>
      </c>
      <c r="E186" s="537" t="s">
        <v>651</v>
      </c>
      <c r="F186" s="537" t="s">
        <v>673</v>
      </c>
      <c r="G186" s="538">
        <v>0.01</v>
      </c>
      <c r="H186" s="538">
        <v>3.7780000000000001E-3</v>
      </c>
      <c r="I186" s="539">
        <v>0.4</v>
      </c>
      <c r="J186" s="597">
        <v>5</v>
      </c>
      <c r="K186" s="540">
        <v>54</v>
      </c>
      <c r="L186" s="273"/>
      <c r="M186" s="273"/>
      <c r="P186" s="274"/>
      <c r="Q186" s="274"/>
      <c r="R186" s="274"/>
      <c r="S186" s="274"/>
      <c r="T186" s="274"/>
      <c r="U186" s="274"/>
      <c r="V186" s="274"/>
      <c r="W186" s="274"/>
      <c r="X186" s="486" t="str">
        <f ca="1">IF('CDO Bespoke'!O187&lt;&gt;"",'CDO Bespoke'!O187,"")</f>
        <v/>
      </c>
      <c r="Y186" s="487" t="str">
        <f ca="1">IF(X186&lt;&gt;"",ABS(MIN(-0.75*('CDO Bespoke'!Q187)+'CDO Bespoke'!T187,0)),"")</f>
        <v/>
      </c>
      <c r="Z186" s="487">
        <f t="shared" ca="1" si="16"/>
        <v>0</v>
      </c>
      <c r="AA186" s="487">
        <f t="shared" ca="1" si="17"/>
        <v>0</v>
      </c>
      <c r="AB186" s="486" t="str">
        <f ca="1">IF('CDO Bespoke'!O187&lt;&gt;"",'CDO Bespoke'!O187,"")</f>
        <v/>
      </c>
      <c r="AC186" s="487" t="str">
        <f ca="1">IF(AB186&lt;&gt;"",ABS(MIN(-0.75*('CDO Bespoke'!K187)+'CDO Bespoke'!T187,0)),"")</f>
        <v/>
      </c>
      <c r="AD186" s="487">
        <f t="shared" ca="1" si="18"/>
        <v>0</v>
      </c>
      <c r="AE186" s="491">
        <f t="shared" ca="1" si="19"/>
        <v>0</v>
      </c>
      <c r="AF186" s="273"/>
      <c r="AG186" s="496" t="str">
        <f ca="1">IF('CDO Bespoke'!C211&lt;&gt;"",'CDO Bespoke'!C211,"")</f>
        <v/>
      </c>
      <c r="AH186" s="498"/>
      <c r="AI186" s="587"/>
      <c r="AJ186" s="587"/>
      <c r="AK186" s="587"/>
      <c r="AL186" s="499"/>
      <c r="AM186" s="498"/>
      <c r="AN186" s="587"/>
      <c r="AO186" s="587"/>
      <c r="AP186" s="587"/>
      <c r="AQ186" s="499"/>
      <c r="AR186" s="582"/>
      <c r="AS186" s="582"/>
      <c r="AT186" s="582"/>
      <c r="AU186" s="582"/>
      <c r="AV186" s="582"/>
      <c r="AW186" s="582"/>
      <c r="AX186" s="581"/>
    </row>
    <row r="187" spans="2:50">
      <c r="B187" s="541" t="s">
        <v>555</v>
      </c>
      <c r="C187" s="542" t="s">
        <v>66</v>
      </c>
      <c r="D187" s="542" t="s">
        <v>55</v>
      </c>
      <c r="E187" s="542" t="s">
        <v>649</v>
      </c>
      <c r="F187" s="542" t="s">
        <v>673</v>
      </c>
      <c r="G187" s="543">
        <v>0.01</v>
      </c>
      <c r="H187" s="543">
        <v>2.3579999999999999E-3</v>
      </c>
      <c r="I187" s="544">
        <v>0.4</v>
      </c>
      <c r="J187" s="604">
        <v>5</v>
      </c>
      <c r="K187" s="545">
        <v>55</v>
      </c>
      <c r="L187" s="273"/>
      <c r="M187" s="273"/>
      <c r="P187" s="274"/>
      <c r="Q187" s="274"/>
      <c r="R187" s="274"/>
      <c r="S187" s="274"/>
      <c r="T187" s="274"/>
      <c r="U187" s="274"/>
      <c r="V187" s="274"/>
      <c r="W187" s="274"/>
      <c r="X187" s="486" t="str">
        <f ca="1">IF('CDO Bespoke'!O188&lt;&gt;"",'CDO Bespoke'!O188,"")</f>
        <v/>
      </c>
      <c r="Y187" s="487" t="str">
        <f ca="1">IF(X187&lt;&gt;"",ABS(MIN(-0.75*('CDO Bespoke'!Q188)+'CDO Bespoke'!T188,0)),"")</f>
        <v/>
      </c>
      <c r="Z187" s="487">
        <f t="shared" ca="1" si="16"/>
        <v>0</v>
      </c>
      <c r="AA187" s="487">
        <f t="shared" ca="1" si="17"/>
        <v>0</v>
      </c>
      <c r="AB187" s="486" t="str">
        <f ca="1">IF('CDO Bespoke'!O188&lt;&gt;"",'CDO Bespoke'!O188,"")</f>
        <v/>
      </c>
      <c r="AC187" s="487" t="str">
        <f ca="1">IF(AB187&lt;&gt;"",ABS(MIN(-0.75*('CDO Bespoke'!K188)+'CDO Bespoke'!T188,0)),"")</f>
        <v/>
      </c>
      <c r="AD187" s="487">
        <f t="shared" ca="1" si="18"/>
        <v>0</v>
      </c>
      <c r="AE187" s="491">
        <f t="shared" ca="1" si="19"/>
        <v>0</v>
      </c>
      <c r="AF187" s="273"/>
      <c r="AG187" s="496" t="str">
        <f ca="1">IF('CDO Bespoke'!C212&lt;&gt;"",'CDO Bespoke'!C212,"")</f>
        <v/>
      </c>
      <c r="AH187" s="498"/>
      <c r="AI187" s="587"/>
      <c r="AJ187" s="587"/>
      <c r="AK187" s="587"/>
      <c r="AL187" s="499"/>
      <c r="AM187" s="498"/>
      <c r="AN187" s="587"/>
      <c r="AO187" s="587"/>
      <c r="AP187" s="587"/>
      <c r="AQ187" s="499"/>
      <c r="AR187" s="582"/>
      <c r="AS187" s="582"/>
      <c r="AT187" s="582"/>
      <c r="AU187" s="582"/>
      <c r="AV187" s="582"/>
      <c r="AW187" s="582"/>
      <c r="AX187" s="581"/>
    </row>
    <row r="188" spans="2:50">
      <c r="B188" s="519" t="s">
        <v>555</v>
      </c>
      <c r="C188" s="520" t="s">
        <v>66</v>
      </c>
      <c r="D188" s="520" t="s">
        <v>57</v>
      </c>
      <c r="E188" s="520" t="s">
        <v>649</v>
      </c>
      <c r="F188" s="520" t="s">
        <v>673</v>
      </c>
      <c r="G188" s="527">
        <v>0.01</v>
      </c>
      <c r="H188" s="527">
        <v>4.816E-3</v>
      </c>
      <c r="I188" s="529">
        <v>0.4</v>
      </c>
      <c r="J188" s="596">
        <v>5</v>
      </c>
      <c r="K188" s="521">
        <v>55</v>
      </c>
      <c r="L188" s="273"/>
      <c r="M188" s="273"/>
      <c r="P188" s="274"/>
      <c r="Q188" s="274"/>
      <c r="R188" s="274"/>
      <c r="S188" s="274"/>
      <c r="T188" s="274"/>
      <c r="U188" s="274"/>
      <c r="V188" s="274"/>
      <c r="W188" s="274"/>
      <c r="X188" s="486" t="str">
        <f ca="1">IF('CDO Bespoke'!O189&lt;&gt;"",'CDO Bespoke'!O189,"")</f>
        <v/>
      </c>
      <c r="Y188" s="487" t="str">
        <f ca="1">IF(X188&lt;&gt;"",ABS(MIN(-0.75*('CDO Bespoke'!Q189)+'CDO Bespoke'!T189,0)),"")</f>
        <v/>
      </c>
      <c r="Z188" s="487">
        <f t="shared" ca="1" si="16"/>
        <v>0</v>
      </c>
      <c r="AA188" s="487">
        <f t="shared" ca="1" si="17"/>
        <v>0</v>
      </c>
      <c r="AB188" s="486" t="str">
        <f ca="1">IF('CDO Bespoke'!O189&lt;&gt;"",'CDO Bespoke'!O189,"")</f>
        <v/>
      </c>
      <c r="AC188" s="487" t="str">
        <f ca="1">IF(AB188&lt;&gt;"",ABS(MIN(-0.75*('CDO Bespoke'!K189)+'CDO Bespoke'!T189,0)),"")</f>
        <v/>
      </c>
      <c r="AD188" s="487">
        <f t="shared" ca="1" si="18"/>
        <v>0</v>
      </c>
      <c r="AE188" s="491">
        <f t="shared" ca="1" si="19"/>
        <v>0</v>
      </c>
      <c r="AF188" s="273"/>
      <c r="AG188" s="496" t="str">
        <f ca="1">IF('CDO Bespoke'!C213&lt;&gt;"",'CDO Bespoke'!C213,"")</f>
        <v/>
      </c>
      <c r="AH188" s="498"/>
      <c r="AI188" s="587"/>
      <c r="AJ188" s="587"/>
      <c r="AK188" s="587"/>
      <c r="AL188" s="499"/>
      <c r="AM188" s="498"/>
      <c r="AN188" s="587"/>
      <c r="AO188" s="587"/>
      <c r="AP188" s="587"/>
      <c r="AQ188" s="499"/>
      <c r="AR188" s="582"/>
      <c r="AS188" s="582"/>
      <c r="AT188" s="582"/>
      <c r="AU188" s="582"/>
      <c r="AV188" s="582"/>
      <c r="AW188" s="582"/>
      <c r="AX188" s="581"/>
    </row>
    <row r="189" spans="2:50">
      <c r="B189" s="536" t="s">
        <v>555</v>
      </c>
      <c r="C189" s="537" t="s">
        <v>66</v>
      </c>
      <c r="D189" s="537" t="s">
        <v>59</v>
      </c>
      <c r="E189" s="537" t="s">
        <v>649</v>
      </c>
      <c r="F189" s="537" t="s">
        <v>673</v>
      </c>
      <c r="G189" s="538">
        <v>0.01</v>
      </c>
      <c r="H189" s="538">
        <v>7.6169999999999996E-3</v>
      </c>
      <c r="I189" s="539">
        <v>0.4</v>
      </c>
      <c r="J189" s="597">
        <v>5</v>
      </c>
      <c r="K189" s="540">
        <v>55</v>
      </c>
      <c r="L189" s="273"/>
      <c r="M189" s="273"/>
      <c r="P189" s="274"/>
      <c r="Q189" s="274"/>
      <c r="R189" s="274"/>
      <c r="S189" s="274"/>
      <c r="T189" s="274"/>
      <c r="U189" s="274"/>
      <c r="V189" s="274"/>
      <c r="W189" s="274"/>
      <c r="X189" s="486" t="str">
        <f ca="1">IF('CDO Bespoke'!O190&lt;&gt;"",'CDO Bespoke'!O190,"")</f>
        <v/>
      </c>
      <c r="Y189" s="487" t="str">
        <f ca="1">IF(X189&lt;&gt;"",ABS(MIN(-0.75*('CDO Bespoke'!Q190)+'CDO Bespoke'!T190,0)),"")</f>
        <v/>
      </c>
      <c r="Z189" s="487">
        <f t="shared" ca="1" si="16"/>
        <v>0</v>
      </c>
      <c r="AA189" s="487">
        <f t="shared" ca="1" si="17"/>
        <v>0</v>
      </c>
      <c r="AB189" s="486" t="str">
        <f ca="1">IF('CDO Bespoke'!O190&lt;&gt;"",'CDO Bespoke'!O190,"")</f>
        <v/>
      </c>
      <c r="AC189" s="487" t="str">
        <f ca="1">IF(AB189&lt;&gt;"",ABS(MIN(-0.75*('CDO Bespoke'!K190)+'CDO Bespoke'!T190,0)),"")</f>
        <v/>
      </c>
      <c r="AD189" s="487">
        <f t="shared" ca="1" si="18"/>
        <v>0</v>
      </c>
      <c r="AE189" s="491">
        <f t="shared" ca="1" si="19"/>
        <v>0</v>
      </c>
      <c r="AF189" s="273"/>
      <c r="AG189" s="496" t="str">
        <f ca="1">IF('CDO Bespoke'!C214&lt;&gt;"",'CDO Bespoke'!C214,"")</f>
        <v/>
      </c>
      <c r="AH189" s="498"/>
      <c r="AI189" s="587"/>
      <c r="AJ189" s="587"/>
      <c r="AK189" s="587"/>
      <c r="AL189" s="499"/>
      <c r="AM189" s="498"/>
      <c r="AN189" s="587"/>
      <c r="AO189" s="587"/>
      <c r="AP189" s="587"/>
      <c r="AQ189" s="499"/>
      <c r="AR189" s="582"/>
      <c r="AS189" s="582"/>
      <c r="AT189" s="582"/>
      <c r="AU189" s="582"/>
      <c r="AV189" s="582"/>
      <c r="AW189" s="582"/>
      <c r="AX189" s="581"/>
    </row>
    <row r="190" spans="2:50">
      <c r="B190" s="541" t="s">
        <v>556</v>
      </c>
      <c r="C190" s="542" t="s">
        <v>66</v>
      </c>
      <c r="D190" s="542" t="s">
        <v>55</v>
      </c>
      <c r="E190" s="542" t="s">
        <v>649</v>
      </c>
      <c r="F190" s="542" t="s">
        <v>673</v>
      </c>
      <c r="G190" s="543">
        <v>0.01</v>
      </c>
      <c r="H190" s="543">
        <v>2.2920000000000002E-3</v>
      </c>
      <c r="I190" s="544">
        <v>0.4</v>
      </c>
      <c r="J190" s="604">
        <v>5</v>
      </c>
      <c r="K190" s="545">
        <v>56</v>
      </c>
      <c r="L190" s="273"/>
      <c r="M190" s="273"/>
      <c r="P190" s="274"/>
      <c r="Q190" s="274"/>
      <c r="R190" s="274"/>
      <c r="S190" s="274"/>
      <c r="T190" s="274"/>
      <c r="U190" s="274"/>
      <c r="V190" s="274"/>
      <c r="W190" s="274"/>
      <c r="X190" s="486" t="str">
        <f ca="1">IF('CDO Bespoke'!O191&lt;&gt;"",'CDO Bespoke'!O191,"")</f>
        <v/>
      </c>
      <c r="Y190" s="487" t="str">
        <f ca="1">IF(X190&lt;&gt;"",ABS(MIN(-0.75*('CDO Bespoke'!Q191)+'CDO Bespoke'!T191,0)),"")</f>
        <v/>
      </c>
      <c r="Z190" s="487">
        <f t="shared" ca="1" si="16"/>
        <v>0</v>
      </c>
      <c r="AA190" s="487">
        <f t="shared" ca="1" si="17"/>
        <v>0</v>
      </c>
      <c r="AB190" s="486" t="str">
        <f ca="1">IF('CDO Bespoke'!O191&lt;&gt;"",'CDO Bespoke'!O191,"")</f>
        <v/>
      </c>
      <c r="AC190" s="487" t="str">
        <f ca="1">IF(AB190&lt;&gt;"",ABS(MIN(-0.75*('CDO Bespoke'!K191)+'CDO Bespoke'!T191,0)),"")</f>
        <v/>
      </c>
      <c r="AD190" s="487">
        <f t="shared" ca="1" si="18"/>
        <v>0</v>
      </c>
      <c r="AE190" s="491">
        <f t="shared" ca="1" si="19"/>
        <v>0</v>
      </c>
      <c r="AF190" s="273"/>
      <c r="AG190" s="496" t="str">
        <f ca="1">IF('CDO Bespoke'!C215&lt;&gt;"",'CDO Bespoke'!C215,"")</f>
        <v/>
      </c>
      <c r="AH190" s="498"/>
      <c r="AI190" s="587"/>
      <c r="AJ190" s="587"/>
      <c r="AK190" s="587"/>
      <c r="AL190" s="499"/>
      <c r="AM190" s="498"/>
      <c r="AN190" s="587"/>
      <c r="AO190" s="587"/>
      <c r="AP190" s="587"/>
      <c r="AQ190" s="499"/>
      <c r="AR190" s="582"/>
      <c r="AS190" s="582"/>
      <c r="AT190" s="582"/>
      <c r="AU190" s="582"/>
      <c r="AV190" s="582"/>
      <c r="AW190" s="582"/>
      <c r="AX190" s="581"/>
    </row>
    <row r="191" spans="2:50">
      <c r="B191" s="519" t="s">
        <v>556</v>
      </c>
      <c r="C191" s="520" t="s">
        <v>66</v>
      </c>
      <c r="D191" s="520" t="s">
        <v>57</v>
      </c>
      <c r="E191" s="520" t="s">
        <v>649</v>
      </c>
      <c r="F191" s="520" t="s">
        <v>673</v>
      </c>
      <c r="G191" s="527">
        <v>0.01</v>
      </c>
      <c r="H191" s="527">
        <v>3.6840000000000002E-3</v>
      </c>
      <c r="I191" s="529">
        <v>0.4</v>
      </c>
      <c r="J191" s="596">
        <v>5</v>
      </c>
      <c r="K191" s="521">
        <v>56</v>
      </c>
      <c r="L191" s="273"/>
      <c r="M191" s="273"/>
      <c r="P191" s="274"/>
      <c r="Q191" s="274"/>
      <c r="R191" s="274"/>
      <c r="S191" s="274"/>
      <c r="T191" s="274"/>
      <c r="U191" s="274"/>
      <c r="V191" s="274"/>
      <c r="W191" s="274"/>
      <c r="X191" s="486" t="str">
        <f ca="1">IF('CDO Bespoke'!O192&lt;&gt;"",'CDO Bespoke'!O192,"")</f>
        <v/>
      </c>
      <c r="Y191" s="487" t="str">
        <f ca="1">IF(X191&lt;&gt;"",ABS(MIN(-0.75*('CDO Bespoke'!Q192)+'CDO Bespoke'!T192,0)),"")</f>
        <v/>
      </c>
      <c r="Z191" s="487">
        <f t="shared" ca="1" si="16"/>
        <v>0</v>
      </c>
      <c r="AA191" s="487">
        <f t="shared" ca="1" si="17"/>
        <v>0</v>
      </c>
      <c r="AB191" s="486" t="str">
        <f ca="1">IF('CDO Bespoke'!O192&lt;&gt;"",'CDO Bespoke'!O192,"")</f>
        <v/>
      </c>
      <c r="AC191" s="487" t="str">
        <f ca="1">IF(AB191&lt;&gt;"",ABS(MIN(-0.75*('CDO Bespoke'!K192)+'CDO Bespoke'!T192,0)),"")</f>
        <v/>
      </c>
      <c r="AD191" s="487">
        <f t="shared" ca="1" si="18"/>
        <v>0</v>
      </c>
      <c r="AE191" s="491">
        <f t="shared" ca="1" si="19"/>
        <v>0</v>
      </c>
      <c r="AF191" s="273"/>
      <c r="AG191" s="496" t="str">
        <f ca="1">IF('CDO Bespoke'!C216&lt;&gt;"",'CDO Bespoke'!C216,"")</f>
        <v/>
      </c>
      <c r="AH191" s="498"/>
      <c r="AI191" s="587"/>
      <c r="AJ191" s="587"/>
      <c r="AK191" s="587"/>
      <c r="AL191" s="499"/>
      <c r="AM191" s="498"/>
      <c r="AN191" s="587"/>
      <c r="AO191" s="587"/>
      <c r="AP191" s="587"/>
      <c r="AQ191" s="499"/>
      <c r="AR191" s="582"/>
      <c r="AS191" s="582"/>
      <c r="AT191" s="582"/>
      <c r="AU191" s="582"/>
      <c r="AV191" s="582"/>
      <c r="AW191" s="582"/>
      <c r="AX191" s="581"/>
    </row>
    <row r="192" spans="2:50">
      <c r="B192" s="536" t="s">
        <v>556</v>
      </c>
      <c r="C192" s="537" t="s">
        <v>66</v>
      </c>
      <c r="D192" s="537" t="s">
        <v>59</v>
      </c>
      <c r="E192" s="537" t="s">
        <v>649</v>
      </c>
      <c r="F192" s="537" t="s">
        <v>673</v>
      </c>
      <c r="G192" s="538">
        <v>0.01</v>
      </c>
      <c r="H192" s="538">
        <v>5.0730000000000003E-3</v>
      </c>
      <c r="I192" s="539">
        <v>0.4</v>
      </c>
      <c r="J192" s="597">
        <v>5</v>
      </c>
      <c r="K192" s="540">
        <v>56</v>
      </c>
      <c r="L192" s="273"/>
      <c r="M192" s="273"/>
      <c r="P192" s="274"/>
      <c r="Q192" s="274"/>
      <c r="R192" s="274"/>
      <c r="S192" s="274"/>
      <c r="T192" s="274"/>
      <c r="U192" s="274"/>
      <c r="V192" s="274"/>
      <c r="W192" s="274"/>
      <c r="X192" s="486" t="str">
        <f ca="1">IF('CDO Bespoke'!O193&lt;&gt;"",'CDO Bespoke'!O193,"")</f>
        <v/>
      </c>
      <c r="Y192" s="487" t="str">
        <f ca="1">IF(X192&lt;&gt;"",ABS(MIN(-0.75*('CDO Bespoke'!Q193)+'CDO Bespoke'!T193,0)),"")</f>
        <v/>
      </c>
      <c r="Z192" s="487">
        <f t="shared" ca="1" si="16"/>
        <v>0</v>
      </c>
      <c r="AA192" s="487">
        <f t="shared" ca="1" si="17"/>
        <v>0</v>
      </c>
      <c r="AB192" s="486" t="str">
        <f ca="1">IF('CDO Bespoke'!O193&lt;&gt;"",'CDO Bespoke'!O193,"")</f>
        <v/>
      </c>
      <c r="AC192" s="487" t="str">
        <f ca="1">IF(AB192&lt;&gt;"",ABS(MIN(-0.75*('CDO Bespoke'!K193)+'CDO Bespoke'!T193,0)),"")</f>
        <v/>
      </c>
      <c r="AD192" s="487">
        <f t="shared" ca="1" si="18"/>
        <v>0</v>
      </c>
      <c r="AE192" s="491">
        <f t="shared" ca="1" si="19"/>
        <v>0</v>
      </c>
      <c r="AF192" s="273"/>
      <c r="AG192" s="496" t="str">
        <f ca="1">IF('CDO Bespoke'!C217&lt;&gt;"",'CDO Bespoke'!C217,"")</f>
        <v/>
      </c>
      <c r="AH192" s="498"/>
      <c r="AI192" s="587"/>
      <c r="AJ192" s="587"/>
      <c r="AK192" s="587"/>
      <c r="AL192" s="499"/>
      <c r="AM192" s="498"/>
      <c r="AN192" s="587"/>
      <c r="AO192" s="587"/>
      <c r="AP192" s="587"/>
      <c r="AQ192" s="499"/>
      <c r="AR192" s="582"/>
      <c r="AS192" s="582"/>
      <c r="AT192" s="582"/>
      <c r="AU192" s="582"/>
      <c r="AV192" s="582"/>
      <c r="AW192" s="582"/>
      <c r="AX192" s="581"/>
    </row>
    <row r="193" spans="2:50">
      <c r="B193" s="541" t="s">
        <v>564</v>
      </c>
      <c r="C193" s="542" t="s">
        <v>66</v>
      </c>
      <c r="D193" s="542" t="s">
        <v>55</v>
      </c>
      <c r="E193" s="542" t="s">
        <v>649</v>
      </c>
      <c r="F193" s="542" t="s">
        <v>673</v>
      </c>
      <c r="G193" s="543">
        <v>0.01</v>
      </c>
      <c r="H193" s="543">
        <v>1.598E-3</v>
      </c>
      <c r="I193" s="544">
        <v>0.4</v>
      </c>
      <c r="J193" s="604">
        <v>5</v>
      </c>
      <c r="K193" s="545">
        <v>57</v>
      </c>
      <c r="L193" s="273"/>
      <c r="M193" s="273"/>
      <c r="P193" s="274"/>
      <c r="Q193" s="274"/>
      <c r="R193" s="274"/>
      <c r="S193" s="274"/>
      <c r="T193" s="274"/>
      <c r="U193" s="274"/>
      <c r="V193" s="274"/>
      <c r="W193" s="274"/>
      <c r="X193" s="486" t="str">
        <f ca="1">IF('CDO Bespoke'!O194&lt;&gt;"",'CDO Bespoke'!O194,"")</f>
        <v/>
      </c>
      <c r="Y193" s="487" t="str">
        <f ca="1">IF(X193&lt;&gt;"",ABS(MIN(-0.75*('CDO Bespoke'!Q194)+'CDO Bespoke'!T194,0)),"")</f>
        <v/>
      </c>
      <c r="Z193" s="487">
        <f t="shared" ca="1" si="16"/>
        <v>0</v>
      </c>
      <c r="AA193" s="487">
        <f t="shared" ca="1" si="17"/>
        <v>0</v>
      </c>
      <c r="AB193" s="486" t="str">
        <f ca="1">IF('CDO Bespoke'!O194&lt;&gt;"",'CDO Bespoke'!O194,"")</f>
        <v/>
      </c>
      <c r="AC193" s="487" t="str">
        <f ca="1">IF(AB193&lt;&gt;"",ABS(MIN(-0.75*('CDO Bespoke'!K194)+'CDO Bespoke'!T194,0)),"")</f>
        <v/>
      </c>
      <c r="AD193" s="487">
        <f t="shared" ca="1" si="18"/>
        <v>0</v>
      </c>
      <c r="AE193" s="491">
        <f t="shared" ca="1" si="19"/>
        <v>0</v>
      </c>
      <c r="AF193" s="273"/>
      <c r="AG193" s="496" t="str">
        <f ca="1">IF('CDO Bespoke'!C218&lt;&gt;"",'CDO Bespoke'!C218,"")</f>
        <v/>
      </c>
      <c r="AH193" s="498"/>
      <c r="AI193" s="587"/>
      <c r="AJ193" s="587"/>
      <c r="AK193" s="587"/>
      <c r="AL193" s="499"/>
      <c r="AM193" s="498"/>
      <c r="AN193" s="587"/>
      <c r="AO193" s="587"/>
      <c r="AP193" s="587"/>
      <c r="AQ193" s="499"/>
      <c r="AR193" s="582"/>
      <c r="AS193" s="582"/>
      <c r="AT193" s="582"/>
      <c r="AU193" s="582"/>
      <c r="AV193" s="582"/>
      <c r="AW193" s="582"/>
      <c r="AX193" s="581"/>
    </row>
    <row r="194" spans="2:50">
      <c r="B194" s="519" t="s">
        <v>564</v>
      </c>
      <c r="C194" s="520" t="s">
        <v>66</v>
      </c>
      <c r="D194" s="520" t="s">
        <v>57</v>
      </c>
      <c r="E194" s="520" t="s">
        <v>649</v>
      </c>
      <c r="F194" s="520" t="s">
        <v>673</v>
      </c>
      <c r="G194" s="527">
        <v>0.01</v>
      </c>
      <c r="H194" s="527">
        <v>2.627E-3</v>
      </c>
      <c r="I194" s="529">
        <v>0.4</v>
      </c>
      <c r="J194" s="596">
        <v>5</v>
      </c>
      <c r="K194" s="521">
        <v>57</v>
      </c>
      <c r="L194" s="273"/>
      <c r="M194" s="273"/>
      <c r="P194" s="274"/>
      <c r="Q194" s="274"/>
      <c r="R194" s="274"/>
      <c r="S194" s="274"/>
      <c r="T194" s="274"/>
      <c r="U194" s="274"/>
      <c r="V194" s="274"/>
      <c r="W194" s="274"/>
      <c r="X194" s="486" t="str">
        <f ca="1">IF('CDO Bespoke'!O195&lt;&gt;"",'CDO Bespoke'!O195,"")</f>
        <v/>
      </c>
      <c r="Y194" s="487" t="str">
        <f ca="1">IF(X194&lt;&gt;"",ABS(MIN(-0.75*('CDO Bespoke'!Q195)+'CDO Bespoke'!T195,0)),"")</f>
        <v/>
      </c>
      <c r="Z194" s="487">
        <f t="shared" ca="1" si="16"/>
        <v>0</v>
      </c>
      <c r="AA194" s="487">
        <f t="shared" ca="1" si="17"/>
        <v>0</v>
      </c>
      <c r="AB194" s="486" t="str">
        <f ca="1">IF('CDO Bespoke'!O195&lt;&gt;"",'CDO Bespoke'!O195,"")</f>
        <v/>
      </c>
      <c r="AC194" s="487" t="str">
        <f ca="1">IF(AB194&lt;&gt;"",ABS(MIN(-0.75*('CDO Bespoke'!K195)+'CDO Bespoke'!T195,0)),"")</f>
        <v/>
      </c>
      <c r="AD194" s="487">
        <f t="shared" ca="1" si="18"/>
        <v>0</v>
      </c>
      <c r="AE194" s="491">
        <f t="shared" ca="1" si="19"/>
        <v>0</v>
      </c>
      <c r="AF194" s="273"/>
      <c r="AG194" s="496" t="str">
        <f ca="1">IF('CDO Bespoke'!C219&lt;&gt;"",'CDO Bespoke'!C219,"")</f>
        <v/>
      </c>
      <c r="AH194" s="498"/>
      <c r="AI194" s="587"/>
      <c r="AJ194" s="587"/>
      <c r="AK194" s="587"/>
      <c r="AL194" s="499"/>
      <c r="AM194" s="498"/>
      <c r="AN194" s="587"/>
      <c r="AO194" s="587"/>
      <c r="AP194" s="587"/>
      <c r="AQ194" s="499"/>
      <c r="AR194" s="582"/>
      <c r="AS194" s="582"/>
      <c r="AT194" s="582"/>
      <c r="AU194" s="582"/>
      <c r="AV194" s="582"/>
      <c r="AW194" s="582"/>
      <c r="AX194" s="581"/>
    </row>
    <row r="195" spans="2:50">
      <c r="B195" s="536" t="s">
        <v>564</v>
      </c>
      <c r="C195" s="537" t="s">
        <v>66</v>
      </c>
      <c r="D195" s="537" t="s">
        <v>59</v>
      </c>
      <c r="E195" s="537" t="s">
        <v>649</v>
      </c>
      <c r="F195" s="537" t="s">
        <v>673</v>
      </c>
      <c r="G195" s="538">
        <v>0.01</v>
      </c>
      <c r="H195" s="538">
        <v>3.8070000000000001E-3</v>
      </c>
      <c r="I195" s="539">
        <v>0.4</v>
      </c>
      <c r="J195" s="597">
        <v>5</v>
      </c>
      <c r="K195" s="540">
        <v>57</v>
      </c>
      <c r="L195" s="273"/>
      <c r="M195" s="273"/>
      <c r="P195" s="274"/>
      <c r="Q195" s="274"/>
      <c r="R195" s="274"/>
      <c r="S195" s="274"/>
      <c r="T195" s="274"/>
      <c r="U195" s="274"/>
      <c r="V195" s="274"/>
      <c r="W195" s="274"/>
      <c r="X195" s="486" t="str">
        <f ca="1">IF('CDO Bespoke'!O196&lt;&gt;"",'CDO Bespoke'!O196,"")</f>
        <v/>
      </c>
      <c r="Y195" s="487" t="str">
        <f ca="1">IF(X195&lt;&gt;"",ABS(MIN(-0.75*('CDO Bespoke'!Q196)+'CDO Bespoke'!T196,0)),"")</f>
        <v/>
      </c>
      <c r="Z195" s="487">
        <f t="shared" ca="1" si="16"/>
        <v>0</v>
      </c>
      <c r="AA195" s="487">
        <f t="shared" ca="1" si="17"/>
        <v>0</v>
      </c>
      <c r="AB195" s="486" t="str">
        <f ca="1">IF('CDO Bespoke'!O196&lt;&gt;"",'CDO Bespoke'!O196,"")</f>
        <v/>
      </c>
      <c r="AC195" s="487" t="str">
        <f ca="1">IF(AB195&lt;&gt;"",ABS(MIN(-0.75*('CDO Bespoke'!K196)+'CDO Bespoke'!T196,0)),"")</f>
        <v/>
      </c>
      <c r="AD195" s="487">
        <f t="shared" ca="1" si="18"/>
        <v>0</v>
      </c>
      <c r="AE195" s="491">
        <f t="shared" ca="1" si="19"/>
        <v>0</v>
      </c>
      <c r="AF195" s="273"/>
      <c r="AG195" s="496" t="str">
        <f ca="1">IF('CDO Bespoke'!C220&lt;&gt;"",'CDO Bespoke'!C220,"")</f>
        <v/>
      </c>
      <c r="AH195" s="498"/>
      <c r="AI195" s="587"/>
      <c r="AJ195" s="587"/>
      <c r="AK195" s="587"/>
      <c r="AL195" s="499"/>
      <c r="AM195" s="498"/>
      <c r="AN195" s="587"/>
      <c r="AO195" s="587"/>
      <c r="AP195" s="587"/>
      <c r="AQ195" s="499"/>
      <c r="AR195" s="582"/>
      <c r="AS195" s="582"/>
      <c r="AT195" s="582"/>
      <c r="AU195" s="582"/>
      <c r="AV195" s="582"/>
      <c r="AW195" s="582"/>
      <c r="AX195" s="581"/>
    </row>
    <row r="196" spans="2:50">
      <c r="B196" s="541" t="s">
        <v>557</v>
      </c>
      <c r="C196" s="542" t="s">
        <v>66</v>
      </c>
      <c r="D196" s="542" t="s">
        <v>55</v>
      </c>
      <c r="E196" s="542" t="s">
        <v>649</v>
      </c>
      <c r="F196" s="542" t="s">
        <v>673</v>
      </c>
      <c r="G196" s="543">
        <v>0.01</v>
      </c>
      <c r="H196" s="543">
        <v>4.0590000000000001E-3</v>
      </c>
      <c r="I196" s="544">
        <v>0.4</v>
      </c>
      <c r="J196" s="604">
        <v>5</v>
      </c>
      <c r="K196" s="545">
        <v>58</v>
      </c>
      <c r="L196" s="273"/>
      <c r="M196" s="273"/>
      <c r="P196" s="274"/>
      <c r="Q196" s="274"/>
      <c r="R196" s="274"/>
      <c r="S196" s="274"/>
      <c r="T196" s="274"/>
      <c r="U196" s="274"/>
      <c r="V196" s="274"/>
      <c r="W196" s="274"/>
      <c r="X196" s="486" t="str">
        <f ca="1">IF('CDO Bespoke'!O197&lt;&gt;"",'CDO Bespoke'!O197,"")</f>
        <v/>
      </c>
      <c r="Y196" s="487" t="str">
        <f ca="1">IF(X196&lt;&gt;"",ABS(MIN(-0.75*('CDO Bespoke'!Q197)+'CDO Bespoke'!T197,0)),"")</f>
        <v/>
      </c>
      <c r="Z196" s="487">
        <f t="shared" ca="1" si="16"/>
        <v>0</v>
      </c>
      <c r="AA196" s="487">
        <f t="shared" ca="1" si="17"/>
        <v>0</v>
      </c>
      <c r="AB196" s="486" t="str">
        <f ca="1">IF('CDO Bespoke'!O197&lt;&gt;"",'CDO Bespoke'!O197,"")</f>
        <v/>
      </c>
      <c r="AC196" s="487" t="str">
        <f ca="1">IF(AB196&lt;&gt;"",ABS(MIN(-0.75*('CDO Bespoke'!K197)+'CDO Bespoke'!T197,0)),"")</f>
        <v/>
      </c>
      <c r="AD196" s="487">
        <f t="shared" ca="1" si="18"/>
        <v>0</v>
      </c>
      <c r="AE196" s="491">
        <f t="shared" ca="1" si="19"/>
        <v>0</v>
      </c>
      <c r="AF196" s="273"/>
      <c r="AG196" s="496" t="str">
        <f ca="1">IF('CDO Bespoke'!C221&lt;&gt;"",'CDO Bespoke'!C221,"")</f>
        <v/>
      </c>
      <c r="AH196" s="498"/>
      <c r="AI196" s="587"/>
      <c r="AJ196" s="587"/>
      <c r="AK196" s="587"/>
      <c r="AL196" s="499"/>
      <c r="AM196" s="498"/>
      <c r="AN196" s="587"/>
      <c r="AO196" s="587"/>
      <c r="AP196" s="587"/>
      <c r="AQ196" s="499"/>
      <c r="AR196" s="582"/>
      <c r="AS196" s="582"/>
      <c r="AT196" s="582"/>
      <c r="AU196" s="582"/>
      <c r="AV196" s="582"/>
      <c r="AW196" s="582"/>
      <c r="AX196" s="581"/>
    </row>
    <row r="197" spans="2:50">
      <c r="B197" s="519" t="s">
        <v>557</v>
      </c>
      <c r="C197" s="520" t="s">
        <v>66</v>
      </c>
      <c r="D197" s="520" t="s">
        <v>57</v>
      </c>
      <c r="E197" s="520" t="s">
        <v>649</v>
      </c>
      <c r="F197" s="520" t="s">
        <v>673</v>
      </c>
      <c r="G197" s="527">
        <v>0.01</v>
      </c>
      <c r="H197" s="527">
        <v>6.953E-3</v>
      </c>
      <c r="I197" s="529">
        <v>0.4</v>
      </c>
      <c r="J197" s="596">
        <v>5</v>
      </c>
      <c r="K197" s="521">
        <v>58</v>
      </c>
      <c r="L197" s="273"/>
      <c r="M197" s="273"/>
      <c r="P197" s="274"/>
      <c r="Q197" s="274"/>
      <c r="R197" s="274"/>
      <c r="S197" s="274"/>
      <c r="T197" s="274"/>
      <c r="U197" s="274"/>
      <c r="V197" s="274"/>
      <c r="W197" s="274"/>
      <c r="X197" s="486" t="str">
        <f ca="1">IF('CDO Bespoke'!O198&lt;&gt;"",'CDO Bespoke'!O198,"")</f>
        <v/>
      </c>
      <c r="Y197" s="487" t="str">
        <f ca="1">IF(X197&lt;&gt;"",ABS(MIN(-0.75*('CDO Bespoke'!Q198)+'CDO Bespoke'!T198,0)),"")</f>
        <v/>
      </c>
      <c r="Z197" s="487">
        <f t="shared" ca="1" si="16"/>
        <v>0</v>
      </c>
      <c r="AA197" s="487">
        <f t="shared" ca="1" si="17"/>
        <v>0</v>
      </c>
      <c r="AB197" s="486" t="str">
        <f ca="1">IF('CDO Bespoke'!O198&lt;&gt;"",'CDO Bespoke'!O198,"")</f>
        <v/>
      </c>
      <c r="AC197" s="487" t="str">
        <f ca="1">IF(AB197&lt;&gt;"",ABS(MIN(-0.75*('CDO Bespoke'!K198)+'CDO Bespoke'!T198,0)),"")</f>
        <v/>
      </c>
      <c r="AD197" s="487">
        <f t="shared" ca="1" si="18"/>
        <v>0</v>
      </c>
      <c r="AE197" s="491">
        <f t="shared" ca="1" si="19"/>
        <v>0</v>
      </c>
      <c r="AF197" s="273"/>
      <c r="AG197" s="496" t="str">
        <f ca="1">IF('CDO Bespoke'!C222&lt;&gt;"",'CDO Bespoke'!C222,"")</f>
        <v/>
      </c>
      <c r="AH197" s="498"/>
      <c r="AI197" s="587"/>
      <c r="AJ197" s="587"/>
      <c r="AK197" s="587"/>
      <c r="AL197" s="499"/>
      <c r="AM197" s="498"/>
      <c r="AN197" s="587"/>
      <c r="AO197" s="587"/>
      <c r="AP197" s="587"/>
      <c r="AQ197" s="499"/>
      <c r="AR197" s="582"/>
      <c r="AS197" s="582"/>
      <c r="AT197" s="582"/>
      <c r="AU197" s="582"/>
      <c r="AV197" s="582"/>
      <c r="AW197" s="582"/>
      <c r="AX197" s="581"/>
    </row>
    <row r="198" spans="2:50">
      <c r="B198" s="536" t="s">
        <v>557</v>
      </c>
      <c r="C198" s="537" t="s">
        <v>66</v>
      </c>
      <c r="D198" s="537" t="s">
        <v>59</v>
      </c>
      <c r="E198" s="537" t="s">
        <v>649</v>
      </c>
      <c r="F198" s="537" t="s">
        <v>673</v>
      </c>
      <c r="G198" s="538">
        <v>0.01</v>
      </c>
      <c r="H198" s="538">
        <v>1.0121E-2</v>
      </c>
      <c r="I198" s="539">
        <v>0.4</v>
      </c>
      <c r="J198" s="597">
        <v>5</v>
      </c>
      <c r="K198" s="540">
        <v>58</v>
      </c>
      <c r="L198" s="273"/>
      <c r="M198" s="273"/>
      <c r="P198" s="274"/>
      <c r="Q198" s="274"/>
      <c r="R198" s="274"/>
      <c r="S198" s="274"/>
      <c r="T198" s="274"/>
      <c r="U198" s="274"/>
      <c r="V198" s="274"/>
      <c r="W198" s="274"/>
      <c r="X198" s="486" t="str">
        <f ca="1">IF('CDO Bespoke'!O199&lt;&gt;"",'CDO Bespoke'!O199,"")</f>
        <v/>
      </c>
      <c r="Y198" s="487" t="str">
        <f ca="1">IF(X198&lt;&gt;"",ABS(MIN(-0.75*('CDO Bespoke'!Q199)+'CDO Bespoke'!T199,0)),"")</f>
        <v/>
      </c>
      <c r="Z198" s="487">
        <f t="shared" ca="1" si="16"/>
        <v>0</v>
      </c>
      <c r="AA198" s="487">
        <f t="shared" ca="1" si="17"/>
        <v>0</v>
      </c>
      <c r="AB198" s="486" t="str">
        <f ca="1">IF('CDO Bespoke'!O199&lt;&gt;"",'CDO Bespoke'!O199,"")</f>
        <v/>
      </c>
      <c r="AC198" s="487" t="str">
        <f ca="1">IF(AB198&lt;&gt;"",ABS(MIN(-0.75*('CDO Bespoke'!K199)+'CDO Bespoke'!T199,0)),"")</f>
        <v/>
      </c>
      <c r="AD198" s="487">
        <f t="shared" ca="1" si="18"/>
        <v>0</v>
      </c>
      <c r="AE198" s="491">
        <f t="shared" ca="1" si="19"/>
        <v>0</v>
      </c>
      <c r="AF198" s="273"/>
      <c r="AG198" s="496" t="str">
        <f ca="1">IF('CDO Bespoke'!C223&lt;&gt;"",'CDO Bespoke'!C223,"")</f>
        <v/>
      </c>
      <c r="AH198" s="498"/>
      <c r="AI198" s="587"/>
      <c r="AJ198" s="587"/>
      <c r="AK198" s="587"/>
      <c r="AL198" s="499"/>
      <c r="AM198" s="498"/>
      <c r="AN198" s="587"/>
      <c r="AO198" s="587"/>
      <c r="AP198" s="587"/>
      <c r="AQ198" s="499"/>
      <c r="AR198" s="582"/>
      <c r="AS198" s="582"/>
      <c r="AT198" s="582"/>
      <c r="AU198" s="582"/>
      <c r="AV198" s="582"/>
      <c r="AW198" s="582"/>
      <c r="AX198" s="581"/>
    </row>
    <row r="199" spans="2:50">
      <c r="B199" s="541" t="s">
        <v>558</v>
      </c>
      <c r="C199" s="542" t="s">
        <v>66</v>
      </c>
      <c r="D199" s="542" t="s">
        <v>55</v>
      </c>
      <c r="E199" s="542" t="s">
        <v>649</v>
      </c>
      <c r="F199" s="542" t="s">
        <v>673</v>
      </c>
      <c r="G199" s="543">
        <v>0.01</v>
      </c>
      <c r="H199" s="543">
        <v>3.114E-3</v>
      </c>
      <c r="I199" s="544">
        <v>0.4</v>
      </c>
      <c r="J199" s="604">
        <v>5</v>
      </c>
      <c r="K199" s="545">
        <v>59</v>
      </c>
      <c r="L199" s="273"/>
      <c r="M199" s="273"/>
      <c r="P199" s="274"/>
      <c r="Q199" s="274"/>
      <c r="R199" s="274"/>
      <c r="S199" s="274"/>
      <c r="T199" s="274"/>
      <c r="U199" s="274"/>
      <c r="V199" s="274"/>
      <c r="W199" s="274"/>
      <c r="X199" s="486" t="str">
        <f ca="1">IF('CDO Bespoke'!O200&lt;&gt;"",'CDO Bespoke'!O200,"")</f>
        <v/>
      </c>
      <c r="Y199" s="487" t="str">
        <f ca="1">IF(X199&lt;&gt;"",ABS(MIN(-0.75*('CDO Bespoke'!Q200)+'CDO Bespoke'!T200,0)),"")</f>
        <v/>
      </c>
      <c r="Z199" s="487">
        <f t="shared" ca="1" si="16"/>
        <v>0</v>
      </c>
      <c r="AA199" s="487">
        <f t="shared" ca="1" si="17"/>
        <v>0</v>
      </c>
      <c r="AB199" s="486" t="str">
        <f ca="1">IF('CDO Bespoke'!O200&lt;&gt;"",'CDO Bespoke'!O200,"")</f>
        <v/>
      </c>
      <c r="AC199" s="487" t="str">
        <f ca="1">IF(AB199&lt;&gt;"",ABS(MIN(-0.75*('CDO Bespoke'!K200)+'CDO Bespoke'!T200,0)),"")</f>
        <v/>
      </c>
      <c r="AD199" s="487">
        <f t="shared" ca="1" si="18"/>
        <v>0</v>
      </c>
      <c r="AE199" s="491">
        <f t="shared" ca="1" si="19"/>
        <v>0</v>
      </c>
      <c r="AF199" s="273"/>
      <c r="AG199" s="496" t="str">
        <f ca="1">IF('CDO Bespoke'!C224&lt;&gt;"",'CDO Bespoke'!C224,"")</f>
        <v/>
      </c>
      <c r="AH199" s="498"/>
      <c r="AI199" s="587"/>
      <c r="AJ199" s="587"/>
      <c r="AK199" s="587"/>
      <c r="AL199" s="499"/>
      <c r="AM199" s="498"/>
      <c r="AN199" s="587"/>
      <c r="AO199" s="587"/>
      <c r="AP199" s="587"/>
      <c r="AQ199" s="499"/>
      <c r="AR199" s="582"/>
      <c r="AS199" s="582"/>
      <c r="AT199" s="582"/>
      <c r="AU199" s="582"/>
      <c r="AV199" s="582"/>
      <c r="AW199" s="582"/>
      <c r="AX199" s="581"/>
    </row>
    <row r="200" spans="2:50">
      <c r="B200" s="519" t="s">
        <v>558</v>
      </c>
      <c r="C200" s="520" t="s">
        <v>66</v>
      </c>
      <c r="D200" s="520" t="s">
        <v>57</v>
      </c>
      <c r="E200" s="520" t="s">
        <v>649</v>
      </c>
      <c r="F200" s="520" t="s">
        <v>673</v>
      </c>
      <c r="G200" s="527">
        <v>0.01</v>
      </c>
      <c r="H200" s="527">
        <v>5.1929999999999997E-3</v>
      </c>
      <c r="I200" s="529">
        <v>0.4</v>
      </c>
      <c r="J200" s="596">
        <v>5</v>
      </c>
      <c r="K200" s="521">
        <v>59</v>
      </c>
      <c r="L200" s="273"/>
      <c r="M200" s="273"/>
      <c r="P200" s="274"/>
      <c r="Q200" s="274"/>
      <c r="R200" s="274"/>
      <c r="S200" s="274"/>
      <c r="T200" s="274"/>
      <c r="U200" s="274"/>
      <c r="V200" s="274"/>
      <c r="W200" s="274"/>
      <c r="X200" s="486" t="str">
        <f ca="1">IF('CDO Bespoke'!O201&lt;&gt;"",'CDO Bespoke'!O201,"")</f>
        <v/>
      </c>
      <c r="Y200" s="487" t="str">
        <f ca="1">IF(X200&lt;&gt;"",ABS(MIN(-0.75*('CDO Bespoke'!Q201)+'CDO Bespoke'!T201,0)),"")</f>
        <v/>
      </c>
      <c r="Z200" s="487">
        <f t="shared" ca="1" si="16"/>
        <v>0</v>
      </c>
      <c r="AA200" s="487">
        <f t="shared" ca="1" si="17"/>
        <v>0</v>
      </c>
      <c r="AB200" s="486" t="str">
        <f ca="1">IF('CDO Bespoke'!O201&lt;&gt;"",'CDO Bespoke'!O201,"")</f>
        <v/>
      </c>
      <c r="AC200" s="487" t="str">
        <f ca="1">IF(AB200&lt;&gt;"",ABS(MIN(-0.75*('CDO Bespoke'!K201)+'CDO Bespoke'!T201,0)),"")</f>
        <v/>
      </c>
      <c r="AD200" s="487">
        <f t="shared" ca="1" si="18"/>
        <v>0</v>
      </c>
      <c r="AE200" s="491">
        <f t="shared" ca="1" si="19"/>
        <v>0</v>
      </c>
      <c r="AF200" s="273"/>
      <c r="AG200" s="496" t="str">
        <f ca="1">IF('CDO Bespoke'!C225&lt;&gt;"",'CDO Bespoke'!C225,"")</f>
        <v/>
      </c>
      <c r="AH200" s="498"/>
      <c r="AI200" s="587"/>
      <c r="AJ200" s="587"/>
      <c r="AK200" s="587"/>
      <c r="AL200" s="499"/>
      <c r="AM200" s="498"/>
      <c r="AN200" s="587"/>
      <c r="AO200" s="587"/>
      <c r="AP200" s="587"/>
      <c r="AQ200" s="499"/>
      <c r="AR200" s="582"/>
      <c r="AS200" s="582"/>
      <c r="AT200" s="582"/>
      <c r="AU200" s="582"/>
      <c r="AV200" s="582"/>
      <c r="AW200" s="582"/>
      <c r="AX200" s="581"/>
    </row>
    <row r="201" spans="2:50">
      <c r="B201" s="536" t="s">
        <v>558</v>
      </c>
      <c r="C201" s="537" t="s">
        <v>66</v>
      </c>
      <c r="D201" s="537" t="s">
        <v>59</v>
      </c>
      <c r="E201" s="537" t="s">
        <v>649</v>
      </c>
      <c r="F201" s="537" t="s">
        <v>673</v>
      </c>
      <c r="G201" s="538">
        <v>0.01</v>
      </c>
      <c r="H201" s="538">
        <v>7.737E-3</v>
      </c>
      <c r="I201" s="539">
        <v>0.4</v>
      </c>
      <c r="J201" s="597">
        <v>5</v>
      </c>
      <c r="K201" s="540">
        <v>59</v>
      </c>
      <c r="L201" s="273"/>
      <c r="M201" s="273"/>
      <c r="P201" s="274"/>
      <c r="Q201" s="274"/>
      <c r="R201" s="274"/>
      <c r="S201" s="274"/>
      <c r="T201" s="274"/>
      <c r="U201" s="274"/>
      <c r="V201" s="274"/>
      <c r="W201" s="274"/>
      <c r="X201" s="486" t="str">
        <f ca="1">IF('CDO Bespoke'!O202&lt;&gt;"",'CDO Bespoke'!O202,"")</f>
        <v/>
      </c>
      <c r="Y201" s="487" t="str">
        <f ca="1">IF(X201&lt;&gt;"",ABS(MIN(-0.75*('CDO Bespoke'!Q202)+'CDO Bespoke'!T202,0)),"")</f>
        <v/>
      </c>
      <c r="Z201" s="487">
        <f t="shared" ca="1" si="16"/>
        <v>0</v>
      </c>
      <c r="AA201" s="487">
        <f t="shared" ca="1" si="17"/>
        <v>0</v>
      </c>
      <c r="AB201" s="486" t="str">
        <f ca="1">IF('CDO Bespoke'!O202&lt;&gt;"",'CDO Bespoke'!O202,"")</f>
        <v/>
      </c>
      <c r="AC201" s="487" t="str">
        <f ca="1">IF(AB201&lt;&gt;"",ABS(MIN(-0.75*('CDO Bespoke'!K202)+'CDO Bespoke'!T202,0)),"")</f>
        <v/>
      </c>
      <c r="AD201" s="487">
        <f t="shared" ca="1" si="18"/>
        <v>0</v>
      </c>
      <c r="AE201" s="491">
        <f t="shared" ca="1" si="19"/>
        <v>0</v>
      </c>
      <c r="AF201" s="273"/>
      <c r="AG201" s="496" t="str">
        <f ca="1">IF('CDO Bespoke'!C226&lt;&gt;"",'CDO Bespoke'!C226,"")</f>
        <v/>
      </c>
      <c r="AH201" s="498"/>
      <c r="AI201" s="587"/>
      <c r="AJ201" s="587"/>
      <c r="AK201" s="587"/>
      <c r="AL201" s="499"/>
      <c r="AM201" s="498"/>
      <c r="AN201" s="587"/>
      <c r="AO201" s="587"/>
      <c r="AP201" s="587"/>
      <c r="AQ201" s="499"/>
      <c r="AR201" s="582"/>
      <c r="AS201" s="582"/>
      <c r="AT201" s="582"/>
      <c r="AU201" s="582"/>
      <c r="AV201" s="582"/>
      <c r="AW201" s="582"/>
      <c r="AX201" s="581"/>
    </row>
    <row r="202" spans="2:50">
      <c r="B202" s="541" t="s">
        <v>559</v>
      </c>
      <c r="C202" s="542" t="s">
        <v>66</v>
      </c>
      <c r="D202" s="542" t="s">
        <v>55</v>
      </c>
      <c r="E202" s="542" t="s">
        <v>647</v>
      </c>
      <c r="F202" s="542" t="s">
        <v>673</v>
      </c>
      <c r="G202" s="543">
        <v>0.01</v>
      </c>
      <c r="H202" s="543">
        <v>1.8439999999999999E-3</v>
      </c>
      <c r="I202" s="544">
        <v>0.4</v>
      </c>
      <c r="J202" s="604">
        <v>5</v>
      </c>
      <c r="K202" s="545">
        <v>60</v>
      </c>
      <c r="L202" s="273"/>
      <c r="M202" s="273"/>
      <c r="P202" s="274"/>
      <c r="Q202" s="274"/>
      <c r="R202" s="274"/>
      <c r="S202" s="274"/>
      <c r="T202" s="274"/>
      <c r="U202" s="274"/>
      <c r="V202" s="274"/>
      <c r="W202" s="274"/>
      <c r="X202" s="486" t="str">
        <f ca="1">IF('CDO Bespoke'!O203&lt;&gt;"",'CDO Bespoke'!O203,"")</f>
        <v/>
      </c>
      <c r="Y202" s="487" t="str">
        <f ca="1">IF(X202&lt;&gt;"",ABS(MIN(-0.75*('CDO Bespoke'!Q203)+'CDO Bespoke'!T203,0)),"")</f>
        <v/>
      </c>
      <c r="Z202" s="487">
        <f t="shared" ca="1" si="16"/>
        <v>0</v>
      </c>
      <c r="AA202" s="487">
        <f t="shared" ca="1" si="17"/>
        <v>0</v>
      </c>
      <c r="AB202" s="486" t="str">
        <f ca="1">IF('CDO Bespoke'!O203&lt;&gt;"",'CDO Bespoke'!O203,"")</f>
        <v/>
      </c>
      <c r="AC202" s="487" t="str">
        <f ca="1">IF(AB202&lt;&gt;"",ABS(MIN(-0.75*('CDO Bespoke'!K203)+'CDO Bespoke'!T203,0)),"")</f>
        <v/>
      </c>
      <c r="AD202" s="487">
        <f t="shared" ca="1" si="18"/>
        <v>0</v>
      </c>
      <c r="AE202" s="491">
        <f t="shared" ca="1" si="19"/>
        <v>0</v>
      </c>
      <c r="AF202" s="273"/>
      <c r="AG202" s="496" t="str">
        <f ca="1">IF('CDO Bespoke'!C227&lt;&gt;"",'CDO Bespoke'!C227,"")</f>
        <v/>
      </c>
      <c r="AH202" s="498"/>
      <c r="AI202" s="587"/>
      <c r="AJ202" s="587"/>
      <c r="AK202" s="587"/>
      <c r="AL202" s="499"/>
      <c r="AM202" s="498"/>
      <c r="AN202" s="587"/>
      <c r="AO202" s="587"/>
      <c r="AP202" s="587"/>
      <c r="AQ202" s="499"/>
      <c r="AR202" s="582"/>
      <c r="AS202" s="582"/>
      <c r="AT202" s="582"/>
      <c r="AU202" s="582"/>
      <c r="AV202" s="582"/>
      <c r="AW202" s="582"/>
      <c r="AX202" s="581"/>
    </row>
    <row r="203" spans="2:50">
      <c r="B203" s="519" t="s">
        <v>559</v>
      </c>
      <c r="C203" s="520" t="s">
        <v>66</v>
      </c>
      <c r="D203" s="520" t="s">
        <v>57</v>
      </c>
      <c r="E203" s="520" t="s">
        <v>647</v>
      </c>
      <c r="F203" s="520" t="s">
        <v>673</v>
      </c>
      <c r="G203" s="527">
        <v>0.01</v>
      </c>
      <c r="H203" s="527">
        <v>2.6050000000000001E-3</v>
      </c>
      <c r="I203" s="529">
        <v>0.4</v>
      </c>
      <c r="J203" s="596">
        <v>5</v>
      </c>
      <c r="K203" s="521">
        <v>60</v>
      </c>
      <c r="L203" s="273"/>
      <c r="M203" s="273"/>
      <c r="P203" s="274"/>
      <c r="Q203" s="274"/>
      <c r="R203" s="274"/>
      <c r="S203" s="274"/>
      <c r="T203" s="274"/>
      <c r="U203" s="274"/>
      <c r="V203" s="274"/>
      <c r="W203" s="274"/>
      <c r="X203" s="486" t="str">
        <f ca="1">IF('CDO Bespoke'!O204&lt;&gt;"",'CDO Bespoke'!O204,"")</f>
        <v/>
      </c>
      <c r="Y203" s="487" t="str">
        <f ca="1">IF(X203&lt;&gt;"",ABS(MIN(-0.75*('CDO Bespoke'!Q204)+'CDO Bespoke'!T204,0)),"")</f>
        <v/>
      </c>
      <c r="Z203" s="487">
        <f t="shared" ca="1" si="16"/>
        <v>0</v>
      </c>
      <c r="AA203" s="487">
        <f t="shared" ca="1" si="17"/>
        <v>0</v>
      </c>
      <c r="AB203" s="486" t="str">
        <f ca="1">IF('CDO Bespoke'!O204&lt;&gt;"",'CDO Bespoke'!O204,"")</f>
        <v/>
      </c>
      <c r="AC203" s="487" t="str">
        <f ca="1">IF(AB203&lt;&gt;"",ABS(MIN(-0.75*('CDO Bespoke'!K204)+'CDO Bespoke'!T204,0)),"")</f>
        <v/>
      </c>
      <c r="AD203" s="487">
        <f t="shared" ca="1" si="18"/>
        <v>0</v>
      </c>
      <c r="AE203" s="491">
        <f t="shared" ca="1" si="19"/>
        <v>0</v>
      </c>
      <c r="AF203" s="273"/>
      <c r="AG203" s="496" t="str">
        <f ca="1">IF('CDO Bespoke'!C228&lt;&gt;"",'CDO Bespoke'!C228,"")</f>
        <v/>
      </c>
      <c r="AH203" s="498"/>
      <c r="AI203" s="587"/>
      <c r="AJ203" s="587"/>
      <c r="AK203" s="587"/>
      <c r="AL203" s="499"/>
      <c r="AM203" s="498"/>
      <c r="AN203" s="587"/>
      <c r="AO203" s="587"/>
      <c r="AP203" s="587"/>
      <c r="AQ203" s="499"/>
      <c r="AR203" s="582"/>
      <c r="AS203" s="582"/>
      <c r="AT203" s="582"/>
      <c r="AU203" s="582"/>
      <c r="AV203" s="582"/>
      <c r="AW203" s="582"/>
      <c r="AX203" s="581"/>
    </row>
    <row r="204" spans="2:50">
      <c r="B204" s="536" t="s">
        <v>559</v>
      </c>
      <c r="C204" s="537" t="s">
        <v>66</v>
      </c>
      <c r="D204" s="537" t="s">
        <v>59</v>
      </c>
      <c r="E204" s="537" t="s">
        <v>647</v>
      </c>
      <c r="F204" s="537" t="s">
        <v>673</v>
      </c>
      <c r="G204" s="538">
        <v>0.01</v>
      </c>
      <c r="H204" s="538">
        <v>3.6050000000000001E-3</v>
      </c>
      <c r="I204" s="539">
        <v>0.4</v>
      </c>
      <c r="J204" s="597">
        <v>5</v>
      </c>
      <c r="K204" s="540">
        <v>60</v>
      </c>
      <c r="L204" s="273"/>
      <c r="M204" s="273"/>
      <c r="P204" s="274"/>
      <c r="Q204" s="274"/>
      <c r="R204" s="274"/>
      <c r="S204" s="274"/>
      <c r="T204" s="274"/>
      <c r="U204" s="274"/>
      <c r="V204" s="274"/>
      <c r="W204" s="274"/>
      <c r="X204" s="486" t="str">
        <f ca="1">IF('CDO Bespoke'!O205&lt;&gt;"",'CDO Bespoke'!O205,"")</f>
        <v/>
      </c>
      <c r="Y204" s="487" t="str">
        <f ca="1">IF(X204&lt;&gt;"",ABS(MIN(-0.75*('CDO Bespoke'!Q205)+'CDO Bespoke'!T205,0)),"")</f>
        <v/>
      </c>
      <c r="Z204" s="487">
        <f t="shared" ca="1" si="16"/>
        <v>0</v>
      </c>
      <c r="AA204" s="487">
        <f t="shared" ca="1" si="17"/>
        <v>0</v>
      </c>
      <c r="AB204" s="486" t="str">
        <f ca="1">IF('CDO Bespoke'!O205&lt;&gt;"",'CDO Bespoke'!O205,"")</f>
        <v/>
      </c>
      <c r="AC204" s="487" t="str">
        <f ca="1">IF(AB204&lt;&gt;"",ABS(MIN(-0.75*('CDO Bespoke'!K205)+'CDO Bespoke'!T205,0)),"")</f>
        <v/>
      </c>
      <c r="AD204" s="487">
        <f t="shared" ca="1" si="18"/>
        <v>0</v>
      </c>
      <c r="AE204" s="491">
        <f t="shared" ca="1" si="19"/>
        <v>0</v>
      </c>
      <c r="AF204" s="273"/>
      <c r="AG204" s="496" t="str">
        <f ca="1">IF('CDO Bespoke'!C229&lt;&gt;"",'CDO Bespoke'!C229,"")</f>
        <v/>
      </c>
      <c r="AH204" s="498"/>
      <c r="AI204" s="587"/>
      <c r="AJ204" s="587"/>
      <c r="AK204" s="587"/>
      <c r="AL204" s="499"/>
      <c r="AM204" s="498"/>
      <c r="AN204" s="587"/>
      <c r="AO204" s="587"/>
      <c r="AP204" s="587"/>
      <c r="AQ204" s="499"/>
      <c r="AR204" s="582"/>
      <c r="AS204" s="582"/>
      <c r="AT204" s="582"/>
      <c r="AU204" s="582"/>
      <c r="AV204" s="582"/>
      <c r="AW204" s="582"/>
      <c r="AX204" s="581"/>
    </row>
    <row r="205" spans="2:50">
      <c r="B205" s="541" t="s">
        <v>565</v>
      </c>
      <c r="C205" s="542" t="s">
        <v>66</v>
      </c>
      <c r="D205" s="542" t="s">
        <v>55</v>
      </c>
      <c r="E205" s="542" t="s">
        <v>647</v>
      </c>
      <c r="F205" s="542" t="s">
        <v>652</v>
      </c>
      <c r="G205" s="543">
        <v>0.01</v>
      </c>
      <c r="H205" s="543">
        <v>2.9399999999999999E-3</v>
      </c>
      <c r="I205" s="544">
        <v>0.4</v>
      </c>
      <c r="J205" s="604">
        <v>4</v>
      </c>
      <c r="K205" s="545">
        <v>61</v>
      </c>
      <c r="L205" s="273"/>
      <c r="M205" s="273"/>
      <c r="P205" s="274"/>
      <c r="Q205" s="274"/>
      <c r="R205" s="274"/>
      <c r="S205" s="274"/>
      <c r="T205" s="274"/>
      <c r="U205" s="274"/>
      <c r="V205" s="274"/>
      <c r="W205" s="274"/>
      <c r="X205" s="486" t="str">
        <f ca="1">IF('CDO Bespoke'!O206&lt;&gt;"",'CDO Bespoke'!O206,"")</f>
        <v/>
      </c>
      <c r="Y205" s="487" t="str">
        <f ca="1">IF(X205&lt;&gt;"",ABS(MIN(-0.75*('CDO Bespoke'!Q206)+'CDO Bespoke'!T206,0)),"")</f>
        <v/>
      </c>
      <c r="Z205" s="487">
        <f t="shared" ca="1" si="16"/>
        <v>0</v>
      </c>
      <c r="AA205" s="487">
        <f t="shared" ca="1" si="17"/>
        <v>0</v>
      </c>
      <c r="AB205" s="486" t="str">
        <f ca="1">IF('CDO Bespoke'!O206&lt;&gt;"",'CDO Bespoke'!O206,"")</f>
        <v/>
      </c>
      <c r="AC205" s="487" t="str">
        <f ca="1">IF(AB205&lt;&gt;"",ABS(MIN(-0.75*('CDO Bespoke'!K206)+'CDO Bespoke'!T206,0)),"")</f>
        <v/>
      </c>
      <c r="AD205" s="487">
        <f t="shared" ca="1" si="18"/>
        <v>0</v>
      </c>
      <c r="AE205" s="491">
        <f t="shared" ca="1" si="19"/>
        <v>0</v>
      </c>
      <c r="AF205" s="273"/>
      <c r="AG205" s="496" t="str">
        <f ca="1">IF('CDO Bespoke'!C230&lt;&gt;"",'CDO Bespoke'!C230,"")</f>
        <v/>
      </c>
      <c r="AH205" s="498"/>
      <c r="AI205" s="587"/>
      <c r="AJ205" s="587"/>
      <c r="AK205" s="587"/>
      <c r="AL205" s="499"/>
      <c r="AM205" s="498"/>
      <c r="AN205" s="587"/>
      <c r="AO205" s="587"/>
      <c r="AP205" s="587"/>
      <c r="AQ205" s="499"/>
      <c r="AR205" s="582"/>
      <c r="AS205" s="582"/>
      <c r="AT205" s="582"/>
      <c r="AU205" s="582"/>
      <c r="AV205" s="582"/>
      <c r="AW205" s="582"/>
      <c r="AX205" s="581"/>
    </row>
    <row r="206" spans="2:50">
      <c r="B206" s="519" t="s">
        <v>565</v>
      </c>
      <c r="C206" s="520" t="s">
        <v>66</v>
      </c>
      <c r="D206" s="520" t="s">
        <v>57</v>
      </c>
      <c r="E206" s="520" t="s">
        <v>647</v>
      </c>
      <c r="F206" s="520" t="s">
        <v>652</v>
      </c>
      <c r="G206" s="527">
        <v>0.01</v>
      </c>
      <c r="H206" s="527">
        <v>5.1380000000000002E-3</v>
      </c>
      <c r="I206" s="529">
        <v>0.4</v>
      </c>
      <c r="J206" s="596">
        <v>4</v>
      </c>
      <c r="K206" s="521">
        <v>61</v>
      </c>
      <c r="L206" s="273"/>
      <c r="M206" s="273"/>
      <c r="P206" s="274"/>
      <c r="Q206" s="274"/>
      <c r="R206" s="274"/>
      <c r="S206" s="274"/>
      <c r="T206" s="274"/>
      <c r="U206" s="274"/>
      <c r="V206" s="274"/>
      <c r="W206" s="274"/>
      <c r="X206" s="486" t="str">
        <f ca="1">IF('CDO Bespoke'!O207&lt;&gt;"",'CDO Bespoke'!O207,"")</f>
        <v/>
      </c>
      <c r="Y206" s="487" t="str">
        <f ca="1">IF(X206&lt;&gt;"",ABS(MIN(-0.75*('CDO Bespoke'!Q207)+'CDO Bespoke'!T207,0)),"")</f>
        <v/>
      </c>
      <c r="Z206" s="487">
        <f t="shared" ref="Z206:Z269" ca="1" si="20">IF(X206&lt;&gt;"",IF($Y$8,MAX(X206-Y206,0),X206),0)</f>
        <v>0</v>
      </c>
      <c r="AA206" s="487">
        <f t="shared" ref="AA206:AA269" ca="1" si="21">IF(X206&lt;&gt;"",IF($Y$8,0,Y206),0)</f>
        <v>0</v>
      </c>
      <c r="AB206" s="486" t="str">
        <f ca="1">IF('CDO Bespoke'!O207&lt;&gt;"",'CDO Bespoke'!O207,"")</f>
        <v/>
      </c>
      <c r="AC206" s="487" t="str">
        <f ca="1">IF(AB206&lt;&gt;"",ABS(MIN(-0.75*('CDO Bespoke'!K207)+'CDO Bespoke'!T207,0)),"")</f>
        <v/>
      </c>
      <c r="AD206" s="487">
        <f t="shared" ref="AD206:AD269" ca="1" si="22">IF(AB206&lt;&gt;"",IF($Y$8,MAX(AB206-AC206,0),AB206),0)</f>
        <v>0</v>
      </c>
      <c r="AE206" s="491">
        <f t="shared" ref="AE206:AE269" ca="1" si="23">IF(AB206&lt;&gt;"",IF($Y$8,0,AC206),0)</f>
        <v>0</v>
      </c>
      <c r="AF206" s="273"/>
      <c r="AG206" s="496" t="str">
        <f ca="1">IF('CDO Bespoke'!C231&lt;&gt;"",'CDO Bespoke'!C231,"")</f>
        <v/>
      </c>
      <c r="AH206" s="498"/>
      <c r="AI206" s="587"/>
      <c r="AJ206" s="587"/>
      <c r="AK206" s="587"/>
      <c r="AL206" s="499"/>
      <c r="AM206" s="498"/>
      <c r="AN206" s="587"/>
      <c r="AO206" s="587"/>
      <c r="AP206" s="587"/>
      <c r="AQ206" s="499"/>
      <c r="AR206" s="582"/>
      <c r="AS206" s="582"/>
      <c r="AT206" s="582"/>
      <c r="AU206" s="582"/>
      <c r="AV206" s="582"/>
      <c r="AW206" s="582"/>
      <c r="AX206" s="581"/>
    </row>
    <row r="207" spans="2:50">
      <c r="B207" s="536" t="s">
        <v>565</v>
      </c>
      <c r="C207" s="537" t="s">
        <v>66</v>
      </c>
      <c r="D207" s="537" t="s">
        <v>59</v>
      </c>
      <c r="E207" s="537" t="s">
        <v>647</v>
      </c>
      <c r="F207" s="537" t="s">
        <v>652</v>
      </c>
      <c r="G207" s="538">
        <v>0.01</v>
      </c>
      <c r="H207" s="538">
        <v>7.4939999999999998E-3</v>
      </c>
      <c r="I207" s="539">
        <v>0.4</v>
      </c>
      <c r="J207" s="597">
        <v>4</v>
      </c>
      <c r="K207" s="540">
        <v>61</v>
      </c>
      <c r="L207" s="273"/>
      <c r="M207" s="273"/>
      <c r="P207" s="274"/>
      <c r="Q207" s="274"/>
      <c r="R207" s="274"/>
      <c r="S207" s="274"/>
      <c r="T207" s="274"/>
      <c r="U207" s="274"/>
      <c r="V207" s="274"/>
      <c r="W207" s="274"/>
      <c r="X207" s="486" t="str">
        <f ca="1">IF('CDO Bespoke'!O208&lt;&gt;"",'CDO Bespoke'!O208,"")</f>
        <v/>
      </c>
      <c r="Y207" s="487" t="str">
        <f ca="1">IF(X207&lt;&gt;"",ABS(MIN(-0.75*('CDO Bespoke'!Q208)+'CDO Bespoke'!T208,0)),"")</f>
        <v/>
      </c>
      <c r="Z207" s="487">
        <f t="shared" ca="1" si="20"/>
        <v>0</v>
      </c>
      <c r="AA207" s="487">
        <f t="shared" ca="1" si="21"/>
        <v>0</v>
      </c>
      <c r="AB207" s="486" t="str">
        <f ca="1">IF('CDO Bespoke'!O208&lt;&gt;"",'CDO Bespoke'!O208,"")</f>
        <v/>
      </c>
      <c r="AC207" s="487" t="str">
        <f ca="1">IF(AB207&lt;&gt;"",ABS(MIN(-0.75*('CDO Bespoke'!K208)+'CDO Bespoke'!T208,0)),"")</f>
        <v/>
      </c>
      <c r="AD207" s="487">
        <f t="shared" ca="1" si="22"/>
        <v>0</v>
      </c>
      <c r="AE207" s="491">
        <f t="shared" ca="1" si="23"/>
        <v>0</v>
      </c>
      <c r="AF207" s="273"/>
      <c r="AG207" s="496" t="str">
        <f ca="1">IF('CDO Bespoke'!C232&lt;&gt;"",'CDO Bespoke'!C232,"")</f>
        <v/>
      </c>
      <c r="AH207" s="498"/>
      <c r="AI207" s="587"/>
      <c r="AJ207" s="587"/>
      <c r="AK207" s="587"/>
      <c r="AL207" s="499"/>
      <c r="AM207" s="498"/>
      <c r="AN207" s="587"/>
      <c r="AO207" s="587"/>
      <c r="AP207" s="587"/>
      <c r="AQ207" s="499"/>
      <c r="AR207" s="582"/>
      <c r="AS207" s="582"/>
      <c r="AT207" s="582"/>
      <c r="AU207" s="582"/>
      <c r="AV207" s="582"/>
      <c r="AW207" s="582"/>
      <c r="AX207" s="581"/>
    </row>
    <row r="208" spans="2:50">
      <c r="B208" s="541" t="s">
        <v>566</v>
      </c>
      <c r="C208" s="542" t="s">
        <v>66</v>
      </c>
      <c r="D208" s="542" t="s">
        <v>55</v>
      </c>
      <c r="E208" s="542" t="s">
        <v>649</v>
      </c>
      <c r="F208" s="542" t="s">
        <v>653</v>
      </c>
      <c r="G208" s="543">
        <v>0.01</v>
      </c>
      <c r="H208" s="543">
        <v>3.604E-3</v>
      </c>
      <c r="I208" s="544">
        <v>0.4</v>
      </c>
      <c r="J208" s="604">
        <v>7</v>
      </c>
      <c r="K208" s="545">
        <v>62</v>
      </c>
      <c r="L208" s="273"/>
      <c r="M208" s="273"/>
      <c r="P208" s="274"/>
      <c r="Q208" s="274"/>
      <c r="R208" s="274"/>
      <c r="S208" s="274"/>
      <c r="T208" s="274"/>
      <c r="U208" s="274"/>
      <c r="V208" s="274"/>
      <c r="W208" s="274"/>
      <c r="X208" s="486" t="str">
        <f ca="1">IF('CDO Bespoke'!O209&lt;&gt;"",'CDO Bespoke'!O209,"")</f>
        <v/>
      </c>
      <c r="Y208" s="487" t="str">
        <f ca="1">IF(X208&lt;&gt;"",ABS(MIN(-0.75*('CDO Bespoke'!Q209)+'CDO Bespoke'!T209,0)),"")</f>
        <v/>
      </c>
      <c r="Z208" s="487">
        <f t="shared" ca="1" si="20"/>
        <v>0</v>
      </c>
      <c r="AA208" s="487">
        <f t="shared" ca="1" si="21"/>
        <v>0</v>
      </c>
      <c r="AB208" s="486" t="str">
        <f ca="1">IF('CDO Bespoke'!O209&lt;&gt;"",'CDO Bespoke'!O209,"")</f>
        <v/>
      </c>
      <c r="AC208" s="487" t="str">
        <f ca="1">IF(AB208&lt;&gt;"",ABS(MIN(-0.75*('CDO Bespoke'!K209)+'CDO Bespoke'!T209,0)),"")</f>
        <v/>
      </c>
      <c r="AD208" s="487">
        <f t="shared" ca="1" si="22"/>
        <v>0</v>
      </c>
      <c r="AE208" s="491">
        <f t="shared" ca="1" si="23"/>
        <v>0</v>
      </c>
      <c r="AF208" s="273"/>
      <c r="AG208" s="496" t="str">
        <f ca="1">IF('CDO Bespoke'!C233&lt;&gt;"",'CDO Bespoke'!C233,"")</f>
        <v/>
      </c>
      <c r="AH208" s="498"/>
      <c r="AI208" s="587"/>
      <c r="AJ208" s="587"/>
      <c r="AK208" s="587"/>
      <c r="AL208" s="499"/>
      <c r="AM208" s="498"/>
      <c r="AN208" s="587"/>
      <c r="AO208" s="587"/>
      <c r="AP208" s="587"/>
      <c r="AQ208" s="499"/>
      <c r="AR208" s="582"/>
      <c r="AS208" s="582"/>
      <c r="AT208" s="582"/>
      <c r="AU208" s="582"/>
      <c r="AV208" s="582"/>
      <c r="AW208" s="582"/>
      <c r="AX208" s="581"/>
    </row>
    <row r="209" spans="2:50">
      <c r="B209" s="519" t="s">
        <v>566</v>
      </c>
      <c r="C209" s="520" t="s">
        <v>66</v>
      </c>
      <c r="D209" s="520" t="s">
        <v>57</v>
      </c>
      <c r="E209" s="520" t="s">
        <v>649</v>
      </c>
      <c r="F209" s="520" t="s">
        <v>653</v>
      </c>
      <c r="G209" s="527">
        <v>0.01</v>
      </c>
      <c r="H209" s="527">
        <v>6.306E-3</v>
      </c>
      <c r="I209" s="529">
        <v>0.4</v>
      </c>
      <c r="J209" s="596">
        <v>7</v>
      </c>
      <c r="K209" s="521">
        <v>62</v>
      </c>
      <c r="L209" s="273"/>
      <c r="M209" s="273"/>
      <c r="P209" s="274"/>
      <c r="Q209" s="274"/>
      <c r="R209" s="274"/>
      <c r="S209" s="274"/>
      <c r="T209" s="274"/>
      <c r="U209" s="274"/>
      <c r="V209" s="274"/>
      <c r="W209" s="274"/>
      <c r="X209" s="486" t="str">
        <f ca="1">IF('CDO Bespoke'!O210&lt;&gt;"",'CDO Bespoke'!O210,"")</f>
        <v/>
      </c>
      <c r="Y209" s="487" t="str">
        <f ca="1">IF(X209&lt;&gt;"",ABS(MIN(-0.75*('CDO Bespoke'!Q210)+'CDO Bespoke'!T210,0)),"")</f>
        <v/>
      </c>
      <c r="Z209" s="487">
        <f t="shared" ca="1" si="20"/>
        <v>0</v>
      </c>
      <c r="AA209" s="487">
        <f t="shared" ca="1" si="21"/>
        <v>0</v>
      </c>
      <c r="AB209" s="486" t="str">
        <f ca="1">IF('CDO Bespoke'!O210&lt;&gt;"",'CDO Bespoke'!O210,"")</f>
        <v/>
      </c>
      <c r="AC209" s="487" t="str">
        <f ca="1">IF(AB209&lt;&gt;"",ABS(MIN(-0.75*('CDO Bespoke'!K210)+'CDO Bespoke'!T210,0)),"")</f>
        <v/>
      </c>
      <c r="AD209" s="487">
        <f t="shared" ca="1" si="22"/>
        <v>0</v>
      </c>
      <c r="AE209" s="491">
        <f t="shared" ca="1" si="23"/>
        <v>0</v>
      </c>
      <c r="AF209" s="273"/>
      <c r="AG209" s="496" t="str">
        <f ca="1">IF('CDO Bespoke'!C234&lt;&gt;"",'CDO Bespoke'!C234,"")</f>
        <v/>
      </c>
      <c r="AH209" s="498"/>
      <c r="AI209" s="587"/>
      <c r="AJ209" s="587"/>
      <c r="AK209" s="587"/>
      <c r="AL209" s="499"/>
      <c r="AM209" s="498"/>
      <c r="AN209" s="587"/>
      <c r="AO209" s="587"/>
      <c r="AP209" s="587"/>
      <c r="AQ209" s="499"/>
      <c r="AR209" s="582"/>
      <c r="AS209" s="582"/>
      <c r="AT209" s="582"/>
      <c r="AU209" s="582"/>
      <c r="AV209" s="582"/>
      <c r="AW209" s="582"/>
      <c r="AX209" s="581"/>
    </row>
    <row r="210" spans="2:50">
      <c r="B210" s="536" t="s">
        <v>566</v>
      </c>
      <c r="C210" s="537" t="s">
        <v>66</v>
      </c>
      <c r="D210" s="537" t="s">
        <v>59</v>
      </c>
      <c r="E210" s="537" t="s">
        <v>649</v>
      </c>
      <c r="F210" s="537" t="s">
        <v>653</v>
      </c>
      <c r="G210" s="538">
        <v>0.01</v>
      </c>
      <c r="H210" s="538">
        <v>9.0629999999999999E-3</v>
      </c>
      <c r="I210" s="539">
        <v>0.4</v>
      </c>
      <c r="J210" s="597">
        <v>7</v>
      </c>
      <c r="K210" s="540">
        <v>62</v>
      </c>
      <c r="L210" s="273"/>
      <c r="M210" s="273"/>
      <c r="P210" s="274"/>
      <c r="Q210" s="274"/>
      <c r="R210" s="274"/>
      <c r="S210" s="274"/>
      <c r="T210" s="274"/>
      <c r="U210" s="274"/>
      <c r="V210" s="274"/>
      <c r="W210" s="274"/>
      <c r="X210" s="486" t="str">
        <f ca="1">IF('CDO Bespoke'!O211&lt;&gt;"",'CDO Bespoke'!O211,"")</f>
        <v/>
      </c>
      <c r="Y210" s="487" t="str">
        <f ca="1">IF(X210&lt;&gt;"",ABS(MIN(-0.75*('CDO Bespoke'!Q211)+'CDO Bespoke'!T211,0)),"")</f>
        <v/>
      </c>
      <c r="Z210" s="487">
        <f t="shared" ca="1" si="20"/>
        <v>0</v>
      </c>
      <c r="AA210" s="487">
        <f t="shared" ca="1" si="21"/>
        <v>0</v>
      </c>
      <c r="AB210" s="486" t="str">
        <f ca="1">IF('CDO Bespoke'!O211&lt;&gt;"",'CDO Bespoke'!O211,"")</f>
        <v/>
      </c>
      <c r="AC210" s="487" t="str">
        <f ca="1">IF(AB210&lt;&gt;"",ABS(MIN(-0.75*('CDO Bespoke'!K211)+'CDO Bespoke'!T211,0)),"")</f>
        <v/>
      </c>
      <c r="AD210" s="487">
        <f t="shared" ca="1" si="22"/>
        <v>0</v>
      </c>
      <c r="AE210" s="491">
        <f t="shared" ca="1" si="23"/>
        <v>0</v>
      </c>
      <c r="AF210" s="273"/>
      <c r="AG210" s="496" t="str">
        <f ca="1">IF('CDO Bespoke'!C235&lt;&gt;"",'CDO Bespoke'!C235,"")</f>
        <v/>
      </c>
      <c r="AH210" s="498"/>
      <c r="AI210" s="587"/>
      <c r="AJ210" s="587"/>
      <c r="AK210" s="587"/>
      <c r="AL210" s="499"/>
      <c r="AM210" s="498"/>
      <c r="AN210" s="587"/>
      <c r="AO210" s="587"/>
      <c r="AP210" s="587"/>
      <c r="AQ210" s="499"/>
      <c r="AR210" s="582"/>
      <c r="AS210" s="582"/>
      <c r="AT210" s="582"/>
      <c r="AU210" s="582"/>
      <c r="AV210" s="582"/>
      <c r="AW210" s="582"/>
      <c r="AX210" s="581"/>
    </row>
    <row r="211" spans="2:50">
      <c r="B211" s="541" t="s">
        <v>576</v>
      </c>
      <c r="C211" s="542" t="s">
        <v>66</v>
      </c>
      <c r="D211" s="542" t="s">
        <v>55</v>
      </c>
      <c r="E211" s="542" t="s">
        <v>649</v>
      </c>
      <c r="F211" s="542" t="s">
        <v>653</v>
      </c>
      <c r="G211" s="543">
        <v>0.01</v>
      </c>
      <c r="H211" s="543">
        <v>2.4229999999999998E-3</v>
      </c>
      <c r="I211" s="544">
        <v>0.4</v>
      </c>
      <c r="J211" s="604">
        <v>7</v>
      </c>
      <c r="K211" s="545">
        <v>63</v>
      </c>
      <c r="L211" s="273"/>
      <c r="M211" s="273"/>
      <c r="P211" s="274"/>
      <c r="Q211" s="274"/>
      <c r="R211" s="274"/>
      <c r="S211" s="274"/>
      <c r="T211" s="274"/>
      <c r="U211" s="274"/>
      <c r="V211" s="274"/>
      <c r="W211" s="274"/>
      <c r="X211" s="486" t="str">
        <f ca="1">IF('CDO Bespoke'!O212&lt;&gt;"",'CDO Bespoke'!O212,"")</f>
        <v/>
      </c>
      <c r="Y211" s="487" t="str">
        <f ca="1">IF(X211&lt;&gt;"",ABS(MIN(-0.75*('CDO Bespoke'!Q212)+'CDO Bespoke'!T212,0)),"")</f>
        <v/>
      </c>
      <c r="Z211" s="487">
        <f t="shared" ca="1" si="20"/>
        <v>0</v>
      </c>
      <c r="AA211" s="487">
        <f t="shared" ca="1" si="21"/>
        <v>0</v>
      </c>
      <c r="AB211" s="486" t="str">
        <f ca="1">IF('CDO Bespoke'!O212&lt;&gt;"",'CDO Bespoke'!O212,"")</f>
        <v/>
      </c>
      <c r="AC211" s="487" t="str">
        <f ca="1">IF(AB211&lt;&gt;"",ABS(MIN(-0.75*('CDO Bespoke'!K212)+'CDO Bespoke'!T212,0)),"")</f>
        <v/>
      </c>
      <c r="AD211" s="487">
        <f t="shared" ca="1" si="22"/>
        <v>0</v>
      </c>
      <c r="AE211" s="491">
        <f t="shared" ca="1" si="23"/>
        <v>0</v>
      </c>
      <c r="AF211" s="273"/>
      <c r="AG211" s="496" t="str">
        <f ca="1">IF('CDO Bespoke'!C236&lt;&gt;"",'CDO Bespoke'!C236,"")</f>
        <v/>
      </c>
      <c r="AH211" s="498"/>
      <c r="AI211" s="587"/>
      <c r="AJ211" s="587"/>
      <c r="AK211" s="587"/>
      <c r="AL211" s="499"/>
      <c r="AM211" s="498"/>
      <c r="AN211" s="587"/>
      <c r="AO211" s="587"/>
      <c r="AP211" s="587"/>
      <c r="AQ211" s="499"/>
      <c r="AR211" s="582"/>
      <c r="AS211" s="582"/>
      <c r="AT211" s="582"/>
      <c r="AU211" s="582"/>
      <c r="AV211" s="582"/>
      <c r="AW211" s="582"/>
      <c r="AX211" s="581"/>
    </row>
    <row r="212" spans="2:50">
      <c r="B212" s="519" t="s">
        <v>576</v>
      </c>
      <c r="C212" s="520" t="s">
        <v>66</v>
      </c>
      <c r="D212" s="520" t="s">
        <v>57</v>
      </c>
      <c r="E212" s="520" t="s">
        <v>649</v>
      </c>
      <c r="F212" s="520" t="s">
        <v>653</v>
      </c>
      <c r="G212" s="527">
        <v>0.01</v>
      </c>
      <c r="H212" s="527">
        <v>3.9830000000000004E-3</v>
      </c>
      <c r="I212" s="529">
        <v>0.4</v>
      </c>
      <c r="J212" s="596">
        <v>7</v>
      </c>
      <c r="K212" s="521">
        <v>63</v>
      </c>
      <c r="L212" s="273"/>
      <c r="M212" s="273"/>
      <c r="P212" s="274"/>
      <c r="Q212" s="274"/>
      <c r="R212" s="274"/>
      <c r="S212" s="274"/>
      <c r="T212" s="274"/>
      <c r="U212" s="274"/>
      <c r="V212" s="274"/>
      <c r="W212" s="274"/>
      <c r="X212" s="486" t="str">
        <f ca="1">IF('CDO Bespoke'!O213&lt;&gt;"",'CDO Bespoke'!O213,"")</f>
        <v/>
      </c>
      <c r="Y212" s="487" t="str">
        <f ca="1">IF(X212&lt;&gt;"",ABS(MIN(-0.75*('CDO Bespoke'!Q213)+'CDO Bespoke'!T213,0)),"")</f>
        <v/>
      </c>
      <c r="Z212" s="487">
        <f t="shared" ca="1" si="20"/>
        <v>0</v>
      </c>
      <c r="AA212" s="487">
        <f t="shared" ca="1" si="21"/>
        <v>0</v>
      </c>
      <c r="AB212" s="486" t="str">
        <f ca="1">IF('CDO Bespoke'!O213&lt;&gt;"",'CDO Bespoke'!O213,"")</f>
        <v/>
      </c>
      <c r="AC212" s="487" t="str">
        <f ca="1">IF(AB212&lt;&gt;"",ABS(MIN(-0.75*('CDO Bespoke'!K213)+'CDO Bespoke'!T213,0)),"")</f>
        <v/>
      </c>
      <c r="AD212" s="487">
        <f t="shared" ca="1" si="22"/>
        <v>0</v>
      </c>
      <c r="AE212" s="491">
        <f t="shared" ca="1" si="23"/>
        <v>0</v>
      </c>
      <c r="AF212" s="273"/>
      <c r="AG212" s="496" t="str">
        <f ca="1">IF('CDO Bespoke'!C237&lt;&gt;"",'CDO Bespoke'!C237,"")</f>
        <v/>
      </c>
      <c r="AH212" s="498"/>
      <c r="AI212" s="587"/>
      <c r="AJ212" s="587"/>
      <c r="AK212" s="587"/>
      <c r="AL212" s="499"/>
      <c r="AM212" s="498"/>
      <c r="AN212" s="587"/>
      <c r="AO212" s="587"/>
      <c r="AP212" s="587"/>
      <c r="AQ212" s="499"/>
      <c r="AR212" s="582"/>
      <c r="AS212" s="582"/>
      <c r="AT212" s="582"/>
      <c r="AU212" s="582"/>
      <c r="AV212" s="582"/>
      <c r="AW212" s="582"/>
      <c r="AX212" s="581"/>
    </row>
    <row r="213" spans="2:50">
      <c r="B213" s="536" t="s">
        <v>576</v>
      </c>
      <c r="C213" s="537" t="s">
        <v>66</v>
      </c>
      <c r="D213" s="537" t="s">
        <v>59</v>
      </c>
      <c r="E213" s="537" t="s">
        <v>649</v>
      </c>
      <c r="F213" s="537" t="s">
        <v>653</v>
      </c>
      <c r="G213" s="538">
        <v>0.01</v>
      </c>
      <c r="H213" s="538">
        <v>6.0039999999999998E-3</v>
      </c>
      <c r="I213" s="539">
        <v>0.4</v>
      </c>
      <c r="J213" s="597">
        <v>7</v>
      </c>
      <c r="K213" s="540">
        <v>63</v>
      </c>
      <c r="L213" s="273"/>
      <c r="M213" s="273"/>
      <c r="P213" s="274"/>
      <c r="Q213" s="274"/>
      <c r="R213" s="274"/>
      <c r="S213" s="274"/>
      <c r="T213" s="274"/>
      <c r="U213" s="274"/>
      <c r="V213" s="274"/>
      <c r="W213" s="274"/>
      <c r="X213" s="486" t="str">
        <f ca="1">IF('CDO Bespoke'!O214&lt;&gt;"",'CDO Bespoke'!O214,"")</f>
        <v/>
      </c>
      <c r="Y213" s="487" t="str">
        <f ca="1">IF(X213&lt;&gt;"",ABS(MIN(-0.75*('CDO Bespoke'!Q214)+'CDO Bespoke'!T214,0)),"")</f>
        <v/>
      </c>
      <c r="Z213" s="487">
        <f t="shared" ca="1" si="20"/>
        <v>0</v>
      </c>
      <c r="AA213" s="487">
        <f t="shared" ca="1" si="21"/>
        <v>0</v>
      </c>
      <c r="AB213" s="486" t="str">
        <f ca="1">IF('CDO Bespoke'!O214&lt;&gt;"",'CDO Bespoke'!O214,"")</f>
        <v/>
      </c>
      <c r="AC213" s="487" t="str">
        <f ca="1">IF(AB213&lt;&gt;"",ABS(MIN(-0.75*('CDO Bespoke'!K214)+'CDO Bespoke'!T214,0)),"")</f>
        <v/>
      </c>
      <c r="AD213" s="487">
        <f t="shared" ca="1" si="22"/>
        <v>0</v>
      </c>
      <c r="AE213" s="491">
        <f t="shared" ca="1" si="23"/>
        <v>0</v>
      </c>
      <c r="AF213" s="273"/>
      <c r="AG213" s="496" t="str">
        <f ca="1">IF('CDO Bespoke'!C238&lt;&gt;"",'CDO Bespoke'!C238,"")</f>
        <v/>
      </c>
      <c r="AH213" s="498"/>
      <c r="AI213" s="587"/>
      <c r="AJ213" s="587"/>
      <c r="AK213" s="587"/>
      <c r="AL213" s="499"/>
      <c r="AM213" s="498"/>
      <c r="AN213" s="587"/>
      <c r="AO213" s="587"/>
      <c r="AP213" s="587"/>
      <c r="AQ213" s="499"/>
      <c r="AR213" s="582"/>
      <c r="AS213" s="582"/>
      <c r="AT213" s="582"/>
      <c r="AU213" s="582"/>
      <c r="AV213" s="582"/>
      <c r="AW213" s="582"/>
      <c r="AX213" s="581"/>
    </row>
    <row r="214" spans="2:50">
      <c r="B214" s="541" t="s">
        <v>616</v>
      </c>
      <c r="C214" s="542" t="s">
        <v>66</v>
      </c>
      <c r="D214" s="542" t="s">
        <v>55</v>
      </c>
      <c r="E214" s="542" t="s">
        <v>649</v>
      </c>
      <c r="F214" s="542" t="s">
        <v>653</v>
      </c>
      <c r="G214" s="543">
        <v>0.01</v>
      </c>
      <c r="H214" s="543">
        <v>4.1190000000000003E-3</v>
      </c>
      <c r="I214" s="544">
        <v>0.4</v>
      </c>
      <c r="J214" s="604">
        <v>7</v>
      </c>
      <c r="K214" s="545">
        <v>64</v>
      </c>
      <c r="L214" s="273"/>
      <c r="M214" s="273"/>
      <c r="P214" s="274"/>
      <c r="Q214" s="274"/>
      <c r="R214" s="274"/>
      <c r="S214" s="274"/>
      <c r="T214" s="274"/>
      <c r="U214" s="274"/>
      <c r="V214" s="274"/>
      <c r="W214" s="274"/>
      <c r="X214" s="486" t="str">
        <f ca="1">IF('CDO Bespoke'!O215&lt;&gt;"",'CDO Bespoke'!O215,"")</f>
        <v/>
      </c>
      <c r="Y214" s="487" t="str">
        <f ca="1">IF(X214&lt;&gt;"",ABS(MIN(-0.75*('CDO Bespoke'!Q215)+'CDO Bespoke'!T215,0)),"")</f>
        <v/>
      </c>
      <c r="Z214" s="487">
        <f t="shared" ca="1" si="20"/>
        <v>0</v>
      </c>
      <c r="AA214" s="487">
        <f t="shared" ca="1" si="21"/>
        <v>0</v>
      </c>
      <c r="AB214" s="486" t="str">
        <f ca="1">IF('CDO Bespoke'!O215&lt;&gt;"",'CDO Bespoke'!O215,"")</f>
        <v/>
      </c>
      <c r="AC214" s="487" t="str">
        <f ca="1">IF(AB214&lt;&gt;"",ABS(MIN(-0.75*('CDO Bespoke'!K215)+'CDO Bespoke'!T215,0)),"")</f>
        <v/>
      </c>
      <c r="AD214" s="487">
        <f t="shared" ca="1" si="22"/>
        <v>0</v>
      </c>
      <c r="AE214" s="491">
        <f t="shared" ca="1" si="23"/>
        <v>0</v>
      </c>
      <c r="AF214" s="273"/>
      <c r="AG214" s="496" t="str">
        <f ca="1">IF('CDO Bespoke'!C239&lt;&gt;"",'CDO Bespoke'!C239,"")</f>
        <v/>
      </c>
      <c r="AH214" s="498"/>
      <c r="AI214" s="587"/>
      <c r="AJ214" s="587"/>
      <c r="AK214" s="587"/>
      <c r="AL214" s="499"/>
      <c r="AM214" s="498"/>
      <c r="AN214" s="587"/>
      <c r="AO214" s="587"/>
      <c r="AP214" s="587"/>
      <c r="AQ214" s="499"/>
      <c r="AR214" s="582"/>
      <c r="AS214" s="582"/>
      <c r="AT214" s="582"/>
      <c r="AU214" s="582"/>
      <c r="AV214" s="582"/>
      <c r="AW214" s="582"/>
      <c r="AX214" s="581"/>
    </row>
    <row r="215" spans="2:50">
      <c r="B215" s="519" t="s">
        <v>616</v>
      </c>
      <c r="C215" s="520" t="s">
        <v>66</v>
      </c>
      <c r="D215" s="520" t="s">
        <v>57</v>
      </c>
      <c r="E215" s="520" t="s">
        <v>649</v>
      </c>
      <c r="F215" s="520" t="s">
        <v>653</v>
      </c>
      <c r="G215" s="527">
        <v>0.01</v>
      </c>
      <c r="H215" s="527">
        <v>6.1469999999999997E-3</v>
      </c>
      <c r="I215" s="529">
        <v>0.4</v>
      </c>
      <c r="J215" s="596">
        <v>7</v>
      </c>
      <c r="K215" s="521">
        <v>64</v>
      </c>
      <c r="L215" s="273"/>
      <c r="M215" s="273"/>
      <c r="P215" s="274"/>
      <c r="Q215" s="274"/>
      <c r="R215" s="274"/>
      <c r="S215" s="274"/>
      <c r="T215" s="274"/>
      <c r="U215" s="274"/>
      <c r="V215" s="274"/>
      <c r="W215" s="274"/>
      <c r="X215" s="486" t="str">
        <f ca="1">IF('CDO Bespoke'!O216&lt;&gt;"",'CDO Bespoke'!O216,"")</f>
        <v/>
      </c>
      <c r="Y215" s="487" t="str">
        <f ca="1">IF(X215&lt;&gt;"",ABS(MIN(-0.75*('CDO Bespoke'!Q216)+'CDO Bespoke'!T216,0)),"")</f>
        <v/>
      </c>
      <c r="Z215" s="487">
        <f t="shared" ca="1" si="20"/>
        <v>0</v>
      </c>
      <c r="AA215" s="487">
        <f t="shared" ca="1" si="21"/>
        <v>0</v>
      </c>
      <c r="AB215" s="486" t="str">
        <f ca="1">IF('CDO Bespoke'!O216&lt;&gt;"",'CDO Bespoke'!O216,"")</f>
        <v/>
      </c>
      <c r="AC215" s="487" t="str">
        <f ca="1">IF(AB215&lt;&gt;"",ABS(MIN(-0.75*('CDO Bespoke'!K216)+'CDO Bespoke'!T216,0)),"")</f>
        <v/>
      </c>
      <c r="AD215" s="487">
        <f t="shared" ca="1" si="22"/>
        <v>0</v>
      </c>
      <c r="AE215" s="491">
        <f t="shared" ca="1" si="23"/>
        <v>0</v>
      </c>
      <c r="AF215" s="273"/>
      <c r="AG215" s="496" t="str">
        <f ca="1">IF('CDO Bespoke'!C240&lt;&gt;"",'CDO Bespoke'!C240,"")</f>
        <v/>
      </c>
      <c r="AH215" s="498"/>
      <c r="AI215" s="587"/>
      <c r="AJ215" s="587"/>
      <c r="AK215" s="587"/>
      <c r="AL215" s="499"/>
      <c r="AM215" s="498"/>
      <c r="AN215" s="587"/>
      <c r="AO215" s="587"/>
      <c r="AP215" s="587"/>
      <c r="AQ215" s="499"/>
      <c r="AR215" s="582"/>
      <c r="AS215" s="582"/>
      <c r="AT215" s="582"/>
      <c r="AU215" s="582"/>
      <c r="AV215" s="582"/>
      <c r="AW215" s="582"/>
      <c r="AX215" s="581"/>
    </row>
    <row r="216" spans="2:50">
      <c r="B216" s="536" t="s">
        <v>616</v>
      </c>
      <c r="C216" s="537" t="s">
        <v>66</v>
      </c>
      <c r="D216" s="537" t="s">
        <v>59</v>
      </c>
      <c r="E216" s="537" t="s">
        <v>649</v>
      </c>
      <c r="F216" s="537" t="s">
        <v>653</v>
      </c>
      <c r="G216" s="538">
        <v>0.01</v>
      </c>
      <c r="H216" s="538">
        <v>8.4799999999999997E-3</v>
      </c>
      <c r="I216" s="539">
        <v>0.4</v>
      </c>
      <c r="J216" s="597">
        <v>7</v>
      </c>
      <c r="K216" s="540">
        <v>64</v>
      </c>
      <c r="L216" s="273"/>
      <c r="M216" s="273"/>
      <c r="P216" s="274"/>
      <c r="Q216" s="274"/>
      <c r="R216" s="274"/>
      <c r="S216" s="274"/>
      <c r="T216" s="274"/>
      <c r="U216" s="274"/>
      <c r="V216" s="274"/>
      <c r="W216" s="274"/>
      <c r="X216" s="486" t="str">
        <f ca="1">IF('CDO Bespoke'!O217&lt;&gt;"",'CDO Bespoke'!O217,"")</f>
        <v/>
      </c>
      <c r="Y216" s="487" t="str">
        <f ca="1">IF(X216&lt;&gt;"",ABS(MIN(-0.75*('CDO Bespoke'!Q217)+'CDO Bespoke'!T217,0)),"")</f>
        <v/>
      </c>
      <c r="Z216" s="487">
        <f t="shared" ca="1" si="20"/>
        <v>0</v>
      </c>
      <c r="AA216" s="487">
        <f t="shared" ca="1" si="21"/>
        <v>0</v>
      </c>
      <c r="AB216" s="486" t="str">
        <f ca="1">IF('CDO Bespoke'!O217&lt;&gt;"",'CDO Bespoke'!O217,"")</f>
        <v/>
      </c>
      <c r="AC216" s="487" t="str">
        <f ca="1">IF(AB216&lt;&gt;"",ABS(MIN(-0.75*('CDO Bespoke'!K217)+'CDO Bespoke'!T217,0)),"")</f>
        <v/>
      </c>
      <c r="AD216" s="487">
        <f t="shared" ca="1" si="22"/>
        <v>0</v>
      </c>
      <c r="AE216" s="491">
        <f t="shared" ca="1" si="23"/>
        <v>0</v>
      </c>
      <c r="AF216" s="273"/>
      <c r="AG216" s="496" t="str">
        <f ca="1">IF('CDO Bespoke'!C241&lt;&gt;"",'CDO Bespoke'!C241,"")</f>
        <v/>
      </c>
      <c r="AH216" s="498"/>
      <c r="AI216" s="587"/>
      <c r="AJ216" s="587"/>
      <c r="AK216" s="587"/>
      <c r="AL216" s="499"/>
      <c r="AM216" s="498"/>
      <c r="AN216" s="587"/>
      <c r="AO216" s="587"/>
      <c r="AP216" s="587"/>
      <c r="AQ216" s="499"/>
      <c r="AR216" s="582"/>
      <c r="AS216" s="582"/>
      <c r="AT216" s="582"/>
      <c r="AU216" s="582"/>
      <c r="AV216" s="582"/>
      <c r="AW216" s="582"/>
      <c r="AX216" s="581"/>
    </row>
    <row r="217" spans="2:50">
      <c r="B217" s="541" t="s">
        <v>567</v>
      </c>
      <c r="C217" s="542" t="s">
        <v>66</v>
      </c>
      <c r="D217" s="542" t="s">
        <v>55</v>
      </c>
      <c r="E217" s="542" t="s">
        <v>649</v>
      </c>
      <c r="F217" s="542" t="s">
        <v>653</v>
      </c>
      <c r="G217" s="543">
        <v>0.01</v>
      </c>
      <c r="H217" s="543">
        <v>4.1130000000000003E-3</v>
      </c>
      <c r="I217" s="544">
        <v>0.4</v>
      </c>
      <c r="J217" s="604">
        <v>7</v>
      </c>
      <c r="K217" s="545">
        <v>65</v>
      </c>
      <c r="L217" s="273"/>
      <c r="M217" s="273"/>
      <c r="P217" s="274"/>
      <c r="Q217" s="274"/>
      <c r="R217" s="274"/>
      <c r="S217" s="274"/>
      <c r="T217" s="274"/>
      <c r="U217" s="274"/>
      <c r="V217" s="274"/>
      <c r="W217" s="274"/>
      <c r="X217" s="486" t="str">
        <f ca="1">IF('CDO Bespoke'!O218&lt;&gt;"",'CDO Bespoke'!O218,"")</f>
        <v/>
      </c>
      <c r="Y217" s="487" t="str">
        <f ca="1">IF(X217&lt;&gt;"",ABS(MIN(-0.75*('CDO Bespoke'!Q218)+'CDO Bespoke'!T218,0)),"")</f>
        <v/>
      </c>
      <c r="Z217" s="487">
        <f t="shared" ca="1" si="20"/>
        <v>0</v>
      </c>
      <c r="AA217" s="487">
        <f t="shared" ca="1" si="21"/>
        <v>0</v>
      </c>
      <c r="AB217" s="486" t="str">
        <f ca="1">IF('CDO Bespoke'!O218&lt;&gt;"",'CDO Bespoke'!O218,"")</f>
        <v/>
      </c>
      <c r="AC217" s="487" t="str">
        <f ca="1">IF(AB217&lt;&gt;"",ABS(MIN(-0.75*('CDO Bespoke'!K218)+'CDO Bespoke'!T218,0)),"")</f>
        <v/>
      </c>
      <c r="AD217" s="487">
        <f t="shared" ca="1" si="22"/>
        <v>0</v>
      </c>
      <c r="AE217" s="491">
        <f t="shared" ca="1" si="23"/>
        <v>0</v>
      </c>
      <c r="AF217" s="273"/>
      <c r="AG217" s="496" t="str">
        <f ca="1">IF('CDO Bespoke'!C242&lt;&gt;"",'CDO Bespoke'!C242,"")</f>
        <v/>
      </c>
      <c r="AH217" s="498"/>
      <c r="AI217" s="587"/>
      <c r="AJ217" s="587"/>
      <c r="AK217" s="587"/>
      <c r="AL217" s="499"/>
      <c r="AM217" s="498"/>
      <c r="AN217" s="587"/>
      <c r="AO217" s="587"/>
      <c r="AP217" s="587"/>
      <c r="AQ217" s="499"/>
      <c r="AR217" s="582"/>
      <c r="AS217" s="582"/>
      <c r="AT217" s="582"/>
      <c r="AU217" s="582"/>
      <c r="AV217" s="582"/>
      <c r="AW217" s="582"/>
      <c r="AX217" s="581"/>
    </row>
    <row r="218" spans="2:50">
      <c r="B218" s="519" t="s">
        <v>567</v>
      </c>
      <c r="C218" s="520" t="s">
        <v>66</v>
      </c>
      <c r="D218" s="520" t="s">
        <v>57</v>
      </c>
      <c r="E218" s="520" t="s">
        <v>649</v>
      </c>
      <c r="F218" s="520" t="s">
        <v>653</v>
      </c>
      <c r="G218" s="527">
        <v>0.01</v>
      </c>
      <c r="H218" s="527">
        <v>6.5919999999999998E-3</v>
      </c>
      <c r="I218" s="529">
        <v>0.4</v>
      </c>
      <c r="J218" s="596">
        <v>7</v>
      </c>
      <c r="K218" s="521">
        <v>65</v>
      </c>
      <c r="L218" s="273"/>
      <c r="M218" s="273"/>
      <c r="P218" s="274"/>
      <c r="Q218" s="274"/>
      <c r="R218" s="274"/>
      <c r="S218" s="274"/>
      <c r="T218" s="274"/>
      <c r="U218" s="274"/>
      <c r="V218" s="274"/>
      <c r="W218" s="274"/>
      <c r="X218" s="486" t="str">
        <f ca="1">IF('CDO Bespoke'!O219&lt;&gt;"",'CDO Bespoke'!O219,"")</f>
        <v/>
      </c>
      <c r="Y218" s="487" t="str">
        <f ca="1">IF(X218&lt;&gt;"",ABS(MIN(-0.75*('CDO Bespoke'!Q219)+'CDO Bespoke'!T219,0)),"")</f>
        <v/>
      </c>
      <c r="Z218" s="487">
        <f t="shared" ca="1" si="20"/>
        <v>0</v>
      </c>
      <c r="AA218" s="487">
        <f t="shared" ca="1" si="21"/>
        <v>0</v>
      </c>
      <c r="AB218" s="486" t="str">
        <f ca="1">IF('CDO Bespoke'!O219&lt;&gt;"",'CDO Bespoke'!O219,"")</f>
        <v/>
      </c>
      <c r="AC218" s="487" t="str">
        <f ca="1">IF(AB218&lt;&gt;"",ABS(MIN(-0.75*('CDO Bespoke'!K219)+'CDO Bespoke'!T219,0)),"")</f>
        <v/>
      </c>
      <c r="AD218" s="487">
        <f t="shared" ca="1" si="22"/>
        <v>0</v>
      </c>
      <c r="AE218" s="491">
        <f t="shared" ca="1" si="23"/>
        <v>0</v>
      </c>
      <c r="AF218" s="273"/>
      <c r="AG218" s="496" t="str">
        <f ca="1">IF('CDO Bespoke'!C243&lt;&gt;"",'CDO Bespoke'!C243,"")</f>
        <v/>
      </c>
      <c r="AH218" s="498"/>
      <c r="AI218" s="587"/>
      <c r="AJ218" s="587"/>
      <c r="AK218" s="587"/>
      <c r="AL218" s="499"/>
      <c r="AM218" s="498"/>
      <c r="AN218" s="587"/>
      <c r="AO218" s="587"/>
      <c r="AP218" s="587"/>
      <c r="AQ218" s="499"/>
      <c r="AR218" s="582"/>
      <c r="AS218" s="582"/>
      <c r="AT218" s="582"/>
      <c r="AU218" s="582"/>
      <c r="AV218" s="582"/>
      <c r="AW218" s="582"/>
      <c r="AX218" s="581"/>
    </row>
    <row r="219" spans="2:50">
      <c r="B219" s="536" t="s">
        <v>567</v>
      </c>
      <c r="C219" s="537" t="s">
        <v>66</v>
      </c>
      <c r="D219" s="537" t="s">
        <v>59</v>
      </c>
      <c r="E219" s="537" t="s">
        <v>649</v>
      </c>
      <c r="F219" s="537" t="s">
        <v>653</v>
      </c>
      <c r="G219" s="538">
        <v>0.01</v>
      </c>
      <c r="H219" s="538">
        <v>9.4090000000000007E-3</v>
      </c>
      <c r="I219" s="539">
        <v>0.4</v>
      </c>
      <c r="J219" s="597">
        <v>7</v>
      </c>
      <c r="K219" s="540">
        <v>65</v>
      </c>
      <c r="L219" s="273"/>
      <c r="M219" s="273"/>
      <c r="P219" s="274"/>
      <c r="Q219" s="274"/>
      <c r="R219" s="274"/>
      <c r="S219" s="274"/>
      <c r="T219" s="274"/>
      <c r="U219" s="274"/>
      <c r="V219" s="274"/>
      <c r="W219" s="274"/>
      <c r="X219" s="486" t="str">
        <f ca="1">IF('CDO Bespoke'!O220&lt;&gt;"",'CDO Bespoke'!O220,"")</f>
        <v/>
      </c>
      <c r="Y219" s="487" t="str">
        <f ca="1">IF(X219&lt;&gt;"",ABS(MIN(-0.75*('CDO Bespoke'!Q220)+'CDO Bespoke'!T220,0)),"")</f>
        <v/>
      </c>
      <c r="Z219" s="487">
        <f t="shared" ca="1" si="20"/>
        <v>0</v>
      </c>
      <c r="AA219" s="487">
        <f t="shared" ca="1" si="21"/>
        <v>0</v>
      </c>
      <c r="AB219" s="486" t="str">
        <f ca="1">IF('CDO Bespoke'!O220&lt;&gt;"",'CDO Bespoke'!O220,"")</f>
        <v/>
      </c>
      <c r="AC219" s="487" t="str">
        <f ca="1">IF(AB219&lt;&gt;"",ABS(MIN(-0.75*('CDO Bespoke'!K220)+'CDO Bespoke'!T220,0)),"")</f>
        <v/>
      </c>
      <c r="AD219" s="487">
        <f t="shared" ca="1" si="22"/>
        <v>0</v>
      </c>
      <c r="AE219" s="491">
        <f t="shared" ca="1" si="23"/>
        <v>0</v>
      </c>
      <c r="AF219" s="273"/>
      <c r="AG219" s="496" t="str">
        <f ca="1">IF('CDO Bespoke'!C244&lt;&gt;"",'CDO Bespoke'!C244,"")</f>
        <v/>
      </c>
      <c r="AH219" s="498"/>
      <c r="AI219" s="587"/>
      <c r="AJ219" s="587"/>
      <c r="AK219" s="587"/>
      <c r="AL219" s="499"/>
      <c r="AM219" s="498"/>
      <c r="AN219" s="587"/>
      <c r="AO219" s="587"/>
      <c r="AP219" s="587"/>
      <c r="AQ219" s="499"/>
      <c r="AR219" s="582"/>
      <c r="AS219" s="582"/>
      <c r="AT219" s="582"/>
      <c r="AU219" s="582"/>
      <c r="AV219" s="582"/>
      <c r="AW219" s="582"/>
      <c r="AX219" s="581"/>
    </row>
    <row r="220" spans="2:50">
      <c r="B220" s="541" t="s">
        <v>577</v>
      </c>
      <c r="C220" s="542" t="s">
        <v>66</v>
      </c>
      <c r="D220" s="542" t="s">
        <v>55</v>
      </c>
      <c r="E220" s="542" t="s">
        <v>649</v>
      </c>
      <c r="F220" s="542" t="s">
        <v>653</v>
      </c>
      <c r="G220" s="543">
        <v>0.01</v>
      </c>
      <c r="H220" s="543">
        <v>3.3249999999999998E-3</v>
      </c>
      <c r="I220" s="544">
        <v>0.4</v>
      </c>
      <c r="J220" s="604">
        <v>7</v>
      </c>
      <c r="K220" s="545">
        <v>66</v>
      </c>
      <c r="L220" s="273"/>
      <c r="M220" s="273"/>
      <c r="P220" s="274"/>
      <c r="Q220" s="274"/>
      <c r="R220" s="274"/>
      <c r="S220" s="274"/>
      <c r="T220" s="274"/>
      <c r="U220" s="274"/>
      <c r="V220" s="274"/>
      <c r="W220" s="274"/>
      <c r="X220" s="486" t="str">
        <f ca="1">IF('CDO Bespoke'!O221&lt;&gt;"",'CDO Bespoke'!O221,"")</f>
        <v/>
      </c>
      <c r="Y220" s="487" t="str">
        <f ca="1">IF(X220&lt;&gt;"",ABS(MIN(-0.75*('CDO Bespoke'!Q221)+'CDO Bespoke'!T221,0)),"")</f>
        <v/>
      </c>
      <c r="Z220" s="487">
        <f t="shared" ca="1" si="20"/>
        <v>0</v>
      </c>
      <c r="AA220" s="487">
        <f t="shared" ca="1" si="21"/>
        <v>0</v>
      </c>
      <c r="AB220" s="486" t="str">
        <f ca="1">IF('CDO Bespoke'!O221&lt;&gt;"",'CDO Bespoke'!O221,"")</f>
        <v/>
      </c>
      <c r="AC220" s="487" t="str">
        <f ca="1">IF(AB220&lt;&gt;"",ABS(MIN(-0.75*('CDO Bespoke'!K221)+'CDO Bespoke'!T221,0)),"")</f>
        <v/>
      </c>
      <c r="AD220" s="487">
        <f t="shared" ca="1" si="22"/>
        <v>0</v>
      </c>
      <c r="AE220" s="491">
        <f t="shared" ca="1" si="23"/>
        <v>0</v>
      </c>
      <c r="AF220" s="273"/>
      <c r="AG220" s="496" t="str">
        <f ca="1">IF('CDO Bespoke'!C245&lt;&gt;"",'CDO Bespoke'!C245,"")</f>
        <v/>
      </c>
      <c r="AH220" s="498"/>
      <c r="AI220" s="587"/>
      <c r="AJ220" s="587"/>
      <c r="AK220" s="587"/>
      <c r="AL220" s="499"/>
      <c r="AM220" s="498"/>
      <c r="AN220" s="587"/>
      <c r="AO220" s="587"/>
      <c r="AP220" s="587"/>
      <c r="AQ220" s="499"/>
      <c r="AR220" s="582"/>
      <c r="AS220" s="582"/>
      <c r="AT220" s="582"/>
      <c r="AU220" s="582"/>
      <c r="AV220" s="582"/>
      <c r="AW220" s="582"/>
      <c r="AX220" s="581"/>
    </row>
    <row r="221" spans="2:50">
      <c r="B221" s="519" t="s">
        <v>577</v>
      </c>
      <c r="C221" s="520" t="s">
        <v>66</v>
      </c>
      <c r="D221" s="520" t="s">
        <v>57</v>
      </c>
      <c r="E221" s="520" t="s">
        <v>649</v>
      </c>
      <c r="F221" s="520" t="s">
        <v>653</v>
      </c>
      <c r="G221" s="527">
        <v>0.01</v>
      </c>
      <c r="H221" s="527">
        <v>6.195E-3</v>
      </c>
      <c r="I221" s="529">
        <v>0.4</v>
      </c>
      <c r="J221" s="596">
        <v>7</v>
      </c>
      <c r="K221" s="521">
        <v>66</v>
      </c>
      <c r="L221" s="273"/>
      <c r="M221" s="273"/>
      <c r="P221" s="274"/>
      <c r="Q221" s="274"/>
      <c r="R221" s="274"/>
      <c r="S221" s="274"/>
      <c r="T221" s="274"/>
      <c r="U221" s="274"/>
      <c r="V221" s="274"/>
      <c r="W221" s="274"/>
      <c r="X221" s="486" t="str">
        <f ca="1">IF('CDO Bespoke'!O222&lt;&gt;"",'CDO Bespoke'!O222,"")</f>
        <v/>
      </c>
      <c r="Y221" s="487" t="str">
        <f ca="1">IF(X221&lt;&gt;"",ABS(MIN(-0.75*('CDO Bespoke'!Q222)+'CDO Bespoke'!T222,0)),"")</f>
        <v/>
      </c>
      <c r="Z221" s="487">
        <f t="shared" ca="1" si="20"/>
        <v>0</v>
      </c>
      <c r="AA221" s="487">
        <f t="shared" ca="1" si="21"/>
        <v>0</v>
      </c>
      <c r="AB221" s="486" t="str">
        <f ca="1">IF('CDO Bespoke'!O222&lt;&gt;"",'CDO Bespoke'!O222,"")</f>
        <v/>
      </c>
      <c r="AC221" s="487" t="str">
        <f ca="1">IF(AB221&lt;&gt;"",ABS(MIN(-0.75*('CDO Bespoke'!K222)+'CDO Bespoke'!T222,0)),"")</f>
        <v/>
      </c>
      <c r="AD221" s="487">
        <f t="shared" ca="1" si="22"/>
        <v>0</v>
      </c>
      <c r="AE221" s="491">
        <f t="shared" ca="1" si="23"/>
        <v>0</v>
      </c>
      <c r="AF221" s="273"/>
      <c r="AG221" s="496" t="str">
        <f ca="1">IF('CDO Bespoke'!C246&lt;&gt;"",'CDO Bespoke'!C246,"")</f>
        <v/>
      </c>
      <c r="AH221" s="498"/>
      <c r="AI221" s="587"/>
      <c r="AJ221" s="587"/>
      <c r="AK221" s="587"/>
      <c r="AL221" s="499"/>
      <c r="AM221" s="498"/>
      <c r="AN221" s="587"/>
      <c r="AO221" s="587"/>
      <c r="AP221" s="587"/>
      <c r="AQ221" s="499"/>
      <c r="AR221" s="582"/>
      <c r="AS221" s="582"/>
      <c r="AT221" s="582"/>
      <c r="AU221" s="582"/>
      <c r="AV221" s="582"/>
      <c r="AW221" s="582"/>
      <c r="AX221" s="581"/>
    </row>
    <row r="222" spans="2:50">
      <c r="B222" s="536" t="s">
        <v>577</v>
      </c>
      <c r="C222" s="537" t="s">
        <v>66</v>
      </c>
      <c r="D222" s="537" t="s">
        <v>59</v>
      </c>
      <c r="E222" s="537" t="s">
        <v>649</v>
      </c>
      <c r="F222" s="537" t="s">
        <v>653</v>
      </c>
      <c r="G222" s="538">
        <v>0.01</v>
      </c>
      <c r="H222" s="538">
        <v>9.2610000000000001E-3</v>
      </c>
      <c r="I222" s="539">
        <v>0.4</v>
      </c>
      <c r="J222" s="597">
        <v>7</v>
      </c>
      <c r="K222" s="540">
        <v>66</v>
      </c>
      <c r="L222" s="273"/>
      <c r="M222" s="273"/>
      <c r="P222" s="274"/>
      <c r="Q222" s="274"/>
      <c r="R222" s="274"/>
      <c r="S222" s="274"/>
      <c r="T222" s="274"/>
      <c r="U222" s="274"/>
      <c r="V222" s="274"/>
      <c r="W222" s="274"/>
      <c r="X222" s="486" t="str">
        <f ca="1">IF('CDO Bespoke'!O223&lt;&gt;"",'CDO Bespoke'!O223,"")</f>
        <v/>
      </c>
      <c r="Y222" s="487" t="str">
        <f ca="1">IF(X222&lt;&gt;"",ABS(MIN(-0.75*('CDO Bespoke'!Q223)+'CDO Bespoke'!T223,0)),"")</f>
        <v/>
      </c>
      <c r="Z222" s="487">
        <f t="shared" ca="1" si="20"/>
        <v>0</v>
      </c>
      <c r="AA222" s="487">
        <f t="shared" ca="1" si="21"/>
        <v>0</v>
      </c>
      <c r="AB222" s="486" t="str">
        <f ca="1">IF('CDO Bespoke'!O223&lt;&gt;"",'CDO Bespoke'!O223,"")</f>
        <v/>
      </c>
      <c r="AC222" s="487" t="str">
        <f ca="1">IF(AB222&lt;&gt;"",ABS(MIN(-0.75*('CDO Bespoke'!K223)+'CDO Bespoke'!T223,0)),"")</f>
        <v/>
      </c>
      <c r="AD222" s="487">
        <f t="shared" ca="1" si="22"/>
        <v>0</v>
      </c>
      <c r="AE222" s="491">
        <f t="shared" ca="1" si="23"/>
        <v>0</v>
      </c>
      <c r="AF222" s="273"/>
      <c r="AG222" s="496" t="str">
        <f ca="1">IF('CDO Bespoke'!C247&lt;&gt;"",'CDO Bespoke'!C247,"")</f>
        <v/>
      </c>
      <c r="AH222" s="498"/>
      <c r="AI222" s="587"/>
      <c r="AJ222" s="587"/>
      <c r="AK222" s="587"/>
      <c r="AL222" s="499"/>
      <c r="AM222" s="498"/>
      <c r="AN222" s="587"/>
      <c r="AO222" s="587"/>
      <c r="AP222" s="587"/>
      <c r="AQ222" s="499"/>
      <c r="AR222" s="582"/>
      <c r="AS222" s="582"/>
      <c r="AT222" s="582"/>
      <c r="AU222" s="582"/>
      <c r="AV222" s="582"/>
      <c r="AW222" s="582"/>
      <c r="AX222" s="581"/>
    </row>
    <row r="223" spans="2:50">
      <c r="B223" s="541" t="s">
        <v>568</v>
      </c>
      <c r="C223" s="542" t="s">
        <v>66</v>
      </c>
      <c r="D223" s="542" t="s">
        <v>55</v>
      </c>
      <c r="E223" s="542" t="s">
        <v>649</v>
      </c>
      <c r="F223" s="542" t="s">
        <v>653</v>
      </c>
      <c r="G223" s="543">
        <v>0.01</v>
      </c>
      <c r="H223" s="543">
        <v>2.6879999999999999E-3</v>
      </c>
      <c r="I223" s="544">
        <v>0.4</v>
      </c>
      <c r="J223" s="604">
        <v>7</v>
      </c>
      <c r="K223" s="545">
        <v>67</v>
      </c>
      <c r="L223" s="273"/>
      <c r="M223" s="273"/>
      <c r="P223" s="274"/>
      <c r="Q223" s="274"/>
      <c r="R223" s="274"/>
      <c r="S223" s="274"/>
      <c r="T223" s="274"/>
      <c r="U223" s="274"/>
      <c r="V223" s="274"/>
      <c r="W223" s="274"/>
      <c r="X223" s="486" t="str">
        <f ca="1">IF('CDO Bespoke'!O224&lt;&gt;"",'CDO Bespoke'!O224,"")</f>
        <v/>
      </c>
      <c r="Y223" s="487" t="str">
        <f ca="1">IF(X223&lt;&gt;"",ABS(MIN(-0.75*('CDO Bespoke'!Q224)+'CDO Bespoke'!T224,0)),"")</f>
        <v/>
      </c>
      <c r="Z223" s="487">
        <f t="shared" ca="1" si="20"/>
        <v>0</v>
      </c>
      <c r="AA223" s="487">
        <f t="shared" ca="1" si="21"/>
        <v>0</v>
      </c>
      <c r="AB223" s="486" t="str">
        <f ca="1">IF('CDO Bespoke'!O224&lt;&gt;"",'CDO Bespoke'!O224,"")</f>
        <v/>
      </c>
      <c r="AC223" s="487" t="str">
        <f ca="1">IF(AB223&lt;&gt;"",ABS(MIN(-0.75*('CDO Bespoke'!K224)+'CDO Bespoke'!T224,0)),"")</f>
        <v/>
      </c>
      <c r="AD223" s="487">
        <f t="shared" ca="1" si="22"/>
        <v>0</v>
      </c>
      <c r="AE223" s="491">
        <f t="shared" ca="1" si="23"/>
        <v>0</v>
      </c>
      <c r="AF223" s="273"/>
      <c r="AG223" s="496" t="str">
        <f ca="1">IF('CDO Bespoke'!C248&lt;&gt;"",'CDO Bespoke'!C248,"")</f>
        <v/>
      </c>
      <c r="AH223" s="498"/>
      <c r="AI223" s="587"/>
      <c r="AJ223" s="587"/>
      <c r="AK223" s="587"/>
      <c r="AL223" s="499"/>
      <c r="AM223" s="498"/>
      <c r="AN223" s="587"/>
      <c r="AO223" s="587"/>
      <c r="AP223" s="587"/>
      <c r="AQ223" s="499"/>
      <c r="AR223" s="582"/>
      <c r="AS223" s="582"/>
      <c r="AT223" s="582"/>
      <c r="AU223" s="582"/>
      <c r="AV223" s="582"/>
      <c r="AW223" s="582"/>
      <c r="AX223" s="581"/>
    </row>
    <row r="224" spans="2:50">
      <c r="B224" s="519" t="s">
        <v>568</v>
      </c>
      <c r="C224" s="520" t="s">
        <v>66</v>
      </c>
      <c r="D224" s="520" t="s">
        <v>57</v>
      </c>
      <c r="E224" s="520" t="s">
        <v>649</v>
      </c>
      <c r="F224" s="520" t="s">
        <v>653</v>
      </c>
      <c r="G224" s="527">
        <v>0.01</v>
      </c>
      <c r="H224" s="527">
        <v>4.4660000000000004E-3</v>
      </c>
      <c r="I224" s="529">
        <v>0.4</v>
      </c>
      <c r="J224" s="596">
        <v>7</v>
      </c>
      <c r="K224" s="521">
        <v>67</v>
      </c>
      <c r="L224" s="273"/>
      <c r="M224" s="273"/>
      <c r="P224" s="274"/>
      <c r="Q224" s="274"/>
      <c r="R224" s="274"/>
      <c r="S224" s="274"/>
      <c r="T224" s="274"/>
      <c r="U224" s="274"/>
      <c r="V224" s="274"/>
      <c r="W224" s="274"/>
      <c r="X224" s="486" t="str">
        <f ca="1">IF('CDO Bespoke'!O225&lt;&gt;"",'CDO Bespoke'!O225,"")</f>
        <v/>
      </c>
      <c r="Y224" s="487" t="str">
        <f ca="1">IF(X224&lt;&gt;"",ABS(MIN(-0.75*('CDO Bespoke'!Q225)+'CDO Bespoke'!T225,0)),"")</f>
        <v/>
      </c>
      <c r="Z224" s="487">
        <f t="shared" ca="1" si="20"/>
        <v>0</v>
      </c>
      <c r="AA224" s="487">
        <f t="shared" ca="1" si="21"/>
        <v>0</v>
      </c>
      <c r="AB224" s="486" t="str">
        <f ca="1">IF('CDO Bespoke'!O225&lt;&gt;"",'CDO Bespoke'!O225,"")</f>
        <v/>
      </c>
      <c r="AC224" s="487" t="str">
        <f ca="1">IF(AB224&lt;&gt;"",ABS(MIN(-0.75*('CDO Bespoke'!K225)+'CDO Bespoke'!T225,0)),"")</f>
        <v/>
      </c>
      <c r="AD224" s="487">
        <f t="shared" ca="1" si="22"/>
        <v>0</v>
      </c>
      <c r="AE224" s="491">
        <f t="shared" ca="1" si="23"/>
        <v>0</v>
      </c>
      <c r="AF224" s="273"/>
      <c r="AG224" s="496" t="str">
        <f ca="1">IF('CDO Bespoke'!C249&lt;&gt;"",'CDO Bespoke'!C249,"")</f>
        <v/>
      </c>
      <c r="AH224" s="498"/>
      <c r="AI224" s="587"/>
      <c r="AJ224" s="587"/>
      <c r="AK224" s="587"/>
      <c r="AL224" s="499"/>
      <c r="AM224" s="498"/>
      <c r="AN224" s="587"/>
      <c r="AO224" s="587"/>
      <c r="AP224" s="587"/>
      <c r="AQ224" s="499"/>
      <c r="AR224" s="582"/>
      <c r="AS224" s="582"/>
      <c r="AT224" s="582"/>
      <c r="AU224" s="582"/>
      <c r="AV224" s="582"/>
      <c r="AW224" s="582"/>
      <c r="AX224" s="581"/>
    </row>
    <row r="225" spans="2:50">
      <c r="B225" s="536" t="s">
        <v>568</v>
      </c>
      <c r="C225" s="537" t="s">
        <v>66</v>
      </c>
      <c r="D225" s="537" t="s">
        <v>59</v>
      </c>
      <c r="E225" s="537" t="s">
        <v>649</v>
      </c>
      <c r="F225" s="537" t="s">
        <v>653</v>
      </c>
      <c r="G225" s="538">
        <v>0.01</v>
      </c>
      <c r="H225" s="538">
        <v>5.9670000000000001E-3</v>
      </c>
      <c r="I225" s="539">
        <v>0.4</v>
      </c>
      <c r="J225" s="597">
        <v>7</v>
      </c>
      <c r="K225" s="540">
        <v>67</v>
      </c>
      <c r="L225" s="273"/>
      <c r="M225" s="273"/>
      <c r="P225" s="274"/>
      <c r="Q225" s="274"/>
      <c r="R225" s="274"/>
      <c r="S225" s="274"/>
      <c r="T225" s="274"/>
      <c r="U225" s="274"/>
      <c r="V225" s="274"/>
      <c r="W225" s="274"/>
      <c r="X225" s="486" t="str">
        <f ca="1">IF('CDO Bespoke'!O226&lt;&gt;"",'CDO Bespoke'!O226,"")</f>
        <v/>
      </c>
      <c r="Y225" s="487" t="str">
        <f ca="1">IF(X225&lt;&gt;"",ABS(MIN(-0.75*('CDO Bespoke'!Q226)+'CDO Bespoke'!T226,0)),"")</f>
        <v/>
      </c>
      <c r="Z225" s="487">
        <f t="shared" ca="1" si="20"/>
        <v>0</v>
      </c>
      <c r="AA225" s="487">
        <f t="shared" ca="1" si="21"/>
        <v>0</v>
      </c>
      <c r="AB225" s="486" t="str">
        <f ca="1">IF('CDO Bespoke'!O226&lt;&gt;"",'CDO Bespoke'!O226,"")</f>
        <v/>
      </c>
      <c r="AC225" s="487" t="str">
        <f ca="1">IF(AB225&lt;&gt;"",ABS(MIN(-0.75*('CDO Bespoke'!K226)+'CDO Bespoke'!T226,0)),"")</f>
        <v/>
      </c>
      <c r="AD225" s="487">
        <f t="shared" ca="1" si="22"/>
        <v>0</v>
      </c>
      <c r="AE225" s="491">
        <f t="shared" ca="1" si="23"/>
        <v>0</v>
      </c>
      <c r="AF225" s="273"/>
      <c r="AG225" s="496" t="str">
        <f ca="1">IF('CDO Bespoke'!C250&lt;&gt;"",'CDO Bespoke'!C250,"")</f>
        <v/>
      </c>
      <c r="AH225" s="498"/>
      <c r="AI225" s="587"/>
      <c r="AJ225" s="587"/>
      <c r="AK225" s="587"/>
      <c r="AL225" s="499"/>
      <c r="AM225" s="498"/>
      <c r="AN225" s="587"/>
      <c r="AO225" s="587"/>
      <c r="AP225" s="587"/>
      <c r="AQ225" s="499"/>
      <c r="AR225" s="582"/>
      <c r="AS225" s="582"/>
      <c r="AT225" s="582"/>
      <c r="AU225" s="582"/>
      <c r="AV225" s="582"/>
      <c r="AW225" s="582"/>
      <c r="AX225" s="581"/>
    </row>
    <row r="226" spans="2:50">
      <c r="B226" s="541" t="s">
        <v>569</v>
      </c>
      <c r="C226" s="542" t="s">
        <v>66</v>
      </c>
      <c r="D226" s="542" t="s">
        <v>55</v>
      </c>
      <c r="E226" s="542" t="s">
        <v>647</v>
      </c>
      <c r="F226" s="542" t="s">
        <v>652</v>
      </c>
      <c r="G226" s="543">
        <v>0.01</v>
      </c>
      <c r="H226" s="543">
        <v>3.4719999999999998E-3</v>
      </c>
      <c r="I226" s="544">
        <v>0.4</v>
      </c>
      <c r="J226" s="604">
        <v>4</v>
      </c>
      <c r="K226" s="545">
        <v>68</v>
      </c>
      <c r="L226" s="273"/>
      <c r="M226" s="273"/>
      <c r="P226" s="274"/>
      <c r="Q226" s="274"/>
      <c r="R226" s="274"/>
      <c r="S226" s="274"/>
      <c r="T226" s="274"/>
      <c r="U226" s="274"/>
      <c r="V226" s="274"/>
      <c r="W226" s="274"/>
      <c r="X226" s="486" t="str">
        <f ca="1">IF('CDO Bespoke'!O227&lt;&gt;"",'CDO Bespoke'!O227,"")</f>
        <v/>
      </c>
      <c r="Y226" s="487" t="str">
        <f ca="1">IF(X226&lt;&gt;"",ABS(MIN(-0.75*('CDO Bespoke'!Q227)+'CDO Bespoke'!T227,0)),"")</f>
        <v/>
      </c>
      <c r="Z226" s="487">
        <f t="shared" ca="1" si="20"/>
        <v>0</v>
      </c>
      <c r="AA226" s="487">
        <f t="shared" ca="1" si="21"/>
        <v>0</v>
      </c>
      <c r="AB226" s="486" t="str">
        <f ca="1">IF('CDO Bespoke'!O227&lt;&gt;"",'CDO Bespoke'!O227,"")</f>
        <v/>
      </c>
      <c r="AC226" s="487" t="str">
        <f ca="1">IF(AB226&lt;&gt;"",ABS(MIN(-0.75*('CDO Bespoke'!K227)+'CDO Bespoke'!T227,0)),"")</f>
        <v/>
      </c>
      <c r="AD226" s="487">
        <f t="shared" ca="1" si="22"/>
        <v>0</v>
      </c>
      <c r="AE226" s="491">
        <f t="shared" ca="1" si="23"/>
        <v>0</v>
      </c>
      <c r="AF226" s="273"/>
      <c r="AG226" s="496" t="str">
        <f ca="1">IF('CDO Bespoke'!C251&lt;&gt;"",'CDO Bespoke'!C251,"")</f>
        <v/>
      </c>
      <c r="AH226" s="498"/>
      <c r="AI226" s="587"/>
      <c r="AJ226" s="587"/>
      <c r="AK226" s="587"/>
      <c r="AL226" s="499"/>
      <c r="AM226" s="498"/>
      <c r="AN226" s="587"/>
      <c r="AO226" s="587"/>
      <c r="AP226" s="587"/>
      <c r="AQ226" s="499"/>
      <c r="AR226" s="582"/>
      <c r="AS226" s="582"/>
      <c r="AT226" s="582"/>
      <c r="AU226" s="582"/>
      <c r="AV226" s="582"/>
      <c r="AW226" s="582"/>
      <c r="AX226" s="581"/>
    </row>
    <row r="227" spans="2:50">
      <c r="B227" s="519" t="s">
        <v>569</v>
      </c>
      <c r="C227" s="520" t="s">
        <v>66</v>
      </c>
      <c r="D227" s="520" t="s">
        <v>57</v>
      </c>
      <c r="E227" s="520" t="s">
        <v>647</v>
      </c>
      <c r="F227" s="520" t="s">
        <v>652</v>
      </c>
      <c r="G227" s="527">
        <v>0.01</v>
      </c>
      <c r="H227" s="527">
        <v>5.6010000000000001E-3</v>
      </c>
      <c r="I227" s="529">
        <v>0.4</v>
      </c>
      <c r="J227" s="596">
        <v>4</v>
      </c>
      <c r="K227" s="521">
        <v>68</v>
      </c>
      <c r="L227" s="273"/>
      <c r="M227" s="273"/>
      <c r="P227" s="274"/>
      <c r="Q227" s="274"/>
      <c r="R227" s="274"/>
      <c r="S227" s="274"/>
      <c r="T227" s="274"/>
      <c r="U227" s="274"/>
      <c r="V227" s="274"/>
      <c r="W227" s="274"/>
      <c r="X227" s="486" t="str">
        <f ca="1">IF('CDO Bespoke'!O228&lt;&gt;"",'CDO Bespoke'!O228,"")</f>
        <v/>
      </c>
      <c r="Y227" s="487" t="str">
        <f ca="1">IF(X227&lt;&gt;"",ABS(MIN(-0.75*('CDO Bespoke'!Q228)+'CDO Bespoke'!T228,0)),"")</f>
        <v/>
      </c>
      <c r="Z227" s="487">
        <f t="shared" ca="1" si="20"/>
        <v>0</v>
      </c>
      <c r="AA227" s="487">
        <f t="shared" ca="1" si="21"/>
        <v>0</v>
      </c>
      <c r="AB227" s="486" t="str">
        <f ca="1">IF('CDO Bespoke'!O228&lt;&gt;"",'CDO Bespoke'!O228,"")</f>
        <v/>
      </c>
      <c r="AC227" s="487" t="str">
        <f ca="1">IF(AB227&lt;&gt;"",ABS(MIN(-0.75*('CDO Bespoke'!K228)+'CDO Bespoke'!T228,0)),"")</f>
        <v/>
      </c>
      <c r="AD227" s="487">
        <f t="shared" ca="1" si="22"/>
        <v>0</v>
      </c>
      <c r="AE227" s="491">
        <f t="shared" ca="1" si="23"/>
        <v>0</v>
      </c>
      <c r="AF227" s="273"/>
      <c r="AG227" s="496" t="str">
        <f ca="1">IF('CDO Bespoke'!C252&lt;&gt;"",'CDO Bespoke'!C252,"")</f>
        <v/>
      </c>
      <c r="AH227" s="498"/>
      <c r="AI227" s="587"/>
      <c r="AJ227" s="587"/>
      <c r="AK227" s="587"/>
      <c r="AL227" s="499"/>
      <c r="AM227" s="498"/>
      <c r="AN227" s="587"/>
      <c r="AO227" s="587"/>
      <c r="AP227" s="587"/>
      <c r="AQ227" s="499"/>
      <c r="AR227" s="582"/>
      <c r="AS227" s="582"/>
      <c r="AT227" s="582"/>
      <c r="AU227" s="582"/>
      <c r="AV227" s="582"/>
      <c r="AW227" s="582"/>
      <c r="AX227" s="581"/>
    </row>
    <row r="228" spans="2:50">
      <c r="B228" s="536" t="s">
        <v>569</v>
      </c>
      <c r="C228" s="537" t="s">
        <v>66</v>
      </c>
      <c r="D228" s="537" t="s">
        <v>59</v>
      </c>
      <c r="E228" s="537" t="s">
        <v>647</v>
      </c>
      <c r="F228" s="537" t="s">
        <v>652</v>
      </c>
      <c r="G228" s="538">
        <v>0.01</v>
      </c>
      <c r="H228" s="538">
        <v>7.7669999999999996E-3</v>
      </c>
      <c r="I228" s="539">
        <v>0.4</v>
      </c>
      <c r="J228" s="597">
        <v>4</v>
      </c>
      <c r="K228" s="540">
        <v>68</v>
      </c>
      <c r="L228" s="273"/>
      <c r="M228" s="273"/>
      <c r="P228" s="274"/>
      <c r="Q228" s="274"/>
      <c r="R228" s="274"/>
      <c r="S228" s="274"/>
      <c r="T228" s="274"/>
      <c r="U228" s="274"/>
      <c r="V228" s="274"/>
      <c r="W228" s="274"/>
      <c r="X228" s="486" t="str">
        <f ca="1">IF('CDO Bespoke'!O229&lt;&gt;"",'CDO Bespoke'!O229,"")</f>
        <v/>
      </c>
      <c r="Y228" s="487" t="str">
        <f ca="1">IF(X228&lt;&gt;"",ABS(MIN(-0.75*('CDO Bespoke'!Q229)+'CDO Bespoke'!T229,0)),"")</f>
        <v/>
      </c>
      <c r="Z228" s="487">
        <f t="shared" ca="1" si="20"/>
        <v>0</v>
      </c>
      <c r="AA228" s="487">
        <f t="shared" ca="1" si="21"/>
        <v>0</v>
      </c>
      <c r="AB228" s="486" t="str">
        <f ca="1">IF('CDO Bespoke'!O229&lt;&gt;"",'CDO Bespoke'!O229,"")</f>
        <v/>
      </c>
      <c r="AC228" s="487" t="str">
        <f ca="1">IF(AB228&lt;&gt;"",ABS(MIN(-0.75*('CDO Bespoke'!K229)+'CDO Bespoke'!T229,0)),"")</f>
        <v/>
      </c>
      <c r="AD228" s="487">
        <f t="shared" ca="1" si="22"/>
        <v>0</v>
      </c>
      <c r="AE228" s="491">
        <f t="shared" ca="1" si="23"/>
        <v>0</v>
      </c>
      <c r="AF228" s="273"/>
      <c r="AG228" s="496" t="str">
        <f ca="1">IF('CDO Bespoke'!C253&lt;&gt;"",'CDO Bespoke'!C253,"")</f>
        <v/>
      </c>
      <c r="AH228" s="498"/>
      <c r="AI228" s="587"/>
      <c r="AJ228" s="587"/>
      <c r="AK228" s="587"/>
      <c r="AL228" s="499"/>
      <c r="AM228" s="498"/>
      <c r="AN228" s="587"/>
      <c r="AO228" s="587"/>
      <c r="AP228" s="587"/>
      <c r="AQ228" s="499"/>
      <c r="AR228" s="582"/>
      <c r="AS228" s="582"/>
      <c r="AT228" s="582"/>
      <c r="AU228" s="582"/>
      <c r="AV228" s="582"/>
      <c r="AW228" s="582"/>
      <c r="AX228" s="581"/>
    </row>
    <row r="229" spans="2:50">
      <c r="B229" s="541" t="s">
        <v>578</v>
      </c>
      <c r="C229" s="542" t="s">
        <v>66</v>
      </c>
      <c r="D229" s="542" t="s">
        <v>55</v>
      </c>
      <c r="E229" s="542" t="s">
        <v>651</v>
      </c>
      <c r="F229" s="542" t="s">
        <v>652</v>
      </c>
      <c r="G229" s="543">
        <v>0.01</v>
      </c>
      <c r="H229" s="543">
        <v>1.7849999999999999E-3</v>
      </c>
      <c r="I229" s="544">
        <v>0.4</v>
      </c>
      <c r="J229" s="604">
        <v>4</v>
      </c>
      <c r="K229" s="545">
        <v>69</v>
      </c>
      <c r="L229" s="273"/>
      <c r="M229" s="273"/>
      <c r="P229" s="274"/>
      <c r="Q229" s="274"/>
      <c r="R229" s="274"/>
      <c r="S229" s="274"/>
      <c r="T229" s="274"/>
      <c r="U229" s="274"/>
      <c r="V229" s="274"/>
      <c r="W229" s="274"/>
      <c r="X229" s="486" t="str">
        <f ca="1">IF('CDO Bespoke'!O230&lt;&gt;"",'CDO Bespoke'!O230,"")</f>
        <v/>
      </c>
      <c r="Y229" s="487" t="str">
        <f ca="1">IF(X229&lt;&gt;"",ABS(MIN(-0.75*('CDO Bespoke'!Q230)+'CDO Bespoke'!T230,0)),"")</f>
        <v/>
      </c>
      <c r="Z229" s="487">
        <f t="shared" ca="1" si="20"/>
        <v>0</v>
      </c>
      <c r="AA229" s="487">
        <f t="shared" ca="1" si="21"/>
        <v>0</v>
      </c>
      <c r="AB229" s="486" t="str">
        <f ca="1">IF('CDO Bespoke'!O230&lt;&gt;"",'CDO Bespoke'!O230,"")</f>
        <v/>
      </c>
      <c r="AC229" s="487" t="str">
        <f ca="1">IF(AB229&lt;&gt;"",ABS(MIN(-0.75*('CDO Bespoke'!K230)+'CDO Bespoke'!T230,0)),"")</f>
        <v/>
      </c>
      <c r="AD229" s="487">
        <f t="shared" ca="1" si="22"/>
        <v>0</v>
      </c>
      <c r="AE229" s="491">
        <f t="shared" ca="1" si="23"/>
        <v>0</v>
      </c>
      <c r="AF229" s="273"/>
      <c r="AG229" s="496" t="str">
        <f ca="1">IF('CDO Bespoke'!C254&lt;&gt;"",'CDO Bespoke'!C254,"")</f>
        <v/>
      </c>
      <c r="AH229" s="498"/>
      <c r="AI229" s="587"/>
      <c r="AJ229" s="587"/>
      <c r="AK229" s="587"/>
      <c r="AL229" s="499"/>
      <c r="AM229" s="498"/>
      <c r="AN229" s="587"/>
      <c r="AO229" s="587"/>
      <c r="AP229" s="587"/>
      <c r="AQ229" s="499"/>
      <c r="AR229" s="582"/>
      <c r="AS229" s="582"/>
      <c r="AT229" s="582"/>
      <c r="AU229" s="582"/>
      <c r="AV229" s="582"/>
      <c r="AW229" s="582"/>
      <c r="AX229" s="581"/>
    </row>
    <row r="230" spans="2:50">
      <c r="B230" s="519" t="s">
        <v>578</v>
      </c>
      <c r="C230" s="520" t="s">
        <v>66</v>
      </c>
      <c r="D230" s="520" t="s">
        <v>57</v>
      </c>
      <c r="E230" s="520" t="s">
        <v>651</v>
      </c>
      <c r="F230" s="520" t="s">
        <v>652</v>
      </c>
      <c r="G230" s="527">
        <v>0.01</v>
      </c>
      <c r="H230" s="527">
        <v>2.7560000000000002E-3</v>
      </c>
      <c r="I230" s="529">
        <v>0.4</v>
      </c>
      <c r="J230" s="596">
        <v>4</v>
      </c>
      <c r="K230" s="521">
        <v>69</v>
      </c>
      <c r="L230" s="273"/>
      <c r="M230" s="273"/>
      <c r="P230" s="274"/>
      <c r="Q230" s="274"/>
      <c r="R230" s="274"/>
      <c r="S230" s="274"/>
      <c r="T230" s="274"/>
      <c r="U230" s="274"/>
      <c r="V230" s="274"/>
      <c r="W230" s="274"/>
      <c r="X230" s="486" t="str">
        <f ca="1">IF('CDO Bespoke'!O231&lt;&gt;"",'CDO Bespoke'!O231,"")</f>
        <v/>
      </c>
      <c r="Y230" s="487" t="str">
        <f ca="1">IF(X230&lt;&gt;"",ABS(MIN(-0.75*('CDO Bespoke'!Q231)+'CDO Bespoke'!T231,0)),"")</f>
        <v/>
      </c>
      <c r="Z230" s="487">
        <f t="shared" ca="1" si="20"/>
        <v>0</v>
      </c>
      <c r="AA230" s="487">
        <f t="shared" ca="1" si="21"/>
        <v>0</v>
      </c>
      <c r="AB230" s="486" t="str">
        <f ca="1">IF('CDO Bespoke'!O231&lt;&gt;"",'CDO Bespoke'!O231,"")</f>
        <v/>
      </c>
      <c r="AC230" s="487" t="str">
        <f ca="1">IF(AB230&lt;&gt;"",ABS(MIN(-0.75*('CDO Bespoke'!K231)+'CDO Bespoke'!T231,0)),"")</f>
        <v/>
      </c>
      <c r="AD230" s="487">
        <f t="shared" ca="1" si="22"/>
        <v>0</v>
      </c>
      <c r="AE230" s="491">
        <f t="shared" ca="1" si="23"/>
        <v>0</v>
      </c>
      <c r="AF230" s="273"/>
      <c r="AG230" s="496" t="str">
        <f ca="1">IF('CDO Bespoke'!C255&lt;&gt;"",'CDO Bespoke'!C255,"")</f>
        <v/>
      </c>
      <c r="AH230" s="498"/>
      <c r="AI230" s="587"/>
      <c r="AJ230" s="587"/>
      <c r="AK230" s="587"/>
      <c r="AL230" s="499"/>
      <c r="AM230" s="498"/>
      <c r="AN230" s="587"/>
      <c r="AO230" s="587"/>
      <c r="AP230" s="587"/>
      <c r="AQ230" s="499"/>
      <c r="AR230" s="582"/>
      <c r="AS230" s="582"/>
      <c r="AT230" s="582"/>
      <c r="AU230" s="582"/>
      <c r="AV230" s="582"/>
      <c r="AW230" s="582"/>
      <c r="AX230" s="581"/>
    </row>
    <row r="231" spans="2:50">
      <c r="B231" s="536" t="s">
        <v>578</v>
      </c>
      <c r="C231" s="537" t="s">
        <v>66</v>
      </c>
      <c r="D231" s="537" t="s">
        <v>59</v>
      </c>
      <c r="E231" s="537" t="s">
        <v>651</v>
      </c>
      <c r="F231" s="537" t="s">
        <v>652</v>
      </c>
      <c r="G231" s="538">
        <v>0.01</v>
      </c>
      <c r="H231" s="538">
        <v>3.7669999999999999E-3</v>
      </c>
      <c r="I231" s="539">
        <v>0.4</v>
      </c>
      <c r="J231" s="597">
        <v>4</v>
      </c>
      <c r="K231" s="540">
        <v>69</v>
      </c>
      <c r="L231" s="273"/>
      <c r="M231" s="273"/>
      <c r="P231" s="274"/>
      <c r="Q231" s="274"/>
      <c r="R231" s="274"/>
      <c r="S231" s="274"/>
      <c r="T231" s="274"/>
      <c r="U231" s="274"/>
      <c r="V231" s="274"/>
      <c r="W231" s="274"/>
      <c r="X231" s="486" t="str">
        <f ca="1">IF('CDO Bespoke'!O232&lt;&gt;"",'CDO Bespoke'!O232,"")</f>
        <v/>
      </c>
      <c r="Y231" s="487" t="str">
        <f ca="1">IF(X231&lt;&gt;"",ABS(MIN(-0.75*('CDO Bespoke'!Q232)+'CDO Bespoke'!T232,0)),"")</f>
        <v/>
      </c>
      <c r="Z231" s="487">
        <f t="shared" ca="1" si="20"/>
        <v>0</v>
      </c>
      <c r="AA231" s="487">
        <f t="shared" ca="1" si="21"/>
        <v>0</v>
      </c>
      <c r="AB231" s="486" t="str">
        <f ca="1">IF('CDO Bespoke'!O232&lt;&gt;"",'CDO Bespoke'!O232,"")</f>
        <v/>
      </c>
      <c r="AC231" s="487" t="str">
        <f ca="1">IF(AB231&lt;&gt;"",ABS(MIN(-0.75*('CDO Bespoke'!K232)+'CDO Bespoke'!T232,0)),"")</f>
        <v/>
      </c>
      <c r="AD231" s="487">
        <f t="shared" ca="1" si="22"/>
        <v>0</v>
      </c>
      <c r="AE231" s="491">
        <f t="shared" ca="1" si="23"/>
        <v>0</v>
      </c>
      <c r="AF231" s="273"/>
      <c r="AG231" s="496" t="str">
        <f ca="1">IF('CDO Bespoke'!C256&lt;&gt;"",'CDO Bespoke'!C256,"")</f>
        <v/>
      </c>
      <c r="AH231" s="498"/>
      <c r="AI231" s="587"/>
      <c r="AJ231" s="587"/>
      <c r="AK231" s="587"/>
      <c r="AL231" s="499"/>
      <c r="AM231" s="498"/>
      <c r="AN231" s="587"/>
      <c r="AO231" s="587"/>
      <c r="AP231" s="587"/>
      <c r="AQ231" s="499"/>
      <c r="AR231" s="582"/>
      <c r="AS231" s="582"/>
      <c r="AT231" s="582"/>
      <c r="AU231" s="582"/>
      <c r="AV231" s="582"/>
      <c r="AW231" s="582"/>
      <c r="AX231" s="581"/>
    </row>
    <row r="232" spans="2:50">
      <c r="B232" s="541" t="s">
        <v>570</v>
      </c>
      <c r="C232" s="542" t="s">
        <v>66</v>
      </c>
      <c r="D232" s="542" t="s">
        <v>55</v>
      </c>
      <c r="E232" s="542" t="s">
        <v>649</v>
      </c>
      <c r="F232" s="542" t="s">
        <v>653</v>
      </c>
      <c r="G232" s="543">
        <v>0.01</v>
      </c>
      <c r="H232" s="543">
        <v>2.5920000000000001E-3</v>
      </c>
      <c r="I232" s="544">
        <v>0.4</v>
      </c>
      <c r="J232" s="604">
        <v>7</v>
      </c>
      <c r="K232" s="545">
        <v>70</v>
      </c>
      <c r="L232" s="273"/>
      <c r="M232" s="273"/>
      <c r="P232" s="274"/>
      <c r="Q232" s="274"/>
      <c r="R232" s="274"/>
      <c r="S232" s="274"/>
      <c r="T232" s="274"/>
      <c r="U232" s="274"/>
      <c r="V232" s="274"/>
      <c r="W232" s="274"/>
      <c r="X232" s="486" t="str">
        <f ca="1">IF('CDO Bespoke'!O233&lt;&gt;"",'CDO Bespoke'!O233,"")</f>
        <v/>
      </c>
      <c r="Y232" s="487" t="str">
        <f ca="1">IF(X232&lt;&gt;"",ABS(MIN(-0.75*('CDO Bespoke'!Q233)+'CDO Bespoke'!T233,0)),"")</f>
        <v/>
      </c>
      <c r="Z232" s="487">
        <f t="shared" ca="1" si="20"/>
        <v>0</v>
      </c>
      <c r="AA232" s="487">
        <f t="shared" ca="1" si="21"/>
        <v>0</v>
      </c>
      <c r="AB232" s="486" t="str">
        <f ca="1">IF('CDO Bespoke'!O233&lt;&gt;"",'CDO Bespoke'!O233,"")</f>
        <v/>
      </c>
      <c r="AC232" s="487" t="str">
        <f ca="1">IF(AB232&lt;&gt;"",ABS(MIN(-0.75*('CDO Bespoke'!K233)+'CDO Bespoke'!T233,0)),"")</f>
        <v/>
      </c>
      <c r="AD232" s="487">
        <f t="shared" ca="1" si="22"/>
        <v>0</v>
      </c>
      <c r="AE232" s="491">
        <f t="shared" ca="1" si="23"/>
        <v>0</v>
      </c>
      <c r="AF232" s="273"/>
      <c r="AG232" s="496" t="str">
        <f ca="1">IF('CDO Bespoke'!C257&lt;&gt;"",'CDO Bespoke'!C257,"")</f>
        <v/>
      </c>
      <c r="AH232" s="498"/>
      <c r="AI232" s="587"/>
      <c r="AJ232" s="587"/>
      <c r="AK232" s="587"/>
      <c r="AL232" s="499"/>
      <c r="AM232" s="498"/>
      <c r="AN232" s="587"/>
      <c r="AO232" s="587"/>
      <c r="AP232" s="587"/>
      <c r="AQ232" s="499"/>
      <c r="AR232" s="582"/>
      <c r="AS232" s="582"/>
      <c r="AT232" s="582"/>
      <c r="AU232" s="582"/>
      <c r="AV232" s="582"/>
      <c r="AW232" s="582"/>
      <c r="AX232" s="581"/>
    </row>
    <row r="233" spans="2:50">
      <c r="B233" s="519" t="s">
        <v>570</v>
      </c>
      <c r="C233" s="520" t="s">
        <v>66</v>
      </c>
      <c r="D233" s="520" t="s">
        <v>57</v>
      </c>
      <c r="E233" s="520" t="s">
        <v>649</v>
      </c>
      <c r="F233" s="520" t="s">
        <v>653</v>
      </c>
      <c r="G233" s="527">
        <v>0.01</v>
      </c>
      <c r="H233" s="527">
        <v>4.5840000000000004E-3</v>
      </c>
      <c r="I233" s="529">
        <v>0.4</v>
      </c>
      <c r="J233" s="596">
        <v>7</v>
      </c>
      <c r="K233" s="521">
        <v>70</v>
      </c>
      <c r="L233" s="273"/>
      <c r="M233" s="273"/>
      <c r="P233" s="274"/>
      <c r="Q233" s="274"/>
      <c r="R233" s="274"/>
      <c r="S233" s="274"/>
      <c r="T233" s="274"/>
      <c r="U233" s="274"/>
      <c r="V233" s="274"/>
      <c r="W233" s="274"/>
      <c r="X233" s="486" t="str">
        <f ca="1">IF('CDO Bespoke'!O234&lt;&gt;"",'CDO Bespoke'!O234,"")</f>
        <v/>
      </c>
      <c r="Y233" s="487" t="str">
        <f ca="1">IF(X233&lt;&gt;"",ABS(MIN(-0.75*('CDO Bespoke'!Q234)+'CDO Bespoke'!T234,0)),"")</f>
        <v/>
      </c>
      <c r="Z233" s="487">
        <f t="shared" ca="1" si="20"/>
        <v>0</v>
      </c>
      <c r="AA233" s="487">
        <f t="shared" ca="1" si="21"/>
        <v>0</v>
      </c>
      <c r="AB233" s="486" t="str">
        <f ca="1">IF('CDO Bespoke'!O234&lt;&gt;"",'CDO Bespoke'!O234,"")</f>
        <v/>
      </c>
      <c r="AC233" s="487" t="str">
        <f ca="1">IF(AB233&lt;&gt;"",ABS(MIN(-0.75*('CDO Bespoke'!K234)+'CDO Bespoke'!T234,0)),"")</f>
        <v/>
      </c>
      <c r="AD233" s="487">
        <f t="shared" ca="1" si="22"/>
        <v>0</v>
      </c>
      <c r="AE233" s="491">
        <f t="shared" ca="1" si="23"/>
        <v>0</v>
      </c>
      <c r="AF233" s="273"/>
      <c r="AG233" s="496" t="str">
        <f ca="1">IF('CDO Bespoke'!C258&lt;&gt;"",'CDO Bespoke'!C258,"")</f>
        <v/>
      </c>
      <c r="AH233" s="498"/>
      <c r="AI233" s="587"/>
      <c r="AJ233" s="587"/>
      <c r="AK233" s="587"/>
      <c r="AL233" s="499"/>
      <c r="AM233" s="498"/>
      <c r="AN233" s="587"/>
      <c r="AO233" s="587"/>
      <c r="AP233" s="587"/>
      <c r="AQ233" s="499"/>
      <c r="AR233" s="582"/>
      <c r="AS233" s="582"/>
      <c r="AT233" s="582"/>
      <c r="AU233" s="582"/>
      <c r="AV233" s="582"/>
      <c r="AW233" s="582"/>
      <c r="AX233" s="581"/>
    </row>
    <row r="234" spans="2:50">
      <c r="B234" s="536" t="s">
        <v>570</v>
      </c>
      <c r="C234" s="537" t="s">
        <v>66</v>
      </c>
      <c r="D234" s="537" t="s">
        <v>59</v>
      </c>
      <c r="E234" s="537" t="s">
        <v>649</v>
      </c>
      <c r="F234" s="537" t="s">
        <v>653</v>
      </c>
      <c r="G234" s="538">
        <v>0.01</v>
      </c>
      <c r="H234" s="538">
        <v>6.4619999999999999E-3</v>
      </c>
      <c r="I234" s="539">
        <v>0.4</v>
      </c>
      <c r="J234" s="597">
        <v>7</v>
      </c>
      <c r="K234" s="540">
        <v>70</v>
      </c>
      <c r="L234" s="273"/>
      <c r="M234" s="273"/>
      <c r="P234" s="274"/>
      <c r="Q234" s="274"/>
      <c r="R234" s="274"/>
      <c r="S234" s="274"/>
      <c r="T234" s="274"/>
      <c r="U234" s="274"/>
      <c r="V234" s="274"/>
      <c r="W234" s="274"/>
      <c r="X234" s="486" t="str">
        <f ca="1">IF('CDO Bespoke'!O235&lt;&gt;"",'CDO Bespoke'!O235,"")</f>
        <v/>
      </c>
      <c r="Y234" s="487" t="str">
        <f ca="1">IF(X234&lt;&gt;"",ABS(MIN(-0.75*('CDO Bespoke'!Q235)+'CDO Bespoke'!T235,0)),"")</f>
        <v/>
      </c>
      <c r="Z234" s="487">
        <f t="shared" ca="1" si="20"/>
        <v>0</v>
      </c>
      <c r="AA234" s="487">
        <f t="shared" ca="1" si="21"/>
        <v>0</v>
      </c>
      <c r="AB234" s="486" t="str">
        <f ca="1">IF('CDO Bespoke'!O235&lt;&gt;"",'CDO Bespoke'!O235,"")</f>
        <v/>
      </c>
      <c r="AC234" s="487" t="str">
        <f ca="1">IF(AB234&lt;&gt;"",ABS(MIN(-0.75*('CDO Bespoke'!K235)+'CDO Bespoke'!T235,0)),"")</f>
        <v/>
      </c>
      <c r="AD234" s="487">
        <f t="shared" ca="1" si="22"/>
        <v>0</v>
      </c>
      <c r="AE234" s="491">
        <f t="shared" ca="1" si="23"/>
        <v>0</v>
      </c>
      <c r="AF234" s="273"/>
      <c r="AG234" s="496" t="str">
        <f ca="1">IF('CDO Bespoke'!C259&lt;&gt;"",'CDO Bespoke'!C259,"")</f>
        <v/>
      </c>
      <c r="AH234" s="498"/>
      <c r="AI234" s="587"/>
      <c r="AJ234" s="587"/>
      <c r="AK234" s="587"/>
      <c r="AL234" s="499"/>
      <c r="AM234" s="498"/>
      <c r="AN234" s="587"/>
      <c r="AO234" s="587"/>
      <c r="AP234" s="587"/>
      <c r="AQ234" s="499"/>
      <c r="AR234" s="582"/>
      <c r="AS234" s="582"/>
      <c r="AT234" s="582"/>
      <c r="AU234" s="582"/>
      <c r="AV234" s="582"/>
      <c r="AW234" s="582"/>
      <c r="AX234" s="581"/>
    </row>
    <row r="235" spans="2:50">
      <c r="B235" s="541" t="s">
        <v>571</v>
      </c>
      <c r="C235" s="542" t="s">
        <v>66</v>
      </c>
      <c r="D235" s="542" t="s">
        <v>55</v>
      </c>
      <c r="E235" s="542" t="s">
        <v>649</v>
      </c>
      <c r="F235" s="542" t="s">
        <v>653</v>
      </c>
      <c r="G235" s="543">
        <v>0.01</v>
      </c>
      <c r="H235" s="543">
        <v>2.307E-3</v>
      </c>
      <c r="I235" s="544">
        <v>0.4</v>
      </c>
      <c r="J235" s="604">
        <v>7</v>
      </c>
      <c r="K235" s="545">
        <v>71</v>
      </c>
      <c r="L235" s="273"/>
      <c r="M235" s="273"/>
      <c r="P235" s="274"/>
      <c r="Q235" s="274"/>
      <c r="R235" s="274"/>
      <c r="S235" s="274"/>
      <c r="T235" s="274"/>
      <c r="U235" s="274"/>
      <c r="V235" s="274"/>
      <c r="W235" s="274"/>
      <c r="X235" s="486" t="str">
        <f ca="1">IF('CDO Bespoke'!O236&lt;&gt;"",'CDO Bespoke'!O236,"")</f>
        <v/>
      </c>
      <c r="Y235" s="487" t="str">
        <f ca="1">IF(X235&lt;&gt;"",ABS(MIN(-0.75*('CDO Bespoke'!Q236)+'CDO Bespoke'!T236,0)),"")</f>
        <v/>
      </c>
      <c r="Z235" s="487">
        <f t="shared" ca="1" si="20"/>
        <v>0</v>
      </c>
      <c r="AA235" s="487">
        <f t="shared" ca="1" si="21"/>
        <v>0</v>
      </c>
      <c r="AB235" s="486" t="str">
        <f ca="1">IF('CDO Bespoke'!O236&lt;&gt;"",'CDO Bespoke'!O236,"")</f>
        <v/>
      </c>
      <c r="AC235" s="487" t="str">
        <f ca="1">IF(AB235&lt;&gt;"",ABS(MIN(-0.75*('CDO Bespoke'!K236)+'CDO Bespoke'!T236,0)),"")</f>
        <v/>
      </c>
      <c r="AD235" s="487">
        <f t="shared" ca="1" si="22"/>
        <v>0</v>
      </c>
      <c r="AE235" s="491">
        <f t="shared" ca="1" si="23"/>
        <v>0</v>
      </c>
      <c r="AF235" s="273"/>
      <c r="AG235" s="496" t="str">
        <f ca="1">IF('CDO Bespoke'!C260&lt;&gt;"",'CDO Bespoke'!C260,"")</f>
        <v/>
      </c>
      <c r="AH235" s="498"/>
      <c r="AI235" s="587"/>
      <c r="AJ235" s="587"/>
      <c r="AK235" s="587"/>
      <c r="AL235" s="499"/>
      <c r="AM235" s="498"/>
      <c r="AN235" s="587"/>
      <c r="AO235" s="587"/>
      <c r="AP235" s="587"/>
      <c r="AQ235" s="499"/>
      <c r="AR235" s="582"/>
      <c r="AS235" s="582"/>
      <c r="AT235" s="582"/>
      <c r="AU235" s="582"/>
      <c r="AV235" s="582"/>
      <c r="AW235" s="582"/>
      <c r="AX235" s="581"/>
    </row>
    <row r="236" spans="2:50">
      <c r="B236" s="519" t="s">
        <v>571</v>
      </c>
      <c r="C236" s="520" t="s">
        <v>66</v>
      </c>
      <c r="D236" s="520" t="s">
        <v>57</v>
      </c>
      <c r="E236" s="520" t="s">
        <v>649</v>
      </c>
      <c r="F236" s="520" t="s">
        <v>653</v>
      </c>
      <c r="G236" s="527">
        <v>0.01</v>
      </c>
      <c r="H236" s="527">
        <v>3.8999999999999998E-3</v>
      </c>
      <c r="I236" s="529">
        <v>0.4</v>
      </c>
      <c r="J236" s="596">
        <v>7</v>
      </c>
      <c r="K236" s="521">
        <v>71</v>
      </c>
      <c r="L236" s="273"/>
      <c r="M236" s="273"/>
      <c r="P236" s="274"/>
      <c r="Q236" s="274"/>
      <c r="R236" s="274"/>
      <c r="S236" s="274"/>
      <c r="T236" s="274"/>
      <c r="U236" s="274"/>
      <c r="V236" s="274"/>
      <c r="W236" s="274"/>
      <c r="X236" s="486" t="str">
        <f ca="1">IF('CDO Bespoke'!O237&lt;&gt;"",'CDO Bespoke'!O237,"")</f>
        <v/>
      </c>
      <c r="Y236" s="487" t="str">
        <f ca="1">IF(X236&lt;&gt;"",ABS(MIN(-0.75*('CDO Bespoke'!Q237)+'CDO Bespoke'!T237,0)),"")</f>
        <v/>
      </c>
      <c r="Z236" s="487">
        <f t="shared" ca="1" si="20"/>
        <v>0</v>
      </c>
      <c r="AA236" s="487">
        <f t="shared" ca="1" si="21"/>
        <v>0</v>
      </c>
      <c r="AB236" s="486" t="str">
        <f ca="1">IF('CDO Bespoke'!O237&lt;&gt;"",'CDO Bespoke'!O237,"")</f>
        <v/>
      </c>
      <c r="AC236" s="487" t="str">
        <f ca="1">IF(AB236&lt;&gt;"",ABS(MIN(-0.75*('CDO Bespoke'!K237)+'CDO Bespoke'!T237,0)),"")</f>
        <v/>
      </c>
      <c r="AD236" s="487">
        <f t="shared" ca="1" si="22"/>
        <v>0</v>
      </c>
      <c r="AE236" s="491">
        <f t="shared" ca="1" si="23"/>
        <v>0</v>
      </c>
      <c r="AF236" s="273"/>
      <c r="AG236" s="496" t="str">
        <f ca="1">IF('CDO Bespoke'!C261&lt;&gt;"",'CDO Bespoke'!C261,"")</f>
        <v/>
      </c>
      <c r="AH236" s="498"/>
      <c r="AI236" s="587"/>
      <c r="AJ236" s="587"/>
      <c r="AK236" s="587"/>
      <c r="AL236" s="499"/>
      <c r="AM236" s="498"/>
      <c r="AN236" s="587"/>
      <c r="AO236" s="587"/>
      <c r="AP236" s="587"/>
      <c r="AQ236" s="499"/>
      <c r="AR236" s="582"/>
      <c r="AS236" s="582"/>
      <c r="AT236" s="582"/>
      <c r="AU236" s="582"/>
      <c r="AV236" s="582"/>
      <c r="AW236" s="582"/>
      <c r="AX236" s="581"/>
    </row>
    <row r="237" spans="2:50">
      <c r="B237" s="536" t="s">
        <v>571</v>
      </c>
      <c r="C237" s="537" t="s">
        <v>66</v>
      </c>
      <c r="D237" s="537" t="s">
        <v>59</v>
      </c>
      <c r="E237" s="537" t="s">
        <v>649</v>
      </c>
      <c r="F237" s="537" t="s">
        <v>653</v>
      </c>
      <c r="G237" s="538">
        <v>0.01</v>
      </c>
      <c r="H237" s="538">
        <v>5.7710000000000001E-3</v>
      </c>
      <c r="I237" s="539">
        <v>0.4</v>
      </c>
      <c r="J237" s="597">
        <v>7</v>
      </c>
      <c r="K237" s="540">
        <v>71</v>
      </c>
      <c r="L237" s="273"/>
      <c r="M237" s="273"/>
      <c r="P237" s="274"/>
      <c r="Q237" s="274"/>
      <c r="R237" s="274"/>
      <c r="S237" s="274"/>
      <c r="T237" s="274"/>
      <c r="U237" s="274"/>
      <c r="V237" s="274"/>
      <c r="W237" s="274"/>
      <c r="X237" s="486" t="str">
        <f ca="1">IF('CDO Bespoke'!O238&lt;&gt;"",'CDO Bespoke'!O238,"")</f>
        <v/>
      </c>
      <c r="Y237" s="487" t="str">
        <f ca="1">IF(X237&lt;&gt;"",ABS(MIN(-0.75*('CDO Bespoke'!Q238)+'CDO Bespoke'!T238,0)),"")</f>
        <v/>
      </c>
      <c r="Z237" s="487">
        <f t="shared" ca="1" si="20"/>
        <v>0</v>
      </c>
      <c r="AA237" s="487">
        <f t="shared" ca="1" si="21"/>
        <v>0</v>
      </c>
      <c r="AB237" s="486" t="str">
        <f ca="1">IF('CDO Bespoke'!O238&lt;&gt;"",'CDO Bespoke'!O238,"")</f>
        <v/>
      </c>
      <c r="AC237" s="487" t="str">
        <f ca="1">IF(AB237&lt;&gt;"",ABS(MIN(-0.75*('CDO Bespoke'!K238)+'CDO Bespoke'!T238,0)),"")</f>
        <v/>
      </c>
      <c r="AD237" s="487">
        <f t="shared" ca="1" si="22"/>
        <v>0</v>
      </c>
      <c r="AE237" s="491">
        <f t="shared" ca="1" si="23"/>
        <v>0</v>
      </c>
      <c r="AF237" s="273"/>
      <c r="AG237" s="496" t="str">
        <f ca="1">IF('CDO Bespoke'!C262&lt;&gt;"",'CDO Bespoke'!C262,"")</f>
        <v/>
      </c>
      <c r="AH237" s="498"/>
      <c r="AI237" s="587"/>
      <c r="AJ237" s="587"/>
      <c r="AK237" s="587"/>
      <c r="AL237" s="499"/>
      <c r="AM237" s="498"/>
      <c r="AN237" s="587"/>
      <c r="AO237" s="587"/>
      <c r="AP237" s="587"/>
      <c r="AQ237" s="499"/>
      <c r="AR237" s="582"/>
      <c r="AS237" s="582"/>
      <c r="AT237" s="582"/>
      <c r="AU237" s="582"/>
      <c r="AV237" s="582"/>
      <c r="AW237" s="582"/>
      <c r="AX237" s="581"/>
    </row>
    <row r="238" spans="2:50">
      <c r="B238" s="541" t="s">
        <v>572</v>
      </c>
      <c r="C238" s="542" t="s">
        <v>66</v>
      </c>
      <c r="D238" s="542" t="s">
        <v>55</v>
      </c>
      <c r="E238" s="542" t="s">
        <v>649</v>
      </c>
      <c r="F238" s="542" t="s">
        <v>653</v>
      </c>
      <c r="G238" s="543">
        <v>0.01</v>
      </c>
      <c r="H238" s="543">
        <v>3.751E-3</v>
      </c>
      <c r="I238" s="544">
        <v>0.4</v>
      </c>
      <c r="J238" s="604">
        <v>7</v>
      </c>
      <c r="K238" s="545">
        <v>72</v>
      </c>
      <c r="L238" s="273"/>
      <c r="M238" s="273"/>
      <c r="P238" s="274"/>
      <c r="Q238" s="274"/>
      <c r="R238" s="274"/>
      <c r="S238" s="274"/>
      <c r="T238" s="274"/>
      <c r="U238" s="274"/>
      <c r="V238" s="274"/>
      <c r="W238" s="274"/>
      <c r="X238" s="486" t="str">
        <f ca="1">IF('CDO Bespoke'!O239&lt;&gt;"",'CDO Bespoke'!O239,"")</f>
        <v/>
      </c>
      <c r="Y238" s="487" t="str">
        <f ca="1">IF(X238&lt;&gt;"",ABS(MIN(-0.75*('CDO Bespoke'!Q239)+'CDO Bespoke'!T239,0)),"")</f>
        <v/>
      </c>
      <c r="Z238" s="487">
        <f t="shared" ca="1" si="20"/>
        <v>0</v>
      </c>
      <c r="AA238" s="487">
        <f t="shared" ca="1" si="21"/>
        <v>0</v>
      </c>
      <c r="AB238" s="486" t="str">
        <f ca="1">IF('CDO Bespoke'!O239&lt;&gt;"",'CDO Bespoke'!O239,"")</f>
        <v/>
      </c>
      <c r="AC238" s="487" t="str">
        <f ca="1">IF(AB238&lt;&gt;"",ABS(MIN(-0.75*('CDO Bespoke'!K239)+'CDO Bespoke'!T239,0)),"")</f>
        <v/>
      </c>
      <c r="AD238" s="487">
        <f t="shared" ca="1" si="22"/>
        <v>0</v>
      </c>
      <c r="AE238" s="491">
        <f t="shared" ca="1" si="23"/>
        <v>0</v>
      </c>
      <c r="AF238" s="273"/>
      <c r="AG238" s="496" t="str">
        <f ca="1">IF('CDO Bespoke'!C263&lt;&gt;"",'CDO Bespoke'!C263,"")</f>
        <v/>
      </c>
      <c r="AH238" s="498"/>
      <c r="AI238" s="587"/>
      <c r="AJ238" s="587"/>
      <c r="AK238" s="587"/>
      <c r="AL238" s="499"/>
      <c r="AM238" s="498"/>
      <c r="AN238" s="587"/>
      <c r="AO238" s="587"/>
      <c r="AP238" s="587"/>
      <c r="AQ238" s="499"/>
      <c r="AR238" s="582"/>
      <c r="AS238" s="582"/>
      <c r="AT238" s="582"/>
      <c r="AU238" s="582"/>
      <c r="AV238" s="582"/>
      <c r="AW238" s="582"/>
      <c r="AX238" s="581"/>
    </row>
    <row r="239" spans="2:50">
      <c r="B239" s="519" t="s">
        <v>572</v>
      </c>
      <c r="C239" s="520" t="s">
        <v>66</v>
      </c>
      <c r="D239" s="520" t="s">
        <v>57</v>
      </c>
      <c r="E239" s="520" t="s">
        <v>649</v>
      </c>
      <c r="F239" s="520" t="s">
        <v>653</v>
      </c>
      <c r="G239" s="527">
        <v>0.01</v>
      </c>
      <c r="H239" s="527">
        <v>5.8129999999999996E-3</v>
      </c>
      <c r="I239" s="529">
        <v>0.4</v>
      </c>
      <c r="J239" s="596">
        <v>7</v>
      </c>
      <c r="K239" s="521">
        <v>72</v>
      </c>
      <c r="L239" s="273"/>
      <c r="M239" s="273"/>
      <c r="P239" s="274"/>
      <c r="Q239" s="274"/>
      <c r="R239" s="274"/>
      <c r="S239" s="274"/>
      <c r="T239" s="274"/>
      <c r="U239" s="274"/>
      <c r="V239" s="274"/>
      <c r="W239" s="274"/>
      <c r="X239" s="486" t="str">
        <f ca="1">IF('CDO Bespoke'!O240&lt;&gt;"",'CDO Bespoke'!O240,"")</f>
        <v/>
      </c>
      <c r="Y239" s="487" t="str">
        <f ca="1">IF(X239&lt;&gt;"",ABS(MIN(-0.75*('CDO Bespoke'!Q240)+'CDO Bespoke'!T240,0)),"")</f>
        <v/>
      </c>
      <c r="Z239" s="487">
        <f t="shared" ca="1" si="20"/>
        <v>0</v>
      </c>
      <c r="AA239" s="487">
        <f t="shared" ca="1" si="21"/>
        <v>0</v>
      </c>
      <c r="AB239" s="486" t="str">
        <f ca="1">IF('CDO Bespoke'!O240&lt;&gt;"",'CDO Bespoke'!O240,"")</f>
        <v/>
      </c>
      <c r="AC239" s="487" t="str">
        <f ca="1">IF(AB239&lt;&gt;"",ABS(MIN(-0.75*('CDO Bespoke'!K240)+'CDO Bespoke'!T240,0)),"")</f>
        <v/>
      </c>
      <c r="AD239" s="487">
        <f t="shared" ca="1" si="22"/>
        <v>0</v>
      </c>
      <c r="AE239" s="491">
        <f t="shared" ca="1" si="23"/>
        <v>0</v>
      </c>
      <c r="AF239" s="273"/>
      <c r="AG239" s="496" t="str">
        <f ca="1">IF('CDO Bespoke'!C264&lt;&gt;"",'CDO Bespoke'!C264,"")</f>
        <v/>
      </c>
      <c r="AH239" s="498"/>
      <c r="AI239" s="587"/>
      <c r="AJ239" s="587"/>
      <c r="AK239" s="587"/>
      <c r="AL239" s="499"/>
      <c r="AM239" s="498"/>
      <c r="AN239" s="587"/>
      <c r="AO239" s="587"/>
      <c r="AP239" s="587"/>
      <c r="AQ239" s="499"/>
      <c r="AR239" s="582"/>
      <c r="AS239" s="582"/>
      <c r="AT239" s="582"/>
      <c r="AU239" s="582"/>
      <c r="AV239" s="582"/>
      <c r="AW239" s="582"/>
      <c r="AX239" s="581"/>
    </row>
    <row r="240" spans="2:50">
      <c r="B240" s="536" t="s">
        <v>572</v>
      </c>
      <c r="C240" s="537" t="s">
        <v>66</v>
      </c>
      <c r="D240" s="537" t="s">
        <v>59</v>
      </c>
      <c r="E240" s="537" t="s">
        <v>649</v>
      </c>
      <c r="F240" s="537" t="s">
        <v>653</v>
      </c>
      <c r="G240" s="538">
        <v>0.01</v>
      </c>
      <c r="H240" s="538">
        <v>8.0239999999999999E-3</v>
      </c>
      <c r="I240" s="539">
        <v>0.4</v>
      </c>
      <c r="J240" s="597">
        <v>7</v>
      </c>
      <c r="K240" s="540">
        <v>72</v>
      </c>
      <c r="L240" s="273"/>
      <c r="M240" s="273"/>
      <c r="P240" s="274"/>
      <c r="Q240" s="274"/>
      <c r="R240" s="274"/>
      <c r="S240" s="274"/>
      <c r="T240" s="274"/>
      <c r="U240" s="274"/>
      <c r="V240" s="274"/>
      <c r="W240" s="274"/>
      <c r="X240" s="486" t="str">
        <f ca="1">IF('CDO Bespoke'!O241&lt;&gt;"",'CDO Bespoke'!O241,"")</f>
        <v/>
      </c>
      <c r="Y240" s="487" t="str">
        <f ca="1">IF(X240&lt;&gt;"",ABS(MIN(-0.75*('CDO Bespoke'!Q241)+'CDO Bespoke'!T241,0)),"")</f>
        <v/>
      </c>
      <c r="Z240" s="487">
        <f t="shared" ca="1" si="20"/>
        <v>0</v>
      </c>
      <c r="AA240" s="487">
        <f t="shared" ca="1" si="21"/>
        <v>0</v>
      </c>
      <c r="AB240" s="486" t="str">
        <f ca="1">IF('CDO Bespoke'!O241&lt;&gt;"",'CDO Bespoke'!O241,"")</f>
        <v/>
      </c>
      <c r="AC240" s="487" t="str">
        <f ca="1">IF(AB240&lt;&gt;"",ABS(MIN(-0.75*('CDO Bespoke'!K241)+'CDO Bespoke'!T241,0)),"")</f>
        <v/>
      </c>
      <c r="AD240" s="487">
        <f t="shared" ca="1" si="22"/>
        <v>0</v>
      </c>
      <c r="AE240" s="491">
        <f t="shared" ca="1" si="23"/>
        <v>0</v>
      </c>
      <c r="AF240" s="273"/>
      <c r="AG240" s="496" t="str">
        <f ca="1">IF('CDO Bespoke'!C265&lt;&gt;"",'CDO Bespoke'!C265,"")</f>
        <v/>
      </c>
      <c r="AH240" s="498"/>
      <c r="AI240" s="587"/>
      <c r="AJ240" s="587"/>
      <c r="AK240" s="587"/>
      <c r="AL240" s="499"/>
      <c r="AM240" s="498"/>
      <c r="AN240" s="587"/>
      <c r="AO240" s="587"/>
      <c r="AP240" s="587"/>
      <c r="AQ240" s="499"/>
      <c r="AR240" s="582"/>
      <c r="AS240" s="582"/>
      <c r="AT240" s="582"/>
      <c r="AU240" s="582"/>
      <c r="AV240" s="582"/>
      <c r="AW240" s="582"/>
      <c r="AX240" s="581"/>
    </row>
    <row r="241" spans="2:50">
      <c r="B241" s="541" t="s">
        <v>573</v>
      </c>
      <c r="C241" s="542" t="s">
        <v>66</v>
      </c>
      <c r="D241" s="542" t="s">
        <v>55</v>
      </c>
      <c r="E241" s="542" t="s">
        <v>649</v>
      </c>
      <c r="F241" s="542" t="s">
        <v>653</v>
      </c>
      <c r="G241" s="543">
        <v>0.01</v>
      </c>
      <c r="H241" s="543">
        <v>2.993E-3</v>
      </c>
      <c r="I241" s="544">
        <v>0.4</v>
      </c>
      <c r="J241" s="604">
        <v>7</v>
      </c>
      <c r="K241" s="545">
        <v>73</v>
      </c>
      <c r="L241" s="273"/>
      <c r="M241" s="273"/>
      <c r="P241" s="274"/>
      <c r="Q241" s="274"/>
      <c r="R241" s="274"/>
      <c r="S241" s="274"/>
      <c r="T241" s="274"/>
      <c r="U241" s="274"/>
      <c r="V241" s="274"/>
      <c r="W241" s="274"/>
      <c r="X241" s="486" t="str">
        <f ca="1">IF('CDO Bespoke'!O242&lt;&gt;"",'CDO Bespoke'!O242,"")</f>
        <v/>
      </c>
      <c r="Y241" s="487" t="str">
        <f ca="1">IF(X241&lt;&gt;"",ABS(MIN(-0.75*('CDO Bespoke'!Q242)+'CDO Bespoke'!T242,0)),"")</f>
        <v/>
      </c>
      <c r="Z241" s="487">
        <f t="shared" ca="1" si="20"/>
        <v>0</v>
      </c>
      <c r="AA241" s="487">
        <f t="shared" ca="1" si="21"/>
        <v>0</v>
      </c>
      <c r="AB241" s="486" t="str">
        <f ca="1">IF('CDO Bespoke'!O242&lt;&gt;"",'CDO Bespoke'!O242,"")</f>
        <v/>
      </c>
      <c r="AC241" s="487" t="str">
        <f ca="1">IF(AB241&lt;&gt;"",ABS(MIN(-0.75*('CDO Bespoke'!K242)+'CDO Bespoke'!T242,0)),"")</f>
        <v/>
      </c>
      <c r="AD241" s="487">
        <f t="shared" ca="1" si="22"/>
        <v>0</v>
      </c>
      <c r="AE241" s="491">
        <f t="shared" ca="1" si="23"/>
        <v>0</v>
      </c>
      <c r="AF241" s="273"/>
      <c r="AG241" s="496" t="str">
        <f ca="1">IF('CDO Bespoke'!C266&lt;&gt;"",'CDO Bespoke'!C266,"")</f>
        <v/>
      </c>
      <c r="AH241" s="498"/>
      <c r="AI241" s="587"/>
      <c r="AJ241" s="587"/>
      <c r="AK241" s="587"/>
      <c r="AL241" s="499"/>
      <c r="AM241" s="498"/>
      <c r="AN241" s="587"/>
      <c r="AO241" s="587"/>
      <c r="AP241" s="587"/>
      <c r="AQ241" s="499"/>
      <c r="AR241" s="582"/>
      <c r="AS241" s="582"/>
      <c r="AT241" s="582"/>
      <c r="AU241" s="582"/>
      <c r="AV241" s="582"/>
      <c r="AW241" s="582"/>
      <c r="AX241" s="581"/>
    </row>
    <row r="242" spans="2:50">
      <c r="B242" s="519" t="s">
        <v>573</v>
      </c>
      <c r="C242" s="520" t="s">
        <v>66</v>
      </c>
      <c r="D242" s="520" t="s">
        <v>57</v>
      </c>
      <c r="E242" s="520" t="s">
        <v>649</v>
      </c>
      <c r="F242" s="520" t="s">
        <v>653</v>
      </c>
      <c r="G242" s="527">
        <v>0.01</v>
      </c>
      <c r="H242" s="527">
        <v>4.7149999999999996E-3</v>
      </c>
      <c r="I242" s="529">
        <v>0.4</v>
      </c>
      <c r="J242" s="596">
        <v>7</v>
      </c>
      <c r="K242" s="521">
        <v>73</v>
      </c>
      <c r="L242" s="273"/>
      <c r="M242" s="273"/>
      <c r="P242" s="274"/>
      <c r="Q242" s="274"/>
      <c r="R242" s="274"/>
      <c r="S242" s="274"/>
      <c r="T242" s="274"/>
      <c r="U242" s="274"/>
      <c r="V242" s="274"/>
      <c r="W242" s="274"/>
      <c r="X242" s="486" t="str">
        <f ca="1">IF('CDO Bespoke'!O243&lt;&gt;"",'CDO Bespoke'!O243,"")</f>
        <v/>
      </c>
      <c r="Y242" s="487" t="str">
        <f ca="1">IF(X242&lt;&gt;"",ABS(MIN(-0.75*('CDO Bespoke'!Q243)+'CDO Bespoke'!T243,0)),"")</f>
        <v/>
      </c>
      <c r="Z242" s="487">
        <f t="shared" ca="1" si="20"/>
        <v>0</v>
      </c>
      <c r="AA242" s="487">
        <f t="shared" ca="1" si="21"/>
        <v>0</v>
      </c>
      <c r="AB242" s="486" t="str">
        <f ca="1">IF('CDO Bespoke'!O243&lt;&gt;"",'CDO Bespoke'!O243,"")</f>
        <v/>
      </c>
      <c r="AC242" s="487" t="str">
        <f ca="1">IF(AB242&lt;&gt;"",ABS(MIN(-0.75*('CDO Bespoke'!K243)+'CDO Bespoke'!T243,0)),"")</f>
        <v/>
      </c>
      <c r="AD242" s="487">
        <f t="shared" ca="1" si="22"/>
        <v>0</v>
      </c>
      <c r="AE242" s="491">
        <f t="shared" ca="1" si="23"/>
        <v>0</v>
      </c>
      <c r="AF242" s="273"/>
      <c r="AG242" s="496" t="str">
        <f ca="1">IF('CDO Bespoke'!C267&lt;&gt;"",'CDO Bespoke'!C267,"")</f>
        <v/>
      </c>
      <c r="AH242" s="498"/>
      <c r="AI242" s="587"/>
      <c r="AJ242" s="587"/>
      <c r="AK242" s="587"/>
      <c r="AL242" s="499"/>
      <c r="AM242" s="498"/>
      <c r="AN242" s="587"/>
      <c r="AO242" s="587"/>
      <c r="AP242" s="587"/>
      <c r="AQ242" s="499"/>
      <c r="AR242" s="582"/>
      <c r="AS242" s="582"/>
      <c r="AT242" s="582"/>
      <c r="AU242" s="582"/>
      <c r="AV242" s="582"/>
      <c r="AW242" s="582"/>
      <c r="AX242" s="581"/>
    </row>
    <row r="243" spans="2:50">
      <c r="B243" s="536" t="s">
        <v>573</v>
      </c>
      <c r="C243" s="537" t="s">
        <v>66</v>
      </c>
      <c r="D243" s="537" t="s">
        <v>59</v>
      </c>
      <c r="E243" s="537" t="s">
        <v>649</v>
      </c>
      <c r="F243" s="537" t="s">
        <v>653</v>
      </c>
      <c r="G243" s="538">
        <v>0.01</v>
      </c>
      <c r="H243" s="538">
        <v>6.6360000000000004E-3</v>
      </c>
      <c r="I243" s="539">
        <v>0.4</v>
      </c>
      <c r="J243" s="597">
        <v>7</v>
      </c>
      <c r="K243" s="540">
        <v>73</v>
      </c>
      <c r="L243" s="273"/>
      <c r="M243" s="273"/>
      <c r="P243" s="274"/>
      <c r="Q243" s="274"/>
      <c r="R243" s="274"/>
      <c r="S243" s="274"/>
      <c r="T243" s="274"/>
      <c r="U243" s="274"/>
      <c r="V243" s="274"/>
      <c r="W243" s="274"/>
      <c r="X243" s="486" t="str">
        <f ca="1">IF('CDO Bespoke'!O244&lt;&gt;"",'CDO Bespoke'!O244,"")</f>
        <v/>
      </c>
      <c r="Y243" s="487" t="str">
        <f ca="1">IF(X243&lt;&gt;"",ABS(MIN(-0.75*('CDO Bespoke'!Q244)+'CDO Bespoke'!T244,0)),"")</f>
        <v/>
      </c>
      <c r="Z243" s="487">
        <f t="shared" ca="1" si="20"/>
        <v>0</v>
      </c>
      <c r="AA243" s="487">
        <f t="shared" ca="1" si="21"/>
        <v>0</v>
      </c>
      <c r="AB243" s="486" t="str">
        <f ca="1">IF('CDO Bespoke'!O244&lt;&gt;"",'CDO Bespoke'!O244,"")</f>
        <v/>
      </c>
      <c r="AC243" s="487" t="str">
        <f ca="1">IF(AB243&lt;&gt;"",ABS(MIN(-0.75*('CDO Bespoke'!K244)+'CDO Bespoke'!T244,0)),"")</f>
        <v/>
      </c>
      <c r="AD243" s="487">
        <f t="shared" ca="1" si="22"/>
        <v>0</v>
      </c>
      <c r="AE243" s="491">
        <f t="shared" ca="1" si="23"/>
        <v>0</v>
      </c>
      <c r="AF243" s="273"/>
      <c r="AG243" s="496" t="str">
        <f ca="1">IF('CDO Bespoke'!C268&lt;&gt;"",'CDO Bespoke'!C268,"")</f>
        <v/>
      </c>
      <c r="AH243" s="498"/>
      <c r="AI243" s="587"/>
      <c r="AJ243" s="587"/>
      <c r="AK243" s="587"/>
      <c r="AL243" s="499"/>
      <c r="AM243" s="498"/>
      <c r="AN243" s="587"/>
      <c r="AO243" s="587"/>
      <c r="AP243" s="587"/>
      <c r="AQ243" s="499"/>
      <c r="AR243" s="582"/>
      <c r="AS243" s="582"/>
      <c r="AT243" s="582"/>
      <c r="AU243" s="582"/>
      <c r="AV243" s="582"/>
      <c r="AW243" s="582"/>
      <c r="AX243" s="581"/>
    </row>
    <row r="244" spans="2:50">
      <c r="B244" s="541" t="s">
        <v>574</v>
      </c>
      <c r="C244" s="542" t="s">
        <v>66</v>
      </c>
      <c r="D244" s="542" t="s">
        <v>55</v>
      </c>
      <c r="E244" s="542" t="s">
        <v>649</v>
      </c>
      <c r="F244" s="542" t="s">
        <v>652</v>
      </c>
      <c r="G244" s="543">
        <v>0.01</v>
      </c>
      <c r="H244" s="543">
        <v>4.0020000000000003E-3</v>
      </c>
      <c r="I244" s="544">
        <v>0.4</v>
      </c>
      <c r="J244" s="604">
        <v>4</v>
      </c>
      <c r="K244" s="545">
        <v>74</v>
      </c>
      <c r="L244" s="273"/>
      <c r="M244" s="273"/>
      <c r="P244" s="274"/>
      <c r="Q244" s="274"/>
      <c r="R244" s="274"/>
      <c r="S244" s="274"/>
      <c r="T244" s="274"/>
      <c r="U244" s="274"/>
      <c r="V244" s="274"/>
      <c r="W244" s="274"/>
      <c r="X244" s="486" t="str">
        <f ca="1">IF('CDO Bespoke'!O245&lt;&gt;"",'CDO Bespoke'!O245,"")</f>
        <v/>
      </c>
      <c r="Y244" s="487" t="str">
        <f ca="1">IF(X244&lt;&gt;"",ABS(MIN(-0.75*('CDO Bespoke'!Q245)+'CDO Bespoke'!T245,0)),"")</f>
        <v/>
      </c>
      <c r="Z244" s="487">
        <f t="shared" ca="1" si="20"/>
        <v>0</v>
      </c>
      <c r="AA244" s="487">
        <f t="shared" ca="1" si="21"/>
        <v>0</v>
      </c>
      <c r="AB244" s="486" t="str">
        <f ca="1">IF('CDO Bespoke'!O245&lt;&gt;"",'CDO Bespoke'!O245,"")</f>
        <v/>
      </c>
      <c r="AC244" s="487" t="str">
        <f ca="1">IF(AB244&lt;&gt;"",ABS(MIN(-0.75*('CDO Bespoke'!K245)+'CDO Bespoke'!T245,0)),"")</f>
        <v/>
      </c>
      <c r="AD244" s="487">
        <f t="shared" ca="1" si="22"/>
        <v>0</v>
      </c>
      <c r="AE244" s="491">
        <f t="shared" ca="1" si="23"/>
        <v>0</v>
      </c>
      <c r="AF244" s="273"/>
      <c r="AG244" s="496" t="str">
        <f ca="1">IF('CDO Bespoke'!C269&lt;&gt;"",'CDO Bespoke'!C269,"")</f>
        <v/>
      </c>
      <c r="AH244" s="498"/>
      <c r="AI244" s="587"/>
      <c r="AJ244" s="587"/>
      <c r="AK244" s="587"/>
      <c r="AL244" s="499"/>
      <c r="AM244" s="498"/>
      <c r="AN244" s="587"/>
      <c r="AO244" s="587"/>
      <c r="AP244" s="587"/>
      <c r="AQ244" s="499"/>
      <c r="AR244" s="582"/>
      <c r="AS244" s="582"/>
      <c r="AT244" s="582"/>
      <c r="AU244" s="582"/>
      <c r="AV244" s="582"/>
      <c r="AW244" s="582"/>
      <c r="AX244" s="581"/>
    </row>
    <row r="245" spans="2:50">
      <c r="B245" s="519" t="s">
        <v>574</v>
      </c>
      <c r="C245" s="520" t="s">
        <v>66</v>
      </c>
      <c r="D245" s="520" t="s">
        <v>57</v>
      </c>
      <c r="E245" s="520" t="s">
        <v>649</v>
      </c>
      <c r="F245" s="520" t="s">
        <v>652</v>
      </c>
      <c r="G245" s="527">
        <v>0.01</v>
      </c>
      <c r="H245" s="527">
        <v>6.0629999999999998E-3</v>
      </c>
      <c r="I245" s="529">
        <v>0.4</v>
      </c>
      <c r="J245" s="596">
        <v>4</v>
      </c>
      <c r="K245" s="521">
        <v>74</v>
      </c>
      <c r="L245" s="273"/>
      <c r="M245" s="273"/>
      <c r="P245" s="274"/>
      <c r="Q245" s="274"/>
      <c r="R245" s="274"/>
      <c r="S245" s="274"/>
      <c r="T245" s="274"/>
      <c r="U245" s="274"/>
      <c r="V245" s="274"/>
      <c r="W245" s="274"/>
      <c r="X245" s="486" t="str">
        <f ca="1">IF('CDO Bespoke'!O246&lt;&gt;"",'CDO Bespoke'!O246,"")</f>
        <v/>
      </c>
      <c r="Y245" s="487" t="str">
        <f ca="1">IF(X245&lt;&gt;"",ABS(MIN(-0.75*('CDO Bespoke'!Q246)+'CDO Bespoke'!T246,0)),"")</f>
        <v/>
      </c>
      <c r="Z245" s="487">
        <f t="shared" ca="1" si="20"/>
        <v>0</v>
      </c>
      <c r="AA245" s="487">
        <f t="shared" ca="1" si="21"/>
        <v>0</v>
      </c>
      <c r="AB245" s="486" t="str">
        <f ca="1">IF('CDO Bespoke'!O246&lt;&gt;"",'CDO Bespoke'!O246,"")</f>
        <v/>
      </c>
      <c r="AC245" s="487" t="str">
        <f ca="1">IF(AB245&lt;&gt;"",ABS(MIN(-0.75*('CDO Bespoke'!K246)+'CDO Bespoke'!T246,0)),"")</f>
        <v/>
      </c>
      <c r="AD245" s="487">
        <f t="shared" ca="1" si="22"/>
        <v>0</v>
      </c>
      <c r="AE245" s="491">
        <f t="shared" ca="1" si="23"/>
        <v>0</v>
      </c>
      <c r="AF245" s="273"/>
      <c r="AG245" s="496" t="str">
        <f ca="1">IF('CDO Bespoke'!C270&lt;&gt;"",'CDO Bespoke'!C270,"")</f>
        <v/>
      </c>
      <c r="AH245" s="498"/>
      <c r="AI245" s="587"/>
      <c r="AJ245" s="587"/>
      <c r="AK245" s="587"/>
      <c r="AL245" s="499"/>
      <c r="AM245" s="498"/>
      <c r="AN245" s="587"/>
      <c r="AO245" s="587"/>
      <c r="AP245" s="587"/>
      <c r="AQ245" s="499"/>
      <c r="AR245" s="582"/>
      <c r="AS245" s="582"/>
      <c r="AT245" s="582"/>
      <c r="AU245" s="582"/>
      <c r="AV245" s="582"/>
      <c r="AW245" s="582"/>
      <c r="AX245" s="581"/>
    </row>
    <row r="246" spans="2:50">
      <c r="B246" s="536" t="s">
        <v>574</v>
      </c>
      <c r="C246" s="537" t="s">
        <v>66</v>
      </c>
      <c r="D246" s="537" t="s">
        <v>59</v>
      </c>
      <c r="E246" s="537" t="s">
        <v>649</v>
      </c>
      <c r="F246" s="537" t="s">
        <v>652</v>
      </c>
      <c r="G246" s="538">
        <v>0.01</v>
      </c>
      <c r="H246" s="538">
        <v>8.3820000000000006E-3</v>
      </c>
      <c r="I246" s="539">
        <v>0.4</v>
      </c>
      <c r="J246" s="597">
        <v>4</v>
      </c>
      <c r="K246" s="540">
        <v>74</v>
      </c>
      <c r="L246" s="273"/>
      <c r="M246" s="273"/>
      <c r="P246" s="274"/>
      <c r="Q246" s="274"/>
      <c r="R246" s="274"/>
      <c r="S246" s="274"/>
      <c r="T246" s="274"/>
      <c r="U246" s="274"/>
      <c r="V246" s="274"/>
      <c r="W246" s="274"/>
      <c r="X246" s="486" t="str">
        <f ca="1">IF('CDO Bespoke'!O247&lt;&gt;"",'CDO Bespoke'!O247,"")</f>
        <v/>
      </c>
      <c r="Y246" s="487" t="str">
        <f ca="1">IF(X246&lt;&gt;"",ABS(MIN(-0.75*('CDO Bespoke'!Q247)+'CDO Bespoke'!T247,0)),"")</f>
        <v/>
      </c>
      <c r="Z246" s="487">
        <f t="shared" ca="1" si="20"/>
        <v>0</v>
      </c>
      <c r="AA246" s="487">
        <f t="shared" ca="1" si="21"/>
        <v>0</v>
      </c>
      <c r="AB246" s="486" t="str">
        <f ca="1">IF('CDO Bespoke'!O247&lt;&gt;"",'CDO Bespoke'!O247,"")</f>
        <v/>
      </c>
      <c r="AC246" s="487" t="str">
        <f ca="1">IF(AB246&lt;&gt;"",ABS(MIN(-0.75*('CDO Bespoke'!K247)+'CDO Bespoke'!T247,0)),"")</f>
        <v/>
      </c>
      <c r="AD246" s="487">
        <f t="shared" ca="1" si="22"/>
        <v>0</v>
      </c>
      <c r="AE246" s="491">
        <f t="shared" ca="1" si="23"/>
        <v>0</v>
      </c>
      <c r="AF246" s="273"/>
      <c r="AG246" s="496" t="str">
        <f ca="1">IF('CDO Bespoke'!C271&lt;&gt;"",'CDO Bespoke'!C271,"")</f>
        <v/>
      </c>
      <c r="AH246" s="498"/>
      <c r="AI246" s="587"/>
      <c r="AJ246" s="587"/>
      <c r="AK246" s="587"/>
      <c r="AL246" s="499"/>
      <c r="AM246" s="498"/>
      <c r="AN246" s="587"/>
      <c r="AO246" s="587"/>
      <c r="AP246" s="587"/>
      <c r="AQ246" s="499"/>
      <c r="AR246" s="582"/>
      <c r="AS246" s="582"/>
      <c r="AT246" s="582"/>
      <c r="AU246" s="582"/>
      <c r="AV246" s="582"/>
      <c r="AW246" s="582"/>
      <c r="AX246" s="581"/>
    </row>
    <row r="247" spans="2:50">
      <c r="B247" s="541" t="s">
        <v>579</v>
      </c>
      <c r="C247" s="542" t="s">
        <v>66</v>
      </c>
      <c r="D247" s="542" t="s">
        <v>55</v>
      </c>
      <c r="E247" s="542" t="s">
        <v>651</v>
      </c>
      <c r="F247" s="542" t="s">
        <v>652</v>
      </c>
      <c r="G247" s="543">
        <v>0.01</v>
      </c>
      <c r="H247" s="543">
        <v>1.9380000000000001E-3</v>
      </c>
      <c r="I247" s="544">
        <v>0.4</v>
      </c>
      <c r="J247" s="604">
        <v>4</v>
      </c>
      <c r="K247" s="545">
        <v>75</v>
      </c>
      <c r="L247" s="273"/>
      <c r="M247" s="273"/>
      <c r="P247" s="274"/>
      <c r="Q247" s="274"/>
      <c r="R247" s="274"/>
      <c r="S247" s="274"/>
      <c r="T247" s="274"/>
      <c r="U247" s="274"/>
      <c r="V247" s="274"/>
      <c r="W247" s="274"/>
      <c r="X247" s="486" t="str">
        <f ca="1">IF('CDO Bespoke'!O248&lt;&gt;"",'CDO Bespoke'!O248,"")</f>
        <v/>
      </c>
      <c r="Y247" s="487" t="str">
        <f ca="1">IF(X247&lt;&gt;"",ABS(MIN(-0.75*('CDO Bespoke'!Q248)+'CDO Bespoke'!T248,0)),"")</f>
        <v/>
      </c>
      <c r="Z247" s="487">
        <f t="shared" ca="1" si="20"/>
        <v>0</v>
      </c>
      <c r="AA247" s="487">
        <f t="shared" ca="1" si="21"/>
        <v>0</v>
      </c>
      <c r="AB247" s="486" t="str">
        <f ca="1">IF('CDO Bespoke'!O248&lt;&gt;"",'CDO Bespoke'!O248,"")</f>
        <v/>
      </c>
      <c r="AC247" s="487" t="str">
        <f ca="1">IF(AB247&lt;&gt;"",ABS(MIN(-0.75*('CDO Bespoke'!K248)+'CDO Bespoke'!T248,0)),"")</f>
        <v/>
      </c>
      <c r="AD247" s="487">
        <f t="shared" ca="1" si="22"/>
        <v>0</v>
      </c>
      <c r="AE247" s="491">
        <f t="shared" ca="1" si="23"/>
        <v>0</v>
      </c>
      <c r="AF247" s="273"/>
      <c r="AG247" s="496" t="str">
        <f ca="1">IF('CDO Bespoke'!C272&lt;&gt;"",'CDO Bespoke'!C272,"")</f>
        <v/>
      </c>
      <c r="AH247" s="498"/>
      <c r="AI247" s="587"/>
      <c r="AJ247" s="587"/>
      <c r="AK247" s="587"/>
      <c r="AL247" s="499"/>
      <c r="AM247" s="498"/>
      <c r="AN247" s="587"/>
      <c r="AO247" s="587"/>
      <c r="AP247" s="587"/>
      <c r="AQ247" s="499"/>
      <c r="AR247" s="582"/>
      <c r="AS247" s="582"/>
      <c r="AT247" s="582"/>
      <c r="AU247" s="582"/>
      <c r="AV247" s="582"/>
      <c r="AW247" s="582"/>
      <c r="AX247" s="581"/>
    </row>
    <row r="248" spans="2:50">
      <c r="B248" s="519" t="s">
        <v>579</v>
      </c>
      <c r="C248" s="520" t="s">
        <v>66</v>
      </c>
      <c r="D248" s="520" t="s">
        <v>57</v>
      </c>
      <c r="E248" s="520" t="s">
        <v>651</v>
      </c>
      <c r="F248" s="520" t="s">
        <v>652</v>
      </c>
      <c r="G248" s="527">
        <v>0.01</v>
      </c>
      <c r="H248" s="527">
        <v>3.1410000000000001E-3</v>
      </c>
      <c r="I248" s="529">
        <v>0.4</v>
      </c>
      <c r="J248" s="596">
        <v>4</v>
      </c>
      <c r="K248" s="521">
        <v>75</v>
      </c>
      <c r="L248" s="273"/>
      <c r="M248" s="273"/>
      <c r="P248" s="274"/>
      <c r="Q248" s="274"/>
      <c r="R248" s="274"/>
      <c r="S248" s="274"/>
      <c r="T248" s="274"/>
      <c r="U248" s="274"/>
      <c r="V248" s="274"/>
      <c r="W248" s="274"/>
      <c r="X248" s="486" t="str">
        <f ca="1">IF('CDO Bespoke'!O249&lt;&gt;"",'CDO Bespoke'!O249,"")</f>
        <v/>
      </c>
      <c r="Y248" s="487" t="str">
        <f ca="1">IF(X248&lt;&gt;"",ABS(MIN(-0.75*('CDO Bespoke'!Q249)+'CDO Bespoke'!T249,0)),"")</f>
        <v/>
      </c>
      <c r="Z248" s="487">
        <f t="shared" ca="1" si="20"/>
        <v>0</v>
      </c>
      <c r="AA248" s="487">
        <f t="shared" ca="1" si="21"/>
        <v>0</v>
      </c>
      <c r="AB248" s="486" t="str">
        <f ca="1">IF('CDO Bespoke'!O249&lt;&gt;"",'CDO Bespoke'!O249,"")</f>
        <v/>
      </c>
      <c r="AC248" s="487" t="str">
        <f ca="1">IF(AB248&lt;&gt;"",ABS(MIN(-0.75*('CDO Bespoke'!K249)+'CDO Bespoke'!T249,0)),"")</f>
        <v/>
      </c>
      <c r="AD248" s="487">
        <f t="shared" ca="1" si="22"/>
        <v>0</v>
      </c>
      <c r="AE248" s="491">
        <f t="shared" ca="1" si="23"/>
        <v>0</v>
      </c>
      <c r="AF248" s="273"/>
      <c r="AG248" s="496" t="str">
        <f ca="1">IF('CDO Bespoke'!C273&lt;&gt;"",'CDO Bespoke'!C273,"")</f>
        <v/>
      </c>
      <c r="AH248" s="498"/>
      <c r="AI248" s="587"/>
      <c r="AJ248" s="587"/>
      <c r="AK248" s="587"/>
      <c r="AL248" s="499"/>
      <c r="AM248" s="498"/>
      <c r="AN248" s="587"/>
      <c r="AO248" s="587"/>
      <c r="AP248" s="587"/>
      <c r="AQ248" s="499"/>
      <c r="AR248" s="582"/>
      <c r="AS248" s="582"/>
      <c r="AT248" s="582"/>
      <c r="AU248" s="582"/>
      <c r="AV248" s="582"/>
      <c r="AW248" s="582"/>
      <c r="AX248" s="581"/>
    </row>
    <row r="249" spans="2:50">
      <c r="B249" s="536" t="s">
        <v>579</v>
      </c>
      <c r="C249" s="537" t="s">
        <v>66</v>
      </c>
      <c r="D249" s="537" t="s">
        <v>59</v>
      </c>
      <c r="E249" s="537" t="s">
        <v>651</v>
      </c>
      <c r="F249" s="537" t="s">
        <v>652</v>
      </c>
      <c r="G249" s="538">
        <v>0.01</v>
      </c>
      <c r="H249" s="538">
        <v>4.7060000000000001E-3</v>
      </c>
      <c r="I249" s="539">
        <v>0.4</v>
      </c>
      <c r="J249" s="597">
        <v>4</v>
      </c>
      <c r="K249" s="540">
        <v>75</v>
      </c>
      <c r="L249" s="273"/>
      <c r="M249" s="273"/>
      <c r="P249" s="274"/>
      <c r="Q249" s="274"/>
      <c r="R249" s="274"/>
      <c r="S249" s="274"/>
      <c r="T249" s="274"/>
      <c r="U249" s="274"/>
      <c r="V249" s="274"/>
      <c r="W249" s="274"/>
      <c r="X249" s="486" t="str">
        <f ca="1">IF('CDO Bespoke'!O250&lt;&gt;"",'CDO Bespoke'!O250,"")</f>
        <v/>
      </c>
      <c r="Y249" s="487" t="str">
        <f ca="1">IF(X249&lt;&gt;"",ABS(MIN(-0.75*('CDO Bespoke'!Q250)+'CDO Bespoke'!T250,0)),"")</f>
        <v/>
      </c>
      <c r="Z249" s="487">
        <f t="shared" ca="1" si="20"/>
        <v>0</v>
      </c>
      <c r="AA249" s="487">
        <f t="shared" ca="1" si="21"/>
        <v>0</v>
      </c>
      <c r="AB249" s="486" t="str">
        <f ca="1">IF('CDO Bespoke'!O250&lt;&gt;"",'CDO Bespoke'!O250,"")</f>
        <v/>
      </c>
      <c r="AC249" s="487" t="str">
        <f ca="1">IF(AB249&lt;&gt;"",ABS(MIN(-0.75*('CDO Bespoke'!K250)+'CDO Bespoke'!T250,0)),"")</f>
        <v/>
      </c>
      <c r="AD249" s="487">
        <f t="shared" ca="1" si="22"/>
        <v>0</v>
      </c>
      <c r="AE249" s="491">
        <f t="shared" ca="1" si="23"/>
        <v>0</v>
      </c>
      <c r="AF249" s="273"/>
      <c r="AG249" s="496" t="str">
        <f ca="1">IF('CDO Bespoke'!C274&lt;&gt;"",'CDO Bespoke'!C274,"")</f>
        <v/>
      </c>
      <c r="AH249" s="498"/>
      <c r="AI249" s="587"/>
      <c r="AJ249" s="587"/>
      <c r="AK249" s="587"/>
      <c r="AL249" s="499"/>
      <c r="AM249" s="498"/>
      <c r="AN249" s="587"/>
      <c r="AO249" s="587"/>
      <c r="AP249" s="587"/>
      <c r="AQ249" s="499"/>
      <c r="AR249" s="582"/>
      <c r="AS249" s="582"/>
      <c r="AT249" s="582"/>
      <c r="AU249" s="582"/>
      <c r="AV249" s="582"/>
      <c r="AW249" s="582"/>
      <c r="AX249" s="581"/>
    </row>
    <row r="250" spans="2:50">
      <c r="B250" s="541" t="s">
        <v>580</v>
      </c>
      <c r="C250" s="542" t="s">
        <v>66</v>
      </c>
      <c r="D250" s="542" t="s">
        <v>55</v>
      </c>
      <c r="E250" s="542" t="s">
        <v>647</v>
      </c>
      <c r="F250" s="542" t="s">
        <v>652</v>
      </c>
      <c r="G250" s="543">
        <v>0.01</v>
      </c>
      <c r="H250" s="543">
        <v>1.7650000000000001E-3</v>
      </c>
      <c r="I250" s="544">
        <v>0.4</v>
      </c>
      <c r="J250" s="604">
        <v>4</v>
      </c>
      <c r="K250" s="545">
        <v>76</v>
      </c>
      <c r="L250" s="273"/>
      <c r="M250" s="273"/>
      <c r="P250" s="274"/>
      <c r="Q250" s="274"/>
      <c r="R250" s="274"/>
      <c r="S250" s="274"/>
      <c r="T250" s="274"/>
      <c r="U250" s="274"/>
      <c r="V250" s="274"/>
      <c r="W250" s="274"/>
      <c r="X250" s="486" t="str">
        <f ca="1">IF('CDO Bespoke'!O251&lt;&gt;"",'CDO Bespoke'!O251,"")</f>
        <v/>
      </c>
      <c r="Y250" s="487" t="str">
        <f ca="1">IF(X250&lt;&gt;"",ABS(MIN(-0.75*('CDO Bespoke'!Q251)+'CDO Bespoke'!T251,0)),"")</f>
        <v/>
      </c>
      <c r="Z250" s="487">
        <f t="shared" ca="1" si="20"/>
        <v>0</v>
      </c>
      <c r="AA250" s="487">
        <f t="shared" ca="1" si="21"/>
        <v>0</v>
      </c>
      <c r="AB250" s="486" t="str">
        <f ca="1">IF('CDO Bespoke'!O251&lt;&gt;"",'CDO Bespoke'!O251,"")</f>
        <v/>
      </c>
      <c r="AC250" s="487" t="str">
        <f ca="1">IF(AB250&lt;&gt;"",ABS(MIN(-0.75*('CDO Bespoke'!K251)+'CDO Bespoke'!T251,0)),"")</f>
        <v/>
      </c>
      <c r="AD250" s="487">
        <f t="shared" ca="1" si="22"/>
        <v>0</v>
      </c>
      <c r="AE250" s="491">
        <f t="shared" ca="1" si="23"/>
        <v>0</v>
      </c>
      <c r="AF250" s="273"/>
      <c r="AG250" s="496" t="str">
        <f ca="1">IF('CDO Bespoke'!C275&lt;&gt;"",'CDO Bespoke'!C275,"")</f>
        <v/>
      </c>
      <c r="AH250" s="498"/>
      <c r="AI250" s="587"/>
      <c r="AJ250" s="587"/>
      <c r="AK250" s="587"/>
      <c r="AL250" s="499"/>
      <c r="AM250" s="498"/>
      <c r="AN250" s="587"/>
      <c r="AO250" s="587"/>
      <c r="AP250" s="587"/>
      <c r="AQ250" s="499"/>
      <c r="AR250" s="582"/>
      <c r="AS250" s="582"/>
      <c r="AT250" s="582"/>
      <c r="AU250" s="582"/>
      <c r="AV250" s="582"/>
      <c r="AW250" s="582"/>
      <c r="AX250" s="581"/>
    </row>
    <row r="251" spans="2:50">
      <c r="B251" s="519" t="s">
        <v>580</v>
      </c>
      <c r="C251" s="520" t="s">
        <v>66</v>
      </c>
      <c r="D251" s="520" t="s">
        <v>57</v>
      </c>
      <c r="E251" s="520" t="s">
        <v>647</v>
      </c>
      <c r="F251" s="520" t="s">
        <v>652</v>
      </c>
      <c r="G251" s="527">
        <v>0.01</v>
      </c>
      <c r="H251" s="527">
        <v>2.9750000000000002E-3</v>
      </c>
      <c r="I251" s="529">
        <v>0.4</v>
      </c>
      <c r="J251" s="596">
        <v>4</v>
      </c>
      <c r="K251" s="521">
        <v>76</v>
      </c>
      <c r="L251" s="273"/>
      <c r="M251" s="273"/>
      <c r="P251" s="274"/>
      <c r="Q251" s="274"/>
      <c r="R251" s="274"/>
      <c r="S251" s="274"/>
      <c r="T251" s="274"/>
      <c r="U251" s="274"/>
      <c r="V251" s="274"/>
      <c r="W251" s="274"/>
      <c r="X251" s="486" t="str">
        <f ca="1">IF('CDO Bespoke'!O252&lt;&gt;"",'CDO Bespoke'!O252,"")</f>
        <v/>
      </c>
      <c r="Y251" s="487" t="str">
        <f ca="1">IF(X251&lt;&gt;"",ABS(MIN(-0.75*('CDO Bespoke'!Q252)+'CDO Bespoke'!T252,0)),"")</f>
        <v/>
      </c>
      <c r="Z251" s="487">
        <f t="shared" ca="1" si="20"/>
        <v>0</v>
      </c>
      <c r="AA251" s="487">
        <f t="shared" ca="1" si="21"/>
        <v>0</v>
      </c>
      <c r="AB251" s="486" t="str">
        <f ca="1">IF('CDO Bespoke'!O252&lt;&gt;"",'CDO Bespoke'!O252,"")</f>
        <v/>
      </c>
      <c r="AC251" s="487" t="str">
        <f ca="1">IF(AB251&lt;&gt;"",ABS(MIN(-0.75*('CDO Bespoke'!K252)+'CDO Bespoke'!T252,0)),"")</f>
        <v/>
      </c>
      <c r="AD251" s="487">
        <f t="shared" ca="1" si="22"/>
        <v>0</v>
      </c>
      <c r="AE251" s="491">
        <f t="shared" ca="1" si="23"/>
        <v>0</v>
      </c>
      <c r="AF251" s="273"/>
      <c r="AG251" s="496" t="str">
        <f ca="1">IF('CDO Bespoke'!C276&lt;&gt;"",'CDO Bespoke'!C276,"")</f>
        <v/>
      </c>
      <c r="AH251" s="498"/>
      <c r="AI251" s="587"/>
      <c r="AJ251" s="587"/>
      <c r="AK251" s="587"/>
      <c r="AL251" s="499"/>
      <c r="AM251" s="498"/>
      <c r="AN251" s="587"/>
      <c r="AO251" s="587"/>
      <c r="AP251" s="587"/>
      <c r="AQ251" s="499"/>
      <c r="AR251" s="582"/>
      <c r="AS251" s="582"/>
      <c r="AT251" s="582"/>
      <c r="AU251" s="582"/>
      <c r="AV251" s="582"/>
      <c r="AW251" s="582"/>
      <c r="AX251" s="581"/>
    </row>
    <row r="252" spans="2:50">
      <c r="B252" s="536" t="s">
        <v>580</v>
      </c>
      <c r="C252" s="537" t="s">
        <v>66</v>
      </c>
      <c r="D252" s="537" t="s">
        <v>59</v>
      </c>
      <c r="E252" s="537" t="s">
        <v>647</v>
      </c>
      <c r="F252" s="537" t="s">
        <v>652</v>
      </c>
      <c r="G252" s="538">
        <v>0.01</v>
      </c>
      <c r="H252" s="538">
        <v>4.2370000000000003E-3</v>
      </c>
      <c r="I252" s="539">
        <v>0.4</v>
      </c>
      <c r="J252" s="597">
        <v>4</v>
      </c>
      <c r="K252" s="540">
        <v>76</v>
      </c>
      <c r="L252" s="273"/>
      <c r="M252" s="273"/>
      <c r="P252" s="274"/>
      <c r="Q252" s="274"/>
      <c r="R252" s="274"/>
      <c r="S252" s="274"/>
      <c r="T252" s="274"/>
      <c r="U252" s="274"/>
      <c r="V252" s="274"/>
      <c r="W252" s="274"/>
      <c r="X252" s="486" t="str">
        <f ca="1">IF('CDO Bespoke'!O253&lt;&gt;"",'CDO Bespoke'!O253,"")</f>
        <v/>
      </c>
      <c r="Y252" s="487" t="str">
        <f ca="1">IF(X252&lt;&gt;"",ABS(MIN(-0.75*('CDO Bespoke'!Q253)+'CDO Bespoke'!T253,0)),"")</f>
        <v/>
      </c>
      <c r="Z252" s="487">
        <f t="shared" ca="1" si="20"/>
        <v>0</v>
      </c>
      <c r="AA252" s="487">
        <f t="shared" ca="1" si="21"/>
        <v>0</v>
      </c>
      <c r="AB252" s="486" t="str">
        <f ca="1">IF('CDO Bespoke'!O253&lt;&gt;"",'CDO Bespoke'!O253,"")</f>
        <v/>
      </c>
      <c r="AC252" s="487" t="str">
        <f ca="1">IF(AB252&lt;&gt;"",ABS(MIN(-0.75*('CDO Bespoke'!K253)+'CDO Bespoke'!T253,0)),"")</f>
        <v/>
      </c>
      <c r="AD252" s="487">
        <f t="shared" ca="1" si="22"/>
        <v>0</v>
      </c>
      <c r="AE252" s="491">
        <f t="shared" ca="1" si="23"/>
        <v>0</v>
      </c>
      <c r="AF252" s="273"/>
      <c r="AG252" s="496" t="str">
        <f ca="1">IF('CDO Bespoke'!C277&lt;&gt;"",'CDO Bespoke'!C277,"")</f>
        <v/>
      </c>
      <c r="AH252" s="498"/>
      <c r="AI252" s="587"/>
      <c r="AJ252" s="587"/>
      <c r="AK252" s="587"/>
      <c r="AL252" s="499"/>
      <c r="AM252" s="498"/>
      <c r="AN252" s="587"/>
      <c r="AO252" s="587"/>
      <c r="AP252" s="587"/>
      <c r="AQ252" s="499"/>
      <c r="AR252" s="582"/>
      <c r="AS252" s="582"/>
      <c r="AT252" s="582"/>
      <c r="AU252" s="582"/>
      <c r="AV252" s="582"/>
      <c r="AW252" s="582"/>
      <c r="AX252" s="581"/>
    </row>
    <row r="253" spans="2:50">
      <c r="B253" s="541" t="s">
        <v>575</v>
      </c>
      <c r="C253" s="542" t="s">
        <v>66</v>
      </c>
      <c r="D253" s="542" t="s">
        <v>55</v>
      </c>
      <c r="E253" s="542" t="s">
        <v>649</v>
      </c>
      <c r="F253" s="542" t="s">
        <v>653</v>
      </c>
      <c r="G253" s="543">
        <v>0.01</v>
      </c>
      <c r="H253" s="543">
        <v>2.5079999999999998E-3</v>
      </c>
      <c r="I253" s="544">
        <v>0.4</v>
      </c>
      <c r="J253" s="604">
        <v>7</v>
      </c>
      <c r="K253" s="545">
        <v>77</v>
      </c>
      <c r="L253" s="273"/>
      <c r="M253" s="273"/>
      <c r="P253" s="274"/>
      <c r="Q253" s="274"/>
      <c r="R253" s="274"/>
      <c r="S253" s="274"/>
      <c r="T253" s="274"/>
      <c r="U253" s="274"/>
      <c r="V253" s="274"/>
      <c r="W253" s="274"/>
      <c r="X253" s="486" t="str">
        <f ca="1">IF('CDO Bespoke'!O254&lt;&gt;"",'CDO Bespoke'!O254,"")</f>
        <v/>
      </c>
      <c r="Y253" s="487" t="str">
        <f ca="1">IF(X253&lt;&gt;"",ABS(MIN(-0.75*('CDO Bespoke'!Q254)+'CDO Bespoke'!T254,0)),"")</f>
        <v/>
      </c>
      <c r="Z253" s="487">
        <f t="shared" ca="1" si="20"/>
        <v>0</v>
      </c>
      <c r="AA253" s="487">
        <f t="shared" ca="1" si="21"/>
        <v>0</v>
      </c>
      <c r="AB253" s="486" t="str">
        <f ca="1">IF('CDO Bespoke'!O254&lt;&gt;"",'CDO Bespoke'!O254,"")</f>
        <v/>
      </c>
      <c r="AC253" s="487" t="str">
        <f ca="1">IF(AB253&lt;&gt;"",ABS(MIN(-0.75*('CDO Bespoke'!K254)+'CDO Bespoke'!T254,0)),"")</f>
        <v/>
      </c>
      <c r="AD253" s="487">
        <f t="shared" ca="1" si="22"/>
        <v>0</v>
      </c>
      <c r="AE253" s="491">
        <f t="shared" ca="1" si="23"/>
        <v>0</v>
      </c>
      <c r="AF253" s="273"/>
      <c r="AG253" s="496" t="str">
        <f ca="1">IF('CDO Bespoke'!C278&lt;&gt;"",'CDO Bespoke'!C278,"")</f>
        <v/>
      </c>
      <c r="AH253" s="498"/>
      <c r="AI253" s="587"/>
      <c r="AJ253" s="587"/>
      <c r="AK253" s="587"/>
      <c r="AL253" s="499"/>
      <c r="AM253" s="498"/>
      <c r="AN253" s="587"/>
      <c r="AO253" s="587"/>
      <c r="AP253" s="587"/>
      <c r="AQ253" s="499"/>
      <c r="AR253" s="582"/>
      <c r="AS253" s="582"/>
      <c r="AT253" s="582"/>
      <c r="AU253" s="582"/>
      <c r="AV253" s="582"/>
      <c r="AW253" s="582"/>
      <c r="AX253" s="581"/>
    </row>
    <row r="254" spans="2:50">
      <c r="B254" s="519" t="s">
        <v>575</v>
      </c>
      <c r="C254" s="520" t="s">
        <v>66</v>
      </c>
      <c r="D254" s="520" t="s">
        <v>57</v>
      </c>
      <c r="E254" s="520" t="s">
        <v>649</v>
      </c>
      <c r="F254" s="520" t="s">
        <v>653</v>
      </c>
      <c r="G254" s="527">
        <v>0.01</v>
      </c>
      <c r="H254" s="527">
        <v>4.2789999999999998E-3</v>
      </c>
      <c r="I254" s="529">
        <v>0.4</v>
      </c>
      <c r="J254" s="596">
        <v>7</v>
      </c>
      <c r="K254" s="521">
        <v>77</v>
      </c>
      <c r="L254" s="273"/>
      <c r="M254" s="273"/>
      <c r="P254" s="274"/>
      <c r="Q254" s="274"/>
      <c r="R254" s="274"/>
      <c r="S254" s="274"/>
      <c r="T254" s="274"/>
      <c r="U254" s="274"/>
      <c r="V254" s="274"/>
      <c r="W254" s="274"/>
      <c r="X254" s="486" t="str">
        <f ca="1">IF('CDO Bespoke'!O255&lt;&gt;"",'CDO Bespoke'!O255,"")</f>
        <v/>
      </c>
      <c r="Y254" s="487" t="str">
        <f ca="1">IF(X254&lt;&gt;"",ABS(MIN(-0.75*('CDO Bespoke'!Q255)+'CDO Bespoke'!T255,0)),"")</f>
        <v/>
      </c>
      <c r="Z254" s="487">
        <f t="shared" ca="1" si="20"/>
        <v>0</v>
      </c>
      <c r="AA254" s="487">
        <f t="shared" ca="1" si="21"/>
        <v>0</v>
      </c>
      <c r="AB254" s="486" t="str">
        <f ca="1">IF('CDO Bespoke'!O255&lt;&gt;"",'CDO Bespoke'!O255,"")</f>
        <v/>
      </c>
      <c r="AC254" s="487" t="str">
        <f ca="1">IF(AB254&lt;&gt;"",ABS(MIN(-0.75*('CDO Bespoke'!K255)+'CDO Bespoke'!T255,0)),"")</f>
        <v/>
      </c>
      <c r="AD254" s="487">
        <f t="shared" ca="1" si="22"/>
        <v>0</v>
      </c>
      <c r="AE254" s="491">
        <f t="shared" ca="1" si="23"/>
        <v>0</v>
      </c>
      <c r="AF254" s="273"/>
      <c r="AG254" s="496" t="str">
        <f ca="1">IF('CDO Bespoke'!C279&lt;&gt;"",'CDO Bespoke'!C279,"")</f>
        <v/>
      </c>
      <c r="AH254" s="498"/>
      <c r="AI254" s="587"/>
      <c r="AJ254" s="587"/>
      <c r="AK254" s="587"/>
      <c r="AL254" s="499"/>
      <c r="AM254" s="498"/>
      <c r="AN254" s="587"/>
      <c r="AO254" s="587"/>
      <c r="AP254" s="587"/>
      <c r="AQ254" s="499"/>
      <c r="AR254" s="582"/>
      <c r="AS254" s="582"/>
      <c r="AT254" s="582"/>
      <c r="AU254" s="582"/>
      <c r="AV254" s="582"/>
      <c r="AW254" s="582"/>
      <c r="AX254" s="581"/>
    </row>
    <row r="255" spans="2:50">
      <c r="B255" s="536" t="s">
        <v>575</v>
      </c>
      <c r="C255" s="537" t="s">
        <v>66</v>
      </c>
      <c r="D255" s="537" t="s">
        <v>59</v>
      </c>
      <c r="E255" s="537" t="s">
        <v>649</v>
      </c>
      <c r="F255" s="537" t="s">
        <v>653</v>
      </c>
      <c r="G255" s="538">
        <v>0.01</v>
      </c>
      <c r="H255" s="538">
        <v>5.8820000000000001E-3</v>
      </c>
      <c r="I255" s="539">
        <v>0.4</v>
      </c>
      <c r="J255" s="597">
        <v>7</v>
      </c>
      <c r="K255" s="540">
        <v>77</v>
      </c>
      <c r="L255" s="273"/>
      <c r="M255" s="273"/>
      <c r="P255" s="274"/>
      <c r="Q255" s="274"/>
      <c r="R255" s="274"/>
      <c r="S255" s="274"/>
      <c r="T255" s="274"/>
      <c r="U255" s="274"/>
      <c r="V255" s="274"/>
      <c r="W255" s="274"/>
      <c r="X255" s="486" t="str">
        <f ca="1">IF('CDO Bespoke'!O256&lt;&gt;"",'CDO Bespoke'!O256,"")</f>
        <v/>
      </c>
      <c r="Y255" s="487" t="str">
        <f ca="1">IF(X255&lt;&gt;"",ABS(MIN(-0.75*('CDO Bespoke'!Q256)+'CDO Bespoke'!T256,0)),"")</f>
        <v/>
      </c>
      <c r="Z255" s="487">
        <f t="shared" ca="1" si="20"/>
        <v>0</v>
      </c>
      <c r="AA255" s="487">
        <f t="shared" ca="1" si="21"/>
        <v>0</v>
      </c>
      <c r="AB255" s="486" t="str">
        <f ca="1">IF('CDO Bespoke'!O256&lt;&gt;"",'CDO Bespoke'!O256,"")</f>
        <v/>
      </c>
      <c r="AC255" s="487" t="str">
        <f ca="1">IF(AB255&lt;&gt;"",ABS(MIN(-0.75*('CDO Bespoke'!K256)+'CDO Bespoke'!T256,0)),"")</f>
        <v/>
      </c>
      <c r="AD255" s="487">
        <f t="shared" ca="1" si="22"/>
        <v>0</v>
      </c>
      <c r="AE255" s="491">
        <f t="shared" ca="1" si="23"/>
        <v>0</v>
      </c>
      <c r="AF255" s="273"/>
      <c r="AG255" s="496" t="str">
        <f ca="1">IF('CDO Bespoke'!C280&lt;&gt;"",'CDO Bespoke'!C280,"")</f>
        <v/>
      </c>
      <c r="AH255" s="498"/>
      <c r="AI255" s="587"/>
      <c r="AJ255" s="587"/>
      <c r="AK255" s="587"/>
      <c r="AL255" s="499"/>
      <c r="AM255" s="498"/>
      <c r="AN255" s="587"/>
      <c r="AO255" s="587"/>
      <c r="AP255" s="587"/>
      <c r="AQ255" s="499"/>
      <c r="AR255" s="582"/>
      <c r="AS255" s="582"/>
      <c r="AT255" s="582"/>
      <c r="AU255" s="582"/>
      <c r="AV255" s="582"/>
      <c r="AW255" s="582"/>
      <c r="AX255" s="581"/>
    </row>
    <row r="256" spans="2:50">
      <c r="B256" s="541" t="s">
        <v>581</v>
      </c>
      <c r="C256" s="542" t="s">
        <v>66</v>
      </c>
      <c r="D256" s="542" t="s">
        <v>55</v>
      </c>
      <c r="E256" s="542" t="s">
        <v>649</v>
      </c>
      <c r="F256" s="542" t="s">
        <v>673</v>
      </c>
      <c r="G256" s="543">
        <v>0.01</v>
      </c>
      <c r="H256" s="543">
        <v>2.1419999999999998E-3</v>
      </c>
      <c r="I256" s="544">
        <v>0.4</v>
      </c>
      <c r="J256" s="604">
        <v>5</v>
      </c>
      <c r="K256" s="545">
        <v>78</v>
      </c>
      <c r="L256" s="273"/>
      <c r="M256" s="273"/>
      <c r="P256" s="274"/>
      <c r="Q256" s="274"/>
      <c r="R256" s="274"/>
      <c r="S256" s="274"/>
      <c r="T256" s="274"/>
      <c r="U256" s="274"/>
      <c r="V256" s="274"/>
      <c r="W256" s="274"/>
      <c r="X256" s="486" t="str">
        <f ca="1">IF('CDO Bespoke'!O257&lt;&gt;"",'CDO Bespoke'!O257,"")</f>
        <v/>
      </c>
      <c r="Y256" s="487" t="str">
        <f ca="1">IF(X256&lt;&gt;"",ABS(MIN(-0.75*('CDO Bespoke'!Q257)+'CDO Bespoke'!T257,0)),"")</f>
        <v/>
      </c>
      <c r="Z256" s="487">
        <f t="shared" ca="1" si="20"/>
        <v>0</v>
      </c>
      <c r="AA256" s="487">
        <f t="shared" ca="1" si="21"/>
        <v>0</v>
      </c>
      <c r="AB256" s="486" t="str">
        <f ca="1">IF('CDO Bespoke'!O257&lt;&gt;"",'CDO Bespoke'!O257,"")</f>
        <v/>
      </c>
      <c r="AC256" s="487" t="str">
        <f ca="1">IF(AB256&lt;&gt;"",ABS(MIN(-0.75*('CDO Bespoke'!K257)+'CDO Bespoke'!T257,0)),"")</f>
        <v/>
      </c>
      <c r="AD256" s="487">
        <f t="shared" ca="1" si="22"/>
        <v>0</v>
      </c>
      <c r="AE256" s="491">
        <f t="shared" ca="1" si="23"/>
        <v>0</v>
      </c>
      <c r="AF256" s="273"/>
      <c r="AG256" s="496" t="str">
        <f ca="1">IF('CDO Bespoke'!C281&lt;&gt;"",'CDO Bespoke'!C281,"")</f>
        <v/>
      </c>
      <c r="AH256" s="498"/>
      <c r="AI256" s="587"/>
      <c r="AJ256" s="587"/>
      <c r="AK256" s="587"/>
      <c r="AL256" s="499"/>
      <c r="AM256" s="498"/>
      <c r="AN256" s="587"/>
      <c r="AO256" s="587"/>
      <c r="AP256" s="587"/>
      <c r="AQ256" s="499"/>
      <c r="AR256" s="582"/>
      <c r="AS256" s="582"/>
      <c r="AT256" s="582"/>
      <c r="AU256" s="582"/>
      <c r="AV256" s="582"/>
      <c r="AW256" s="582"/>
      <c r="AX256" s="581"/>
    </row>
    <row r="257" spans="2:50">
      <c r="B257" s="519" t="s">
        <v>581</v>
      </c>
      <c r="C257" s="520" t="s">
        <v>66</v>
      </c>
      <c r="D257" s="520" t="s">
        <v>57</v>
      </c>
      <c r="E257" s="520" t="s">
        <v>649</v>
      </c>
      <c r="F257" s="520" t="s">
        <v>673</v>
      </c>
      <c r="G257" s="527">
        <v>0.01</v>
      </c>
      <c r="H257" s="527">
        <v>3.333E-3</v>
      </c>
      <c r="I257" s="529">
        <v>0.4</v>
      </c>
      <c r="J257" s="596">
        <v>5</v>
      </c>
      <c r="K257" s="521">
        <v>78</v>
      </c>
      <c r="L257" s="273"/>
      <c r="M257" s="273"/>
      <c r="P257" s="274"/>
      <c r="Q257" s="274"/>
      <c r="R257" s="274"/>
      <c r="S257" s="274"/>
      <c r="T257" s="274"/>
      <c r="U257" s="274"/>
      <c r="V257" s="274"/>
      <c r="W257" s="274"/>
      <c r="X257" s="486" t="str">
        <f ca="1">IF('CDO Bespoke'!O258&lt;&gt;"",'CDO Bespoke'!O258,"")</f>
        <v/>
      </c>
      <c r="Y257" s="487" t="str">
        <f ca="1">IF(X257&lt;&gt;"",ABS(MIN(-0.75*('CDO Bespoke'!Q258)+'CDO Bespoke'!T258,0)),"")</f>
        <v/>
      </c>
      <c r="Z257" s="487">
        <f t="shared" ca="1" si="20"/>
        <v>0</v>
      </c>
      <c r="AA257" s="487">
        <f t="shared" ca="1" si="21"/>
        <v>0</v>
      </c>
      <c r="AB257" s="486" t="str">
        <f ca="1">IF('CDO Bespoke'!O258&lt;&gt;"",'CDO Bespoke'!O258,"")</f>
        <v/>
      </c>
      <c r="AC257" s="487" t="str">
        <f ca="1">IF(AB257&lt;&gt;"",ABS(MIN(-0.75*('CDO Bespoke'!K258)+'CDO Bespoke'!T258,0)),"")</f>
        <v/>
      </c>
      <c r="AD257" s="487">
        <f t="shared" ca="1" si="22"/>
        <v>0</v>
      </c>
      <c r="AE257" s="491">
        <f t="shared" ca="1" si="23"/>
        <v>0</v>
      </c>
      <c r="AF257" s="273"/>
      <c r="AG257" s="496" t="str">
        <f ca="1">IF('CDO Bespoke'!C282&lt;&gt;"",'CDO Bespoke'!C282,"")</f>
        <v/>
      </c>
      <c r="AH257" s="498"/>
      <c r="AI257" s="587"/>
      <c r="AJ257" s="587"/>
      <c r="AK257" s="587"/>
      <c r="AL257" s="499"/>
      <c r="AM257" s="498"/>
      <c r="AN257" s="587"/>
      <c r="AO257" s="587"/>
      <c r="AP257" s="587"/>
      <c r="AQ257" s="499"/>
      <c r="AR257" s="582"/>
      <c r="AS257" s="582"/>
      <c r="AT257" s="582"/>
      <c r="AU257" s="582"/>
      <c r="AV257" s="582"/>
      <c r="AW257" s="582"/>
      <c r="AX257" s="581"/>
    </row>
    <row r="258" spans="2:50">
      <c r="B258" s="536" t="s">
        <v>581</v>
      </c>
      <c r="C258" s="537" t="s">
        <v>66</v>
      </c>
      <c r="D258" s="537" t="s">
        <v>59</v>
      </c>
      <c r="E258" s="537" t="s">
        <v>649</v>
      </c>
      <c r="F258" s="537" t="s">
        <v>673</v>
      </c>
      <c r="G258" s="538">
        <v>0.01</v>
      </c>
      <c r="H258" s="538">
        <v>4.7910000000000001E-3</v>
      </c>
      <c r="I258" s="539">
        <v>0.4</v>
      </c>
      <c r="J258" s="597">
        <v>5</v>
      </c>
      <c r="K258" s="540">
        <v>78</v>
      </c>
      <c r="L258" s="273"/>
      <c r="M258" s="273"/>
      <c r="P258" s="274"/>
      <c r="Q258" s="274"/>
      <c r="R258" s="274"/>
      <c r="S258" s="274"/>
      <c r="T258" s="274"/>
      <c r="U258" s="274"/>
      <c r="V258" s="274"/>
      <c r="W258" s="274"/>
      <c r="X258" s="486" t="str">
        <f ca="1">IF('CDO Bespoke'!O259&lt;&gt;"",'CDO Bespoke'!O259,"")</f>
        <v/>
      </c>
      <c r="Y258" s="487" t="str">
        <f ca="1">IF(X258&lt;&gt;"",ABS(MIN(-0.75*('CDO Bespoke'!Q259)+'CDO Bespoke'!T259,0)),"")</f>
        <v/>
      </c>
      <c r="Z258" s="487">
        <f t="shared" ca="1" si="20"/>
        <v>0</v>
      </c>
      <c r="AA258" s="487">
        <f t="shared" ca="1" si="21"/>
        <v>0</v>
      </c>
      <c r="AB258" s="486" t="str">
        <f ca="1">IF('CDO Bespoke'!O259&lt;&gt;"",'CDO Bespoke'!O259,"")</f>
        <v/>
      </c>
      <c r="AC258" s="487" t="str">
        <f ca="1">IF(AB258&lt;&gt;"",ABS(MIN(-0.75*('CDO Bespoke'!K259)+'CDO Bespoke'!T259,0)),"")</f>
        <v/>
      </c>
      <c r="AD258" s="487">
        <f t="shared" ca="1" si="22"/>
        <v>0</v>
      </c>
      <c r="AE258" s="491">
        <f t="shared" ca="1" si="23"/>
        <v>0</v>
      </c>
      <c r="AF258" s="273"/>
      <c r="AG258" s="496" t="str">
        <f ca="1">IF('CDO Bespoke'!C283&lt;&gt;"",'CDO Bespoke'!C283,"")</f>
        <v/>
      </c>
      <c r="AH258" s="498"/>
      <c r="AI258" s="587"/>
      <c r="AJ258" s="587"/>
      <c r="AK258" s="587"/>
      <c r="AL258" s="499"/>
      <c r="AM258" s="498"/>
      <c r="AN258" s="587"/>
      <c r="AO258" s="587"/>
      <c r="AP258" s="587"/>
      <c r="AQ258" s="499"/>
      <c r="AR258" s="582"/>
      <c r="AS258" s="582"/>
      <c r="AT258" s="582"/>
      <c r="AU258" s="582"/>
      <c r="AV258" s="582"/>
      <c r="AW258" s="582"/>
      <c r="AX258" s="581"/>
    </row>
    <row r="259" spans="2:50">
      <c r="B259" s="541" t="s">
        <v>582</v>
      </c>
      <c r="C259" s="542" t="s">
        <v>66</v>
      </c>
      <c r="D259" s="542" t="s">
        <v>55</v>
      </c>
      <c r="E259" s="542" t="s">
        <v>649</v>
      </c>
      <c r="F259" s="542" t="s">
        <v>677</v>
      </c>
      <c r="G259" s="543">
        <v>0.01</v>
      </c>
      <c r="H259" s="543">
        <v>3.7789999999999998E-3</v>
      </c>
      <c r="I259" s="544">
        <v>0.4</v>
      </c>
      <c r="J259" s="604">
        <v>6</v>
      </c>
      <c r="K259" s="545">
        <v>79</v>
      </c>
      <c r="L259" s="273"/>
      <c r="M259" s="273"/>
      <c r="P259" s="274"/>
      <c r="Q259" s="274"/>
      <c r="R259" s="274"/>
      <c r="S259" s="274"/>
      <c r="T259" s="274"/>
      <c r="U259" s="274"/>
      <c r="V259" s="274"/>
      <c r="W259" s="274"/>
      <c r="X259" s="486" t="str">
        <f ca="1">IF('CDO Bespoke'!O260&lt;&gt;"",'CDO Bespoke'!O260,"")</f>
        <v/>
      </c>
      <c r="Y259" s="487" t="str">
        <f ca="1">IF(X259&lt;&gt;"",ABS(MIN(-0.75*('CDO Bespoke'!Q260)+'CDO Bespoke'!T260,0)),"")</f>
        <v/>
      </c>
      <c r="Z259" s="487">
        <f t="shared" ca="1" si="20"/>
        <v>0</v>
      </c>
      <c r="AA259" s="487">
        <f t="shared" ca="1" si="21"/>
        <v>0</v>
      </c>
      <c r="AB259" s="486" t="str">
        <f ca="1">IF('CDO Bespoke'!O260&lt;&gt;"",'CDO Bespoke'!O260,"")</f>
        <v/>
      </c>
      <c r="AC259" s="487" t="str">
        <f ca="1">IF(AB259&lt;&gt;"",ABS(MIN(-0.75*('CDO Bespoke'!K260)+'CDO Bespoke'!T260,0)),"")</f>
        <v/>
      </c>
      <c r="AD259" s="487">
        <f t="shared" ca="1" si="22"/>
        <v>0</v>
      </c>
      <c r="AE259" s="491">
        <f t="shared" ca="1" si="23"/>
        <v>0</v>
      </c>
      <c r="AF259" s="273"/>
      <c r="AG259" s="496" t="str">
        <f ca="1">IF('CDO Bespoke'!C284&lt;&gt;"",'CDO Bespoke'!C284,"")</f>
        <v/>
      </c>
      <c r="AH259" s="498"/>
      <c r="AI259" s="587"/>
      <c r="AJ259" s="587"/>
      <c r="AK259" s="587"/>
      <c r="AL259" s="499"/>
      <c r="AM259" s="498"/>
      <c r="AN259" s="587"/>
      <c r="AO259" s="587"/>
      <c r="AP259" s="587"/>
      <c r="AQ259" s="499"/>
      <c r="AR259" s="582"/>
      <c r="AS259" s="582"/>
      <c r="AT259" s="582"/>
      <c r="AU259" s="582"/>
      <c r="AV259" s="582"/>
      <c r="AW259" s="582"/>
      <c r="AX259" s="581"/>
    </row>
    <row r="260" spans="2:50">
      <c r="B260" s="519" t="s">
        <v>582</v>
      </c>
      <c r="C260" s="520" t="s">
        <v>66</v>
      </c>
      <c r="D260" s="520" t="s">
        <v>57</v>
      </c>
      <c r="E260" s="520" t="s">
        <v>649</v>
      </c>
      <c r="F260" s="520" t="s">
        <v>677</v>
      </c>
      <c r="G260" s="527">
        <v>0.01</v>
      </c>
      <c r="H260" s="527">
        <v>7.345E-3</v>
      </c>
      <c r="I260" s="529">
        <v>0.4</v>
      </c>
      <c r="J260" s="596">
        <v>6</v>
      </c>
      <c r="K260" s="521">
        <v>79</v>
      </c>
      <c r="L260" s="273"/>
      <c r="M260" s="273"/>
      <c r="P260" s="274"/>
      <c r="Q260" s="274"/>
      <c r="R260" s="274"/>
      <c r="S260" s="274"/>
      <c r="T260" s="274"/>
      <c r="U260" s="274"/>
      <c r="V260" s="274"/>
      <c r="W260" s="274"/>
      <c r="X260" s="486" t="str">
        <f ca="1">IF('CDO Bespoke'!O261&lt;&gt;"",'CDO Bespoke'!O261,"")</f>
        <v/>
      </c>
      <c r="Y260" s="487" t="str">
        <f ca="1">IF(X260&lt;&gt;"",ABS(MIN(-0.75*('CDO Bespoke'!Q261)+'CDO Bespoke'!T261,0)),"")</f>
        <v/>
      </c>
      <c r="Z260" s="487">
        <f t="shared" ca="1" si="20"/>
        <v>0</v>
      </c>
      <c r="AA260" s="487">
        <f t="shared" ca="1" si="21"/>
        <v>0</v>
      </c>
      <c r="AB260" s="486" t="str">
        <f ca="1">IF('CDO Bespoke'!O261&lt;&gt;"",'CDO Bespoke'!O261,"")</f>
        <v/>
      </c>
      <c r="AC260" s="487" t="str">
        <f ca="1">IF(AB260&lt;&gt;"",ABS(MIN(-0.75*('CDO Bespoke'!K261)+'CDO Bespoke'!T261,0)),"")</f>
        <v/>
      </c>
      <c r="AD260" s="487">
        <f t="shared" ca="1" si="22"/>
        <v>0</v>
      </c>
      <c r="AE260" s="491">
        <f t="shared" ca="1" si="23"/>
        <v>0</v>
      </c>
      <c r="AF260" s="273"/>
      <c r="AG260" s="496" t="str">
        <f ca="1">IF('CDO Bespoke'!C285&lt;&gt;"",'CDO Bespoke'!C285,"")</f>
        <v/>
      </c>
      <c r="AH260" s="498"/>
      <c r="AI260" s="587"/>
      <c r="AJ260" s="587"/>
      <c r="AK260" s="587"/>
      <c r="AL260" s="499"/>
      <c r="AM260" s="498"/>
      <c r="AN260" s="587"/>
      <c r="AO260" s="587"/>
      <c r="AP260" s="587"/>
      <c r="AQ260" s="499"/>
      <c r="AR260" s="582"/>
      <c r="AS260" s="582"/>
      <c r="AT260" s="582"/>
      <c r="AU260" s="582"/>
      <c r="AV260" s="582"/>
      <c r="AW260" s="582"/>
      <c r="AX260" s="581"/>
    </row>
    <row r="261" spans="2:50">
      <c r="B261" s="536" t="s">
        <v>582</v>
      </c>
      <c r="C261" s="537" t="s">
        <v>66</v>
      </c>
      <c r="D261" s="537" t="s">
        <v>59</v>
      </c>
      <c r="E261" s="537" t="s">
        <v>649</v>
      </c>
      <c r="F261" s="537" t="s">
        <v>677</v>
      </c>
      <c r="G261" s="538">
        <v>0.01</v>
      </c>
      <c r="H261" s="538">
        <v>1.0267999999999999E-2</v>
      </c>
      <c r="I261" s="539">
        <v>0.4</v>
      </c>
      <c r="J261" s="597">
        <v>6</v>
      </c>
      <c r="K261" s="540">
        <v>79</v>
      </c>
      <c r="L261" s="273"/>
      <c r="M261" s="273"/>
      <c r="P261" s="274"/>
      <c r="Q261" s="274"/>
      <c r="R261" s="274"/>
      <c r="S261" s="274"/>
      <c r="T261" s="274"/>
      <c r="U261" s="274"/>
      <c r="V261" s="274"/>
      <c r="W261" s="274"/>
      <c r="X261" s="486" t="str">
        <f ca="1">IF('CDO Bespoke'!O262&lt;&gt;"",'CDO Bespoke'!O262,"")</f>
        <v/>
      </c>
      <c r="Y261" s="487" t="str">
        <f ca="1">IF(X261&lt;&gt;"",ABS(MIN(-0.75*('CDO Bespoke'!Q262)+'CDO Bespoke'!T262,0)),"")</f>
        <v/>
      </c>
      <c r="Z261" s="487">
        <f t="shared" ca="1" si="20"/>
        <v>0</v>
      </c>
      <c r="AA261" s="487">
        <f t="shared" ca="1" si="21"/>
        <v>0</v>
      </c>
      <c r="AB261" s="486" t="str">
        <f ca="1">IF('CDO Bespoke'!O262&lt;&gt;"",'CDO Bespoke'!O262,"")</f>
        <v/>
      </c>
      <c r="AC261" s="487" t="str">
        <f ca="1">IF(AB261&lt;&gt;"",ABS(MIN(-0.75*('CDO Bespoke'!K262)+'CDO Bespoke'!T262,0)),"")</f>
        <v/>
      </c>
      <c r="AD261" s="487">
        <f t="shared" ca="1" si="22"/>
        <v>0</v>
      </c>
      <c r="AE261" s="491">
        <f t="shared" ca="1" si="23"/>
        <v>0</v>
      </c>
      <c r="AF261" s="273"/>
      <c r="AG261" s="496" t="str">
        <f ca="1">IF('CDO Bespoke'!C286&lt;&gt;"",'CDO Bespoke'!C286,"")</f>
        <v/>
      </c>
      <c r="AH261" s="498"/>
      <c r="AI261" s="587"/>
      <c r="AJ261" s="587"/>
      <c r="AK261" s="587"/>
      <c r="AL261" s="499"/>
      <c r="AM261" s="498"/>
      <c r="AN261" s="587"/>
      <c r="AO261" s="587"/>
      <c r="AP261" s="587"/>
      <c r="AQ261" s="499"/>
      <c r="AR261" s="582"/>
      <c r="AS261" s="582"/>
      <c r="AT261" s="582"/>
      <c r="AU261" s="582"/>
      <c r="AV261" s="582"/>
      <c r="AW261" s="582"/>
      <c r="AX261" s="581"/>
    </row>
    <row r="262" spans="2:50">
      <c r="B262" s="541" t="s">
        <v>583</v>
      </c>
      <c r="C262" s="542" t="s">
        <v>66</v>
      </c>
      <c r="D262" s="542" t="s">
        <v>55</v>
      </c>
      <c r="E262" s="542" t="s">
        <v>649</v>
      </c>
      <c r="F262" s="542" t="s">
        <v>677</v>
      </c>
      <c r="G262" s="543">
        <v>0.01</v>
      </c>
      <c r="H262" s="543">
        <v>2.137E-3</v>
      </c>
      <c r="I262" s="544">
        <v>0.4</v>
      </c>
      <c r="J262" s="604">
        <v>6</v>
      </c>
      <c r="K262" s="545">
        <v>80</v>
      </c>
      <c r="L262" s="273"/>
      <c r="M262" s="273"/>
      <c r="P262" s="274"/>
      <c r="Q262" s="274"/>
      <c r="R262" s="274"/>
      <c r="S262" s="274"/>
      <c r="T262" s="274"/>
      <c r="U262" s="274"/>
      <c r="V262" s="274"/>
      <c r="W262" s="274"/>
      <c r="X262" s="486" t="str">
        <f ca="1">IF('CDO Bespoke'!O263&lt;&gt;"",'CDO Bespoke'!O263,"")</f>
        <v/>
      </c>
      <c r="Y262" s="487" t="str">
        <f ca="1">IF(X262&lt;&gt;"",ABS(MIN(-0.75*('CDO Bespoke'!Q263)+'CDO Bespoke'!T263,0)),"")</f>
        <v/>
      </c>
      <c r="Z262" s="487">
        <f t="shared" ca="1" si="20"/>
        <v>0</v>
      </c>
      <c r="AA262" s="487">
        <f t="shared" ca="1" si="21"/>
        <v>0</v>
      </c>
      <c r="AB262" s="486" t="str">
        <f ca="1">IF('CDO Bespoke'!O263&lt;&gt;"",'CDO Bespoke'!O263,"")</f>
        <v/>
      </c>
      <c r="AC262" s="487" t="str">
        <f ca="1">IF(AB262&lt;&gt;"",ABS(MIN(-0.75*('CDO Bespoke'!K263)+'CDO Bespoke'!T263,0)),"")</f>
        <v/>
      </c>
      <c r="AD262" s="487">
        <f t="shared" ca="1" si="22"/>
        <v>0</v>
      </c>
      <c r="AE262" s="491">
        <f t="shared" ca="1" si="23"/>
        <v>0</v>
      </c>
      <c r="AF262" s="273"/>
      <c r="AG262" s="496" t="str">
        <f ca="1">IF('CDO Bespoke'!C287&lt;&gt;"",'CDO Bespoke'!C287,"")</f>
        <v/>
      </c>
      <c r="AH262" s="498"/>
      <c r="AI262" s="587"/>
      <c r="AJ262" s="587"/>
      <c r="AK262" s="587"/>
      <c r="AL262" s="499"/>
      <c r="AM262" s="498"/>
      <c r="AN262" s="587"/>
      <c r="AO262" s="587"/>
      <c r="AP262" s="587"/>
      <c r="AQ262" s="499"/>
      <c r="AR262" s="582"/>
      <c r="AS262" s="582"/>
      <c r="AT262" s="582"/>
      <c r="AU262" s="582"/>
      <c r="AV262" s="582"/>
      <c r="AW262" s="582"/>
      <c r="AX262" s="581"/>
    </row>
    <row r="263" spans="2:50">
      <c r="B263" s="519" t="s">
        <v>583</v>
      </c>
      <c r="C263" s="520" t="s">
        <v>66</v>
      </c>
      <c r="D263" s="520" t="s">
        <v>57</v>
      </c>
      <c r="E263" s="520" t="s">
        <v>649</v>
      </c>
      <c r="F263" s="520" t="s">
        <v>677</v>
      </c>
      <c r="G263" s="527">
        <v>0.01</v>
      </c>
      <c r="H263" s="527">
        <v>3.2109999999999999E-3</v>
      </c>
      <c r="I263" s="529">
        <v>0.4</v>
      </c>
      <c r="J263" s="596">
        <v>6</v>
      </c>
      <c r="K263" s="521">
        <v>80</v>
      </c>
      <c r="L263" s="273"/>
      <c r="M263" s="273"/>
      <c r="P263" s="274"/>
      <c r="Q263" s="274"/>
      <c r="R263" s="274"/>
      <c r="S263" s="274"/>
      <c r="T263" s="274"/>
      <c r="U263" s="274"/>
      <c r="V263" s="274"/>
      <c r="W263" s="274"/>
      <c r="X263" s="486" t="str">
        <f ca="1">IF('CDO Bespoke'!O264&lt;&gt;"",'CDO Bespoke'!O264,"")</f>
        <v/>
      </c>
      <c r="Y263" s="487" t="str">
        <f ca="1">IF(X263&lt;&gt;"",ABS(MIN(-0.75*('CDO Bespoke'!Q264)+'CDO Bespoke'!T264,0)),"")</f>
        <v/>
      </c>
      <c r="Z263" s="487">
        <f t="shared" ca="1" si="20"/>
        <v>0</v>
      </c>
      <c r="AA263" s="487">
        <f t="shared" ca="1" si="21"/>
        <v>0</v>
      </c>
      <c r="AB263" s="486" t="str">
        <f ca="1">IF('CDO Bespoke'!O264&lt;&gt;"",'CDO Bespoke'!O264,"")</f>
        <v/>
      </c>
      <c r="AC263" s="487" t="str">
        <f ca="1">IF(AB263&lt;&gt;"",ABS(MIN(-0.75*('CDO Bespoke'!K264)+'CDO Bespoke'!T264,0)),"")</f>
        <v/>
      </c>
      <c r="AD263" s="487">
        <f t="shared" ca="1" si="22"/>
        <v>0</v>
      </c>
      <c r="AE263" s="491">
        <f t="shared" ca="1" si="23"/>
        <v>0</v>
      </c>
      <c r="AF263" s="273"/>
      <c r="AG263" s="496" t="str">
        <f ca="1">IF('CDO Bespoke'!C288&lt;&gt;"",'CDO Bespoke'!C288,"")</f>
        <v/>
      </c>
      <c r="AH263" s="498"/>
      <c r="AI263" s="587"/>
      <c r="AJ263" s="587"/>
      <c r="AK263" s="587"/>
      <c r="AL263" s="499"/>
      <c r="AM263" s="498"/>
      <c r="AN263" s="587"/>
      <c r="AO263" s="587"/>
      <c r="AP263" s="587"/>
      <c r="AQ263" s="499"/>
      <c r="AR263" s="582"/>
      <c r="AS263" s="582"/>
      <c r="AT263" s="582"/>
      <c r="AU263" s="582"/>
      <c r="AV263" s="582"/>
      <c r="AW263" s="582"/>
      <c r="AX263" s="581"/>
    </row>
    <row r="264" spans="2:50">
      <c r="B264" s="536" t="s">
        <v>583</v>
      </c>
      <c r="C264" s="537" t="s">
        <v>66</v>
      </c>
      <c r="D264" s="537" t="s">
        <v>59</v>
      </c>
      <c r="E264" s="537" t="s">
        <v>649</v>
      </c>
      <c r="F264" s="537" t="s">
        <v>677</v>
      </c>
      <c r="G264" s="538">
        <v>0.01</v>
      </c>
      <c r="H264" s="538">
        <v>4.6039999999999996E-3</v>
      </c>
      <c r="I264" s="539">
        <v>0.4</v>
      </c>
      <c r="J264" s="597">
        <v>6</v>
      </c>
      <c r="K264" s="540">
        <v>80</v>
      </c>
      <c r="L264" s="273"/>
      <c r="M264" s="273"/>
      <c r="P264" s="274"/>
      <c r="Q264" s="274"/>
      <c r="R264" s="274"/>
      <c r="S264" s="274"/>
      <c r="T264" s="274"/>
      <c r="U264" s="274"/>
      <c r="V264" s="274"/>
      <c r="W264" s="274"/>
      <c r="X264" s="486" t="str">
        <f ca="1">IF('CDO Bespoke'!O265&lt;&gt;"",'CDO Bespoke'!O265,"")</f>
        <v/>
      </c>
      <c r="Y264" s="487" t="str">
        <f ca="1">IF(X264&lt;&gt;"",ABS(MIN(-0.75*('CDO Bespoke'!Q265)+'CDO Bespoke'!T265,0)),"")</f>
        <v/>
      </c>
      <c r="Z264" s="487">
        <f t="shared" ca="1" si="20"/>
        <v>0</v>
      </c>
      <c r="AA264" s="487">
        <f t="shared" ca="1" si="21"/>
        <v>0</v>
      </c>
      <c r="AB264" s="486" t="str">
        <f ca="1">IF('CDO Bespoke'!O265&lt;&gt;"",'CDO Bespoke'!O265,"")</f>
        <v/>
      </c>
      <c r="AC264" s="487" t="str">
        <f ca="1">IF(AB264&lt;&gt;"",ABS(MIN(-0.75*('CDO Bespoke'!K265)+'CDO Bespoke'!T265,0)),"")</f>
        <v/>
      </c>
      <c r="AD264" s="487">
        <f t="shared" ca="1" si="22"/>
        <v>0</v>
      </c>
      <c r="AE264" s="491">
        <f t="shared" ca="1" si="23"/>
        <v>0</v>
      </c>
      <c r="AF264" s="273"/>
      <c r="AG264" s="496" t="str">
        <f ca="1">IF('CDO Bespoke'!C289&lt;&gt;"",'CDO Bespoke'!C289,"")</f>
        <v/>
      </c>
      <c r="AH264" s="498"/>
      <c r="AI264" s="587"/>
      <c r="AJ264" s="587"/>
      <c r="AK264" s="587"/>
      <c r="AL264" s="499"/>
      <c r="AM264" s="498"/>
      <c r="AN264" s="587"/>
      <c r="AO264" s="587"/>
      <c r="AP264" s="587"/>
      <c r="AQ264" s="499"/>
      <c r="AR264" s="582"/>
      <c r="AS264" s="582"/>
      <c r="AT264" s="582"/>
      <c r="AU264" s="582"/>
      <c r="AV264" s="582"/>
      <c r="AW264" s="582"/>
      <c r="AX264" s="581"/>
    </row>
    <row r="265" spans="2:50">
      <c r="B265" s="541" t="s">
        <v>584</v>
      </c>
      <c r="C265" s="542" t="s">
        <v>66</v>
      </c>
      <c r="D265" s="542" t="s">
        <v>55</v>
      </c>
      <c r="E265" s="542" t="s">
        <v>649</v>
      </c>
      <c r="F265" s="542" t="s">
        <v>673</v>
      </c>
      <c r="G265" s="543">
        <v>0.01</v>
      </c>
      <c r="H265" s="543">
        <v>4.9890000000000004E-3</v>
      </c>
      <c r="I265" s="544">
        <v>0.4</v>
      </c>
      <c r="J265" s="604">
        <v>5</v>
      </c>
      <c r="K265" s="545">
        <v>81</v>
      </c>
      <c r="L265" s="273"/>
      <c r="M265" s="273"/>
      <c r="P265" s="274"/>
      <c r="Q265" s="274"/>
      <c r="R265" s="274"/>
      <c r="S265" s="274"/>
      <c r="T265" s="274"/>
      <c r="U265" s="274"/>
      <c r="V265" s="274"/>
      <c r="W265" s="274"/>
      <c r="X265" s="486" t="str">
        <f ca="1">IF('CDO Bespoke'!O266&lt;&gt;"",'CDO Bespoke'!O266,"")</f>
        <v/>
      </c>
      <c r="Y265" s="487" t="str">
        <f ca="1">IF(X265&lt;&gt;"",ABS(MIN(-0.75*('CDO Bespoke'!Q266)+'CDO Bespoke'!T266,0)),"")</f>
        <v/>
      </c>
      <c r="Z265" s="487">
        <f t="shared" ca="1" si="20"/>
        <v>0</v>
      </c>
      <c r="AA265" s="487">
        <f t="shared" ca="1" si="21"/>
        <v>0</v>
      </c>
      <c r="AB265" s="486" t="str">
        <f ca="1">IF('CDO Bespoke'!O266&lt;&gt;"",'CDO Bespoke'!O266,"")</f>
        <v/>
      </c>
      <c r="AC265" s="487" t="str">
        <f ca="1">IF(AB265&lt;&gt;"",ABS(MIN(-0.75*('CDO Bespoke'!K266)+'CDO Bespoke'!T266,0)),"")</f>
        <v/>
      </c>
      <c r="AD265" s="487">
        <f t="shared" ca="1" si="22"/>
        <v>0</v>
      </c>
      <c r="AE265" s="491">
        <f t="shared" ca="1" si="23"/>
        <v>0</v>
      </c>
      <c r="AF265" s="273"/>
      <c r="AG265" s="496" t="str">
        <f ca="1">IF('CDO Bespoke'!C290&lt;&gt;"",'CDO Bespoke'!C290,"")</f>
        <v/>
      </c>
      <c r="AH265" s="498"/>
      <c r="AI265" s="587"/>
      <c r="AJ265" s="587"/>
      <c r="AK265" s="587"/>
      <c r="AL265" s="499"/>
      <c r="AM265" s="498"/>
      <c r="AN265" s="587"/>
      <c r="AO265" s="587"/>
      <c r="AP265" s="587"/>
      <c r="AQ265" s="499"/>
      <c r="AR265" s="582"/>
      <c r="AS265" s="582"/>
      <c r="AT265" s="582"/>
      <c r="AU265" s="582"/>
      <c r="AV265" s="582"/>
      <c r="AW265" s="582"/>
      <c r="AX265" s="581"/>
    </row>
    <row r="266" spans="2:50">
      <c r="B266" s="519" t="s">
        <v>584</v>
      </c>
      <c r="C266" s="520" t="s">
        <v>66</v>
      </c>
      <c r="D266" s="520" t="s">
        <v>57</v>
      </c>
      <c r="E266" s="520" t="s">
        <v>649</v>
      </c>
      <c r="F266" s="520" t="s">
        <v>673</v>
      </c>
      <c r="G266" s="527">
        <v>0.01</v>
      </c>
      <c r="H266" s="527">
        <v>1.01E-2</v>
      </c>
      <c r="I266" s="529">
        <v>0.4</v>
      </c>
      <c r="J266" s="596">
        <v>5</v>
      </c>
      <c r="K266" s="521">
        <v>81</v>
      </c>
      <c r="L266" s="273"/>
      <c r="M266" s="273"/>
      <c r="P266" s="274"/>
      <c r="Q266" s="274"/>
      <c r="R266" s="274"/>
      <c r="S266" s="274"/>
      <c r="T266" s="274"/>
      <c r="U266" s="274"/>
      <c r="V266" s="274"/>
      <c r="W266" s="274"/>
      <c r="X266" s="486" t="str">
        <f ca="1">IF('CDO Bespoke'!O267&lt;&gt;"",'CDO Bespoke'!O267,"")</f>
        <v/>
      </c>
      <c r="Y266" s="487" t="str">
        <f ca="1">IF(X266&lt;&gt;"",ABS(MIN(-0.75*('CDO Bespoke'!Q267)+'CDO Bespoke'!T267,0)),"")</f>
        <v/>
      </c>
      <c r="Z266" s="487">
        <f t="shared" ca="1" si="20"/>
        <v>0</v>
      </c>
      <c r="AA266" s="487">
        <f t="shared" ca="1" si="21"/>
        <v>0</v>
      </c>
      <c r="AB266" s="486" t="str">
        <f ca="1">IF('CDO Bespoke'!O267&lt;&gt;"",'CDO Bespoke'!O267,"")</f>
        <v/>
      </c>
      <c r="AC266" s="487" t="str">
        <f ca="1">IF(AB266&lt;&gt;"",ABS(MIN(-0.75*('CDO Bespoke'!K267)+'CDO Bespoke'!T267,0)),"")</f>
        <v/>
      </c>
      <c r="AD266" s="487">
        <f t="shared" ca="1" si="22"/>
        <v>0</v>
      </c>
      <c r="AE266" s="491">
        <f t="shared" ca="1" si="23"/>
        <v>0</v>
      </c>
      <c r="AF266" s="273"/>
      <c r="AG266" s="496" t="str">
        <f ca="1">IF('CDO Bespoke'!C291&lt;&gt;"",'CDO Bespoke'!C291,"")</f>
        <v/>
      </c>
      <c r="AH266" s="498"/>
      <c r="AI266" s="587"/>
      <c r="AJ266" s="587"/>
      <c r="AK266" s="587"/>
      <c r="AL266" s="499"/>
      <c r="AM266" s="498"/>
      <c r="AN266" s="587"/>
      <c r="AO266" s="587"/>
      <c r="AP266" s="587"/>
      <c r="AQ266" s="499"/>
      <c r="AR266" s="582"/>
      <c r="AS266" s="582"/>
      <c r="AT266" s="582"/>
      <c r="AU266" s="582"/>
      <c r="AV266" s="582"/>
      <c r="AW266" s="582"/>
      <c r="AX266" s="581"/>
    </row>
    <row r="267" spans="2:50">
      <c r="B267" s="536" t="s">
        <v>584</v>
      </c>
      <c r="C267" s="537" t="s">
        <v>66</v>
      </c>
      <c r="D267" s="537" t="s">
        <v>59</v>
      </c>
      <c r="E267" s="537" t="s">
        <v>649</v>
      </c>
      <c r="F267" s="537" t="s">
        <v>673</v>
      </c>
      <c r="G267" s="538">
        <v>0.01</v>
      </c>
      <c r="H267" s="538">
        <v>1.474E-2</v>
      </c>
      <c r="I267" s="539">
        <v>0.4</v>
      </c>
      <c r="J267" s="597">
        <v>5</v>
      </c>
      <c r="K267" s="540">
        <v>81</v>
      </c>
      <c r="L267" s="273"/>
      <c r="M267" s="273"/>
      <c r="P267" s="274"/>
      <c r="Q267" s="274"/>
      <c r="R267" s="274"/>
      <c r="S267" s="274"/>
      <c r="T267" s="274"/>
      <c r="U267" s="274"/>
      <c r="V267" s="274"/>
      <c r="W267" s="274"/>
      <c r="X267" s="486" t="str">
        <f ca="1">IF('CDO Bespoke'!O268&lt;&gt;"",'CDO Bespoke'!O268,"")</f>
        <v/>
      </c>
      <c r="Y267" s="487" t="str">
        <f ca="1">IF(X267&lt;&gt;"",ABS(MIN(-0.75*('CDO Bespoke'!Q268)+'CDO Bespoke'!T268,0)),"")</f>
        <v/>
      </c>
      <c r="Z267" s="487">
        <f t="shared" ca="1" si="20"/>
        <v>0</v>
      </c>
      <c r="AA267" s="487">
        <f t="shared" ca="1" si="21"/>
        <v>0</v>
      </c>
      <c r="AB267" s="486" t="str">
        <f ca="1">IF('CDO Bespoke'!O268&lt;&gt;"",'CDO Bespoke'!O268,"")</f>
        <v/>
      </c>
      <c r="AC267" s="487" t="str">
        <f ca="1">IF(AB267&lt;&gt;"",ABS(MIN(-0.75*('CDO Bespoke'!K268)+'CDO Bespoke'!T268,0)),"")</f>
        <v/>
      </c>
      <c r="AD267" s="487">
        <f t="shared" ca="1" si="22"/>
        <v>0</v>
      </c>
      <c r="AE267" s="491">
        <f t="shared" ca="1" si="23"/>
        <v>0</v>
      </c>
      <c r="AF267" s="273"/>
      <c r="AG267" s="496" t="str">
        <f ca="1">IF('CDO Bespoke'!C292&lt;&gt;"",'CDO Bespoke'!C292,"")</f>
        <v/>
      </c>
      <c r="AH267" s="498"/>
      <c r="AI267" s="587"/>
      <c r="AJ267" s="587"/>
      <c r="AK267" s="587"/>
      <c r="AL267" s="499"/>
      <c r="AM267" s="498"/>
      <c r="AN267" s="587"/>
      <c r="AO267" s="587"/>
      <c r="AP267" s="587"/>
      <c r="AQ267" s="499"/>
      <c r="AR267" s="582"/>
      <c r="AS267" s="582"/>
      <c r="AT267" s="582"/>
      <c r="AU267" s="582"/>
      <c r="AV267" s="582"/>
      <c r="AW267" s="582"/>
      <c r="AX267" s="581"/>
    </row>
    <row r="268" spans="2:50">
      <c r="B268" s="541" t="s">
        <v>594</v>
      </c>
      <c r="C268" s="542" t="s">
        <v>66</v>
      </c>
      <c r="D268" s="542" t="s">
        <v>55</v>
      </c>
      <c r="E268" s="542" t="s">
        <v>649</v>
      </c>
      <c r="F268" s="542" t="s">
        <v>677</v>
      </c>
      <c r="G268" s="543">
        <v>0.01</v>
      </c>
      <c r="H268" s="543">
        <v>2.7200000000000002E-3</v>
      </c>
      <c r="I268" s="544">
        <v>0.4</v>
      </c>
      <c r="J268" s="604">
        <v>6</v>
      </c>
      <c r="K268" s="545">
        <v>82</v>
      </c>
      <c r="L268" s="273"/>
      <c r="M268" s="273"/>
      <c r="P268" s="274"/>
      <c r="Q268" s="274"/>
      <c r="R268" s="274"/>
      <c r="S268" s="274"/>
      <c r="T268" s="274"/>
      <c r="U268" s="274"/>
      <c r="V268" s="274"/>
      <c r="W268" s="274"/>
      <c r="X268" s="486" t="str">
        <f ca="1">IF('CDO Bespoke'!O269&lt;&gt;"",'CDO Bespoke'!O269,"")</f>
        <v/>
      </c>
      <c r="Y268" s="487" t="str">
        <f ca="1">IF(X268&lt;&gt;"",ABS(MIN(-0.75*('CDO Bespoke'!Q269)+'CDO Bespoke'!T269,0)),"")</f>
        <v/>
      </c>
      <c r="Z268" s="487">
        <f t="shared" ca="1" si="20"/>
        <v>0</v>
      </c>
      <c r="AA268" s="487">
        <f t="shared" ca="1" si="21"/>
        <v>0</v>
      </c>
      <c r="AB268" s="486" t="str">
        <f ca="1">IF('CDO Bespoke'!O269&lt;&gt;"",'CDO Bespoke'!O269,"")</f>
        <v/>
      </c>
      <c r="AC268" s="487" t="str">
        <f ca="1">IF(AB268&lt;&gt;"",ABS(MIN(-0.75*('CDO Bespoke'!K269)+'CDO Bespoke'!T269,0)),"")</f>
        <v/>
      </c>
      <c r="AD268" s="487">
        <f t="shared" ca="1" si="22"/>
        <v>0</v>
      </c>
      <c r="AE268" s="491">
        <f t="shared" ca="1" si="23"/>
        <v>0</v>
      </c>
      <c r="AF268" s="273"/>
      <c r="AG268" s="496" t="str">
        <f ca="1">IF('CDO Bespoke'!C293&lt;&gt;"",'CDO Bespoke'!C293,"")</f>
        <v/>
      </c>
      <c r="AH268" s="498"/>
      <c r="AI268" s="587"/>
      <c r="AJ268" s="587"/>
      <c r="AK268" s="587"/>
      <c r="AL268" s="499"/>
      <c r="AM268" s="498"/>
      <c r="AN268" s="587"/>
      <c r="AO268" s="587"/>
      <c r="AP268" s="587"/>
      <c r="AQ268" s="499"/>
      <c r="AR268" s="582"/>
      <c r="AS268" s="582"/>
      <c r="AT268" s="582"/>
      <c r="AU268" s="582"/>
      <c r="AV268" s="582"/>
      <c r="AW268" s="582"/>
      <c r="AX268" s="581"/>
    </row>
    <row r="269" spans="2:50">
      <c r="B269" s="519" t="s">
        <v>594</v>
      </c>
      <c r="C269" s="520" t="s">
        <v>66</v>
      </c>
      <c r="D269" s="520" t="s">
        <v>57</v>
      </c>
      <c r="E269" s="520" t="s">
        <v>649</v>
      </c>
      <c r="F269" s="520" t="s">
        <v>677</v>
      </c>
      <c r="G269" s="527">
        <v>0.01</v>
      </c>
      <c r="H269" s="527">
        <v>4.6210000000000001E-3</v>
      </c>
      <c r="I269" s="529">
        <v>0.4</v>
      </c>
      <c r="J269" s="596">
        <v>6</v>
      </c>
      <c r="K269" s="521">
        <v>82</v>
      </c>
      <c r="L269" s="273"/>
      <c r="M269" s="273"/>
      <c r="P269" s="274"/>
      <c r="Q269" s="274"/>
      <c r="R269" s="274"/>
      <c r="S269" s="274"/>
      <c r="T269" s="274"/>
      <c r="U269" s="274"/>
      <c r="V269" s="274"/>
      <c r="W269" s="274"/>
      <c r="X269" s="486" t="str">
        <f ca="1">IF('CDO Bespoke'!O270&lt;&gt;"",'CDO Bespoke'!O270,"")</f>
        <v/>
      </c>
      <c r="Y269" s="487" t="str">
        <f ca="1">IF(X269&lt;&gt;"",ABS(MIN(-0.75*('CDO Bespoke'!Q270)+'CDO Bespoke'!T270,0)),"")</f>
        <v/>
      </c>
      <c r="Z269" s="487">
        <f t="shared" ca="1" si="20"/>
        <v>0</v>
      </c>
      <c r="AA269" s="487">
        <f t="shared" ca="1" si="21"/>
        <v>0</v>
      </c>
      <c r="AB269" s="486" t="str">
        <f ca="1">IF('CDO Bespoke'!O270&lt;&gt;"",'CDO Bespoke'!O270,"")</f>
        <v/>
      </c>
      <c r="AC269" s="487" t="str">
        <f ca="1">IF(AB269&lt;&gt;"",ABS(MIN(-0.75*('CDO Bespoke'!K270)+'CDO Bespoke'!T270,0)),"")</f>
        <v/>
      </c>
      <c r="AD269" s="487">
        <f t="shared" ca="1" si="22"/>
        <v>0</v>
      </c>
      <c r="AE269" s="491">
        <f t="shared" ca="1" si="23"/>
        <v>0</v>
      </c>
      <c r="AF269" s="273"/>
      <c r="AG269" s="496" t="str">
        <f ca="1">IF('CDO Bespoke'!C294&lt;&gt;"",'CDO Bespoke'!C294,"")</f>
        <v/>
      </c>
      <c r="AH269" s="498"/>
      <c r="AI269" s="587"/>
      <c r="AJ269" s="587"/>
      <c r="AK269" s="587"/>
      <c r="AL269" s="499"/>
      <c r="AM269" s="498"/>
      <c r="AN269" s="587"/>
      <c r="AO269" s="587"/>
      <c r="AP269" s="587"/>
      <c r="AQ269" s="499"/>
      <c r="AR269" s="582"/>
      <c r="AS269" s="582"/>
      <c r="AT269" s="582"/>
      <c r="AU269" s="582"/>
      <c r="AV269" s="582"/>
      <c r="AW269" s="582"/>
      <c r="AX269" s="581"/>
    </row>
    <row r="270" spans="2:50">
      <c r="B270" s="536" t="s">
        <v>594</v>
      </c>
      <c r="C270" s="537" t="s">
        <v>66</v>
      </c>
      <c r="D270" s="537" t="s">
        <v>59</v>
      </c>
      <c r="E270" s="537" t="s">
        <v>649</v>
      </c>
      <c r="F270" s="537" t="s">
        <v>677</v>
      </c>
      <c r="G270" s="538">
        <v>0.01</v>
      </c>
      <c r="H270" s="538">
        <v>6.9170000000000004E-3</v>
      </c>
      <c r="I270" s="539">
        <v>0.4</v>
      </c>
      <c r="J270" s="597">
        <v>6</v>
      </c>
      <c r="K270" s="540">
        <v>82</v>
      </c>
      <c r="L270" s="273"/>
      <c r="M270" s="273"/>
      <c r="P270" s="274"/>
      <c r="Q270" s="274"/>
      <c r="R270" s="274"/>
      <c r="S270" s="274"/>
      <c r="T270" s="274"/>
      <c r="U270" s="274"/>
      <c r="V270" s="274"/>
      <c r="W270" s="274"/>
      <c r="X270" s="486" t="str">
        <f ca="1">IF('CDO Bespoke'!O271&lt;&gt;"",'CDO Bespoke'!O271,"")</f>
        <v/>
      </c>
      <c r="Y270" s="487" t="str">
        <f ca="1">IF(X270&lt;&gt;"",ABS(MIN(-0.75*('CDO Bespoke'!Q271)+'CDO Bespoke'!T271,0)),"")</f>
        <v/>
      </c>
      <c r="Z270" s="487">
        <f t="shared" ref="Z270:Z313" ca="1" si="24">IF(X270&lt;&gt;"",IF($Y$8,MAX(X270-Y270,0),X270),0)</f>
        <v>0</v>
      </c>
      <c r="AA270" s="487">
        <f t="shared" ref="AA270:AA313" ca="1" si="25">IF(X270&lt;&gt;"",IF($Y$8,0,Y270),0)</f>
        <v>0</v>
      </c>
      <c r="AB270" s="486" t="str">
        <f ca="1">IF('CDO Bespoke'!O271&lt;&gt;"",'CDO Bespoke'!O271,"")</f>
        <v/>
      </c>
      <c r="AC270" s="487" t="str">
        <f ca="1">IF(AB270&lt;&gt;"",ABS(MIN(-0.75*('CDO Bespoke'!K271)+'CDO Bespoke'!T271,0)),"")</f>
        <v/>
      </c>
      <c r="AD270" s="487">
        <f t="shared" ref="AD270:AD313" ca="1" si="26">IF(AB270&lt;&gt;"",IF($Y$8,MAX(AB270-AC270,0),AB270),0)</f>
        <v>0</v>
      </c>
      <c r="AE270" s="491">
        <f t="shared" ref="AE270:AE313" ca="1" si="27">IF(AB270&lt;&gt;"",IF($Y$8,0,AC270),0)</f>
        <v>0</v>
      </c>
      <c r="AF270" s="273"/>
      <c r="AG270" s="496" t="str">
        <f ca="1">IF('CDO Bespoke'!C295&lt;&gt;"",'CDO Bespoke'!C295,"")</f>
        <v/>
      </c>
      <c r="AH270" s="498"/>
      <c r="AI270" s="587"/>
      <c r="AJ270" s="587"/>
      <c r="AK270" s="587"/>
      <c r="AL270" s="499"/>
      <c r="AM270" s="498"/>
      <c r="AN270" s="587"/>
      <c r="AO270" s="587"/>
      <c r="AP270" s="587"/>
      <c r="AQ270" s="499"/>
      <c r="AR270" s="582"/>
      <c r="AS270" s="582"/>
      <c r="AT270" s="582"/>
      <c r="AU270" s="582"/>
      <c r="AV270" s="582"/>
      <c r="AW270" s="582"/>
      <c r="AX270" s="581"/>
    </row>
    <row r="271" spans="2:50">
      <c r="B271" s="541" t="s">
        <v>585</v>
      </c>
      <c r="C271" s="542" t="s">
        <v>66</v>
      </c>
      <c r="D271" s="542" t="s">
        <v>55</v>
      </c>
      <c r="E271" s="542" t="s">
        <v>649</v>
      </c>
      <c r="F271" s="542" t="s">
        <v>677</v>
      </c>
      <c r="G271" s="543">
        <v>0.01</v>
      </c>
      <c r="H271" s="543">
        <v>1.753E-3</v>
      </c>
      <c r="I271" s="544">
        <v>0.4</v>
      </c>
      <c r="J271" s="604">
        <v>6</v>
      </c>
      <c r="K271" s="545">
        <v>83</v>
      </c>
      <c r="L271" s="273"/>
      <c r="M271" s="273"/>
      <c r="P271" s="274"/>
      <c r="Q271" s="274"/>
      <c r="R271" s="274"/>
      <c r="S271" s="274"/>
      <c r="T271" s="274"/>
      <c r="U271" s="274"/>
      <c r="V271" s="274"/>
      <c r="W271" s="274"/>
      <c r="X271" s="486" t="str">
        <f ca="1">IF('CDO Bespoke'!O272&lt;&gt;"",'CDO Bespoke'!O272,"")</f>
        <v/>
      </c>
      <c r="Y271" s="487" t="str">
        <f ca="1">IF(X271&lt;&gt;"",ABS(MIN(-0.75*('CDO Bespoke'!Q272)+'CDO Bespoke'!T272,0)),"")</f>
        <v/>
      </c>
      <c r="Z271" s="487">
        <f t="shared" ca="1" si="24"/>
        <v>0</v>
      </c>
      <c r="AA271" s="487">
        <f t="shared" ca="1" si="25"/>
        <v>0</v>
      </c>
      <c r="AB271" s="486" t="str">
        <f ca="1">IF('CDO Bespoke'!O272&lt;&gt;"",'CDO Bespoke'!O272,"")</f>
        <v/>
      </c>
      <c r="AC271" s="487" t="str">
        <f ca="1">IF(AB271&lt;&gt;"",ABS(MIN(-0.75*('CDO Bespoke'!K272)+'CDO Bespoke'!T272,0)),"")</f>
        <v/>
      </c>
      <c r="AD271" s="487">
        <f t="shared" ca="1" si="26"/>
        <v>0</v>
      </c>
      <c r="AE271" s="491">
        <f t="shared" ca="1" si="27"/>
        <v>0</v>
      </c>
      <c r="AF271" s="273"/>
      <c r="AG271" s="496" t="str">
        <f ca="1">IF('CDO Bespoke'!C296&lt;&gt;"",'CDO Bespoke'!C296,"")</f>
        <v/>
      </c>
      <c r="AH271" s="498"/>
      <c r="AI271" s="587"/>
      <c r="AJ271" s="587"/>
      <c r="AK271" s="587"/>
      <c r="AL271" s="499"/>
      <c r="AM271" s="498"/>
      <c r="AN271" s="587"/>
      <c r="AO271" s="587"/>
      <c r="AP271" s="587"/>
      <c r="AQ271" s="499"/>
      <c r="AR271" s="582"/>
      <c r="AS271" s="582"/>
      <c r="AT271" s="582"/>
      <c r="AU271" s="582"/>
      <c r="AV271" s="582"/>
      <c r="AW271" s="582"/>
      <c r="AX271" s="581"/>
    </row>
    <row r="272" spans="2:50">
      <c r="B272" s="519" t="s">
        <v>585</v>
      </c>
      <c r="C272" s="520" t="s">
        <v>66</v>
      </c>
      <c r="D272" s="520" t="s">
        <v>57</v>
      </c>
      <c r="E272" s="520" t="s">
        <v>649</v>
      </c>
      <c r="F272" s="520" t="s">
        <v>677</v>
      </c>
      <c r="G272" s="527">
        <v>0.01</v>
      </c>
      <c r="H272" s="527">
        <v>3.101E-3</v>
      </c>
      <c r="I272" s="529">
        <v>0.4</v>
      </c>
      <c r="J272" s="596">
        <v>6</v>
      </c>
      <c r="K272" s="521">
        <v>83</v>
      </c>
      <c r="L272" s="273"/>
      <c r="M272" s="273"/>
      <c r="P272" s="274"/>
      <c r="Q272" s="274"/>
      <c r="R272" s="274"/>
      <c r="S272" s="274"/>
      <c r="T272" s="274"/>
      <c r="U272" s="274"/>
      <c r="V272" s="274"/>
      <c r="W272" s="274"/>
      <c r="X272" s="486" t="str">
        <f ca="1">IF('CDO Bespoke'!O273&lt;&gt;"",'CDO Bespoke'!O273,"")</f>
        <v/>
      </c>
      <c r="Y272" s="487" t="str">
        <f ca="1">IF(X272&lt;&gt;"",ABS(MIN(-0.75*('CDO Bespoke'!Q273)+'CDO Bespoke'!T273,0)),"")</f>
        <v/>
      </c>
      <c r="Z272" s="487">
        <f t="shared" ca="1" si="24"/>
        <v>0</v>
      </c>
      <c r="AA272" s="487">
        <f t="shared" ca="1" si="25"/>
        <v>0</v>
      </c>
      <c r="AB272" s="486" t="str">
        <f ca="1">IF('CDO Bespoke'!O273&lt;&gt;"",'CDO Bespoke'!O273,"")</f>
        <v/>
      </c>
      <c r="AC272" s="487" t="str">
        <f ca="1">IF(AB272&lt;&gt;"",ABS(MIN(-0.75*('CDO Bespoke'!K273)+'CDO Bespoke'!T273,0)),"")</f>
        <v/>
      </c>
      <c r="AD272" s="487">
        <f t="shared" ca="1" si="26"/>
        <v>0</v>
      </c>
      <c r="AE272" s="491">
        <f t="shared" ca="1" si="27"/>
        <v>0</v>
      </c>
      <c r="AF272" s="273"/>
      <c r="AG272" s="496" t="str">
        <f ca="1">IF('CDO Bespoke'!C297&lt;&gt;"",'CDO Bespoke'!C297,"")</f>
        <v/>
      </c>
      <c r="AH272" s="498"/>
      <c r="AI272" s="587"/>
      <c r="AJ272" s="587"/>
      <c r="AK272" s="587"/>
      <c r="AL272" s="499"/>
      <c r="AM272" s="498"/>
      <c r="AN272" s="587"/>
      <c r="AO272" s="587"/>
      <c r="AP272" s="587"/>
      <c r="AQ272" s="499"/>
      <c r="AR272" s="582"/>
      <c r="AS272" s="582"/>
      <c r="AT272" s="582"/>
      <c r="AU272" s="582"/>
      <c r="AV272" s="582"/>
      <c r="AW272" s="582"/>
      <c r="AX272" s="581"/>
    </row>
    <row r="273" spans="2:50">
      <c r="B273" s="536" t="s">
        <v>585</v>
      </c>
      <c r="C273" s="537" t="s">
        <v>66</v>
      </c>
      <c r="D273" s="537" t="s">
        <v>59</v>
      </c>
      <c r="E273" s="537" t="s">
        <v>649</v>
      </c>
      <c r="F273" s="537" t="s">
        <v>677</v>
      </c>
      <c r="G273" s="538">
        <v>0.01</v>
      </c>
      <c r="H273" s="538">
        <v>4.653E-3</v>
      </c>
      <c r="I273" s="539">
        <v>0.4</v>
      </c>
      <c r="J273" s="597">
        <v>6</v>
      </c>
      <c r="K273" s="540">
        <v>83</v>
      </c>
      <c r="L273" s="273"/>
      <c r="M273" s="273"/>
      <c r="P273" s="274"/>
      <c r="Q273" s="274"/>
      <c r="R273" s="274"/>
      <c r="S273" s="274"/>
      <c r="T273" s="274"/>
      <c r="U273" s="274"/>
      <c r="V273" s="274"/>
      <c r="W273" s="274"/>
      <c r="X273" s="486" t="str">
        <f ca="1">IF('CDO Bespoke'!O274&lt;&gt;"",'CDO Bespoke'!O274,"")</f>
        <v/>
      </c>
      <c r="Y273" s="487" t="str">
        <f ca="1">IF(X273&lt;&gt;"",ABS(MIN(-0.75*('CDO Bespoke'!Q274)+'CDO Bespoke'!T274,0)),"")</f>
        <v/>
      </c>
      <c r="Z273" s="487">
        <f t="shared" ca="1" si="24"/>
        <v>0</v>
      </c>
      <c r="AA273" s="487">
        <f t="shared" ca="1" si="25"/>
        <v>0</v>
      </c>
      <c r="AB273" s="486" t="str">
        <f ca="1">IF('CDO Bespoke'!O274&lt;&gt;"",'CDO Bespoke'!O274,"")</f>
        <v/>
      </c>
      <c r="AC273" s="487" t="str">
        <f ca="1">IF(AB273&lt;&gt;"",ABS(MIN(-0.75*('CDO Bespoke'!K274)+'CDO Bespoke'!T274,0)),"")</f>
        <v/>
      </c>
      <c r="AD273" s="487">
        <f t="shared" ca="1" si="26"/>
        <v>0</v>
      </c>
      <c r="AE273" s="491">
        <f t="shared" ca="1" si="27"/>
        <v>0</v>
      </c>
      <c r="AF273" s="273"/>
      <c r="AG273" s="496" t="str">
        <f ca="1">IF('CDO Bespoke'!C298&lt;&gt;"",'CDO Bespoke'!C298,"")</f>
        <v/>
      </c>
      <c r="AH273" s="498"/>
      <c r="AI273" s="587"/>
      <c r="AJ273" s="587"/>
      <c r="AK273" s="587"/>
      <c r="AL273" s="499"/>
      <c r="AM273" s="498"/>
      <c r="AN273" s="587"/>
      <c r="AO273" s="587"/>
      <c r="AP273" s="587"/>
      <c r="AQ273" s="499"/>
      <c r="AR273" s="582"/>
      <c r="AS273" s="582"/>
      <c r="AT273" s="582"/>
      <c r="AU273" s="582"/>
      <c r="AV273" s="582"/>
      <c r="AW273" s="582"/>
      <c r="AX273" s="581"/>
    </row>
    <row r="274" spans="2:50">
      <c r="B274" s="541" t="s">
        <v>586</v>
      </c>
      <c r="C274" s="542" t="s">
        <v>66</v>
      </c>
      <c r="D274" s="542" t="s">
        <v>55</v>
      </c>
      <c r="E274" s="542" t="s">
        <v>649</v>
      </c>
      <c r="F274" s="542" t="s">
        <v>673</v>
      </c>
      <c r="G274" s="543">
        <v>0.01</v>
      </c>
      <c r="H274" s="543">
        <v>3.1080000000000001E-3</v>
      </c>
      <c r="I274" s="544">
        <v>0.4</v>
      </c>
      <c r="J274" s="604">
        <v>5</v>
      </c>
      <c r="K274" s="545">
        <v>84</v>
      </c>
      <c r="L274" s="273"/>
      <c r="M274" s="273"/>
      <c r="P274" s="274"/>
      <c r="Q274" s="274"/>
      <c r="R274" s="274"/>
      <c r="S274" s="274"/>
      <c r="T274" s="274"/>
      <c r="U274" s="274"/>
      <c r="V274" s="274"/>
      <c r="W274" s="274"/>
      <c r="X274" s="486" t="str">
        <f ca="1">IF('CDO Bespoke'!O275&lt;&gt;"",'CDO Bespoke'!O275,"")</f>
        <v/>
      </c>
      <c r="Y274" s="487" t="str">
        <f ca="1">IF(X274&lt;&gt;"",ABS(MIN(-0.75*('CDO Bespoke'!Q275)+'CDO Bespoke'!T275,0)),"")</f>
        <v/>
      </c>
      <c r="Z274" s="487">
        <f t="shared" ca="1" si="24"/>
        <v>0</v>
      </c>
      <c r="AA274" s="487">
        <f t="shared" ca="1" si="25"/>
        <v>0</v>
      </c>
      <c r="AB274" s="486" t="str">
        <f ca="1">IF('CDO Bespoke'!O275&lt;&gt;"",'CDO Bespoke'!O275,"")</f>
        <v/>
      </c>
      <c r="AC274" s="487" t="str">
        <f ca="1">IF(AB274&lt;&gt;"",ABS(MIN(-0.75*('CDO Bespoke'!K275)+'CDO Bespoke'!T275,0)),"")</f>
        <v/>
      </c>
      <c r="AD274" s="487">
        <f t="shared" ca="1" si="26"/>
        <v>0</v>
      </c>
      <c r="AE274" s="491">
        <f t="shared" ca="1" si="27"/>
        <v>0</v>
      </c>
      <c r="AF274" s="273"/>
      <c r="AG274" s="496" t="str">
        <f ca="1">IF('CDO Bespoke'!C299&lt;&gt;"",'CDO Bespoke'!C299,"")</f>
        <v/>
      </c>
      <c r="AH274" s="498"/>
      <c r="AI274" s="587"/>
      <c r="AJ274" s="587"/>
      <c r="AK274" s="587"/>
      <c r="AL274" s="499"/>
      <c r="AM274" s="498"/>
      <c r="AN274" s="587"/>
      <c r="AO274" s="587"/>
      <c r="AP274" s="587"/>
      <c r="AQ274" s="499"/>
      <c r="AR274" s="582"/>
      <c r="AS274" s="582"/>
      <c r="AT274" s="582"/>
      <c r="AU274" s="582"/>
      <c r="AV274" s="582"/>
      <c r="AW274" s="582"/>
      <c r="AX274" s="581"/>
    </row>
    <row r="275" spans="2:50">
      <c r="B275" s="519" t="s">
        <v>586</v>
      </c>
      <c r="C275" s="520" t="s">
        <v>66</v>
      </c>
      <c r="D275" s="520" t="s">
        <v>57</v>
      </c>
      <c r="E275" s="520" t="s">
        <v>649</v>
      </c>
      <c r="F275" s="520" t="s">
        <v>673</v>
      </c>
      <c r="G275" s="527">
        <v>0.01</v>
      </c>
      <c r="H275" s="527">
        <v>5.4169999999999999E-3</v>
      </c>
      <c r="I275" s="529">
        <v>0.4</v>
      </c>
      <c r="J275" s="596">
        <v>5</v>
      </c>
      <c r="K275" s="521">
        <v>84</v>
      </c>
      <c r="L275" s="273"/>
      <c r="M275" s="273"/>
      <c r="P275" s="274"/>
      <c r="Q275" s="274"/>
      <c r="R275" s="274"/>
      <c r="S275" s="274"/>
      <c r="T275" s="274"/>
      <c r="U275" s="274"/>
      <c r="V275" s="274"/>
      <c r="W275" s="274"/>
      <c r="X275" s="486" t="str">
        <f ca="1">IF('CDO Bespoke'!O276&lt;&gt;"",'CDO Bespoke'!O276,"")</f>
        <v/>
      </c>
      <c r="Y275" s="487" t="str">
        <f ca="1">IF(X275&lt;&gt;"",ABS(MIN(-0.75*('CDO Bespoke'!Q276)+'CDO Bespoke'!T276,0)),"")</f>
        <v/>
      </c>
      <c r="Z275" s="487">
        <f t="shared" ca="1" si="24"/>
        <v>0</v>
      </c>
      <c r="AA275" s="487">
        <f t="shared" ca="1" si="25"/>
        <v>0</v>
      </c>
      <c r="AB275" s="486" t="str">
        <f ca="1">IF('CDO Bespoke'!O276&lt;&gt;"",'CDO Bespoke'!O276,"")</f>
        <v/>
      </c>
      <c r="AC275" s="487" t="str">
        <f ca="1">IF(AB275&lt;&gt;"",ABS(MIN(-0.75*('CDO Bespoke'!K276)+'CDO Bespoke'!T276,0)),"")</f>
        <v/>
      </c>
      <c r="AD275" s="487">
        <f t="shared" ca="1" si="26"/>
        <v>0</v>
      </c>
      <c r="AE275" s="491">
        <f t="shared" ca="1" si="27"/>
        <v>0</v>
      </c>
      <c r="AF275" s="273"/>
      <c r="AG275" s="496" t="str">
        <f ca="1">IF('CDO Bespoke'!C300&lt;&gt;"",'CDO Bespoke'!C300,"")</f>
        <v/>
      </c>
      <c r="AH275" s="498"/>
      <c r="AI275" s="587"/>
      <c r="AJ275" s="587"/>
      <c r="AK275" s="587"/>
      <c r="AL275" s="499"/>
      <c r="AM275" s="498"/>
      <c r="AN275" s="587"/>
      <c r="AO275" s="587"/>
      <c r="AP275" s="587"/>
      <c r="AQ275" s="499"/>
      <c r="AR275" s="582"/>
      <c r="AS275" s="582"/>
      <c r="AT275" s="582"/>
      <c r="AU275" s="582"/>
      <c r="AV275" s="582"/>
      <c r="AW275" s="582"/>
      <c r="AX275" s="581"/>
    </row>
    <row r="276" spans="2:50">
      <c r="B276" s="536" t="s">
        <v>586</v>
      </c>
      <c r="C276" s="537" t="s">
        <v>66</v>
      </c>
      <c r="D276" s="537" t="s">
        <v>59</v>
      </c>
      <c r="E276" s="537" t="s">
        <v>649</v>
      </c>
      <c r="F276" s="537" t="s">
        <v>673</v>
      </c>
      <c r="G276" s="538">
        <v>0.01</v>
      </c>
      <c r="H276" s="538">
        <v>8.0789999999999994E-3</v>
      </c>
      <c r="I276" s="539">
        <v>0.4</v>
      </c>
      <c r="J276" s="597">
        <v>5</v>
      </c>
      <c r="K276" s="540">
        <v>84</v>
      </c>
      <c r="L276" s="273"/>
      <c r="M276" s="273"/>
      <c r="P276" s="274"/>
      <c r="Q276" s="274"/>
      <c r="R276" s="274"/>
      <c r="S276" s="274"/>
      <c r="T276" s="274"/>
      <c r="U276" s="274"/>
      <c r="V276" s="274"/>
      <c r="W276" s="274"/>
      <c r="X276" s="486" t="str">
        <f ca="1">IF('CDO Bespoke'!O277&lt;&gt;"",'CDO Bespoke'!O277,"")</f>
        <v/>
      </c>
      <c r="Y276" s="487" t="str">
        <f ca="1">IF(X276&lt;&gt;"",ABS(MIN(-0.75*('CDO Bespoke'!Q277)+'CDO Bespoke'!T277,0)),"")</f>
        <v/>
      </c>
      <c r="Z276" s="487">
        <f t="shared" ca="1" si="24"/>
        <v>0</v>
      </c>
      <c r="AA276" s="487">
        <f t="shared" ca="1" si="25"/>
        <v>0</v>
      </c>
      <c r="AB276" s="486" t="str">
        <f ca="1">IF('CDO Bespoke'!O277&lt;&gt;"",'CDO Bespoke'!O277,"")</f>
        <v/>
      </c>
      <c r="AC276" s="487" t="str">
        <f ca="1">IF(AB276&lt;&gt;"",ABS(MIN(-0.75*('CDO Bespoke'!K277)+'CDO Bespoke'!T277,0)),"")</f>
        <v/>
      </c>
      <c r="AD276" s="487">
        <f t="shared" ca="1" si="26"/>
        <v>0</v>
      </c>
      <c r="AE276" s="491">
        <f t="shared" ca="1" si="27"/>
        <v>0</v>
      </c>
      <c r="AF276" s="273"/>
      <c r="AG276" s="496" t="str">
        <f ca="1">IF('CDO Bespoke'!C301&lt;&gt;"",'CDO Bespoke'!C301,"")</f>
        <v/>
      </c>
      <c r="AH276" s="498"/>
      <c r="AI276" s="587"/>
      <c r="AJ276" s="587"/>
      <c r="AK276" s="587"/>
      <c r="AL276" s="499"/>
      <c r="AM276" s="498"/>
      <c r="AN276" s="587"/>
      <c r="AO276" s="587"/>
      <c r="AP276" s="587"/>
      <c r="AQ276" s="499"/>
      <c r="AR276" s="582"/>
      <c r="AS276" s="582"/>
      <c r="AT276" s="582"/>
      <c r="AU276" s="582"/>
      <c r="AV276" s="582"/>
      <c r="AW276" s="582"/>
      <c r="AX276" s="581"/>
    </row>
    <row r="277" spans="2:50">
      <c r="B277" s="541" t="s">
        <v>595</v>
      </c>
      <c r="C277" s="542" t="s">
        <v>66</v>
      </c>
      <c r="D277" s="542" t="s">
        <v>55</v>
      </c>
      <c r="E277" s="542" t="s">
        <v>649</v>
      </c>
      <c r="F277" s="542" t="s">
        <v>673</v>
      </c>
      <c r="G277" s="543">
        <v>0.01</v>
      </c>
      <c r="H277" s="543">
        <v>2.4889999999999999E-3</v>
      </c>
      <c r="I277" s="544">
        <v>0.4</v>
      </c>
      <c r="J277" s="604">
        <v>5</v>
      </c>
      <c r="K277" s="545">
        <v>85</v>
      </c>
      <c r="L277" s="273"/>
      <c r="M277" s="273"/>
      <c r="P277" s="274"/>
      <c r="Q277" s="274"/>
      <c r="R277" s="274"/>
      <c r="S277" s="274"/>
      <c r="T277" s="274"/>
      <c r="U277" s="274"/>
      <c r="V277" s="274"/>
      <c r="W277" s="274"/>
      <c r="X277" s="486" t="str">
        <f ca="1">IF('CDO Bespoke'!O278&lt;&gt;"",'CDO Bespoke'!O278,"")</f>
        <v/>
      </c>
      <c r="Y277" s="487" t="str">
        <f ca="1">IF(X277&lt;&gt;"",ABS(MIN(-0.75*('CDO Bespoke'!Q278)+'CDO Bespoke'!T278,0)),"")</f>
        <v/>
      </c>
      <c r="Z277" s="487">
        <f t="shared" ca="1" si="24"/>
        <v>0</v>
      </c>
      <c r="AA277" s="487">
        <f t="shared" ca="1" si="25"/>
        <v>0</v>
      </c>
      <c r="AB277" s="486" t="str">
        <f ca="1">IF('CDO Bespoke'!O278&lt;&gt;"",'CDO Bespoke'!O278,"")</f>
        <v/>
      </c>
      <c r="AC277" s="487" t="str">
        <f ca="1">IF(AB277&lt;&gt;"",ABS(MIN(-0.75*('CDO Bespoke'!K278)+'CDO Bespoke'!T278,0)),"")</f>
        <v/>
      </c>
      <c r="AD277" s="487">
        <f t="shared" ca="1" si="26"/>
        <v>0</v>
      </c>
      <c r="AE277" s="491">
        <f t="shared" ca="1" si="27"/>
        <v>0</v>
      </c>
      <c r="AF277" s="273"/>
      <c r="AG277" s="496" t="str">
        <f ca="1">IF('CDO Bespoke'!C302&lt;&gt;"",'CDO Bespoke'!C302,"")</f>
        <v/>
      </c>
      <c r="AH277" s="498"/>
      <c r="AI277" s="587"/>
      <c r="AJ277" s="587"/>
      <c r="AK277" s="587"/>
      <c r="AL277" s="499"/>
      <c r="AM277" s="498"/>
      <c r="AN277" s="587"/>
      <c r="AO277" s="587"/>
      <c r="AP277" s="587"/>
      <c r="AQ277" s="499"/>
      <c r="AR277" s="582"/>
      <c r="AS277" s="582"/>
      <c r="AT277" s="582"/>
      <c r="AU277" s="582"/>
      <c r="AV277" s="582"/>
      <c r="AW277" s="582"/>
      <c r="AX277" s="581"/>
    </row>
    <row r="278" spans="2:50">
      <c r="B278" s="519" t="s">
        <v>595</v>
      </c>
      <c r="C278" s="520" t="s">
        <v>66</v>
      </c>
      <c r="D278" s="520" t="s">
        <v>57</v>
      </c>
      <c r="E278" s="520" t="s">
        <v>649</v>
      </c>
      <c r="F278" s="520" t="s">
        <v>673</v>
      </c>
      <c r="G278" s="527">
        <v>0.01</v>
      </c>
      <c r="H278" s="527">
        <v>4.5339999999999998E-3</v>
      </c>
      <c r="I278" s="529">
        <v>0.4</v>
      </c>
      <c r="J278" s="596">
        <v>5</v>
      </c>
      <c r="K278" s="521">
        <v>85</v>
      </c>
      <c r="L278" s="273"/>
      <c r="M278" s="273"/>
      <c r="P278" s="274"/>
      <c r="Q278" s="274"/>
      <c r="R278" s="274"/>
      <c r="S278" s="274"/>
      <c r="T278" s="274"/>
      <c r="U278" s="274"/>
      <c r="V278" s="274"/>
      <c r="W278" s="274"/>
      <c r="X278" s="486" t="str">
        <f ca="1">IF('CDO Bespoke'!O279&lt;&gt;"",'CDO Bespoke'!O279,"")</f>
        <v/>
      </c>
      <c r="Y278" s="487" t="str">
        <f ca="1">IF(X278&lt;&gt;"",ABS(MIN(-0.75*('CDO Bespoke'!Q279)+'CDO Bespoke'!T279,0)),"")</f>
        <v/>
      </c>
      <c r="Z278" s="487">
        <f t="shared" ca="1" si="24"/>
        <v>0</v>
      </c>
      <c r="AA278" s="487">
        <f t="shared" ca="1" si="25"/>
        <v>0</v>
      </c>
      <c r="AB278" s="486" t="str">
        <f ca="1">IF('CDO Bespoke'!O279&lt;&gt;"",'CDO Bespoke'!O279,"")</f>
        <v/>
      </c>
      <c r="AC278" s="487" t="str">
        <f ca="1">IF(AB278&lt;&gt;"",ABS(MIN(-0.75*('CDO Bespoke'!K279)+'CDO Bespoke'!T279,0)),"")</f>
        <v/>
      </c>
      <c r="AD278" s="487">
        <f t="shared" ca="1" si="26"/>
        <v>0</v>
      </c>
      <c r="AE278" s="491">
        <f t="shared" ca="1" si="27"/>
        <v>0</v>
      </c>
      <c r="AF278" s="273"/>
      <c r="AG278" s="496" t="str">
        <f ca="1">IF('CDO Bespoke'!C303&lt;&gt;"",'CDO Bespoke'!C303,"")</f>
        <v/>
      </c>
      <c r="AH278" s="498"/>
      <c r="AI278" s="587"/>
      <c r="AJ278" s="587"/>
      <c r="AK278" s="587"/>
      <c r="AL278" s="499"/>
      <c r="AM278" s="498"/>
      <c r="AN278" s="587"/>
      <c r="AO278" s="587"/>
      <c r="AP278" s="587"/>
      <c r="AQ278" s="499"/>
      <c r="AR278" s="582"/>
      <c r="AS278" s="582"/>
      <c r="AT278" s="582"/>
      <c r="AU278" s="582"/>
      <c r="AV278" s="582"/>
      <c r="AW278" s="582"/>
      <c r="AX278" s="581"/>
    </row>
    <row r="279" spans="2:50">
      <c r="B279" s="536" t="s">
        <v>595</v>
      </c>
      <c r="C279" s="537" t="s">
        <v>66</v>
      </c>
      <c r="D279" s="537" t="s">
        <v>59</v>
      </c>
      <c r="E279" s="537" t="s">
        <v>649</v>
      </c>
      <c r="F279" s="537" t="s">
        <v>673</v>
      </c>
      <c r="G279" s="538">
        <v>0.01</v>
      </c>
      <c r="H279" s="538">
        <v>6.875E-3</v>
      </c>
      <c r="I279" s="539">
        <v>0.4</v>
      </c>
      <c r="J279" s="597">
        <v>5</v>
      </c>
      <c r="K279" s="540">
        <v>85</v>
      </c>
      <c r="L279" s="273"/>
      <c r="M279" s="273"/>
      <c r="P279" s="274"/>
      <c r="Q279" s="274"/>
      <c r="R279" s="274"/>
      <c r="S279" s="274"/>
      <c r="T279" s="274"/>
      <c r="U279" s="274"/>
      <c r="V279" s="274"/>
      <c r="W279" s="274"/>
      <c r="X279" s="486" t="str">
        <f ca="1">IF('CDO Bespoke'!O280&lt;&gt;"",'CDO Bespoke'!O280,"")</f>
        <v/>
      </c>
      <c r="Y279" s="487" t="str">
        <f ca="1">IF(X279&lt;&gt;"",ABS(MIN(-0.75*('CDO Bespoke'!Q280)+'CDO Bespoke'!T280,0)),"")</f>
        <v/>
      </c>
      <c r="Z279" s="487">
        <f t="shared" ca="1" si="24"/>
        <v>0</v>
      </c>
      <c r="AA279" s="487">
        <f t="shared" ca="1" si="25"/>
        <v>0</v>
      </c>
      <c r="AB279" s="486" t="str">
        <f ca="1">IF('CDO Bespoke'!O280&lt;&gt;"",'CDO Bespoke'!O280,"")</f>
        <v/>
      </c>
      <c r="AC279" s="487" t="str">
        <f ca="1">IF(AB279&lt;&gt;"",ABS(MIN(-0.75*('CDO Bespoke'!K280)+'CDO Bespoke'!T280,0)),"")</f>
        <v/>
      </c>
      <c r="AD279" s="487">
        <f t="shared" ca="1" si="26"/>
        <v>0</v>
      </c>
      <c r="AE279" s="491">
        <f t="shared" ca="1" si="27"/>
        <v>0</v>
      </c>
      <c r="AF279" s="273"/>
      <c r="AG279" s="496" t="str">
        <f ca="1">IF('CDO Bespoke'!C304&lt;&gt;"",'CDO Bespoke'!C304,"")</f>
        <v/>
      </c>
      <c r="AH279" s="498"/>
      <c r="AI279" s="587"/>
      <c r="AJ279" s="587"/>
      <c r="AK279" s="587"/>
      <c r="AL279" s="499"/>
      <c r="AM279" s="498"/>
      <c r="AN279" s="587"/>
      <c r="AO279" s="587"/>
      <c r="AP279" s="587"/>
      <c r="AQ279" s="499"/>
      <c r="AR279" s="582"/>
      <c r="AS279" s="582"/>
      <c r="AT279" s="582"/>
      <c r="AU279" s="582"/>
      <c r="AV279" s="582"/>
      <c r="AW279" s="582"/>
      <c r="AX279" s="581"/>
    </row>
    <row r="280" spans="2:50">
      <c r="B280" s="541" t="s">
        <v>587</v>
      </c>
      <c r="C280" s="542" t="s">
        <v>66</v>
      </c>
      <c r="D280" s="542" t="s">
        <v>55</v>
      </c>
      <c r="E280" s="542" t="s">
        <v>649</v>
      </c>
      <c r="F280" s="542" t="s">
        <v>677</v>
      </c>
      <c r="G280" s="543">
        <v>0.01</v>
      </c>
      <c r="H280" s="543">
        <v>9.5580000000000005E-3</v>
      </c>
      <c r="I280" s="544">
        <v>0.4</v>
      </c>
      <c r="J280" s="604">
        <v>6</v>
      </c>
      <c r="K280" s="545">
        <v>86</v>
      </c>
      <c r="L280" s="273"/>
      <c r="M280" s="273"/>
      <c r="P280" s="274"/>
      <c r="Q280" s="274"/>
      <c r="R280" s="274"/>
      <c r="S280" s="274"/>
      <c r="T280" s="274"/>
      <c r="U280" s="274"/>
      <c r="V280" s="274"/>
      <c r="W280" s="274"/>
      <c r="X280" s="486" t="str">
        <f ca="1">IF('CDO Bespoke'!O281&lt;&gt;"",'CDO Bespoke'!O281,"")</f>
        <v/>
      </c>
      <c r="Y280" s="487" t="str">
        <f ca="1">IF(X280&lt;&gt;"",ABS(MIN(-0.75*('CDO Bespoke'!Q281)+'CDO Bespoke'!T281,0)),"")</f>
        <v/>
      </c>
      <c r="Z280" s="487">
        <f t="shared" ca="1" si="24"/>
        <v>0</v>
      </c>
      <c r="AA280" s="487">
        <f t="shared" ca="1" si="25"/>
        <v>0</v>
      </c>
      <c r="AB280" s="486" t="str">
        <f ca="1">IF('CDO Bespoke'!O281&lt;&gt;"",'CDO Bespoke'!O281,"")</f>
        <v/>
      </c>
      <c r="AC280" s="487" t="str">
        <f ca="1">IF(AB280&lt;&gt;"",ABS(MIN(-0.75*('CDO Bespoke'!K281)+'CDO Bespoke'!T281,0)),"")</f>
        <v/>
      </c>
      <c r="AD280" s="487">
        <f t="shared" ca="1" si="26"/>
        <v>0</v>
      </c>
      <c r="AE280" s="491">
        <f t="shared" ca="1" si="27"/>
        <v>0</v>
      </c>
      <c r="AF280" s="273"/>
      <c r="AG280" s="496" t="str">
        <f ca="1">IF('CDO Bespoke'!C305&lt;&gt;"",'CDO Bespoke'!C305,"")</f>
        <v/>
      </c>
      <c r="AH280" s="498"/>
      <c r="AI280" s="587"/>
      <c r="AJ280" s="587"/>
      <c r="AK280" s="587"/>
      <c r="AL280" s="499"/>
      <c r="AM280" s="498"/>
      <c r="AN280" s="587"/>
      <c r="AO280" s="587"/>
      <c r="AP280" s="587"/>
      <c r="AQ280" s="499"/>
      <c r="AR280" s="582"/>
      <c r="AS280" s="582"/>
      <c r="AT280" s="582"/>
      <c r="AU280" s="582"/>
      <c r="AV280" s="582"/>
      <c r="AW280" s="582"/>
      <c r="AX280" s="581"/>
    </row>
    <row r="281" spans="2:50">
      <c r="B281" s="519" t="s">
        <v>587</v>
      </c>
      <c r="C281" s="520" t="s">
        <v>66</v>
      </c>
      <c r="D281" s="520" t="s">
        <v>57</v>
      </c>
      <c r="E281" s="520" t="s">
        <v>649</v>
      </c>
      <c r="F281" s="520" t="s">
        <v>677</v>
      </c>
      <c r="G281" s="527">
        <v>0.01</v>
      </c>
      <c r="H281" s="527">
        <v>1.5862999999999999E-2</v>
      </c>
      <c r="I281" s="529">
        <v>0.4</v>
      </c>
      <c r="J281" s="596">
        <v>6</v>
      </c>
      <c r="K281" s="521">
        <v>86</v>
      </c>
      <c r="L281" s="273"/>
      <c r="M281" s="273"/>
      <c r="P281" s="274"/>
      <c r="Q281" s="274"/>
      <c r="R281" s="274"/>
      <c r="S281" s="274"/>
      <c r="T281" s="274"/>
      <c r="U281" s="274"/>
      <c r="V281" s="274"/>
      <c r="W281" s="274"/>
      <c r="X281" s="486" t="str">
        <f ca="1">IF('CDO Bespoke'!O282&lt;&gt;"",'CDO Bespoke'!O282,"")</f>
        <v/>
      </c>
      <c r="Y281" s="487" t="str">
        <f ca="1">IF(X281&lt;&gt;"",ABS(MIN(-0.75*('CDO Bespoke'!Q282)+'CDO Bespoke'!T282,0)),"")</f>
        <v/>
      </c>
      <c r="Z281" s="487">
        <f t="shared" ca="1" si="24"/>
        <v>0</v>
      </c>
      <c r="AA281" s="487">
        <f t="shared" ca="1" si="25"/>
        <v>0</v>
      </c>
      <c r="AB281" s="486" t="str">
        <f ca="1">IF('CDO Bespoke'!O282&lt;&gt;"",'CDO Bespoke'!O282,"")</f>
        <v/>
      </c>
      <c r="AC281" s="487" t="str">
        <f ca="1">IF(AB281&lt;&gt;"",ABS(MIN(-0.75*('CDO Bespoke'!K282)+'CDO Bespoke'!T282,0)),"")</f>
        <v/>
      </c>
      <c r="AD281" s="487">
        <f t="shared" ca="1" si="26"/>
        <v>0</v>
      </c>
      <c r="AE281" s="491">
        <f t="shared" ca="1" si="27"/>
        <v>0</v>
      </c>
      <c r="AF281" s="273"/>
      <c r="AG281" s="496" t="str">
        <f ca="1">IF('CDO Bespoke'!C306&lt;&gt;"",'CDO Bespoke'!C306,"")</f>
        <v/>
      </c>
      <c r="AH281" s="498"/>
      <c r="AI281" s="587"/>
      <c r="AJ281" s="587"/>
      <c r="AK281" s="587"/>
      <c r="AL281" s="499"/>
      <c r="AM281" s="498"/>
      <c r="AN281" s="587"/>
      <c r="AO281" s="587"/>
      <c r="AP281" s="587"/>
      <c r="AQ281" s="499"/>
      <c r="AR281" s="582"/>
      <c r="AS281" s="582"/>
      <c r="AT281" s="582"/>
      <c r="AU281" s="582"/>
      <c r="AV281" s="582"/>
      <c r="AW281" s="582"/>
      <c r="AX281" s="581"/>
    </row>
    <row r="282" spans="2:50">
      <c r="B282" s="536" t="s">
        <v>587</v>
      </c>
      <c r="C282" s="537" t="s">
        <v>66</v>
      </c>
      <c r="D282" s="537" t="s">
        <v>59</v>
      </c>
      <c r="E282" s="537" t="s">
        <v>649</v>
      </c>
      <c r="F282" s="537" t="s">
        <v>677</v>
      </c>
      <c r="G282" s="538">
        <v>0.01</v>
      </c>
      <c r="H282" s="538">
        <v>1.9740000000000001E-2</v>
      </c>
      <c r="I282" s="539">
        <v>0.4</v>
      </c>
      <c r="J282" s="597">
        <v>6</v>
      </c>
      <c r="K282" s="540">
        <v>86</v>
      </c>
      <c r="L282" s="273"/>
      <c r="M282" s="273"/>
      <c r="P282" s="274"/>
      <c r="Q282" s="274"/>
      <c r="R282" s="274"/>
      <c r="S282" s="274"/>
      <c r="T282" s="274"/>
      <c r="U282" s="274"/>
      <c r="V282" s="274"/>
      <c r="W282" s="274"/>
      <c r="X282" s="486" t="str">
        <f ca="1">IF('CDO Bespoke'!O283&lt;&gt;"",'CDO Bespoke'!O283,"")</f>
        <v/>
      </c>
      <c r="Y282" s="487" t="str">
        <f ca="1">IF(X282&lt;&gt;"",ABS(MIN(-0.75*('CDO Bespoke'!Q283)+'CDO Bespoke'!T283,0)),"")</f>
        <v/>
      </c>
      <c r="Z282" s="487">
        <f t="shared" ca="1" si="24"/>
        <v>0</v>
      </c>
      <c r="AA282" s="487">
        <f t="shared" ca="1" si="25"/>
        <v>0</v>
      </c>
      <c r="AB282" s="486" t="str">
        <f ca="1">IF('CDO Bespoke'!O283&lt;&gt;"",'CDO Bespoke'!O283,"")</f>
        <v/>
      </c>
      <c r="AC282" s="487" t="str">
        <f ca="1">IF(AB282&lt;&gt;"",ABS(MIN(-0.75*('CDO Bespoke'!K283)+'CDO Bespoke'!T283,0)),"")</f>
        <v/>
      </c>
      <c r="AD282" s="487">
        <f t="shared" ca="1" si="26"/>
        <v>0</v>
      </c>
      <c r="AE282" s="491">
        <f t="shared" ca="1" si="27"/>
        <v>0</v>
      </c>
      <c r="AF282" s="273"/>
      <c r="AG282" s="496" t="str">
        <f ca="1">IF('CDO Bespoke'!C307&lt;&gt;"",'CDO Bespoke'!C307,"")</f>
        <v/>
      </c>
      <c r="AH282" s="498"/>
      <c r="AI282" s="587"/>
      <c r="AJ282" s="587"/>
      <c r="AK282" s="587"/>
      <c r="AL282" s="499"/>
      <c r="AM282" s="498"/>
      <c r="AN282" s="587"/>
      <c r="AO282" s="587"/>
      <c r="AP282" s="587"/>
      <c r="AQ282" s="499"/>
      <c r="AR282" s="582"/>
      <c r="AS282" s="582"/>
      <c r="AT282" s="582"/>
      <c r="AU282" s="582"/>
      <c r="AV282" s="582"/>
      <c r="AW282" s="582"/>
      <c r="AX282" s="581"/>
    </row>
    <row r="283" spans="2:50">
      <c r="B283" s="541" t="s">
        <v>617</v>
      </c>
      <c r="C283" s="542" t="s">
        <v>66</v>
      </c>
      <c r="D283" s="542" t="s">
        <v>55</v>
      </c>
      <c r="E283" s="542" t="s">
        <v>647</v>
      </c>
      <c r="F283" s="542" t="s">
        <v>673</v>
      </c>
      <c r="G283" s="543">
        <v>0.01</v>
      </c>
      <c r="H283" s="543">
        <v>7.8799999999999996E-4</v>
      </c>
      <c r="I283" s="544">
        <v>0.4</v>
      </c>
      <c r="J283" s="604">
        <v>5</v>
      </c>
      <c r="K283" s="545">
        <v>87</v>
      </c>
      <c r="L283" s="273"/>
      <c r="M283" s="273"/>
      <c r="P283" s="274"/>
      <c r="Q283" s="274"/>
      <c r="R283" s="274"/>
      <c r="S283" s="274"/>
      <c r="T283" s="274"/>
      <c r="U283" s="274"/>
      <c r="V283" s="274"/>
      <c r="W283" s="274"/>
      <c r="X283" s="486" t="str">
        <f ca="1">IF('CDO Bespoke'!O284&lt;&gt;"",'CDO Bespoke'!O284,"")</f>
        <v/>
      </c>
      <c r="Y283" s="487" t="str">
        <f ca="1">IF(X283&lt;&gt;"",ABS(MIN(-0.75*('CDO Bespoke'!Q284)+'CDO Bespoke'!T284,0)),"")</f>
        <v/>
      </c>
      <c r="Z283" s="487">
        <f t="shared" ca="1" si="24"/>
        <v>0</v>
      </c>
      <c r="AA283" s="487">
        <f t="shared" ca="1" si="25"/>
        <v>0</v>
      </c>
      <c r="AB283" s="486" t="str">
        <f ca="1">IF('CDO Bespoke'!O284&lt;&gt;"",'CDO Bespoke'!O284,"")</f>
        <v/>
      </c>
      <c r="AC283" s="487" t="str">
        <f ca="1">IF(AB283&lt;&gt;"",ABS(MIN(-0.75*('CDO Bespoke'!K284)+'CDO Bespoke'!T284,0)),"")</f>
        <v/>
      </c>
      <c r="AD283" s="487">
        <f t="shared" ca="1" si="26"/>
        <v>0</v>
      </c>
      <c r="AE283" s="491">
        <f t="shared" ca="1" si="27"/>
        <v>0</v>
      </c>
      <c r="AF283" s="273"/>
      <c r="AG283" s="496" t="str">
        <f ca="1">IF('CDO Bespoke'!C308&lt;&gt;"",'CDO Bespoke'!C308,"")</f>
        <v/>
      </c>
      <c r="AH283" s="498"/>
      <c r="AI283" s="587"/>
      <c r="AJ283" s="587"/>
      <c r="AK283" s="587"/>
      <c r="AL283" s="499"/>
      <c r="AM283" s="498"/>
      <c r="AN283" s="587"/>
      <c r="AO283" s="587"/>
      <c r="AP283" s="587"/>
      <c r="AQ283" s="499"/>
      <c r="AR283" s="582"/>
      <c r="AS283" s="582"/>
      <c r="AT283" s="582"/>
      <c r="AU283" s="582"/>
      <c r="AV283" s="582"/>
      <c r="AW283" s="582"/>
      <c r="AX283" s="581"/>
    </row>
    <row r="284" spans="2:50">
      <c r="B284" s="519" t="s">
        <v>617</v>
      </c>
      <c r="C284" s="520" t="s">
        <v>66</v>
      </c>
      <c r="D284" s="520" t="s">
        <v>57</v>
      </c>
      <c r="E284" s="520" t="s">
        <v>647</v>
      </c>
      <c r="F284" s="520" t="s">
        <v>673</v>
      </c>
      <c r="G284" s="527">
        <v>0.01</v>
      </c>
      <c r="H284" s="527">
        <v>1.3649999999999999E-3</v>
      </c>
      <c r="I284" s="529">
        <v>0.4</v>
      </c>
      <c r="J284" s="596">
        <v>5</v>
      </c>
      <c r="K284" s="521">
        <v>87</v>
      </c>
      <c r="L284" s="273"/>
      <c r="M284" s="273"/>
      <c r="P284" s="274"/>
      <c r="Q284" s="274"/>
      <c r="R284" s="274"/>
      <c r="S284" s="274"/>
      <c r="T284" s="274"/>
      <c r="U284" s="274"/>
      <c r="V284" s="274"/>
      <c r="W284" s="274"/>
      <c r="X284" s="486" t="str">
        <f ca="1">IF('CDO Bespoke'!O285&lt;&gt;"",'CDO Bespoke'!O285,"")</f>
        <v/>
      </c>
      <c r="Y284" s="487" t="str">
        <f ca="1">IF(X284&lt;&gt;"",ABS(MIN(-0.75*('CDO Bespoke'!Q285)+'CDO Bespoke'!T285,0)),"")</f>
        <v/>
      </c>
      <c r="Z284" s="487">
        <f t="shared" ca="1" si="24"/>
        <v>0</v>
      </c>
      <c r="AA284" s="487">
        <f t="shared" ca="1" si="25"/>
        <v>0</v>
      </c>
      <c r="AB284" s="486" t="str">
        <f ca="1">IF('CDO Bespoke'!O285&lt;&gt;"",'CDO Bespoke'!O285,"")</f>
        <v/>
      </c>
      <c r="AC284" s="487" t="str">
        <f ca="1">IF(AB284&lt;&gt;"",ABS(MIN(-0.75*('CDO Bespoke'!K285)+'CDO Bespoke'!T285,0)),"")</f>
        <v/>
      </c>
      <c r="AD284" s="487">
        <f t="shared" ca="1" si="26"/>
        <v>0</v>
      </c>
      <c r="AE284" s="491">
        <f t="shared" ca="1" si="27"/>
        <v>0</v>
      </c>
      <c r="AF284" s="273"/>
      <c r="AG284" s="496" t="str">
        <f ca="1">IF('CDO Bespoke'!C309&lt;&gt;"",'CDO Bespoke'!C309,"")</f>
        <v/>
      </c>
      <c r="AH284" s="498"/>
      <c r="AI284" s="587"/>
      <c r="AJ284" s="587"/>
      <c r="AK284" s="587"/>
      <c r="AL284" s="499"/>
      <c r="AM284" s="498"/>
      <c r="AN284" s="587"/>
      <c r="AO284" s="587"/>
      <c r="AP284" s="587"/>
      <c r="AQ284" s="499"/>
      <c r="AR284" s="582"/>
      <c r="AS284" s="582"/>
      <c r="AT284" s="582"/>
      <c r="AU284" s="582"/>
      <c r="AV284" s="582"/>
      <c r="AW284" s="582"/>
      <c r="AX284" s="581"/>
    </row>
    <row r="285" spans="2:50">
      <c r="B285" s="536" t="s">
        <v>617</v>
      </c>
      <c r="C285" s="537" t="s">
        <v>66</v>
      </c>
      <c r="D285" s="537" t="s">
        <v>59</v>
      </c>
      <c r="E285" s="537" t="s">
        <v>647</v>
      </c>
      <c r="F285" s="537" t="s">
        <v>673</v>
      </c>
      <c r="G285" s="538">
        <v>0.01</v>
      </c>
      <c r="H285" s="538">
        <v>2.568E-3</v>
      </c>
      <c r="I285" s="539">
        <v>0.4</v>
      </c>
      <c r="J285" s="597">
        <v>5</v>
      </c>
      <c r="K285" s="540">
        <v>87</v>
      </c>
      <c r="L285" s="273"/>
      <c r="M285" s="273"/>
      <c r="P285" s="274"/>
      <c r="Q285" s="274"/>
      <c r="R285" s="274"/>
      <c r="S285" s="274"/>
      <c r="T285" s="274"/>
      <c r="U285" s="274"/>
      <c r="V285" s="274"/>
      <c r="W285" s="274"/>
      <c r="X285" s="486" t="str">
        <f ca="1">IF('CDO Bespoke'!O286&lt;&gt;"",'CDO Bespoke'!O286,"")</f>
        <v/>
      </c>
      <c r="Y285" s="487" t="str">
        <f ca="1">IF(X285&lt;&gt;"",ABS(MIN(-0.75*('CDO Bespoke'!Q286)+'CDO Bespoke'!T286,0)),"")</f>
        <v/>
      </c>
      <c r="Z285" s="487">
        <f t="shared" ca="1" si="24"/>
        <v>0</v>
      </c>
      <c r="AA285" s="487">
        <f t="shared" ca="1" si="25"/>
        <v>0</v>
      </c>
      <c r="AB285" s="486" t="str">
        <f ca="1">IF('CDO Bespoke'!O286&lt;&gt;"",'CDO Bespoke'!O286,"")</f>
        <v/>
      </c>
      <c r="AC285" s="487" t="str">
        <f ca="1">IF(AB285&lt;&gt;"",ABS(MIN(-0.75*('CDO Bespoke'!K286)+'CDO Bespoke'!T286,0)),"")</f>
        <v/>
      </c>
      <c r="AD285" s="487">
        <f t="shared" ca="1" si="26"/>
        <v>0</v>
      </c>
      <c r="AE285" s="491">
        <f t="shared" ca="1" si="27"/>
        <v>0</v>
      </c>
      <c r="AF285" s="273"/>
      <c r="AG285" s="496" t="str">
        <f ca="1">IF('CDO Bespoke'!C310&lt;&gt;"",'CDO Bespoke'!C310,"")</f>
        <v/>
      </c>
      <c r="AH285" s="498"/>
      <c r="AI285" s="587"/>
      <c r="AJ285" s="587"/>
      <c r="AK285" s="587"/>
      <c r="AL285" s="499"/>
      <c r="AM285" s="498"/>
      <c r="AN285" s="587"/>
      <c r="AO285" s="587"/>
      <c r="AP285" s="587"/>
      <c r="AQ285" s="499"/>
      <c r="AR285" s="582"/>
      <c r="AS285" s="582"/>
      <c r="AT285" s="582"/>
      <c r="AU285" s="582"/>
      <c r="AV285" s="582"/>
      <c r="AW285" s="582"/>
      <c r="AX285" s="581"/>
    </row>
    <row r="286" spans="2:50">
      <c r="B286" s="541" t="s">
        <v>588</v>
      </c>
      <c r="C286" s="542" t="s">
        <v>66</v>
      </c>
      <c r="D286" s="542" t="s">
        <v>55</v>
      </c>
      <c r="E286" s="542" t="s">
        <v>649</v>
      </c>
      <c r="F286" s="542" t="s">
        <v>654</v>
      </c>
      <c r="G286" s="543">
        <v>0.01</v>
      </c>
      <c r="H286" s="543">
        <v>1.861E-3</v>
      </c>
      <c r="I286" s="544">
        <v>0.4</v>
      </c>
      <c r="J286" s="604">
        <v>6</v>
      </c>
      <c r="K286" s="545">
        <v>88</v>
      </c>
      <c r="L286" s="273"/>
      <c r="M286" s="273"/>
      <c r="P286" s="274"/>
      <c r="Q286" s="274"/>
      <c r="R286" s="274"/>
      <c r="S286" s="274"/>
      <c r="T286" s="274"/>
      <c r="U286" s="274"/>
      <c r="V286" s="274"/>
      <c r="W286" s="274"/>
      <c r="X286" s="486" t="str">
        <f ca="1">IF('CDO Bespoke'!O287&lt;&gt;"",'CDO Bespoke'!O287,"")</f>
        <v/>
      </c>
      <c r="Y286" s="487" t="str">
        <f ca="1">IF(X286&lt;&gt;"",ABS(MIN(-0.75*('CDO Bespoke'!Q287)+'CDO Bespoke'!T287,0)),"")</f>
        <v/>
      </c>
      <c r="Z286" s="487">
        <f t="shared" ca="1" si="24"/>
        <v>0</v>
      </c>
      <c r="AA286" s="487">
        <f t="shared" ca="1" si="25"/>
        <v>0</v>
      </c>
      <c r="AB286" s="486" t="str">
        <f ca="1">IF('CDO Bespoke'!O287&lt;&gt;"",'CDO Bespoke'!O287,"")</f>
        <v/>
      </c>
      <c r="AC286" s="487" t="str">
        <f ca="1">IF(AB286&lt;&gt;"",ABS(MIN(-0.75*('CDO Bespoke'!K287)+'CDO Bespoke'!T287,0)),"")</f>
        <v/>
      </c>
      <c r="AD286" s="487">
        <f t="shared" ca="1" si="26"/>
        <v>0</v>
      </c>
      <c r="AE286" s="491">
        <f t="shared" ca="1" si="27"/>
        <v>0</v>
      </c>
      <c r="AF286" s="273"/>
      <c r="AG286" s="496" t="str">
        <f ca="1">IF('CDO Bespoke'!C311&lt;&gt;"",'CDO Bespoke'!C311,"")</f>
        <v/>
      </c>
      <c r="AH286" s="498"/>
      <c r="AI286" s="587"/>
      <c r="AJ286" s="587"/>
      <c r="AK286" s="587"/>
      <c r="AL286" s="499"/>
      <c r="AM286" s="498"/>
      <c r="AN286" s="587"/>
      <c r="AO286" s="587"/>
      <c r="AP286" s="587"/>
      <c r="AQ286" s="499"/>
      <c r="AR286" s="582"/>
      <c r="AS286" s="582"/>
      <c r="AT286" s="582"/>
      <c r="AU286" s="582"/>
      <c r="AV286" s="582"/>
      <c r="AW286" s="582"/>
      <c r="AX286" s="581"/>
    </row>
    <row r="287" spans="2:50">
      <c r="B287" s="519" t="s">
        <v>588</v>
      </c>
      <c r="C287" s="520" t="s">
        <v>66</v>
      </c>
      <c r="D287" s="520" t="s">
        <v>57</v>
      </c>
      <c r="E287" s="520" t="s">
        <v>649</v>
      </c>
      <c r="F287" s="520" t="s">
        <v>654</v>
      </c>
      <c r="G287" s="527">
        <v>0.01</v>
      </c>
      <c r="H287" s="527">
        <v>3.0709999999999999E-3</v>
      </c>
      <c r="I287" s="529">
        <v>0.4</v>
      </c>
      <c r="J287" s="596">
        <v>6</v>
      </c>
      <c r="K287" s="521">
        <v>88</v>
      </c>
      <c r="L287" s="273"/>
      <c r="M287" s="273"/>
      <c r="P287" s="274"/>
      <c r="Q287" s="274"/>
      <c r="R287" s="274"/>
      <c r="S287" s="274"/>
      <c r="T287" s="274"/>
      <c r="U287" s="274"/>
      <c r="V287" s="274"/>
      <c r="W287" s="274"/>
      <c r="X287" s="486" t="str">
        <f ca="1">IF('CDO Bespoke'!O288&lt;&gt;"",'CDO Bespoke'!O288,"")</f>
        <v/>
      </c>
      <c r="Y287" s="487" t="str">
        <f ca="1">IF(X287&lt;&gt;"",ABS(MIN(-0.75*('CDO Bespoke'!Q288)+'CDO Bespoke'!T288,0)),"")</f>
        <v/>
      </c>
      <c r="Z287" s="487">
        <f t="shared" ca="1" si="24"/>
        <v>0</v>
      </c>
      <c r="AA287" s="487">
        <f t="shared" ca="1" si="25"/>
        <v>0</v>
      </c>
      <c r="AB287" s="486" t="str">
        <f ca="1">IF('CDO Bespoke'!O288&lt;&gt;"",'CDO Bespoke'!O288,"")</f>
        <v/>
      </c>
      <c r="AC287" s="487" t="str">
        <f ca="1">IF(AB287&lt;&gt;"",ABS(MIN(-0.75*('CDO Bespoke'!K288)+'CDO Bespoke'!T288,0)),"")</f>
        <v/>
      </c>
      <c r="AD287" s="487">
        <f t="shared" ca="1" si="26"/>
        <v>0</v>
      </c>
      <c r="AE287" s="491">
        <f t="shared" ca="1" si="27"/>
        <v>0</v>
      </c>
      <c r="AF287" s="273"/>
      <c r="AG287" s="496" t="str">
        <f ca="1">IF('CDO Bespoke'!C312&lt;&gt;"",'CDO Bespoke'!C312,"")</f>
        <v/>
      </c>
      <c r="AH287" s="498"/>
      <c r="AI287" s="587"/>
      <c r="AJ287" s="587"/>
      <c r="AK287" s="587"/>
      <c r="AL287" s="499"/>
      <c r="AM287" s="498"/>
      <c r="AN287" s="587"/>
      <c r="AO287" s="587"/>
      <c r="AP287" s="587"/>
      <c r="AQ287" s="499"/>
      <c r="AR287" s="582"/>
      <c r="AS287" s="582"/>
      <c r="AT287" s="582"/>
      <c r="AU287" s="582"/>
      <c r="AV287" s="582"/>
      <c r="AW287" s="582"/>
      <c r="AX287" s="581"/>
    </row>
    <row r="288" spans="2:50">
      <c r="B288" s="536" t="s">
        <v>588</v>
      </c>
      <c r="C288" s="537" t="s">
        <v>66</v>
      </c>
      <c r="D288" s="537" t="s">
        <v>59</v>
      </c>
      <c r="E288" s="537" t="s">
        <v>649</v>
      </c>
      <c r="F288" s="537" t="s">
        <v>654</v>
      </c>
      <c r="G288" s="538">
        <v>0.01</v>
      </c>
      <c r="H288" s="538">
        <v>4.4549999999999998E-3</v>
      </c>
      <c r="I288" s="539">
        <v>0.4</v>
      </c>
      <c r="J288" s="597">
        <v>6</v>
      </c>
      <c r="K288" s="540">
        <v>88</v>
      </c>
      <c r="L288" s="273"/>
      <c r="M288" s="273"/>
      <c r="P288" s="274"/>
      <c r="Q288" s="274"/>
      <c r="R288" s="274"/>
      <c r="S288" s="274"/>
      <c r="T288" s="274"/>
      <c r="U288" s="274"/>
      <c r="V288" s="274"/>
      <c r="W288" s="274"/>
      <c r="X288" s="486" t="str">
        <f ca="1">IF('CDO Bespoke'!O289&lt;&gt;"",'CDO Bespoke'!O289,"")</f>
        <v/>
      </c>
      <c r="Y288" s="487" t="str">
        <f ca="1">IF(X288&lt;&gt;"",ABS(MIN(-0.75*('CDO Bespoke'!Q289)+'CDO Bespoke'!T289,0)),"")</f>
        <v/>
      </c>
      <c r="Z288" s="487">
        <f t="shared" ca="1" si="24"/>
        <v>0</v>
      </c>
      <c r="AA288" s="487">
        <f t="shared" ca="1" si="25"/>
        <v>0</v>
      </c>
      <c r="AB288" s="486" t="str">
        <f ca="1">IF('CDO Bespoke'!O289&lt;&gt;"",'CDO Bespoke'!O289,"")</f>
        <v/>
      </c>
      <c r="AC288" s="487" t="str">
        <f ca="1">IF(AB288&lt;&gt;"",ABS(MIN(-0.75*('CDO Bespoke'!K289)+'CDO Bespoke'!T289,0)),"")</f>
        <v/>
      </c>
      <c r="AD288" s="487">
        <f t="shared" ca="1" si="26"/>
        <v>0</v>
      </c>
      <c r="AE288" s="491">
        <f t="shared" ca="1" si="27"/>
        <v>0</v>
      </c>
      <c r="AF288" s="273"/>
      <c r="AG288" s="496" t="str">
        <f ca="1">IF('CDO Bespoke'!C313&lt;&gt;"",'CDO Bespoke'!C313,"")</f>
        <v/>
      </c>
      <c r="AH288" s="498"/>
      <c r="AI288" s="587"/>
      <c r="AJ288" s="587"/>
      <c r="AK288" s="587"/>
      <c r="AL288" s="499"/>
      <c r="AM288" s="498"/>
      <c r="AN288" s="587"/>
      <c r="AO288" s="587"/>
      <c r="AP288" s="587"/>
      <c r="AQ288" s="499"/>
      <c r="AR288" s="582"/>
      <c r="AS288" s="582"/>
      <c r="AT288" s="582"/>
      <c r="AU288" s="582"/>
      <c r="AV288" s="582"/>
      <c r="AW288" s="582"/>
      <c r="AX288" s="581"/>
    </row>
    <row r="289" spans="2:50">
      <c r="B289" s="541" t="s">
        <v>596</v>
      </c>
      <c r="C289" s="542" t="s">
        <v>66</v>
      </c>
      <c r="D289" s="542" t="s">
        <v>55</v>
      </c>
      <c r="E289" s="542" t="s">
        <v>649</v>
      </c>
      <c r="F289" s="542" t="s">
        <v>677</v>
      </c>
      <c r="G289" s="543">
        <v>0.01</v>
      </c>
      <c r="H289" s="543">
        <v>3.8760000000000001E-3</v>
      </c>
      <c r="I289" s="544">
        <v>0.4</v>
      </c>
      <c r="J289" s="604">
        <v>6</v>
      </c>
      <c r="K289" s="545">
        <v>89</v>
      </c>
      <c r="L289" s="273"/>
      <c r="M289" s="273"/>
      <c r="P289" s="274"/>
      <c r="Q289" s="274"/>
      <c r="R289" s="274"/>
      <c r="S289" s="274"/>
      <c r="T289" s="274"/>
      <c r="U289" s="274"/>
      <c r="V289" s="274"/>
      <c r="W289" s="274"/>
      <c r="X289" s="486" t="str">
        <f ca="1">IF('CDO Bespoke'!O290&lt;&gt;"",'CDO Bespoke'!O290,"")</f>
        <v/>
      </c>
      <c r="Y289" s="487" t="str">
        <f ca="1">IF(X289&lt;&gt;"",ABS(MIN(-0.75*('CDO Bespoke'!Q290)+'CDO Bespoke'!T290,0)),"")</f>
        <v/>
      </c>
      <c r="Z289" s="487">
        <f t="shared" ca="1" si="24"/>
        <v>0</v>
      </c>
      <c r="AA289" s="487">
        <f t="shared" ca="1" si="25"/>
        <v>0</v>
      </c>
      <c r="AB289" s="486" t="str">
        <f ca="1">IF('CDO Bespoke'!O290&lt;&gt;"",'CDO Bespoke'!O290,"")</f>
        <v/>
      </c>
      <c r="AC289" s="487" t="str">
        <f ca="1">IF(AB289&lt;&gt;"",ABS(MIN(-0.75*('CDO Bespoke'!K290)+'CDO Bespoke'!T290,0)),"")</f>
        <v/>
      </c>
      <c r="AD289" s="487">
        <f t="shared" ca="1" si="26"/>
        <v>0</v>
      </c>
      <c r="AE289" s="491">
        <f t="shared" ca="1" si="27"/>
        <v>0</v>
      </c>
      <c r="AF289" s="273"/>
      <c r="AG289" s="496" t="str">
        <f ca="1">IF('CDO Bespoke'!C314&lt;&gt;"",'CDO Bespoke'!C314,"")</f>
        <v/>
      </c>
      <c r="AH289" s="498"/>
      <c r="AI289" s="587"/>
      <c r="AJ289" s="587"/>
      <c r="AK289" s="587"/>
      <c r="AL289" s="499"/>
      <c r="AM289" s="498"/>
      <c r="AN289" s="587"/>
      <c r="AO289" s="587"/>
      <c r="AP289" s="587"/>
      <c r="AQ289" s="499"/>
      <c r="AR289" s="582"/>
      <c r="AS289" s="582"/>
      <c r="AT289" s="582"/>
      <c r="AU289" s="582"/>
      <c r="AV289" s="582"/>
      <c r="AW289" s="582"/>
      <c r="AX289" s="581"/>
    </row>
    <row r="290" spans="2:50">
      <c r="B290" s="519" t="s">
        <v>596</v>
      </c>
      <c r="C290" s="520" t="s">
        <v>66</v>
      </c>
      <c r="D290" s="520" t="s">
        <v>57</v>
      </c>
      <c r="E290" s="520" t="s">
        <v>649</v>
      </c>
      <c r="F290" s="520" t="s">
        <v>677</v>
      </c>
      <c r="G290" s="527">
        <v>0.01</v>
      </c>
      <c r="H290" s="527">
        <v>6.6940000000000003E-3</v>
      </c>
      <c r="I290" s="529">
        <v>0.4</v>
      </c>
      <c r="J290" s="596">
        <v>6</v>
      </c>
      <c r="K290" s="521">
        <v>89</v>
      </c>
      <c r="L290" s="273"/>
      <c r="M290" s="273"/>
      <c r="P290" s="274"/>
      <c r="Q290" s="274"/>
      <c r="R290" s="274"/>
      <c r="S290" s="274"/>
      <c r="T290" s="274"/>
      <c r="U290" s="274"/>
      <c r="V290" s="274"/>
      <c r="W290" s="274"/>
      <c r="X290" s="486" t="str">
        <f ca="1">IF('CDO Bespoke'!O291&lt;&gt;"",'CDO Bespoke'!O291,"")</f>
        <v/>
      </c>
      <c r="Y290" s="487" t="str">
        <f ca="1">IF(X290&lt;&gt;"",ABS(MIN(-0.75*('CDO Bespoke'!Q291)+'CDO Bespoke'!T291,0)),"")</f>
        <v/>
      </c>
      <c r="Z290" s="487">
        <f t="shared" ca="1" si="24"/>
        <v>0</v>
      </c>
      <c r="AA290" s="487">
        <f t="shared" ca="1" si="25"/>
        <v>0</v>
      </c>
      <c r="AB290" s="486" t="str">
        <f ca="1">IF('CDO Bespoke'!O291&lt;&gt;"",'CDO Bespoke'!O291,"")</f>
        <v/>
      </c>
      <c r="AC290" s="487" t="str">
        <f ca="1">IF(AB290&lt;&gt;"",ABS(MIN(-0.75*('CDO Bespoke'!K291)+'CDO Bespoke'!T291,0)),"")</f>
        <v/>
      </c>
      <c r="AD290" s="487">
        <f t="shared" ca="1" si="26"/>
        <v>0</v>
      </c>
      <c r="AE290" s="491">
        <f t="shared" ca="1" si="27"/>
        <v>0</v>
      </c>
      <c r="AF290" s="273"/>
      <c r="AG290" s="496" t="str">
        <f ca="1">IF('CDO Bespoke'!C315&lt;&gt;"",'CDO Bespoke'!C315,"")</f>
        <v/>
      </c>
      <c r="AH290" s="498"/>
      <c r="AI290" s="587"/>
      <c r="AJ290" s="587"/>
      <c r="AK290" s="587"/>
      <c r="AL290" s="499"/>
      <c r="AM290" s="498"/>
      <c r="AN290" s="587"/>
      <c r="AO290" s="587"/>
      <c r="AP290" s="587"/>
      <c r="AQ290" s="499"/>
      <c r="AR290" s="582"/>
      <c r="AS290" s="582"/>
      <c r="AT290" s="582"/>
      <c r="AU290" s="582"/>
      <c r="AV290" s="582"/>
      <c r="AW290" s="582"/>
      <c r="AX290" s="581"/>
    </row>
    <row r="291" spans="2:50">
      <c r="B291" s="536" t="s">
        <v>596</v>
      </c>
      <c r="C291" s="537" t="s">
        <v>66</v>
      </c>
      <c r="D291" s="537" t="s">
        <v>59</v>
      </c>
      <c r="E291" s="537" t="s">
        <v>649</v>
      </c>
      <c r="F291" s="537" t="s">
        <v>677</v>
      </c>
      <c r="G291" s="538">
        <v>0.01</v>
      </c>
      <c r="H291" s="538">
        <v>1.0071999999999999E-2</v>
      </c>
      <c r="I291" s="539">
        <v>0.4</v>
      </c>
      <c r="J291" s="597">
        <v>6</v>
      </c>
      <c r="K291" s="540">
        <v>89</v>
      </c>
      <c r="L291" s="273"/>
      <c r="M291" s="273"/>
      <c r="P291" s="274"/>
      <c r="Q291" s="274"/>
      <c r="R291" s="274"/>
      <c r="S291" s="274"/>
      <c r="T291" s="274"/>
      <c r="U291" s="274"/>
      <c r="V291" s="274"/>
      <c r="W291" s="274"/>
      <c r="X291" s="486" t="str">
        <f ca="1">IF('CDO Bespoke'!O292&lt;&gt;"",'CDO Bespoke'!O292,"")</f>
        <v/>
      </c>
      <c r="Y291" s="487" t="str">
        <f ca="1">IF(X291&lt;&gt;"",ABS(MIN(-0.75*('CDO Bespoke'!Q292)+'CDO Bespoke'!T292,0)),"")</f>
        <v/>
      </c>
      <c r="Z291" s="487">
        <f t="shared" ca="1" si="24"/>
        <v>0</v>
      </c>
      <c r="AA291" s="487">
        <f t="shared" ca="1" si="25"/>
        <v>0</v>
      </c>
      <c r="AB291" s="486" t="str">
        <f ca="1">IF('CDO Bespoke'!O292&lt;&gt;"",'CDO Bespoke'!O292,"")</f>
        <v/>
      </c>
      <c r="AC291" s="487" t="str">
        <f ca="1">IF(AB291&lt;&gt;"",ABS(MIN(-0.75*('CDO Bespoke'!K292)+'CDO Bespoke'!T292,0)),"")</f>
        <v/>
      </c>
      <c r="AD291" s="487">
        <f t="shared" ca="1" si="26"/>
        <v>0</v>
      </c>
      <c r="AE291" s="491">
        <f t="shared" ca="1" si="27"/>
        <v>0</v>
      </c>
      <c r="AF291" s="273"/>
      <c r="AG291" s="496" t="str">
        <f ca="1">IF('CDO Bespoke'!C316&lt;&gt;"",'CDO Bespoke'!C316,"")</f>
        <v/>
      </c>
      <c r="AH291" s="498"/>
      <c r="AI291" s="587"/>
      <c r="AJ291" s="587"/>
      <c r="AK291" s="587"/>
      <c r="AL291" s="499"/>
      <c r="AM291" s="498"/>
      <c r="AN291" s="587"/>
      <c r="AO291" s="587"/>
      <c r="AP291" s="587"/>
      <c r="AQ291" s="499"/>
      <c r="AR291" s="582"/>
      <c r="AS291" s="582"/>
      <c r="AT291" s="582"/>
      <c r="AU291" s="582"/>
      <c r="AV291" s="582"/>
      <c r="AW291" s="582"/>
      <c r="AX291" s="581"/>
    </row>
    <row r="292" spans="2:50">
      <c r="B292" s="541" t="s">
        <v>589</v>
      </c>
      <c r="C292" s="542" t="s">
        <v>66</v>
      </c>
      <c r="D292" s="542" t="s">
        <v>55</v>
      </c>
      <c r="E292" s="542" t="s">
        <v>647</v>
      </c>
      <c r="F292" s="542" t="s">
        <v>677</v>
      </c>
      <c r="G292" s="543">
        <v>0.01</v>
      </c>
      <c r="H292" s="543">
        <v>1.3079999999999999E-3</v>
      </c>
      <c r="I292" s="544">
        <v>0.4</v>
      </c>
      <c r="J292" s="604">
        <v>6</v>
      </c>
      <c r="K292" s="545">
        <v>90</v>
      </c>
      <c r="L292" s="273"/>
      <c r="M292" s="273"/>
      <c r="P292" s="274"/>
      <c r="Q292" s="274"/>
      <c r="R292" s="274"/>
      <c r="S292" s="274"/>
      <c r="T292" s="274"/>
      <c r="U292" s="274"/>
      <c r="V292" s="274"/>
      <c r="W292" s="274"/>
      <c r="X292" s="486" t="str">
        <f ca="1">IF('CDO Bespoke'!O293&lt;&gt;"",'CDO Bespoke'!O293,"")</f>
        <v/>
      </c>
      <c r="Y292" s="487" t="str">
        <f ca="1">IF(X292&lt;&gt;"",ABS(MIN(-0.75*('CDO Bespoke'!Q293)+'CDO Bespoke'!T293,0)),"")</f>
        <v/>
      </c>
      <c r="Z292" s="487">
        <f t="shared" ca="1" si="24"/>
        <v>0</v>
      </c>
      <c r="AA292" s="487">
        <f t="shared" ca="1" si="25"/>
        <v>0</v>
      </c>
      <c r="AB292" s="486" t="str">
        <f ca="1">IF('CDO Bespoke'!O293&lt;&gt;"",'CDO Bespoke'!O293,"")</f>
        <v/>
      </c>
      <c r="AC292" s="487" t="str">
        <f ca="1">IF(AB292&lt;&gt;"",ABS(MIN(-0.75*('CDO Bespoke'!K293)+'CDO Bespoke'!T293,0)),"")</f>
        <v/>
      </c>
      <c r="AD292" s="487">
        <f t="shared" ca="1" si="26"/>
        <v>0</v>
      </c>
      <c r="AE292" s="491">
        <f t="shared" ca="1" si="27"/>
        <v>0</v>
      </c>
      <c r="AF292" s="273"/>
      <c r="AG292" s="496" t="str">
        <f ca="1">IF('CDO Bespoke'!C317&lt;&gt;"",'CDO Bespoke'!C317,"")</f>
        <v/>
      </c>
      <c r="AH292" s="498"/>
      <c r="AI292" s="587"/>
      <c r="AJ292" s="587"/>
      <c r="AK292" s="587"/>
      <c r="AL292" s="499"/>
      <c r="AM292" s="498"/>
      <c r="AN292" s="587"/>
      <c r="AO292" s="587"/>
      <c r="AP292" s="587"/>
      <c r="AQ292" s="499"/>
      <c r="AR292" s="582"/>
      <c r="AS292" s="582"/>
      <c r="AT292" s="582"/>
      <c r="AU292" s="582"/>
      <c r="AV292" s="582"/>
      <c r="AW292" s="582"/>
      <c r="AX292" s="581"/>
    </row>
    <row r="293" spans="2:50">
      <c r="B293" s="519" t="s">
        <v>589</v>
      </c>
      <c r="C293" s="520" t="s">
        <v>66</v>
      </c>
      <c r="D293" s="520" t="s">
        <v>57</v>
      </c>
      <c r="E293" s="520" t="s">
        <v>647</v>
      </c>
      <c r="F293" s="520" t="s">
        <v>677</v>
      </c>
      <c r="G293" s="527">
        <v>0.01</v>
      </c>
      <c r="H293" s="527">
        <v>2.3080000000000002E-3</v>
      </c>
      <c r="I293" s="529">
        <v>0.4</v>
      </c>
      <c r="J293" s="596">
        <v>6</v>
      </c>
      <c r="K293" s="521">
        <v>90</v>
      </c>
      <c r="L293" s="273"/>
      <c r="M293" s="273"/>
      <c r="P293" s="274"/>
      <c r="Q293" s="274"/>
      <c r="R293" s="274"/>
      <c r="S293" s="274"/>
      <c r="T293" s="274"/>
      <c r="U293" s="274"/>
      <c r="V293" s="274"/>
      <c r="W293" s="274"/>
      <c r="X293" s="486" t="str">
        <f ca="1">IF('CDO Bespoke'!O294&lt;&gt;"",'CDO Bespoke'!O294,"")</f>
        <v/>
      </c>
      <c r="Y293" s="487" t="str">
        <f ca="1">IF(X293&lt;&gt;"",ABS(MIN(-0.75*('CDO Bespoke'!Q294)+'CDO Bespoke'!T294,0)),"")</f>
        <v/>
      </c>
      <c r="Z293" s="487">
        <f t="shared" ca="1" si="24"/>
        <v>0</v>
      </c>
      <c r="AA293" s="487">
        <f t="shared" ca="1" si="25"/>
        <v>0</v>
      </c>
      <c r="AB293" s="486" t="str">
        <f ca="1">IF('CDO Bespoke'!O294&lt;&gt;"",'CDO Bespoke'!O294,"")</f>
        <v/>
      </c>
      <c r="AC293" s="487" t="str">
        <f ca="1">IF(AB293&lt;&gt;"",ABS(MIN(-0.75*('CDO Bespoke'!K294)+'CDO Bespoke'!T294,0)),"")</f>
        <v/>
      </c>
      <c r="AD293" s="487">
        <f t="shared" ca="1" si="26"/>
        <v>0</v>
      </c>
      <c r="AE293" s="491">
        <f t="shared" ca="1" si="27"/>
        <v>0</v>
      </c>
      <c r="AF293" s="273"/>
      <c r="AG293" s="496" t="str">
        <f ca="1">IF('CDO Bespoke'!C318&lt;&gt;"",'CDO Bespoke'!C318,"")</f>
        <v/>
      </c>
      <c r="AH293" s="498"/>
      <c r="AI293" s="587"/>
      <c r="AJ293" s="587"/>
      <c r="AK293" s="587"/>
      <c r="AL293" s="499"/>
      <c r="AM293" s="498"/>
      <c r="AN293" s="587"/>
      <c r="AO293" s="587"/>
      <c r="AP293" s="587"/>
      <c r="AQ293" s="499"/>
      <c r="AR293" s="582"/>
      <c r="AS293" s="582"/>
      <c r="AT293" s="582"/>
      <c r="AU293" s="582"/>
      <c r="AV293" s="582"/>
      <c r="AW293" s="582"/>
      <c r="AX293" s="581"/>
    </row>
    <row r="294" spans="2:50">
      <c r="B294" s="536" t="s">
        <v>589</v>
      </c>
      <c r="C294" s="537" t="s">
        <v>66</v>
      </c>
      <c r="D294" s="537" t="s">
        <v>59</v>
      </c>
      <c r="E294" s="537" t="s">
        <v>647</v>
      </c>
      <c r="F294" s="537" t="s">
        <v>677</v>
      </c>
      <c r="G294" s="538">
        <v>0.01</v>
      </c>
      <c r="H294" s="538">
        <v>3.643E-3</v>
      </c>
      <c r="I294" s="539">
        <v>0.4</v>
      </c>
      <c r="J294" s="597">
        <v>6</v>
      </c>
      <c r="K294" s="540">
        <v>90</v>
      </c>
      <c r="L294" s="273"/>
      <c r="M294" s="273"/>
      <c r="P294" s="274"/>
      <c r="Q294" s="274"/>
      <c r="R294" s="274"/>
      <c r="S294" s="274"/>
      <c r="T294" s="274"/>
      <c r="U294" s="274"/>
      <c r="V294" s="274"/>
      <c r="W294" s="274"/>
      <c r="X294" s="486" t="str">
        <f ca="1">IF('CDO Bespoke'!O295&lt;&gt;"",'CDO Bespoke'!O295,"")</f>
        <v/>
      </c>
      <c r="Y294" s="487" t="str">
        <f ca="1">IF(X294&lt;&gt;"",ABS(MIN(-0.75*('CDO Bespoke'!Q295)+'CDO Bespoke'!T295,0)),"")</f>
        <v/>
      </c>
      <c r="Z294" s="487">
        <f t="shared" ca="1" si="24"/>
        <v>0</v>
      </c>
      <c r="AA294" s="487">
        <f t="shared" ca="1" si="25"/>
        <v>0</v>
      </c>
      <c r="AB294" s="486" t="str">
        <f ca="1">IF('CDO Bespoke'!O295&lt;&gt;"",'CDO Bespoke'!O295,"")</f>
        <v/>
      </c>
      <c r="AC294" s="487" t="str">
        <f ca="1">IF(AB294&lt;&gt;"",ABS(MIN(-0.75*('CDO Bespoke'!K295)+'CDO Bespoke'!T295,0)),"")</f>
        <v/>
      </c>
      <c r="AD294" s="487">
        <f t="shared" ca="1" si="26"/>
        <v>0</v>
      </c>
      <c r="AE294" s="491">
        <f t="shared" ca="1" si="27"/>
        <v>0</v>
      </c>
      <c r="AF294" s="273"/>
      <c r="AG294" s="496" t="str">
        <f ca="1">IF('CDO Bespoke'!C319&lt;&gt;"",'CDO Bespoke'!C319,"")</f>
        <v/>
      </c>
      <c r="AH294" s="498"/>
      <c r="AI294" s="587"/>
      <c r="AJ294" s="587"/>
      <c r="AK294" s="587"/>
      <c r="AL294" s="499"/>
      <c r="AM294" s="498"/>
      <c r="AN294" s="587"/>
      <c r="AO294" s="587"/>
      <c r="AP294" s="587"/>
      <c r="AQ294" s="499"/>
      <c r="AR294" s="582"/>
      <c r="AS294" s="582"/>
      <c r="AT294" s="582"/>
      <c r="AU294" s="582"/>
      <c r="AV294" s="582"/>
      <c r="AW294" s="582"/>
      <c r="AX294" s="581"/>
    </row>
    <row r="295" spans="2:50">
      <c r="B295" s="541" t="s">
        <v>597</v>
      </c>
      <c r="C295" s="542" t="s">
        <v>66</v>
      </c>
      <c r="D295" s="542" t="s">
        <v>55</v>
      </c>
      <c r="E295" s="542" t="s">
        <v>649</v>
      </c>
      <c r="F295" s="542" t="s">
        <v>677</v>
      </c>
      <c r="G295" s="543">
        <v>0.01</v>
      </c>
      <c r="H295" s="543">
        <v>1.5479999999999999E-3</v>
      </c>
      <c r="I295" s="544">
        <v>0.4</v>
      </c>
      <c r="J295" s="604">
        <v>6</v>
      </c>
      <c r="K295" s="545">
        <v>91</v>
      </c>
      <c r="L295" s="273"/>
      <c r="M295" s="273"/>
      <c r="P295" s="274"/>
      <c r="Q295" s="274"/>
      <c r="R295" s="274"/>
      <c r="S295" s="274"/>
      <c r="T295" s="274"/>
      <c r="U295" s="274"/>
      <c r="V295" s="274"/>
      <c r="W295" s="274"/>
      <c r="X295" s="486" t="str">
        <f ca="1">IF('CDO Bespoke'!O296&lt;&gt;"",'CDO Bespoke'!O296,"")</f>
        <v/>
      </c>
      <c r="Y295" s="487" t="str">
        <f ca="1">IF(X295&lt;&gt;"",ABS(MIN(-0.75*('CDO Bespoke'!Q296)+'CDO Bespoke'!T296,0)),"")</f>
        <v/>
      </c>
      <c r="Z295" s="487">
        <f t="shared" ca="1" si="24"/>
        <v>0</v>
      </c>
      <c r="AA295" s="487">
        <f t="shared" ca="1" si="25"/>
        <v>0</v>
      </c>
      <c r="AB295" s="486" t="str">
        <f ca="1">IF('CDO Bespoke'!O296&lt;&gt;"",'CDO Bespoke'!O296,"")</f>
        <v/>
      </c>
      <c r="AC295" s="487" t="str">
        <f ca="1">IF(AB295&lt;&gt;"",ABS(MIN(-0.75*('CDO Bespoke'!K296)+'CDO Bespoke'!T296,0)),"")</f>
        <v/>
      </c>
      <c r="AD295" s="487">
        <f t="shared" ca="1" si="26"/>
        <v>0</v>
      </c>
      <c r="AE295" s="491">
        <f t="shared" ca="1" si="27"/>
        <v>0</v>
      </c>
      <c r="AF295" s="273"/>
      <c r="AG295" s="496" t="str">
        <f ca="1">IF('CDO Bespoke'!C320&lt;&gt;"",'CDO Bespoke'!C320,"")</f>
        <v/>
      </c>
      <c r="AH295" s="498"/>
      <c r="AI295" s="587"/>
      <c r="AJ295" s="587"/>
      <c r="AK295" s="587"/>
      <c r="AL295" s="499"/>
      <c r="AM295" s="498"/>
      <c r="AN295" s="587"/>
      <c r="AO295" s="587"/>
      <c r="AP295" s="587"/>
      <c r="AQ295" s="499"/>
      <c r="AR295" s="582"/>
      <c r="AS295" s="582"/>
      <c r="AT295" s="582"/>
      <c r="AU295" s="582"/>
      <c r="AV295" s="582"/>
      <c r="AW295" s="582"/>
      <c r="AX295" s="581"/>
    </row>
    <row r="296" spans="2:50">
      <c r="B296" s="519" t="s">
        <v>597</v>
      </c>
      <c r="C296" s="520" t="s">
        <v>66</v>
      </c>
      <c r="D296" s="520" t="s">
        <v>57</v>
      </c>
      <c r="E296" s="520" t="s">
        <v>649</v>
      </c>
      <c r="F296" s="520" t="s">
        <v>677</v>
      </c>
      <c r="G296" s="527">
        <v>0.01</v>
      </c>
      <c r="H296" s="527">
        <v>2.565E-3</v>
      </c>
      <c r="I296" s="529">
        <v>0.4</v>
      </c>
      <c r="J296" s="596">
        <v>6</v>
      </c>
      <c r="K296" s="521">
        <v>91</v>
      </c>
      <c r="L296" s="273"/>
      <c r="M296" s="273"/>
      <c r="P296" s="274"/>
      <c r="Q296" s="274"/>
      <c r="R296" s="274"/>
      <c r="S296" s="274"/>
      <c r="T296" s="274"/>
      <c r="U296" s="274"/>
      <c r="V296" s="274"/>
      <c r="W296" s="274"/>
      <c r="X296" s="486" t="str">
        <f ca="1">IF('CDO Bespoke'!O297&lt;&gt;"",'CDO Bespoke'!O297,"")</f>
        <v/>
      </c>
      <c r="Y296" s="487" t="str">
        <f ca="1">IF(X296&lt;&gt;"",ABS(MIN(-0.75*('CDO Bespoke'!Q297)+'CDO Bespoke'!T297,0)),"")</f>
        <v/>
      </c>
      <c r="Z296" s="487">
        <f t="shared" ca="1" si="24"/>
        <v>0</v>
      </c>
      <c r="AA296" s="487">
        <f t="shared" ca="1" si="25"/>
        <v>0</v>
      </c>
      <c r="AB296" s="486" t="str">
        <f ca="1">IF('CDO Bespoke'!O297&lt;&gt;"",'CDO Bespoke'!O297,"")</f>
        <v/>
      </c>
      <c r="AC296" s="487" t="str">
        <f ca="1">IF(AB296&lt;&gt;"",ABS(MIN(-0.75*('CDO Bespoke'!K297)+'CDO Bespoke'!T297,0)),"")</f>
        <v/>
      </c>
      <c r="AD296" s="487">
        <f t="shared" ca="1" si="26"/>
        <v>0</v>
      </c>
      <c r="AE296" s="491">
        <f t="shared" ca="1" si="27"/>
        <v>0</v>
      </c>
      <c r="AF296" s="273"/>
      <c r="AG296" s="496" t="str">
        <f ca="1">IF('CDO Bespoke'!C321&lt;&gt;"",'CDO Bespoke'!C321,"")</f>
        <v/>
      </c>
      <c r="AH296" s="498"/>
      <c r="AI296" s="587"/>
      <c r="AJ296" s="587"/>
      <c r="AK296" s="587"/>
      <c r="AL296" s="499"/>
      <c r="AM296" s="498"/>
      <c r="AN296" s="587"/>
      <c r="AO296" s="587"/>
      <c r="AP296" s="587"/>
      <c r="AQ296" s="499"/>
      <c r="AR296" s="582"/>
      <c r="AS296" s="582"/>
      <c r="AT296" s="582"/>
      <c r="AU296" s="582"/>
      <c r="AV296" s="582"/>
      <c r="AW296" s="582"/>
      <c r="AX296" s="581"/>
    </row>
    <row r="297" spans="2:50">
      <c r="B297" s="536" t="s">
        <v>597</v>
      </c>
      <c r="C297" s="537" t="s">
        <v>66</v>
      </c>
      <c r="D297" s="537" t="s">
        <v>59</v>
      </c>
      <c r="E297" s="537" t="s">
        <v>649</v>
      </c>
      <c r="F297" s="537" t="s">
        <v>677</v>
      </c>
      <c r="G297" s="538">
        <v>0.01</v>
      </c>
      <c r="H297" s="538">
        <v>3.594E-3</v>
      </c>
      <c r="I297" s="539">
        <v>0.4</v>
      </c>
      <c r="J297" s="597">
        <v>6</v>
      </c>
      <c r="K297" s="540">
        <v>91</v>
      </c>
      <c r="L297" s="273"/>
      <c r="M297" s="273"/>
      <c r="P297" s="274"/>
      <c r="Q297" s="274"/>
      <c r="R297" s="274"/>
      <c r="S297" s="274"/>
      <c r="T297" s="274"/>
      <c r="U297" s="274"/>
      <c r="V297" s="274"/>
      <c r="W297" s="274"/>
      <c r="X297" s="486" t="str">
        <f ca="1">IF('CDO Bespoke'!O298&lt;&gt;"",'CDO Bespoke'!O298,"")</f>
        <v/>
      </c>
      <c r="Y297" s="487" t="str">
        <f ca="1">IF(X297&lt;&gt;"",ABS(MIN(-0.75*('CDO Bespoke'!Q298)+'CDO Bespoke'!T298,0)),"")</f>
        <v/>
      </c>
      <c r="Z297" s="487">
        <f t="shared" ca="1" si="24"/>
        <v>0</v>
      </c>
      <c r="AA297" s="487">
        <f t="shared" ca="1" si="25"/>
        <v>0</v>
      </c>
      <c r="AB297" s="486" t="str">
        <f ca="1">IF('CDO Bespoke'!O298&lt;&gt;"",'CDO Bespoke'!O298,"")</f>
        <v/>
      </c>
      <c r="AC297" s="487" t="str">
        <f ca="1">IF(AB297&lt;&gt;"",ABS(MIN(-0.75*('CDO Bespoke'!K298)+'CDO Bespoke'!T298,0)),"")</f>
        <v/>
      </c>
      <c r="AD297" s="487">
        <f t="shared" ca="1" si="26"/>
        <v>0</v>
      </c>
      <c r="AE297" s="491">
        <f t="shared" ca="1" si="27"/>
        <v>0</v>
      </c>
      <c r="AF297" s="273"/>
      <c r="AG297" s="496" t="str">
        <f ca="1">IF('CDO Bespoke'!C322&lt;&gt;"",'CDO Bespoke'!C322,"")</f>
        <v/>
      </c>
      <c r="AH297" s="498"/>
      <c r="AI297" s="587"/>
      <c r="AJ297" s="587"/>
      <c r="AK297" s="587"/>
      <c r="AL297" s="499"/>
      <c r="AM297" s="498"/>
      <c r="AN297" s="587"/>
      <c r="AO297" s="587"/>
      <c r="AP297" s="587"/>
      <c r="AQ297" s="499"/>
      <c r="AR297" s="582"/>
      <c r="AS297" s="582"/>
      <c r="AT297" s="582"/>
      <c r="AU297" s="582"/>
      <c r="AV297" s="582"/>
      <c r="AW297" s="582"/>
      <c r="AX297" s="581"/>
    </row>
    <row r="298" spans="2:50">
      <c r="B298" s="541" t="s">
        <v>590</v>
      </c>
      <c r="C298" s="542" t="s">
        <v>66</v>
      </c>
      <c r="D298" s="542" t="s">
        <v>55</v>
      </c>
      <c r="E298" s="542" t="s">
        <v>649</v>
      </c>
      <c r="F298" s="542" t="s">
        <v>677</v>
      </c>
      <c r="G298" s="543">
        <v>0.01</v>
      </c>
      <c r="H298" s="543">
        <v>1.606E-3</v>
      </c>
      <c r="I298" s="544">
        <v>0.4</v>
      </c>
      <c r="J298" s="604">
        <v>6</v>
      </c>
      <c r="K298" s="545">
        <v>92</v>
      </c>
      <c r="L298" s="273"/>
      <c r="M298" s="273"/>
      <c r="P298" s="274"/>
      <c r="Q298" s="274"/>
      <c r="R298" s="274"/>
      <c r="S298" s="274"/>
      <c r="T298" s="274"/>
      <c r="U298" s="274"/>
      <c r="V298" s="274"/>
      <c r="W298" s="274"/>
      <c r="X298" s="486" t="str">
        <f ca="1">IF('CDO Bespoke'!O299&lt;&gt;"",'CDO Bespoke'!O299,"")</f>
        <v/>
      </c>
      <c r="Y298" s="487" t="str">
        <f ca="1">IF(X298&lt;&gt;"",ABS(MIN(-0.75*('CDO Bespoke'!Q299)+'CDO Bespoke'!T299,0)),"")</f>
        <v/>
      </c>
      <c r="Z298" s="487">
        <f t="shared" ca="1" si="24"/>
        <v>0</v>
      </c>
      <c r="AA298" s="487">
        <f t="shared" ca="1" si="25"/>
        <v>0</v>
      </c>
      <c r="AB298" s="486" t="str">
        <f ca="1">IF('CDO Bespoke'!O299&lt;&gt;"",'CDO Bespoke'!O299,"")</f>
        <v/>
      </c>
      <c r="AC298" s="487" t="str">
        <f ca="1">IF(AB298&lt;&gt;"",ABS(MIN(-0.75*('CDO Bespoke'!K299)+'CDO Bespoke'!T299,0)),"")</f>
        <v/>
      </c>
      <c r="AD298" s="487">
        <f t="shared" ca="1" si="26"/>
        <v>0</v>
      </c>
      <c r="AE298" s="491">
        <f t="shared" ca="1" si="27"/>
        <v>0</v>
      </c>
      <c r="AF298" s="273"/>
      <c r="AG298" s="496" t="str">
        <f ca="1">IF('CDO Bespoke'!C323&lt;&gt;"",'CDO Bespoke'!C323,"")</f>
        <v/>
      </c>
      <c r="AH298" s="498"/>
      <c r="AI298" s="587"/>
      <c r="AJ298" s="587"/>
      <c r="AK298" s="587"/>
      <c r="AL298" s="499"/>
      <c r="AM298" s="498"/>
      <c r="AN298" s="587"/>
      <c r="AO298" s="587"/>
      <c r="AP298" s="587"/>
      <c r="AQ298" s="499"/>
      <c r="AR298" s="582"/>
      <c r="AS298" s="582"/>
      <c r="AT298" s="582"/>
      <c r="AU298" s="582"/>
      <c r="AV298" s="582"/>
      <c r="AW298" s="582"/>
      <c r="AX298" s="581"/>
    </row>
    <row r="299" spans="2:50">
      <c r="B299" s="519" t="s">
        <v>590</v>
      </c>
      <c r="C299" s="520" t="s">
        <v>66</v>
      </c>
      <c r="D299" s="520" t="s">
        <v>57</v>
      </c>
      <c r="E299" s="520" t="s">
        <v>649</v>
      </c>
      <c r="F299" s="520" t="s">
        <v>677</v>
      </c>
      <c r="G299" s="527">
        <v>0.01</v>
      </c>
      <c r="H299" s="527">
        <v>2.6679999999999998E-3</v>
      </c>
      <c r="I299" s="529">
        <v>0.4</v>
      </c>
      <c r="J299" s="596">
        <v>6</v>
      </c>
      <c r="K299" s="521">
        <v>92</v>
      </c>
      <c r="L299" s="273"/>
      <c r="M299" s="273"/>
      <c r="P299" s="274"/>
      <c r="Q299" s="274"/>
      <c r="R299" s="274"/>
      <c r="S299" s="274"/>
      <c r="T299" s="274"/>
      <c r="U299" s="274"/>
      <c r="V299" s="274"/>
      <c r="W299" s="274"/>
      <c r="X299" s="486" t="str">
        <f ca="1">IF('CDO Bespoke'!O300&lt;&gt;"",'CDO Bespoke'!O300,"")</f>
        <v/>
      </c>
      <c r="Y299" s="487" t="str">
        <f ca="1">IF(X299&lt;&gt;"",ABS(MIN(-0.75*('CDO Bespoke'!Q300)+'CDO Bespoke'!T300,0)),"")</f>
        <v/>
      </c>
      <c r="Z299" s="487">
        <f t="shared" ca="1" si="24"/>
        <v>0</v>
      </c>
      <c r="AA299" s="487">
        <f t="shared" ca="1" si="25"/>
        <v>0</v>
      </c>
      <c r="AB299" s="486" t="str">
        <f ca="1">IF('CDO Bespoke'!O300&lt;&gt;"",'CDO Bespoke'!O300,"")</f>
        <v/>
      </c>
      <c r="AC299" s="487" t="str">
        <f ca="1">IF(AB299&lt;&gt;"",ABS(MIN(-0.75*('CDO Bespoke'!K300)+'CDO Bespoke'!T300,0)),"")</f>
        <v/>
      </c>
      <c r="AD299" s="487">
        <f t="shared" ca="1" si="26"/>
        <v>0</v>
      </c>
      <c r="AE299" s="491">
        <f t="shared" ca="1" si="27"/>
        <v>0</v>
      </c>
      <c r="AF299" s="273"/>
      <c r="AG299" s="496" t="str">
        <f ca="1">IF('CDO Bespoke'!C324&lt;&gt;"",'CDO Bespoke'!C324,"")</f>
        <v/>
      </c>
      <c r="AH299" s="498"/>
      <c r="AI299" s="587"/>
      <c r="AJ299" s="587"/>
      <c r="AK299" s="587"/>
      <c r="AL299" s="499"/>
      <c r="AM299" s="498"/>
      <c r="AN299" s="587"/>
      <c r="AO299" s="587"/>
      <c r="AP299" s="587"/>
      <c r="AQ299" s="499"/>
      <c r="AR299" s="582"/>
      <c r="AS299" s="582"/>
      <c r="AT299" s="582"/>
      <c r="AU299" s="582"/>
      <c r="AV299" s="582"/>
      <c r="AW299" s="582"/>
      <c r="AX299" s="581"/>
    </row>
    <row r="300" spans="2:50">
      <c r="B300" s="536" t="s">
        <v>590</v>
      </c>
      <c r="C300" s="537" t="s">
        <v>66</v>
      </c>
      <c r="D300" s="537" t="s">
        <v>59</v>
      </c>
      <c r="E300" s="537" t="s">
        <v>649</v>
      </c>
      <c r="F300" s="537" t="s">
        <v>677</v>
      </c>
      <c r="G300" s="538">
        <v>0.01</v>
      </c>
      <c r="H300" s="538">
        <v>3.9750000000000002E-3</v>
      </c>
      <c r="I300" s="539">
        <v>0.4</v>
      </c>
      <c r="J300" s="597">
        <v>6</v>
      </c>
      <c r="K300" s="540">
        <v>92</v>
      </c>
      <c r="L300" s="273"/>
      <c r="M300" s="273"/>
      <c r="P300" s="274"/>
      <c r="Q300" s="274"/>
      <c r="R300" s="274"/>
      <c r="S300" s="274"/>
      <c r="T300" s="274"/>
      <c r="U300" s="274"/>
      <c r="V300" s="274"/>
      <c r="W300" s="274"/>
      <c r="X300" s="486" t="str">
        <f ca="1">IF('CDO Bespoke'!O301&lt;&gt;"",'CDO Bespoke'!O301,"")</f>
        <v/>
      </c>
      <c r="Y300" s="487" t="str">
        <f ca="1">IF(X300&lt;&gt;"",ABS(MIN(-0.75*('CDO Bespoke'!Q301)+'CDO Bespoke'!T301,0)),"")</f>
        <v/>
      </c>
      <c r="Z300" s="487">
        <f t="shared" ca="1" si="24"/>
        <v>0</v>
      </c>
      <c r="AA300" s="487">
        <f t="shared" ca="1" si="25"/>
        <v>0</v>
      </c>
      <c r="AB300" s="486" t="str">
        <f ca="1">IF('CDO Bespoke'!O301&lt;&gt;"",'CDO Bespoke'!O301,"")</f>
        <v/>
      </c>
      <c r="AC300" s="487" t="str">
        <f ca="1">IF(AB300&lt;&gt;"",ABS(MIN(-0.75*('CDO Bespoke'!K301)+'CDO Bespoke'!T301,0)),"")</f>
        <v/>
      </c>
      <c r="AD300" s="487">
        <f t="shared" ca="1" si="26"/>
        <v>0</v>
      </c>
      <c r="AE300" s="491">
        <f t="shared" ca="1" si="27"/>
        <v>0</v>
      </c>
      <c r="AF300" s="273"/>
      <c r="AG300" s="496" t="str">
        <f ca="1">IF('CDO Bespoke'!C325&lt;&gt;"",'CDO Bespoke'!C325,"")</f>
        <v/>
      </c>
      <c r="AH300" s="498"/>
      <c r="AI300" s="587"/>
      <c r="AJ300" s="587"/>
      <c r="AK300" s="587"/>
      <c r="AL300" s="499"/>
      <c r="AM300" s="498"/>
      <c r="AN300" s="587"/>
      <c r="AO300" s="587"/>
      <c r="AP300" s="587"/>
      <c r="AQ300" s="499"/>
      <c r="AR300" s="582"/>
      <c r="AS300" s="582"/>
      <c r="AT300" s="582"/>
      <c r="AU300" s="582"/>
      <c r="AV300" s="582"/>
      <c r="AW300" s="582"/>
      <c r="AX300" s="581"/>
    </row>
    <row r="301" spans="2:50">
      <c r="B301" s="541" t="s">
        <v>591</v>
      </c>
      <c r="C301" s="542" t="s">
        <v>66</v>
      </c>
      <c r="D301" s="542" t="s">
        <v>55</v>
      </c>
      <c r="E301" s="542" t="s">
        <v>649</v>
      </c>
      <c r="F301" s="542" t="s">
        <v>673</v>
      </c>
      <c r="G301" s="543">
        <v>0.01</v>
      </c>
      <c r="H301" s="543">
        <v>3.0330000000000001E-3</v>
      </c>
      <c r="I301" s="544">
        <v>0.4</v>
      </c>
      <c r="J301" s="604">
        <v>5</v>
      </c>
      <c r="K301" s="545">
        <v>93</v>
      </c>
      <c r="L301" s="273"/>
      <c r="M301" s="273"/>
      <c r="P301" s="274"/>
      <c r="Q301" s="274"/>
      <c r="R301" s="274"/>
      <c r="S301" s="274"/>
      <c r="T301" s="274"/>
      <c r="U301" s="274"/>
      <c r="V301" s="274"/>
      <c r="W301" s="274"/>
      <c r="X301" s="486" t="str">
        <f ca="1">IF('CDO Bespoke'!O302&lt;&gt;"",'CDO Bespoke'!O302,"")</f>
        <v/>
      </c>
      <c r="Y301" s="487" t="str">
        <f ca="1">IF(X301&lt;&gt;"",ABS(MIN(-0.75*('CDO Bespoke'!Q302)+'CDO Bespoke'!T302,0)),"")</f>
        <v/>
      </c>
      <c r="Z301" s="487">
        <f t="shared" ca="1" si="24"/>
        <v>0</v>
      </c>
      <c r="AA301" s="487">
        <f t="shared" ca="1" si="25"/>
        <v>0</v>
      </c>
      <c r="AB301" s="486" t="str">
        <f ca="1">IF('CDO Bespoke'!O302&lt;&gt;"",'CDO Bespoke'!O302,"")</f>
        <v/>
      </c>
      <c r="AC301" s="487" t="str">
        <f ca="1">IF(AB301&lt;&gt;"",ABS(MIN(-0.75*('CDO Bespoke'!K302)+'CDO Bespoke'!T302,0)),"")</f>
        <v/>
      </c>
      <c r="AD301" s="487">
        <f t="shared" ca="1" si="26"/>
        <v>0</v>
      </c>
      <c r="AE301" s="491">
        <f t="shared" ca="1" si="27"/>
        <v>0</v>
      </c>
      <c r="AF301" s="273"/>
      <c r="AG301" s="496" t="str">
        <f ca="1">IF('CDO Bespoke'!C326&lt;&gt;"",'CDO Bespoke'!C326,"")</f>
        <v/>
      </c>
      <c r="AH301" s="498"/>
      <c r="AI301" s="587"/>
      <c r="AJ301" s="587"/>
      <c r="AK301" s="587"/>
      <c r="AL301" s="499"/>
      <c r="AM301" s="498"/>
      <c r="AN301" s="587"/>
      <c r="AO301" s="587"/>
      <c r="AP301" s="587"/>
      <c r="AQ301" s="499"/>
      <c r="AR301" s="582"/>
      <c r="AS301" s="582"/>
      <c r="AT301" s="582"/>
      <c r="AU301" s="582"/>
      <c r="AV301" s="582"/>
      <c r="AW301" s="582"/>
      <c r="AX301" s="581"/>
    </row>
    <row r="302" spans="2:50">
      <c r="B302" s="519" t="s">
        <v>591</v>
      </c>
      <c r="C302" s="520" t="s">
        <v>66</v>
      </c>
      <c r="D302" s="520" t="s">
        <v>57</v>
      </c>
      <c r="E302" s="520" t="s">
        <v>649</v>
      </c>
      <c r="F302" s="520" t="s">
        <v>673</v>
      </c>
      <c r="G302" s="527">
        <v>0.01</v>
      </c>
      <c r="H302" s="527">
        <v>5.5510000000000004E-3</v>
      </c>
      <c r="I302" s="529">
        <v>0.4</v>
      </c>
      <c r="J302" s="596">
        <v>5</v>
      </c>
      <c r="K302" s="521">
        <v>93</v>
      </c>
      <c r="L302" s="273"/>
      <c r="M302" s="273"/>
      <c r="P302" s="274"/>
      <c r="Q302" s="274"/>
      <c r="R302" s="274"/>
      <c r="S302" s="274"/>
      <c r="T302" s="274"/>
      <c r="U302" s="274"/>
      <c r="V302" s="274"/>
      <c r="W302" s="274"/>
      <c r="X302" s="486" t="str">
        <f ca="1">IF('CDO Bespoke'!O303&lt;&gt;"",'CDO Bespoke'!O303,"")</f>
        <v/>
      </c>
      <c r="Y302" s="487" t="str">
        <f ca="1">IF(X302&lt;&gt;"",ABS(MIN(-0.75*('CDO Bespoke'!Q303)+'CDO Bespoke'!T303,0)),"")</f>
        <v/>
      </c>
      <c r="Z302" s="487">
        <f t="shared" ca="1" si="24"/>
        <v>0</v>
      </c>
      <c r="AA302" s="487">
        <f t="shared" ca="1" si="25"/>
        <v>0</v>
      </c>
      <c r="AB302" s="486" t="str">
        <f ca="1">IF('CDO Bespoke'!O303&lt;&gt;"",'CDO Bespoke'!O303,"")</f>
        <v/>
      </c>
      <c r="AC302" s="487" t="str">
        <f ca="1">IF(AB302&lt;&gt;"",ABS(MIN(-0.75*('CDO Bespoke'!K303)+'CDO Bespoke'!T303,0)),"")</f>
        <v/>
      </c>
      <c r="AD302" s="487">
        <f t="shared" ca="1" si="26"/>
        <v>0</v>
      </c>
      <c r="AE302" s="491">
        <f t="shared" ca="1" si="27"/>
        <v>0</v>
      </c>
      <c r="AF302" s="273"/>
      <c r="AG302" s="496" t="str">
        <f ca="1">IF('CDO Bespoke'!C327&lt;&gt;"",'CDO Bespoke'!C327,"")</f>
        <v/>
      </c>
      <c r="AH302" s="498"/>
      <c r="AI302" s="587"/>
      <c r="AJ302" s="587"/>
      <c r="AK302" s="587"/>
      <c r="AL302" s="499"/>
      <c r="AM302" s="498"/>
      <c r="AN302" s="587"/>
      <c r="AO302" s="587"/>
      <c r="AP302" s="587"/>
      <c r="AQ302" s="499"/>
      <c r="AR302" s="582"/>
      <c r="AS302" s="582"/>
      <c r="AT302" s="582"/>
      <c r="AU302" s="582"/>
      <c r="AV302" s="582"/>
      <c r="AW302" s="582"/>
      <c r="AX302" s="581"/>
    </row>
    <row r="303" spans="2:50">
      <c r="B303" s="536" t="s">
        <v>591</v>
      </c>
      <c r="C303" s="537" t="s">
        <v>66</v>
      </c>
      <c r="D303" s="537" t="s">
        <v>59</v>
      </c>
      <c r="E303" s="537" t="s">
        <v>649</v>
      </c>
      <c r="F303" s="537" t="s">
        <v>673</v>
      </c>
      <c r="G303" s="538">
        <v>0.01</v>
      </c>
      <c r="H303" s="538">
        <v>8.4740000000000006E-3</v>
      </c>
      <c r="I303" s="539">
        <v>0.4</v>
      </c>
      <c r="J303" s="597">
        <v>5</v>
      </c>
      <c r="K303" s="540">
        <v>93</v>
      </c>
      <c r="L303" s="273"/>
      <c r="M303" s="273"/>
      <c r="P303" s="274"/>
      <c r="Q303" s="274"/>
      <c r="R303" s="274"/>
      <c r="S303" s="274"/>
      <c r="T303" s="274"/>
      <c r="U303" s="274"/>
      <c r="V303" s="274"/>
      <c r="W303" s="274"/>
      <c r="X303" s="486" t="str">
        <f ca="1">IF('CDO Bespoke'!O304&lt;&gt;"",'CDO Bespoke'!O304,"")</f>
        <v/>
      </c>
      <c r="Y303" s="487" t="str">
        <f ca="1">IF(X303&lt;&gt;"",ABS(MIN(-0.75*('CDO Bespoke'!Q304)+'CDO Bespoke'!T304,0)),"")</f>
        <v/>
      </c>
      <c r="Z303" s="487">
        <f t="shared" ca="1" si="24"/>
        <v>0</v>
      </c>
      <c r="AA303" s="487">
        <f t="shared" ca="1" si="25"/>
        <v>0</v>
      </c>
      <c r="AB303" s="486" t="str">
        <f ca="1">IF('CDO Bespoke'!O304&lt;&gt;"",'CDO Bespoke'!O304,"")</f>
        <v/>
      </c>
      <c r="AC303" s="487" t="str">
        <f ca="1">IF(AB303&lt;&gt;"",ABS(MIN(-0.75*('CDO Bespoke'!K304)+'CDO Bespoke'!T304,0)),"")</f>
        <v/>
      </c>
      <c r="AD303" s="487">
        <f t="shared" ca="1" si="26"/>
        <v>0</v>
      </c>
      <c r="AE303" s="491">
        <f t="shared" ca="1" si="27"/>
        <v>0</v>
      </c>
      <c r="AF303" s="273"/>
      <c r="AG303" s="496" t="str">
        <f ca="1">IF('CDO Bespoke'!C328&lt;&gt;"",'CDO Bespoke'!C328,"")</f>
        <v/>
      </c>
      <c r="AH303" s="498"/>
      <c r="AI303" s="587"/>
      <c r="AJ303" s="587"/>
      <c r="AK303" s="587"/>
      <c r="AL303" s="499"/>
      <c r="AM303" s="498"/>
      <c r="AN303" s="587"/>
      <c r="AO303" s="587"/>
      <c r="AP303" s="587"/>
      <c r="AQ303" s="499"/>
      <c r="AR303" s="582"/>
      <c r="AS303" s="582"/>
      <c r="AT303" s="582"/>
      <c r="AU303" s="582"/>
      <c r="AV303" s="582"/>
      <c r="AW303" s="582"/>
      <c r="AX303" s="581"/>
    </row>
    <row r="304" spans="2:50">
      <c r="B304" s="541" t="s">
        <v>592</v>
      </c>
      <c r="C304" s="542" t="s">
        <v>66</v>
      </c>
      <c r="D304" s="542" t="s">
        <v>55</v>
      </c>
      <c r="E304" s="542" t="s">
        <v>649</v>
      </c>
      <c r="F304" s="542" t="s">
        <v>677</v>
      </c>
      <c r="G304" s="543">
        <v>0.01</v>
      </c>
      <c r="H304" s="543">
        <v>3.7399999999999998E-3</v>
      </c>
      <c r="I304" s="544">
        <v>0.4</v>
      </c>
      <c r="J304" s="604">
        <v>6</v>
      </c>
      <c r="K304" s="545">
        <v>94</v>
      </c>
      <c r="L304" s="273"/>
      <c r="M304" s="273"/>
      <c r="P304" s="274"/>
      <c r="Q304" s="274"/>
      <c r="R304" s="274"/>
      <c r="S304" s="274"/>
      <c r="T304" s="274"/>
      <c r="U304" s="274"/>
      <c r="V304" s="274"/>
      <c r="W304" s="274"/>
      <c r="X304" s="486" t="str">
        <f ca="1">IF('CDO Bespoke'!O305&lt;&gt;"",'CDO Bespoke'!O305,"")</f>
        <v/>
      </c>
      <c r="Y304" s="487" t="str">
        <f ca="1">IF(X304&lt;&gt;"",ABS(MIN(-0.75*('CDO Bespoke'!Q305)+'CDO Bespoke'!T305,0)),"")</f>
        <v/>
      </c>
      <c r="Z304" s="487">
        <f t="shared" ca="1" si="24"/>
        <v>0</v>
      </c>
      <c r="AA304" s="487">
        <f t="shared" ca="1" si="25"/>
        <v>0</v>
      </c>
      <c r="AB304" s="486" t="str">
        <f ca="1">IF('CDO Bespoke'!O305&lt;&gt;"",'CDO Bespoke'!O305,"")</f>
        <v/>
      </c>
      <c r="AC304" s="487" t="str">
        <f ca="1">IF(AB304&lt;&gt;"",ABS(MIN(-0.75*('CDO Bespoke'!K305)+'CDO Bespoke'!T305,0)),"")</f>
        <v/>
      </c>
      <c r="AD304" s="487">
        <f t="shared" ca="1" si="26"/>
        <v>0</v>
      </c>
      <c r="AE304" s="491">
        <f t="shared" ca="1" si="27"/>
        <v>0</v>
      </c>
      <c r="AF304" s="273"/>
      <c r="AG304" s="496" t="str">
        <f ca="1">IF('CDO Bespoke'!C329&lt;&gt;"",'CDO Bespoke'!C329,"")</f>
        <v/>
      </c>
      <c r="AH304" s="498"/>
      <c r="AI304" s="587"/>
      <c r="AJ304" s="587"/>
      <c r="AK304" s="587"/>
      <c r="AL304" s="499"/>
      <c r="AM304" s="498"/>
      <c r="AN304" s="587"/>
      <c r="AO304" s="587"/>
      <c r="AP304" s="587"/>
      <c r="AQ304" s="499"/>
      <c r="AR304" s="582"/>
      <c r="AS304" s="582"/>
      <c r="AT304" s="582"/>
      <c r="AU304" s="582"/>
      <c r="AV304" s="582"/>
      <c r="AW304" s="582"/>
      <c r="AX304" s="581"/>
    </row>
    <row r="305" spans="2:50">
      <c r="B305" s="519" t="s">
        <v>592</v>
      </c>
      <c r="C305" s="520" t="s">
        <v>66</v>
      </c>
      <c r="D305" s="520" t="s">
        <v>57</v>
      </c>
      <c r="E305" s="520" t="s">
        <v>649</v>
      </c>
      <c r="F305" s="520" t="s">
        <v>677</v>
      </c>
      <c r="G305" s="527">
        <v>0.01</v>
      </c>
      <c r="H305" s="527">
        <v>6.6239999999999997E-3</v>
      </c>
      <c r="I305" s="529">
        <v>0.4</v>
      </c>
      <c r="J305" s="596">
        <v>6</v>
      </c>
      <c r="K305" s="521">
        <v>94</v>
      </c>
      <c r="L305" s="273"/>
      <c r="M305" s="273"/>
      <c r="P305" s="274"/>
      <c r="Q305" s="274"/>
      <c r="R305" s="274"/>
      <c r="S305" s="274"/>
      <c r="T305" s="274"/>
      <c r="U305" s="274"/>
      <c r="V305" s="274"/>
      <c r="W305" s="274"/>
      <c r="X305" s="486" t="str">
        <f ca="1">IF('CDO Bespoke'!O306&lt;&gt;"",'CDO Bespoke'!O306,"")</f>
        <v/>
      </c>
      <c r="Y305" s="487" t="str">
        <f ca="1">IF(X305&lt;&gt;"",ABS(MIN(-0.75*('CDO Bespoke'!Q306)+'CDO Bespoke'!T306,0)),"")</f>
        <v/>
      </c>
      <c r="Z305" s="487">
        <f t="shared" ca="1" si="24"/>
        <v>0</v>
      </c>
      <c r="AA305" s="487">
        <f t="shared" ca="1" si="25"/>
        <v>0</v>
      </c>
      <c r="AB305" s="486" t="str">
        <f ca="1">IF('CDO Bespoke'!O306&lt;&gt;"",'CDO Bespoke'!O306,"")</f>
        <v/>
      </c>
      <c r="AC305" s="487" t="str">
        <f ca="1">IF(AB305&lt;&gt;"",ABS(MIN(-0.75*('CDO Bespoke'!K306)+'CDO Bespoke'!T306,0)),"")</f>
        <v/>
      </c>
      <c r="AD305" s="487">
        <f t="shared" ca="1" si="26"/>
        <v>0</v>
      </c>
      <c r="AE305" s="491">
        <f t="shared" ca="1" si="27"/>
        <v>0</v>
      </c>
      <c r="AF305" s="273"/>
      <c r="AG305" s="496" t="str">
        <f ca="1">IF('CDO Bespoke'!C330&lt;&gt;"",'CDO Bespoke'!C330,"")</f>
        <v/>
      </c>
      <c r="AH305" s="498"/>
      <c r="AI305" s="587"/>
      <c r="AJ305" s="587"/>
      <c r="AK305" s="587"/>
      <c r="AL305" s="499"/>
      <c r="AM305" s="498"/>
      <c r="AN305" s="587"/>
      <c r="AO305" s="587"/>
      <c r="AP305" s="587"/>
      <c r="AQ305" s="499"/>
      <c r="AR305" s="582"/>
      <c r="AS305" s="582"/>
      <c r="AT305" s="582"/>
      <c r="AU305" s="582"/>
      <c r="AV305" s="582"/>
      <c r="AW305" s="582"/>
      <c r="AX305" s="581"/>
    </row>
    <row r="306" spans="2:50">
      <c r="B306" s="536" t="s">
        <v>592</v>
      </c>
      <c r="C306" s="537" t="s">
        <v>66</v>
      </c>
      <c r="D306" s="537" t="s">
        <v>59</v>
      </c>
      <c r="E306" s="537" t="s">
        <v>649</v>
      </c>
      <c r="F306" s="537" t="s">
        <v>677</v>
      </c>
      <c r="G306" s="538">
        <v>0.01</v>
      </c>
      <c r="H306" s="538">
        <v>9.2910000000000006E-3</v>
      </c>
      <c r="I306" s="539">
        <v>0.4</v>
      </c>
      <c r="J306" s="597">
        <v>6</v>
      </c>
      <c r="K306" s="540">
        <v>94</v>
      </c>
      <c r="L306" s="273"/>
      <c r="M306" s="273"/>
      <c r="P306" s="274"/>
      <c r="Q306" s="274"/>
      <c r="R306" s="274"/>
      <c r="S306" s="274"/>
      <c r="T306" s="274"/>
      <c r="U306" s="274"/>
      <c r="V306" s="274"/>
      <c r="W306" s="274"/>
      <c r="X306" s="486" t="str">
        <f ca="1">IF('CDO Bespoke'!O307&lt;&gt;"",'CDO Bespoke'!O307,"")</f>
        <v/>
      </c>
      <c r="Y306" s="487" t="str">
        <f ca="1">IF(X306&lt;&gt;"",ABS(MIN(-0.75*('CDO Bespoke'!Q307)+'CDO Bespoke'!T307,0)),"")</f>
        <v/>
      </c>
      <c r="Z306" s="487">
        <f t="shared" ca="1" si="24"/>
        <v>0</v>
      </c>
      <c r="AA306" s="487">
        <f t="shared" ca="1" si="25"/>
        <v>0</v>
      </c>
      <c r="AB306" s="486" t="str">
        <f ca="1">IF('CDO Bespoke'!O307&lt;&gt;"",'CDO Bespoke'!O307,"")</f>
        <v/>
      </c>
      <c r="AC306" s="487" t="str">
        <f ca="1">IF(AB306&lt;&gt;"",ABS(MIN(-0.75*('CDO Bespoke'!K307)+'CDO Bespoke'!T307,0)),"")</f>
        <v/>
      </c>
      <c r="AD306" s="487">
        <f t="shared" ca="1" si="26"/>
        <v>0</v>
      </c>
      <c r="AE306" s="491">
        <f t="shared" ca="1" si="27"/>
        <v>0</v>
      </c>
      <c r="AF306" s="273"/>
      <c r="AG306" s="496" t="str">
        <f ca="1">IF('CDO Bespoke'!C331&lt;&gt;"",'CDO Bespoke'!C331,"")</f>
        <v/>
      </c>
      <c r="AH306" s="498"/>
      <c r="AI306" s="587"/>
      <c r="AJ306" s="587"/>
      <c r="AK306" s="587"/>
      <c r="AL306" s="499"/>
      <c r="AM306" s="498"/>
      <c r="AN306" s="587"/>
      <c r="AO306" s="587"/>
      <c r="AP306" s="587"/>
      <c r="AQ306" s="499"/>
      <c r="AR306" s="582"/>
      <c r="AS306" s="582"/>
      <c r="AT306" s="582"/>
      <c r="AU306" s="582"/>
      <c r="AV306" s="582"/>
      <c r="AW306" s="582"/>
      <c r="AX306" s="581"/>
    </row>
    <row r="307" spans="2:50">
      <c r="B307" s="541" t="s">
        <v>593</v>
      </c>
      <c r="C307" s="542" t="s">
        <v>66</v>
      </c>
      <c r="D307" s="542" t="s">
        <v>55</v>
      </c>
      <c r="E307" s="542" t="s">
        <v>649</v>
      </c>
      <c r="F307" s="542" t="s">
        <v>673</v>
      </c>
      <c r="G307" s="543">
        <v>0.01</v>
      </c>
      <c r="H307" s="543">
        <v>3.8470000000000002E-3</v>
      </c>
      <c r="I307" s="544">
        <v>0.4</v>
      </c>
      <c r="J307" s="604">
        <v>5</v>
      </c>
      <c r="K307" s="545">
        <v>95</v>
      </c>
      <c r="L307" s="273"/>
      <c r="M307" s="273"/>
      <c r="P307" s="274"/>
      <c r="Q307" s="274"/>
      <c r="R307" s="274"/>
      <c r="S307" s="274"/>
      <c r="T307" s="274"/>
      <c r="U307" s="274"/>
      <c r="V307" s="274"/>
      <c r="W307" s="274"/>
      <c r="X307" s="486" t="str">
        <f ca="1">IF('CDO Bespoke'!O308&lt;&gt;"",'CDO Bespoke'!O308,"")</f>
        <v/>
      </c>
      <c r="Y307" s="487" t="str">
        <f ca="1">IF(X307&lt;&gt;"",ABS(MIN(-0.75*('CDO Bespoke'!Q308)+'CDO Bespoke'!T308,0)),"")</f>
        <v/>
      </c>
      <c r="Z307" s="487">
        <f t="shared" ca="1" si="24"/>
        <v>0</v>
      </c>
      <c r="AA307" s="487">
        <f t="shared" ca="1" si="25"/>
        <v>0</v>
      </c>
      <c r="AB307" s="486" t="str">
        <f ca="1">IF('CDO Bespoke'!O308&lt;&gt;"",'CDO Bespoke'!O308,"")</f>
        <v/>
      </c>
      <c r="AC307" s="487" t="str">
        <f ca="1">IF(AB307&lt;&gt;"",ABS(MIN(-0.75*('CDO Bespoke'!K308)+'CDO Bespoke'!T308,0)),"")</f>
        <v/>
      </c>
      <c r="AD307" s="487">
        <f t="shared" ca="1" si="26"/>
        <v>0</v>
      </c>
      <c r="AE307" s="491">
        <f t="shared" ca="1" si="27"/>
        <v>0</v>
      </c>
      <c r="AF307" s="273"/>
      <c r="AG307" s="496" t="str">
        <f ca="1">IF('CDO Bespoke'!C332&lt;&gt;"",'CDO Bespoke'!C332,"")</f>
        <v/>
      </c>
      <c r="AH307" s="498"/>
      <c r="AI307" s="587"/>
      <c r="AJ307" s="587"/>
      <c r="AK307" s="587"/>
      <c r="AL307" s="499"/>
      <c r="AM307" s="498"/>
      <c r="AN307" s="587"/>
      <c r="AO307" s="587"/>
      <c r="AP307" s="587"/>
      <c r="AQ307" s="499"/>
      <c r="AR307" s="582"/>
      <c r="AS307" s="582"/>
      <c r="AT307" s="582"/>
      <c r="AU307" s="582"/>
      <c r="AV307" s="582"/>
      <c r="AW307" s="582"/>
      <c r="AX307" s="581"/>
    </row>
    <row r="308" spans="2:50">
      <c r="B308" s="519" t="s">
        <v>593</v>
      </c>
      <c r="C308" s="520" t="s">
        <v>66</v>
      </c>
      <c r="D308" s="520" t="s">
        <v>57</v>
      </c>
      <c r="E308" s="520" t="s">
        <v>649</v>
      </c>
      <c r="F308" s="520" t="s">
        <v>673</v>
      </c>
      <c r="G308" s="527">
        <v>0.01</v>
      </c>
      <c r="H308" s="527">
        <v>6.4609999999999997E-3</v>
      </c>
      <c r="I308" s="529">
        <v>0.4</v>
      </c>
      <c r="J308" s="596">
        <v>5</v>
      </c>
      <c r="K308" s="521">
        <v>95</v>
      </c>
      <c r="L308" s="273"/>
      <c r="M308" s="273"/>
      <c r="P308" s="274"/>
      <c r="Q308" s="274"/>
      <c r="R308" s="274"/>
      <c r="S308" s="274"/>
      <c r="T308" s="274"/>
      <c r="U308" s="274"/>
      <c r="V308" s="274"/>
      <c r="W308" s="274"/>
      <c r="X308" s="486" t="str">
        <f ca="1">IF('CDO Bespoke'!O309&lt;&gt;"",'CDO Bespoke'!O309,"")</f>
        <v/>
      </c>
      <c r="Y308" s="487" t="str">
        <f ca="1">IF(X308&lt;&gt;"",ABS(MIN(-0.75*('CDO Bespoke'!Q309)+'CDO Bespoke'!T309,0)),"")</f>
        <v/>
      </c>
      <c r="Z308" s="487">
        <f t="shared" ca="1" si="24"/>
        <v>0</v>
      </c>
      <c r="AA308" s="487">
        <f t="shared" ca="1" si="25"/>
        <v>0</v>
      </c>
      <c r="AB308" s="486" t="str">
        <f ca="1">IF('CDO Bespoke'!O309&lt;&gt;"",'CDO Bespoke'!O309,"")</f>
        <v/>
      </c>
      <c r="AC308" s="487" t="str">
        <f ca="1">IF(AB308&lt;&gt;"",ABS(MIN(-0.75*('CDO Bespoke'!K309)+'CDO Bespoke'!T309,0)),"")</f>
        <v/>
      </c>
      <c r="AD308" s="487">
        <f t="shared" ca="1" si="26"/>
        <v>0</v>
      </c>
      <c r="AE308" s="491">
        <f t="shared" ca="1" si="27"/>
        <v>0</v>
      </c>
      <c r="AF308" s="273"/>
      <c r="AG308" s="496" t="str">
        <f ca="1">IF('CDO Bespoke'!C333&lt;&gt;"",'CDO Bespoke'!C333,"")</f>
        <v/>
      </c>
      <c r="AH308" s="498"/>
      <c r="AI308" s="587"/>
      <c r="AJ308" s="587"/>
      <c r="AK308" s="587"/>
      <c r="AL308" s="499"/>
      <c r="AM308" s="498"/>
      <c r="AN308" s="587"/>
      <c r="AO308" s="587"/>
      <c r="AP308" s="587"/>
      <c r="AQ308" s="499"/>
      <c r="AR308" s="582"/>
      <c r="AS308" s="582"/>
      <c r="AT308" s="582"/>
      <c r="AU308" s="582"/>
      <c r="AV308" s="582"/>
      <c r="AW308" s="582"/>
      <c r="AX308" s="581"/>
    </row>
    <row r="309" spans="2:50">
      <c r="B309" s="536" t="s">
        <v>593</v>
      </c>
      <c r="C309" s="537" t="s">
        <v>66</v>
      </c>
      <c r="D309" s="537" t="s">
        <v>59</v>
      </c>
      <c r="E309" s="537" t="s">
        <v>649</v>
      </c>
      <c r="F309" s="537" t="s">
        <v>673</v>
      </c>
      <c r="G309" s="538">
        <v>0.01</v>
      </c>
      <c r="H309" s="538">
        <v>8.9420000000000003E-3</v>
      </c>
      <c r="I309" s="539">
        <v>0.4</v>
      </c>
      <c r="J309" s="597">
        <v>5</v>
      </c>
      <c r="K309" s="540">
        <v>95</v>
      </c>
      <c r="L309" s="273"/>
      <c r="M309" s="273"/>
      <c r="P309" s="274"/>
      <c r="Q309" s="274"/>
      <c r="R309" s="274"/>
      <c r="S309" s="274"/>
      <c r="T309" s="274"/>
      <c r="U309" s="274"/>
      <c r="V309" s="274"/>
      <c r="W309" s="274"/>
      <c r="X309" s="486" t="str">
        <f ca="1">IF('CDO Bespoke'!O310&lt;&gt;"",'CDO Bespoke'!O310,"")</f>
        <v/>
      </c>
      <c r="Y309" s="487" t="str">
        <f ca="1">IF(X309&lt;&gt;"",ABS(MIN(-0.75*('CDO Bespoke'!Q310)+'CDO Bespoke'!T310,0)),"")</f>
        <v/>
      </c>
      <c r="Z309" s="487">
        <f t="shared" ca="1" si="24"/>
        <v>0</v>
      </c>
      <c r="AA309" s="487">
        <f t="shared" ca="1" si="25"/>
        <v>0</v>
      </c>
      <c r="AB309" s="486" t="str">
        <f ca="1">IF('CDO Bespoke'!O310&lt;&gt;"",'CDO Bespoke'!O310,"")</f>
        <v/>
      </c>
      <c r="AC309" s="487" t="str">
        <f ca="1">IF(AB309&lt;&gt;"",ABS(MIN(-0.75*('CDO Bespoke'!K310)+'CDO Bespoke'!T310,0)),"")</f>
        <v/>
      </c>
      <c r="AD309" s="487">
        <f t="shared" ca="1" si="26"/>
        <v>0</v>
      </c>
      <c r="AE309" s="491">
        <f t="shared" ca="1" si="27"/>
        <v>0</v>
      </c>
      <c r="AF309" s="273"/>
      <c r="AG309" s="496" t="str">
        <f ca="1">IF('CDO Bespoke'!C334&lt;&gt;"",'CDO Bespoke'!C334,"")</f>
        <v/>
      </c>
      <c r="AH309" s="498"/>
      <c r="AI309" s="587"/>
      <c r="AJ309" s="587"/>
      <c r="AK309" s="587"/>
      <c r="AL309" s="499"/>
      <c r="AM309" s="498"/>
      <c r="AN309" s="587"/>
      <c r="AO309" s="587"/>
      <c r="AP309" s="587"/>
      <c r="AQ309" s="499"/>
      <c r="AR309" s="582"/>
      <c r="AS309" s="582"/>
      <c r="AT309" s="582"/>
      <c r="AU309" s="582"/>
      <c r="AV309" s="582"/>
      <c r="AW309" s="582"/>
      <c r="AX309" s="581"/>
    </row>
    <row r="310" spans="2:50">
      <c r="B310" s="541"/>
      <c r="C310" s="542" t="s">
        <v>66</v>
      </c>
      <c r="D310" s="542" t="s">
        <v>55</v>
      </c>
      <c r="E310" s="542"/>
      <c r="F310" s="542"/>
      <c r="G310" s="543">
        <v>0.01</v>
      </c>
      <c r="H310" s="543"/>
      <c r="I310" s="544">
        <v>0.4</v>
      </c>
      <c r="J310" s="604"/>
      <c r="K310" s="545">
        <v>96</v>
      </c>
      <c r="L310" s="273"/>
      <c r="M310" s="273"/>
      <c r="P310" s="274"/>
      <c r="Q310" s="274"/>
      <c r="R310" s="274"/>
      <c r="S310" s="274"/>
      <c r="T310" s="274"/>
      <c r="U310" s="274"/>
      <c r="V310" s="274"/>
      <c r="W310" s="274"/>
      <c r="X310" s="486" t="str">
        <f ca="1">IF('CDO Bespoke'!O311&lt;&gt;"",'CDO Bespoke'!O311,"")</f>
        <v/>
      </c>
      <c r="Y310" s="487" t="str">
        <f ca="1">IF(X310&lt;&gt;"",ABS(MIN(-0.75*('CDO Bespoke'!Q311)+'CDO Bespoke'!T311,0)),"")</f>
        <v/>
      </c>
      <c r="Z310" s="487">
        <f t="shared" ca="1" si="24"/>
        <v>0</v>
      </c>
      <c r="AA310" s="487">
        <f t="shared" ca="1" si="25"/>
        <v>0</v>
      </c>
      <c r="AB310" s="486" t="str">
        <f ca="1">IF('CDO Bespoke'!O311&lt;&gt;"",'CDO Bespoke'!O311,"")</f>
        <v/>
      </c>
      <c r="AC310" s="487" t="str">
        <f ca="1">IF(AB310&lt;&gt;"",ABS(MIN(-0.75*('CDO Bespoke'!K311)+'CDO Bespoke'!T311,0)),"")</f>
        <v/>
      </c>
      <c r="AD310" s="487">
        <f t="shared" ca="1" si="26"/>
        <v>0</v>
      </c>
      <c r="AE310" s="491">
        <f t="shared" ca="1" si="27"/>
        <v>0</v>
      </c>
      <c r="AF310" s="273"/>
      <c r="AG310" s="496" t="str">
        <f ca="1">IF('CDO Bespoke'!C335&lt;&gt;"",'CDO Bespoke'!C335,"")</f>
        <v/>
      </c>
      <c r="AH310" s="498"/>
      <c r="AI310" s="587"/>
      <c r="AJ310" s="587"/>
      <c r="AK310" s="587"/>
      <c r="AL310" s="499"/>
      <c r="AM310" s="498"/>
      <c r="AN310" s="587"/>
      <c r="AO310" s="587"/>
      <c r="AP310" s="587"/>
      <c r="AQ310" s="499"/>
      <c r="AR310" s="582"/>
      <c r="AS310" s="582"/>
      <c r="AT310" s="582"/>
      <c r="AU310" s="582"/>
      <c r="AV310" s="582"/>
      <c r="AW310" s="582"/>
      <c r="AX310" s="581"/>
    </row>
    <row r="311" spans="2:50">
      <c r="B311" s="519"/>
      <c r="C311" s="520" t="s">
        <v>66</v>
      </c>
      <c r="D311" s="520" t="s">
        <v>57</v>
      </c>
      <c r="E311" s="520"/>
      <c r="F311" s="520"/>
      <c r="G311" s="527">
        <v>0.01</v>
      </c>
      <c r="H311" s="527"/>
      <c r="I311" s="529">
        <v>0.4</v>
      </c>
      <c r="J311" s="596"/>
      <c r="K311" s="521">
        <v>96</v>
      </c>
      <c r="L311" s="273"/>
      <c r="M311" s="273"/>
      <c r="P311" s="274"/>
      <c r="Q311" s="274"/>
      <c r="R311" s="274"/>
      <c r="S311" s="274"/>
      <c r="T311" s="274"/>
      <c r="U311" s="274"/>
      <c r="V311" s="274"/>
      <c r="W311" s="274"/>
      <c r="X311" s="486" t="str">
        <f ca="1">IF('CDO Bespoke'!O312&lt;&gt;"",'CDO Bespoke'!O312,"")</f>
        <v/>
      </c>
      <c r="Y311" s="487" t="str">
        <f ca="1">IF(X311&lt;&gt;"",ABS(MIN(-0.75*('CDO Bespoke'!Q312)+'CDO Bespoke'!T312,0)),"")</f>
        <v/>
      </c>
      <c r="Z311" s="487">
        <f t="shared" ca="1" si="24"/>
        <v>0</v>
      </c>
      <c r="AA311" s="487">
        <f t="shared" ca="1" si="25"/>
        <v>0</v>
      </c>
      <c r="AB311" s="486" t="str">
        <f ca="1">IF('CDO Bespoke'!O312&lt;&gt;"",'CDO Bespoke'!O312,"")</f>
        <v/>
      </c>
      <c r="AC311" s="487" t="str">
        <f ca="1">IF(AB311&lt;&gt;"",ABS(MIN(-0.75*('CDO Bespoke'!K312)+'CDO Bespoke'!T312,0)),"")</f>
        <v/>
      </c>
      <c r="AD311" s="487">
        <f t="shared" ca="1" si="26"/>
        <v>0</v>
      </c>
      <c r="AE311" s="491">
        <f t="shared" ca="1" si="27"/>
        <v>0</v>
      </c>
      <c r="AF311" s="273"/>
      <c r="AG311" s="496" t="str">
        <f ca="1">IF('CDO Bespoke'!C336&lt;&gt;"",'CDO Bespoke'!C336,"")</f>
        <v/>
      </c>
      <c r="AH311" s="498"/>
      <c r="AI311" s="587"/>
      <c r="AJ311" s="587"/>
      <c r="AK311" s="587"/>
      <c r="AL311" s="499"/>
      <c r="AM311" s="498"/>
      <c r="AN311" s="587"/>
      <c r="AO311" s="587"/>
      <c r="AP311" s="587"/>
      <c r="AQ311" s="499"/>
      <c r="AR311" s="582"/>
      <c r="AS311" s="582"/>
      <c r="AT311" s="582"/>
      <c r="AU311" s="582"/>
      <c r="AV311" s="582"/>
      <c r="AW311" s="582"/>
      <c r="AX311" s="581"/>
    </row>
    <row r="312" spans="2:50">
      <c r="B312" s="536"/>
      <c r="C312" s="537" t="s">
        <v>66</v>
      </c>
      <c r="D312" s="537" t="s">
        <v>59</v>
      </c>
      <c r="E312" s="537"/>
      <c r="F312" s="537"/>
      <c r="G312" s="538">
        <v>0.01</v>
      </c>
      <c r="H312" s="538"/>
      <c r="I312" s="539">
        <v>0.4</v>
      </c>
      <c r="J312" s="597"/>
      <c r="K312" s="540">
        <v>96</v>
      </c>
      <c r="L312" s="273"/>
      <c r="M312" s="273"/>
      <c r="P312" s="274"/>
      <c r="Q312" s="274"/>
      <c r="R312" s="274"/>
      <c r="S312" s="274"/>
      <c r="T312" s="274"/>
      <c r="U312" s="274"/>
      <c r="V312" s="274"/>
      <c r="W312" s="274"/>
      <c r="X312" s="486" t="str">
        <f ca="1">IF('CDO Bespoke'!O313&lt;&gt;"",'CDO Bespoke'!O313,"")</f>
        <v/>
      </c>
      <c r="Y312" s="487" t="str">
        <f ca="1">IF(X312&lt;&gt;"",ABS(MIN(-0.75*('CDO Bespoke'!Q313)+'CDO Bespoke'!T313,0)),"")</f>
        <v/>
      </c>
      <c r="Z312" s="487">
        <f t="shared" ca="1" si="24"/>
        <v>0</v>
      </c>
      <c r="AA312" s="487">
        <f t="shared" ca="1" si="25"/>
        <v>0</v>
      </c>
      <c r="AB312" s="486" t="str">
        <f ca="1">IF('CDO Bespoke'!O313&lt;&gt;"",'CDO Bespoke'!O313,"")</f>
        <v/>
      </c>
      <c r="AC312" s="487" t="str">
        <f ca="1">IF(AB312&lt;&gt;"",ABS(MIN(-0.75*('CDO Bespoke'!K313)+'CDO Bespoke'!T313,0)),"")</f>
        <v/>
      </c>
      <c r="AD312" s="487">
        <f t="shared" ca="1" si="26"/>
        <v>0</v>
      </c>
      <c r="AE312" s="491">
        <f t="shared" ca="1" si="27"/>
        <v>0</v>
      </c>
      <c r="AF312" s="273"/>
      <c r="AG312" s="496" t="str">
        <f ca="1">IF('CDO Bespoke'!C337&lt;&gt;"",'CDO Bespoke'!C337,"")</f>
        <v/>
      </c>
      <c r="AH312" s="498"/>
      <c r="AI312" s="587"/>
      <c r="AJ312" s="587"/>
      <c r="AK312" s="587"/>
      <c r="AL312" s="499"/>
      <c r="AM312" s="498"/>
      <c r="AN312" s="587"/>
      <c r="AO312" s="587"/>
      <c r="AP312" s="587"/>
      <c r="AQ312" s="499"/>
      <c r="AR312" s="582"/>
      <c r="AS312" s="582"/>
      <c r="AT312" s="582"/>
      <c r="AU312" s="582"/>
      <c r="AV312" s="582"/>
      <c r="AW312" s="582"/>
      <c r="AX312" s="581"/>
    </row>
    <row r="313" spans="2:50" ht="12" thickBot="1">
      <c r="B313" s="541"/>
      <c r="C313" s="542" t="s">
        <v>66</v>
      </c>
      <c r="D313" s="542" t="s">
        <v>55</v>
      </c>
      <c r="E313" s="542"/>
      <c r="F313" s="542"/>
      <c r="G313" s="543">
        <v>0.01</v>
      </c>
      <c r="H313" s="543"/>
      <c r="I313" s="544">
        <v>0.4</v>
      </c>
      <c r="J313" s="604"/>
      <c r="K313" s="545">
        <v>97</v>
      </c>
      <c r="L313" s="273"/>
      <c r="M313" s="273"/>
      <c r="P313" s="274"/>
      <c r="Q313" s="274"/>
      <c r="R313" s="274"/>
      <c r="S313" s="274"/>
      <c r="T313" s="274"/>
      <c r="U313" s="274"/>
      <c r="V313" s="274"/>
      <c r="W313" s="274"/>
      <c r="X313" s="492" t="str">
        <f ca="1">IF('CDO Bespoke'!O314&lt;&gt;"",'CDO Bespoke'!O314,"")</f>
        <v/>
      </c>
      <c r="Y313" s="493" t="str">
        <f ca="1">IF(X313&lt;&gt;"",ABS(MIN(-0.75*('CDO Bespoke'!Q314)+'CDO Bespoke'!T314,0)),"")</f>
        <v/>
      </c>
      <c r="Z313" s="493">
        <f t="shared" ca="1" si="24"/>
        <v>0</v>
      </c>
      <c r="AA313" s="493">
        <f t="shared" ca="1" si="25"/>
        <v>0</v>
      </c>
      <c r="AB313" s="492" t="str">
        <f ca="1">IF('CDO Bespoke'!O314&lt;&gt;"",'CDO Bespoke'!O314,"")</f>
        <v/>
      </c>
      <c r="AC313" s="493" t="str">
        <f ca="1">IF(AB313&lt;&gt;"",ABS(MIN(-0.75*('CDO Bespoke'!K314)+'CDO Bespoke'!T314,0)),"")</f>
        <v/>
      </c>
      <c r="AD313" s="493">
        <f t="shared" ca="1" si="26"/>
        <v>0</v>
      </c>
      <c r="AE313" s="494">
        <f t="shared" ca="1" si="27"/>
        <v>0</v>
      </c>
      <c r="AF313" s="273"/>
      <c r="AG313" s="497" t="str">
        <f ca="1">IF('CDO Bespoke'!C338&lt;&gt;"",'CDO Bespoke'!C338,"")</f>
        <v/>
      </c>
      <c r="AH313" s="500"/>
      <c r="AI313" s="501"/>
      <c r="AJ313" s="501"/>
      <c r="AK313" s="501"/>
      <c r="AL313" s="502"/>
      <c r="AM313" s="500"/>
      <c r="AN313" s="501"/>
      <c r="AO313" s="501"/>
      <c r="AP313" s="501"/>
      <c r="AQ313" s="502"/>
      <c r="AR313" s="582"/>
      <c r="AS313" s="582"/>
      <c r="AT313" s="582"/>
      <c r="AU313" s="582"/>
      <c r="AV313" s="582"/>
      <c r="AW313" s="582"/>
      <c r="AX313" s="581"/>
    </row>
    <row r="314" spans="2:50">
      <c r="B314" s="519"/>
      <c r="C314" s="520" t="s">
        <v>66</v>
      </c>
      <c r="D314" s="520" t="s">
        <v>57</v>
      </c>
      <c r="E314" s="520"/>
      <c r="F314" s="520"/>
      <c r="G314" s="527">
        <v>0.01</v>
      </c>
      <c r="H314" s="527"/>
      <c r="I314" s="529">
        <v>0.4</v>
      </c>
      <c r="J314" s="596"/>
      <c r="K314" s="521">
        <v>97</v>
      </c>
      <c r="L314" s="273"/>
      <c r="M314" s="273"/>
      <c r="P314" s="274"/>
      <c r="Q314" s="274"/>
      <c r="R314" s="274"/>
      <c r="S314" s="274"/>
      <c r="T314" s="274"/>
      <c r="U314" s="274"/>
      <c r="V314" s="274"/>
      <c r="W314" s="274"/>
      <c r="X314" s="273"/>
      <c r="Y314" s="273"/>
      <c r="Z314" s="273"/>
      <c r="AA314" s="273"/>
      <c r="AB314" s="273"/>
      <c r="AC314" s="273"/>
      <c r="AD314" s="273"/>
      <c r="AE314" s="273"/>
      <c r="AF314" s="273"/>
    </row>
    <row r="315" spans="2:50">
      <c r="B315" s="536"/>
      <c r="C315" s="537" t="s">
        <v>66</v>
      </c>
      <c r="D315" s="537" t="s">
        <v>59</v>
      </c>
      <c r="E315" s="537"/>
      <c r="F315" s="537"/>
      <c r="G315" s="538">
        <v>0.01</v>
      </c>
      <c r="H315" s="538"/>
      <c r="I315" s="539">
        <v>0.4</v>
      </c>
      <c r="J315" s="597"/>
      <c r="K315" s="540">
        <v>97</v>
      </c>
      <c r="L315" s="273"/>
      <c r="M315" s="273"/>
      <c r="P315" s="274"/>
      <c r="Q315" s="274"/>
      <c r="R315" s="274"/>
      <c r="S315" s="274"/>
      <c r="T315" s="274"/>
      <c r="U315" s="274"/>
      <c r="V315" s="274"/>
      <c r="W315" s="274"/>
      <c r="X315" s="273"/>
      <c r="Y315" s="273"/>
      <c r="Z315" s="273"/>
      <c r="AA315" s="273"/>
      <c r="AB315" s="273"/>
      <c r="AC315" s="273"/>
      <c r="AD315" s="273"/>
      <c r="AE315" s="273"/>
      <c r="AF315" s="273"/>
    </row>
    <row r="316" spans="2:50">
      <c r="B316" s="541"/>
      <c r="C316" s="542" t="s">
        <v>66</v>
      </c>
      <c r="D316" s="542" t="s">
        <v>55</v>
      </c>
      <c r="E316" s="542"/>
      <c r="F316" s="542"/>
      <c r="G316" s="543">
        <v>0.01</v>
      </c>
      <c r="H316" s="543"/>
      <c r="I316" s="544">
        <v>0.4</v>
      </c>
      <c r="J316" s="604"/>
      <c r="K316" s="545">
        <v>98</v>
      </c>
      <c r="L316" s="273"/>
      <c r="M316" s="273"/>
      <c r="P316" s="274"/>
      <c r="Q316" s="274"/>
      <c r="R316" s="274"/>
      <c r="S316" s="274"/>
      <c r="T316" s="274"/>
      <c r="U316" s="274"/>
      <c r="V316" s="274"/>
      <c r="W316" s="274"/>
      <c r="X316" s="273"/>
      <c r="Y316" s="273"/>
      <c r="Z316" s="273"/>
      <c r="AA316" s="273"/>
      <c r="AB316" s="273"/>
      <c r="AC316" s="273"/>
      <c r="AD316" s="273"/>
      <c r="AE316" s="273"/>
      <c r="AF316" s="273"/>
    </row>
    <row r="317" spans="2:50">
      <c r="B317" s="519"/>
      <c r="C317" s="520" t="s">
        <v>66</v>
      </c>
      <c r="D317" s="520" t="s">
        <v>57</v>
      </c>
      <c r="E317" s="520"/>
      <c r="F317" s="520"/>
      <c r="G317" s="527">
        <v>0.01</v>
      </c>
      <c r="H317" s="527"/>
      <c r="I317" s="529">
        <v>0.4</v>
      </c>
      <c r="J317" s="596"/>
      <c r="K317" s="521">
        <v>98</v>
      </c>
      <c r="L317" s="273"/>
      <c r="M317" s="273"/>
      <c r="P317" s="274"/>
      <c r="Q317" s="274"/>
      <c r="R317" s="274"/>
      <c r="S317" s="274"/>
      <c r="T317" s="274"/>
      <c r="U317" s="274"/>
      <c r="V317" s="274"/>
      <c r="W317" s="274"/>
      <c r="X317" s="273"/>
      <c r="Y317" s="273"/>
      <c r="Z317" s="273"/>
      <c r="AA317" s="273"/>
      <c r="AB317" s="273"/>
      <c r="AC317" s="273"/>
      <c r="AD317" s="273"/>
      <c r="AE317" s="273"/>
      <c r="AF317" s="273"/>
    </row>
    <row r="318" spans="2:50">
      <c r="B318" s="536"/>
      <c r="C318" s="537" t="s">
        <v>66</v>
      </c>
      <c r="D318" s="537" t="s">
        <v>59</v>
      </c>
      <c r="E318" s="537"/>
      <c r="F318" s="537"/>
      <c r="G318" s="538">
        <v>0.01</v>
      </c>
      <c r="H318" s="538"/>
      <c r="I318" s="539">
        <v>0.4</v>
      </c>
      <c r="J318" s="597"/>
      <c r="K318" s="540">
        <v>98</v>
      </c>
      <c r="L318" s="273"/>
      <c r="M318" s="273"/>
      <c r="P318" s="274"/>
      <c r="Q318" s="274"/>
      <c r="R318" s="274"/>
      <c r="S318" s="274"/>
      <c r="T318" s="274"/>
      <c r="U318" s="274"/>
      <c r="V318" s="274"/>
      <c r="W318" s="274"/>
      <c r="X318" s="273"/>
      <c r="Y318" s="273"/>
      <c r="Z318" s="273"/>
      <c r="AA318" s="273"/>
      <c r="AB318" s="273"/>
      <c r="AC318" s="273"/>
      <c r="AD318" s="273"/>
      <c r="AE318" s="273"/>
      <c r="AF318" s="273"/>
    </row>
    <row r="319" spans="2:50">
      <c r="B319" s="541"/>
      <c r="C319" s="542" t="s">
        <v>66</v>
      </c>
      <c r="D319" s="542" t="s">
        <v>55</v>
      </c>
      <c r="E319" s="542"/>
      <c r="F319" s="542"/>
      <c r="G319" s="543">
        <v>0.01</v>
      </c>
      <c r="H319" s="543"/>
      <c r="I319" s="544">
        <v>0.4</v>
      </c>
      <c r="J319" s="604"/>
      <c r="K319" s="545">
        <v>99</v>
      </c>
      <c r="L319" s="273"/>
      <c r="M319" s="273"/>
      <c r="P319" s="274"/>
      <c r="Q319" s="274"/>
      <c r="R319" s="274"/>
      <c r="S319" s="274"/>
      <c r="T319" s="274"/>
      <c r="U319" s="274"/>
      <c r="V319" s="274"/>
      <c r="W319" s="274"/>
      <c r="X319" s="273"/>
      <c r="Y319" s="273"/>
      <c r="Z319" s="273"/>
      <c r="AA319" s="273"/>
      <c r="AB319" s="273"/>
      <c r="AC319" s="273"/>
      <c r="AD319" s="273"/>
      <c r="AE319" s="273"/>
      <c r="AF319" s="273"/>
    </row>
    <row r="320" spans="2:50">
      <c r="B320" s="519"/>
      <c r="C320" s="520" t="s">
        <v>66</v>
      </c>
      <c r="D320" s="520" t="s">
        <v>57</v>
      </c>
      <c r="E320" s="520"/>
      <c r="F320" s="520"/>
      <c r="G320" s="527">
        <v>0.01</v>
      </c>
      <c r="H320" s="527"/>
      <c r="I320" s="529">
        <v>0.4</v>
      </c>
      <c r="J320" s="596"/>
      <c r="K320" s="521">
        <v>99</v>
      </c>
      <c r="L320" s="273"/>
      <c r="M320" s="273"/>
      <c r="P320" s="274"/>
      <c r="Q320" s="274"/>
      <c r="R320" s="274"/>
      <c r="S320" s="274"/>
      <c r="T320" s="274"/>
      <c r="U320" s="274"/>
      <c r="V320" s="274"/>
      <c r="W320" s="274"/>
      <c r="X320" s="273"/>
      <c r="Y320" s="273"/>
      <c r="Z320" s="273"/>
      <c r="AA320" s="273"/>
      <c r="AB320" s="273"/>
      <c r="AC320" s="273"/>
      <c r="AD320" s="273"/>
      <c r="AE320" s="273"/>
      <c r="AF320" s="273"/>
    </row>
    <row r="321" spans="2:32">
      <c r="B321" s="536"/>
      <c r="C321" s="537" t="s">
        <v>66</v>
      </c>
      <c r="D321" s="537" t="s">
        <v>59</v>
      </c>
      <c r="E321" s="537"/>
      <c r="F321" s="537"/>
      <c r="G321" s="538">
        <v>0.01</v>
      </c>
      <c r="H321" s="538"/>
      <c r="I321" s="539">
        <v>0.4</v>
      </c>
      <c r="J321" s="597"/>
      <c r="K321" s="540">
        <v>99</v>
      </c>
      <c r="L321" s="273"/>
      <c r="M321" s="273"/>
      <c r="P321" s="274"/>
      <c r="Q321" s="274"/>
      <c r="R321" s="274"/>
      <c r="S321" s="274"/>
      <c r="T321" s="274"/>
      <c r="U321" s="274"/>
      <c r="V321" s="274"/>
      <c r="W321" s="274"/>
      <c r="X321" s="273"/>
      <c r="Y321" s="273"/>
      <c r="Z321" s="273"/>
      <c r="AA321" s="273"/>
      <c r="AB321" s="273"/>
      <c r="AC321" s="273"/>
      <c r="AD321" s="273"/>
      <c r="AE321" s="273"/>
      <c r="AF321" s="273"/>
    </row>
    <row r="322" spans="2:32">
      <c r="B322" s="541"/>
      <c r="C322" s="542" t="s">
        <v>66</v>
      </c>
      <c r="D322" s="542" t="s">
        <v>55</v>
      </c>
      <c r="E322" s="542"/>
      <c r="F322" s="542"/>
      <c r="G322" s="543">
        <v>0.01</v>
      </c>
      <c r="H322" s="543"/>
      <c r="I322" s="544">
        <v>0.4</v>
      </c>
      <c r="J322" s="604"/>
      <c r="K322" s="545">
        <v>100</v>
      </c>
      <c r="L322" s="273"/>
      <c r="M322" s="273"/>
      <c r="P322" s="274"/>
      <c r="Q322" s="274"/>
      <c r="R322" s="274"/>
      <c r="S322" s="274"/>
      <c r="T322" s="273"/>
      <c r="U322" s="274"/>
      <c r="V322" s="274"/>
      <c r="W322" s="274"/>
      <c r="X322" s="273"/>
      <c r="Y322" s="273"/>
      <c r="Z322" s="273"/>
      <c r="AA322" s="273"/>
      <c r="AB322" s="273"/>
      <c r="AC322" s="273"/>
      <c r="AD322" s="273"/>
      <c r="AE322" s="273"/>
      <c r="AF322" s="273"/>
    </row>
    <row r="323" spans="2:32">
      <c r="B323" s="519"/>
      <c r="C323" s="520" t="s">
        <v>66</v>
      </c>
      <c r="D323" s="520" t="s">
        <v>57</v>
      </c>
      <c r="E323" s="520"/>
      <c r="F323" s="520"/>
      <c r="G323" s="527">
        <v>0.01</v>
      </c>
      <c r="H323" s="527"/>
      <c r="I323" s="529">
        <v>0.4</v>
      </c>
      <c r="J323" s="596"/>
      <c r="K323" s="521">
        <v>100</v>
      </c>
      <c r="L323" s="273"/>
      <c r="M323" s="273"/>
      <c r="P323" s="274"/>
      <c r="Q323" s="274"/>
      <c r="R323" s="274"/>
      <c r="S323" s="274"/>
      <c r="T323" s="273"/>
      <c r="U323" s="274"/>
      <c r="V323" s="274"/>
      <c r="W323" s="274"/>
      <c r="X323" s="273"/>
      <c r="Y323" s="273"/>
      <c r="Z323" s="273"/>
      <c r="AA323" s="273"/>
      <c r="AB323" s="273"/>
      <c r="AC323" s="273"/>
      <c r="AD323" s="273"/>
      <c r="AE323" s="273"/>
      <c r="AF323" s="273"/>
    </row>
    <row r="324" spans="2:32">
      <c r="B324" s="536"/>
      <c r="C324" s="537" t="s">
        <v>66</v>
      </c>
      <c r="D324" s="537" t="s">
        <v>59</v>
      </c>
      <c r="E324" s="537"/>
      <c r="F324" s="537"/>
      <c r="G324" s="538">
        <v>0.01</v>
      </c>
      <c r="H324" s="538"/>
      <c r="I324" s="539">
        <v>0.4</v>
      </c>
      <c r="J324" s="597"/>
      <c r="K324" s="540">
        <v>100</v>
      </c>
      <c r="L324" s="273"/>
      <c r="M324" s="273"/>
      <c r="P324" s="274"/>
      <c r="Q324" s="274"/>
      <c r="R324" s="274"/>
      <c r="S324" s="274"/>
      <c r="T324" s="273"/>
      <c r="U324" s="274"/>
      <c r="V324" s="274"/>
      <c r="W324" s="274"/>
      <c r="X324" s="273"/>
      <c r="Y324" s="273"/>
      <c r="Z324" s="273"/>
      <c r="AA324" s="273"/>
      <c r="AB324" s="273"/>
      <c r="AC324" s="273"/>
      <c r="AD324" s="273"/>
      <c r="AE324" s="273"/>
      <c r="AF324" s="273"/>
    </row>
    <row r="325" spans="2:32">
      <c r="B325" s="541"/>
      <c r="C325" s="542" t="s">
        <v>66</v>
      </c>
      <c r="D325" s="542" t="s">
        <v>55</v>
      </c>
      <c r="E325" s="542"/>
      <c r="F325" s="542"/>
      <c r="G325" s="543">
        <v>0.01</v>
      </c>
      <c r="H325" s="543"/>
      <c r="I325" s="544">
        <v>0.4</v>
      </c>
      <c r="J325" s="604"/>
      <c r="K325" s="545">
        <v>101</v>
      </c>
      <c r="L325" s="273"/>
      <c r="M325" s="273"/>
      <c r="P325" s="274"/>
      <c r="Q325" s="274"/>
      <c r="R325" s="274"/>
      <c r="S325" s="274"/>
      <c r="T325" s="273"/>
      <c r="U325" s="274"/>
      <c r="V325" s="274"/>
      <c r="W325" s="274"/>
      <c r="X325" s="273"/>
      <c r="Y325" s="273"/>
      <c r="Z325" s="273"/>
      <c r="AA325" s="273"/>
      <c r="AB325" s="273"/>
      <c r="AC325" s="273"/>
      <c r="AD325" s="273"/>
      <c r="AE325" s="273"/>
      <c r="AF325" s="273"/>
    </row>
    <row r="326" spans="2:32">
      <c r="B326" s="519"/>
      <c r="C326" s="520" t="s">
        <v>66</v>
      </c>
      <c r="D326" s="520" t="s">
        <v>57</v>
      </c>
      <c r="E326" s="520"/>
      <c r="F326" s="520"/>
      <c r="G326" s="527">
        <v>0.01</v>
      </c>
      <c r="H326" s="527"/>
      <c r="I326" s="529">
        <v>0.4</v>
      </c>
      <c r="J326" s="596"/>
      <c r="K326" s="521">
        <v>101</v>
      </c>
      <c r="L326" s="273"/>
      <c r="M326" s="273"/>
      <c r="P326" s="274"/>
      <c r="Q326" s="274"/>
      <c r="R326" s="274"/>
      <c r="S326" s="274"/>
      <c r="T326" s="273"/>
      <c r="U326" s="274"/>
      <c r="V326" s="274"/>
      <c r="W326" s="274"/>
      <c r="X326" s="273"/>
      <c r="Y326" s="273"/>
      <c r="Z326" s="273"/>
      <c r="AA326" s="273"/>
      <c r="AB326" s="273"/>
      <c r="AC326" s="273"/>
      <c r="AD326" s="273"/>
      <c r="AE326" s="273"/>
      <c r="AF326" s="273"/>
    </row>
    <row r="327" spans="2:32">
      <c r="B327" s="536"/>
      <c r="C327" s="537" t="s">
        <v>66</v>
      </c>
      <c r="D327" s="537" t="s">
        <v>59</v>
      </c>
      <c r="E327" s="537"/>
      <c r="F327" s="537"/>
      <c r="G327" s="538">
        <v>0.01</v>
      </c>
      <c r="H327" s="538"/>
      <c r="I327" s="539">
        <v>0.4</v>
      </c>
      <c r="J327" s="597"/>
      <c r="K327" s="540">
        <v>101</v>
      </c>
      <c r="L327" s="273"/>
      <c r="M327" s="273"/>
      <c r="P327" s="274"/>
      <c r="Q327" s="274"/>
      <c r="R327" s="274"/>
      <c r="S327" s="274"/>
      <c r="T327" s="273"/>
      <c r="U327" s="274"/>
      <c r="V327" s="274"/>
      <c r="W327" s="274"/>
      <c r="X327" s="273"/>
      <c r="Y327" s="273"/>
      <c r="Z327" s="273"/>
      <c r="AA327" s="273"/>
      <c r="AB327" s="273"/>
      <c r="AC327" s="273"/>
      <c r="AD327" s="273"/>
      <c r="AE327" s="273"/>
      <c r="AF327" s="273"/>
    </row>
    <row r="328" spans="2:32">
      <c r="B328" s="541"/>
      <c r="C328" s="542" t="s">
        <v>66</v>
      </c>
      <c r="D328" s="542" t="s">
        <v>55</v>
      </c>
      <c r="E328" s="542"/>
      <c r="F328" s="542"/>
      <c r="G328" s="543">
        <v>0.01</v>
      </c>
      <c r="H328" s="543"/>
      <c r="I328" s="544">
        <v>0.4</v>
      </c>
      <c r="J328" s="604"/>
      <c r="K328" s="545">
        <v>102</v>
      </c>
      <c r="L328" s="273"/>
      <c r="M328" s="273"/>
      <c r="P328" s="274"/>
      <c r="Q328" s="274"/>
      <c r="R328" s="274"/>
      <c r="S328" s="274"/>
      <c r="T328" s="273"/>
      <c r="U328" s="274"/>
      <c r="V328" s="274"/>
      <c r="W328" s="274"/>
      <c r="X328" s="273"/>
      <c r="Y328" s="273"/>
      <c r="Z328" s="273"/>
      <c r="AA328" s="273"/>
      <c r="AB328" s="273"/>
      <c r="AC328" s="273"/>
      <c r="AD328" s="273"/>
      <c r="AE328" s="273"/>
      <c r="AF328" s="273"/>
    </row>
    <row r="329" spans="2:32">
      <c r="B329" s="519"/>
      <c r="C329" s="520" t="s">
        <v>66</v>
      </c>
      <c r="D329" s="520" t="s">
        <v>57</v>
      </c>
      <c r="E329" s="520"/>
      <c r="F329" s="520"/>
      <c r="G329" s="527">
        <v>0.01</v>
      </c>
      <c r="H329" s="527"/>
      <c r="I329" s="529">
        <v>0.4</v>
      </c>
      <c r="J329" s="596"/>
      <c r="K329" s="521">
        <v>102</v>
      </c>
      <c r="L329" s="273"/>
      <c r="M329" s="273"/>
      <c r="N329" s="273"/>
      <c r="P329" s="274"/>
      <c r="Q329" s="274"/>
      <c r="R329" s="274"/>
      <c r="S329" s="274"/>
      <c r="T329" s="273"/>
      <c r="U329" s="273"/>
      <c r="V329" s="273"/>
      <c r="W329" s="273"/>
      <c r="X329" s="273"/>
      <c r="Y329" s="273"/>
      <c r="Z329" s="273"/>
      <c r="AA329" s="273"/>
      <c r="AB329" s="273"/>
      <c r="AC329" s="273"/>
      <c r="AD329" s="273"/>
      <c r="AE329" s="273"/>
      <c r="AF329" s="273"/>
    </row>
    <row r="330" spans="2:32">
      <c r="B330" s="536"/>
      <c r="C330" s="537" t="s">
        <v>66</v>
      </c>
      <c r="D330" s="537" t="s">
        <v>59</v>
      </c>
      <c r="E330" s="537"/>
      <c r="F330" s="537"/>
      <c r="G330" s="538">
        <v>0.01</v>
      </c>
      <c r="H330" s="538"/>
      <c r="I330" s="539">
        <v>0.4</v>
      </c>
      <c r="J330" s="597"/>
      <c r="K330" s="540">
        <v>102</v>
      </c>
      <c r="L330" s="273"/>
      <c r="M330" s="273"/>
      <c r="N330" s="273"/>
      <c r="P330" s="274"/>
      <c r="Q330" s="274"/>
      <c r="R330" s="274"/>
      <c r="S330" s="274"/>
      <c r="T330" s="273"/>
      <c r="U330" s="273"/>
      <c r="V330" s="273"/>
      <c r="W330" s="273"/>
      <c r="X330" s="273"/>
      <c r="Y330" s="273"/>
      <c r="Z330" s="273"/>
      <c r="AA330" s="273"/>
      <c r="AB330" s="273"/>
      <c r="AC330" s="273"/>
      <c r="AD330" s="273"/>
      <c r="AE330" s="273"/>
      <c r="AF330" s="273"/>
    </row>
    <row r="331" spans="2:32">
      <c r="B331" s="541"/>
      <c r="C331" s="542" t="s">
        <v>66</v>
      </c>
      <c r="D331" s="542" t="s">
        <v>55</v>
      </c>
      <c r="E331" s="542"/>
      <c r="F331" s="542"/>
      <c r="G331" s="543">
        <v>0.01</v>
      </c>
      <c r="H331" s="543"/>
      <c r="I331" s="544">
        <v>0.4</v>
      </c>
      <c r="J331" s="604"/>
      <c r="K331" s="545">
        <v>103</v>
      </c>
      <c r="L331" s="273"/>
      <c r="M331" s="273"/>
      <c r="N331" s="273"/>
      <c r="P331" s="274"/>
      <c r="Q331" s="274"/>
      <c r="R331" s="274"/>
      <c r="S331" s="274"/>
      <c r="T331" s="273"/>
      <c r="U331" s="273"/>
      <c r="V331" s="273"/>
      <c r="W331" s="273"/>
      <c r="X331" s="273"/>
      <c r="Y331" s="273"/>
      <c r="Z331" s="273"/>
      <c r="AA331" s="273"/>
      <c r="AB331" s="273"/>
      <c r="AC331" s="273"/>
      <c r="AD331" s="273"/>
      <c r="AE331" s="273"/>
      <c r="AF331" s="273"/>
    </row>
    <row r="332" spans="2:32">
      <c r="B332" s="519"/>
      <c r="C332" s="520" t="s">
        <v>66</v>
      </c>
      <c r="D332" s="520" t="s">
        <v>57</v>
      </c>
      <c r="E332" s="520"/>
      <c r="F332" s="520"/>
      <c r="G332" s="527">
        <v>0.01</v>
      </c>
      <c r="H332" s="527"/>
      <c r="I332" s="529">
        <v>0.4</v>
      </c>
      <c r="J332" s="596"/>
      <c r="K332" s="521">
        <v>103</v>
      </c>
      <c r="L332" s="273"/>
      <c r="M332" s="273"/>
      <c r="N332" s="273"/>
      <c r="P332" s="274"/>
      <c r="Q332" s="274"/>
      <c r="R332" s="274"/>
      <c r="S332" s="274"/>
      <c r="T332" s="273"/>
      <c r="U332" s="273"/>
      <c r="V332" s="273"/>
      <c r="W332" s="273"/>
      <c r="X332" s="273"/>
      <c r="Y332" s="273"/>
      <c r="Z332" s="273"/>
      <c r="AA332" s="273"/>
      <c r="AB332" s="273"/>
      <c r="AC332" s="273"/>
      <c r="AD332" s="273"/>
      <c r="AE332" s="273"/>
      <c r="AF332" s="273"/>
    </row>
    <row r="333" spans="2:32">
      <c r="B333" s="536"/>
      <c r="C333" s="537" t="s">
        <v>66</v>
      </c>
      <c r="D333" s="537" t="s">
        <v>59</v>
      </c>
      <c r="E333" s="537"/>
      <c r="F333" s="537"/>
      <c r="G333" s="538">
        <v>0.01</v>
      </c>
      <c r="H333" s="538"/>
      <c r="I333" s="539">
        <v>0.4</v>
      </c>
      <c r="J333" s="597"/>
      <c r="K333" s="540">
        <v>103</v>
      </c>
      <c r="L333" s="273"/>
      <c r="M333" s="273"/>
      <c r="N333" s="273"/>
      <c r="P333" s="274"/>
      <c r="Q333" s="274"/>
      <c r="R333" s="274"/>
      <c r="S333" s="274"/>
      <c r="T333" s="273"/>
      <c r="U333" s="273"/>
      <c r="V333" s="273"/>
      <c r="W333" s="273"/>
      <c r="X333" s="273"/>
      <c r="Y333" s="273"/>
      <c r="Z333" s="273"/>
      <c r="AA333" s="273"/>
      <c r="AB333" s="273"/>
      <c r="AC333" s="273"/>
      <c r="AD333" s="273"/>
      <c r="AE333" s="273"/>
      <c r="AF333" s="273"/>
    </row>
    <row r="334" spans="2:32">
      <c r="B334" s="541"/>
      <c r="C334" s="542" t="s">
        <v>66</v>
      </c>
      <c r="D334" s="542" t="s">
        <v>55</v>
      </c>
      <c r="E334" s="542"/>
      <c r="F334" s="542"/>
      <c r="G334" s="543">
        <v>0.01</v>
      </c>
      <c r="H334" s="543"/>
      <c r="I334" s="544">
        <v>0.4</v>
      </c>
      <c r="J334" s="604"/>
      <c r="K334" s="545">
        <v>104</v>
      </c>
      <c r="L334" s="273"/>
      <c r="M334" s="273"/>
      <c r="N334" s="273"/>
      <c r="P334" s="274"/>
      <c r="Q334" s="274"/>
      <c r="R334" s="274"/>
      <c r="S334" s="274"/>
      <c r="T334" s="273"/>
      <c r="U334" s="273"/>
      <c r="V334" s="273"/>
      <c r="W334" s="273"/>
      <c r="X334" s="273"/>
      <c r="Y334" s="273"/>
      <c r="Z334" s="273"/>
      <c r="AA334" s="273"/>
      <c r="AB334" s="273"/>
      <c r="AC334" s="273"/>
      <c r="AD334" s="273"/>
      <c r="AE334" s="273"/>
      <c r="AF334" s="273"/>
    </row>
    <row r="335" spans="2:32">
      <c r="B335" s="519"/>
      <c r="C335" s="520" t="s">
        <v>66</v>
      </c>
      <c r="D335" s="520" t="s">
        <v>57</v>
      </c>
      <c r="E335" s="520"/>
      <c r="F335" s="520"/>
      <c r="G335" s="527">
        <v>0.01</v>
      </c>
      <c r="H335" s="527"/>
      <c r="I335" s="529">
        <v>0.4</v>
      </c>
      <c r="J335" s="596"/>
      <c r="K335" s="521">
        <v>104</v>
      </c>
      <c r="L335" s="273"/>
      <c r="M335" s="273"/>
      <c r="N335" s="273"/>
      <c r="P335" s="274"/>
      <c r="Q335" s="274"/>
      <c r="R335" s="274"/>
      <c r="S335" s="274"/>
      <c r="T335" s="273"/>
      <c r="U335" s="273"/>
      <c r="V335" s="273"/>
      <c r="W335" s="273"/>
      <c r="X335" s="273"/>
      <c r="Y335" s="273"/>
      <c r="Z335" s="273"/>
      <c r="AA335" s="273"/>
      <c r="AB335" s="273"/>
      <c r="AC335" s="273"/>
      <c r="AD335" s="273"/>
      <c r="AE335" s="273"/>
      <c r="AF335" s="273"/>
    </row>
    <row r="336" spans="2:32">
      <c r="B336" s="536"/>
      <c r="C336" s="537" t="s">
        <v>66</v>
      </c>
      <c r="D336" s="537" t="s">
        <v>59</v>
      </c>
      <c r="E336" s="537"/>
      <c r="F336" s="537"/>
      <c r="G336" s="538">
        <v>0.01</v>
      </c>
      <c r="H336" s="538"/>
      <c r="I336" s="539">
        <v>0.4</v>
      </c>
      <c r="J336" s="597"/>
      <c r="K336" s="540">
        <v>104</v>
      </c>
      <c r="L336" s="273"/>
      <c r="M336" s="273"/>
      <c r="N336" s="273"/>
      <c r="P336" s="274"/>
      <c r="Q336" s="274"/>
      <c r="R336" s="274"/>
      <c r="S336" s="274"/>
      <c r="T336" s="273"/>
      <c r="U336" s="273"/>
      <c r="V336" s="273"/>
      <c r="W336" s="273"/>
      <c r="X336" s="273"/>
      <c r="Y336" s="273"/>
      <c r="Z336" s="273"/>
      <c r="AA336" s="273"/>
      <c r="AB336" s="273"/>
      <c r="AC336" s="273"/>
      <c r="AD336" s="273"/>
      <c r="AE336" s="273"/>
      <c r="AF336" s="273"/>
    </row>
    <row r="337" spans="2:32">
      <c r="B337" s="541"/>
      <c r="C337" s="542" t="s">
        <v>66</v>
      </c>
      <c r="D337" s="542" t="s">
        <v>55</v>
      </c>
      <c r="E337" s="542"/>
      <c r="F337" s="542"/>
      <c r="G337" s="543">
        <v>0.01</v>
      </c>
      <c r="H337" s="543"/>
      <c r="I337" s="544">
        <v>0.4</v>
      </c>
      <c r="J337" s="604"/>
      <c r="K337" s="545">
        <v>105</v>
      </c>
      <c r="L337" s="273"/>
      <c r="M337" s="273"/>
      <c r="N337" s="273"/>
      <c r="P337" s="274"/>
      <c r="Q337" s="274"/>
      <c r="R337" s="274"/>
      <c r="S337" s="274"/>
      <c r="T337" s="273"/>
      <c r="U337" s="273"/>
      <c r="V337" s="273"/>
      <c r="W337" s="273"/>
      <c r="X337" s="273"/>
      <c r="Y337" s="273"/>
      <c r="Z337" s="273"/>
      <c r="AA337" s="273"/>
      <c r="AB337" s="273"/>
      <c r="AC337" s="273"/>
      <c r="AD337" s="273"/>
      <c r="AE337" s="273"/>
      <c r="AF337" s="273"/>
    </row>
    <row r="338" spans="2:32">
      <c r="B338" s="519"/>
      <c r="C338" s="520" t="s">
        <v>66</v>
      </c>
      <c r="D338" s="520" t="s">
        <v>57</v>
      </c>
      <c r="E338" s="520"/>
      <c r="F338" s="520"/>
      <c r="G338" s="527">
        <v>0.01</v>
      </c>
      <c r="H338" s="527"/>
      <c r="I338" s="529">
        <v>0.4</v>
      </c>
      <c r="J338" s="596"/>
      <c r="K338" s="521">
        <v>105</v>
      </c>
      <c r="L338" s="273"/>
      <c r="M338" s="273"/>
      <c r="N338" s="273"/>
      <c r="P338" s="274"/>
      <c r="Q338" s="274"/>
      <c r="R338" s="274"/>
      <c r="S338" s="274"/>
      <c r="T338" s="273"/>
      <c r="U338" s="273"/>
      <c r="V338" s="273"/>
      <c r="W338" s="273"/>
      <c r="X338" s="273"/>
      <c r="Y338" s="273"/>
      <c r="Z338" s="273"/>
      <c r="AA338" s="273"/>
      <c r="AB338" s="273"/>
      <c r="AC338" s="273"/>
      <c r="AD338" s="273"/>
      <c r="AE338" s="273"/>
      <c r="AF338" s="273"/>
    </row>
    <row r="339" spans="2:32">
      <c r="B339" s="536"/>
      <c r="C339" s="537" t="s">
        <v>66</v>
      </c>
      <c r="D339" s="537" t="s">
        <v>59</v>
      </c>
      <c r="E339" s="537"/>
      <c r="F339" s="537"/>
      <c r="G339" s="538">
        <v>0.01</v>
      </c>
      <c r="H339" s="538"/>
      <c r="I339" s="539">
        <v>0.4</v>
      </c>
      <c r="J339" s="597"/>
      <c r="K339" s="540">
        <v>105</v>
      </c>
      <c r="L339" s="273"/>
      <c r="M339" s="273"/>
      <c r="N339" s="273"/>
      <c r="P339" s="274"/>
      <c r="Q339" s="274"/>
      <c r="R339" s="274"/>
      <c r="S339" s="274"/>
      <c r="T339" s="273"/>
      <c r="U339" s="273"/>
      <c r="V339" s="273"/>
      <c r="W339" s="273"/>
      <c r="X339" s="273"/>
      <c r="Y339" s="273"/>
      <c r="Z339" s="273"/>
      <c r="AA339" s="273"/>
      <c r="AB339" s="273"/>
      <c r="AC339" s="273"/>
      <c r="AD339" s="273"/>
      <c r="AE339" s="273"/>
      <c r="AF339" s="273"/>
    </row>
    <row r="340" spans="2:32">
      <c r="B340" s="541"/>
      <c r="C340" s="542" t="s">
        <v>66</v>
      </c>
      <c r="D340" s="542" t="s">
        <v>55</v>
      </c>
      <c r="E340" s="542"/>
      <c r="F340" s="542"/>
      <c r="G340" s="543">
        <v>0.01</v>
      </c>
      <c r="H340" s="543"/>
      <c r="I340" s="544">
        <v>0.4</v>
      </c>
      <c r="J340" s="604"/>
      <c r="K340" s="545">
        <v>106</v>
      </c>
      <c r="L340" s="273"/>
      <c r="M340" s="273"/>
      <c r="N340" s="273"/>
      <c r="P340" s="274"/>
      <c r="Q340" s="274"/>
      <c r="R340" s="274"/>
      <c r="S340" s="274"/>
      <c r="T340" s="273"/>
      <c r="U340" s="273"/>
      <c r="V340" s="273"/>
      <c r="W340" s="273"/>
      <c r="X340" s="273"/>
      <c r="Y340" s="273"/>
      <c r="Z340" s="273"/>
      <c r="AA340" s="273"/>
      <c r="AB340" s="273"/>
      <c r="AC340" s="273"/>
      <c r="AD340" s="273"/>
      <c r="AE340" s="273"/>
      <c r="AF340" s="273"/>
    </row>
    <row r="341" spans="2:32">
      <c r="B341" s="519"/>
      <c r="C341" s="520" t="s">
        <v>66</v>
      </c>
      <c r="D341" s="520" t="s">
        <v>57</v>
      </c>
      <c r="E341" s="520"/>
      <c r="F341" s="520"/>
      <c r="G341" s="527">
        <v>0.01</v>
      </c>
      <c r="H341" s="527"/>
      <c r="I341" s="529">
        <v>0.4</v>
      </c>
      <c r="J341" s="596"/>
      <c r="K341" s="521">
        <v>106</v>
      </c>
      <c r="L341" s="273"/>
      <c r="M341" s="273"/>
      <c r="N341" s="273"/>
      <c r="P341" s="274"/>
      <c r="Q341" s="274"/>
      <c r="R341" s="274"/>
      <c r="S341" s="274"/>
      <c r="T341" s="273"/>
      <c r="U341" s="273"/>
      <c r="V341" s="273"/>
      <c r="W341" s="273"/>
      <c r="X341" s="273"/>
      <c r="Y341" s="273"/>
      <c r="Z341" s="273"/>
      <c r="AA341" s="273"/>
      <c r="AB341" s="273"/>
      <c r="AC341" s="273"/>
      <c r="AD341" s="273"/>
      <c r="AE341" s="273"/>
      <c r="AF341" s="273"/>
    </row>
    <row r="342" spans="2:32">
      <c r="B342" s="536"/>
      <c r="C342" s="537" t="s">
        <v>66</v>
      </c>
      <c r="D342" s="537" t="s">
        <v>59</v>
      </c>
      <c r="E342" s="537"/>
      <c r="F342" s="537"/>
      <c r="G342" s="538">
        <v>0.01</v>
      </c>
      <c r="H342" s="538"/>
      <c r="I342" s="539">
        <v>0.4</v>
      </c>
      <c r="J342" s="597"/>
      <c r="K342" s="540">
        <v>106</v>
      </c>
      <c r="L342" s="273"/>
      <c r="M342" s="273"/>
      <c r="N342" s="273"/>
      <c r="P342" s="274"/>
      <c r="Q342" s="274"/>
      <c r="R342" s="274"/>
      <c r="S342" s="274"/>
      <c r="T342" s="273"/>
      <c r="U342" s="273"/>
      <c r="V342" s="273"/>
      <c r="W342" s="273"/>
      <c r="X342" s="273"/>
      <c r="Y342" s="273"/>
      <c r="Z342" s="273"/>
      <c r="AA342" s="273"/>
      <c r="AB342" s="273"/>
      <c r="AC342" s="273"/>
      <c r="AD342" s="273"/>
      <c r="AE342" s="273"/>
      <c r="AF342" s="273"/>
    </row>
    <row r="343" spans="2:32">
      <c r="B343" s="541"/>
      <c r="C343" s="542" t="s">
        <v>66</v>
      </c>
      <c r="D343" s="542" t="s">
        <v>55</v>
      </c>
      <c r="E343" s="542"/>
      <c r="F343" s="542"/>
      <c r="G343" s="543">
        <v>0.01</v>
      </c>
      <c r="H343" s="543"/>
      <c r="I343" s="544">
        <v>0.4</v>
      </c>
      <c r="J343" s="604"/>
      <c r="K343" s="545">
        <v>107</v>
      </c>
      <c r="L343" s="273"/>
      <c r="M343" s="273"/>
      <c r="N343" s="273"/>
      <c r="P343" s="274"/>
      <c r="Q343" s="274"/>
      <c r="R343" s="274"/>
      <c r="S343" s="274"/>
      <c r="T343" s="273"/>
      <c r="U343" s="273"/>
      <c r="V343" s="273"/>
      <c r="W343" s="273"/>
      <c r="X343" s="273"/>
      <c r="Y343" s="273"/>
      <c r="Z343" s="273"/>
      <c r="AA343" s="273"/>
      <c r="AB343" s="273"/>
      <c r="AC343" s="273"/>
      <c r="AD343" s="273"/>
      <c r="AE343" s="273"/>
      <c r="AF343" s="273"/>
    </row>
    <row r="344" spans="2:32">
      <c r="B344" s="519"/>
      <c r="C344" s="520" t="s">
        <v>66</v>
      </c>
      <c r="D344" s="520" t="s">
        <v>57</v>
      </c>
      <c r="E344" s="520"/>
      <c r="F344" s="520"/>
      <c r="G344" s="527">
        <v>0.01</v>
      </c>
      <c r="H344" s="527"/>
      <c r="I344" s="529">
        <v>0.4</v>
      </c>
      <c r="J344" s="596"/>
      <c r="K344" s="521">
        <v>107</v>
      </c>
      <c r="L344" s="273"/>
      <c r="M344" s="273"/>
      <c r="N344" s="273"/>
      <c r="P344" s="274"/>
      <c r="Q344" s="274"/>
      <c r="R344" s="274"/>
      <c r="S344" s="274"/>
      <c r="T344" s="273"/>
      <c r="U344" s="273"/>
      <c r="V344" s="273"/>
      <c r="W344" s="273"/>
      <c r="X344" s="273"/>
      <c r="Y344" s="273"/>
      <c r="Z344" s="273"/>
      <c r="AA344" s="273"/>
      <c r="AB344" s="273"/>
      <c r="AC344" s="273"/>
      <c r="AD344" s="273"/>
      <c r="AE344" s="273"/>
      <c r="AF344" s="273"/>
    </row>
    <row r="345" spans="2:32">
      <c r="B345" s="536"/>
      <c r="C345" s="537" t="s">
        <v>66</v>
      </c>
      <c r="D345" s="537" t="s">
        <v>59</v>
      </c>
      <c r="E345" s="537"/>
      <c r="F345" s="537"/>
      <c r="G345" s="538">
        <v>0.01</v>
      </c>
      <c r="H345" s="538"/>
      <c r="I345" s="539">
        <v>0.4</v>
      </c>
      <c r="J345" s="597"/>
      <c r="K345" s="540">
        <v>107</v>
      </c>
      <c r="L345" s="273"/>
      <c r="M345" s="273"/>
      <c r="N345" s="273"/>
      <c r="P345" s="274"/>
      <c r="Q345" s="274"/>
      <c r="R345" s="274"/>
      <c r="S345" s="274"/>
      <c r="T345" s="273"/>
      <c r="U345" s="273"/>
      <c r="V345" s="273"/>
      <c r="W345" s="273"/>
      <c r="X345" s="273"/>
      <c r="Y345" s="273"/>
      <c r="Z345" s="273"/>
      <c r="AA345" s="273"/>
      <c r="AB345" s="273"/>
      <c r="AC345" s="273"/>
      <c r="AD345" s="273"/>
      <c r="AE345" s="273"/>
      <c r="AF345" s="273"/>
    </row>
    <row r="346" spans="2:32">
      <c r="B346" s="541"/>
      <c r="C346" s="542" t="s">
        <v>66</v>
      </c>
      <c r="D346" s="542" t="s">
        <v>55</v>
      </c>
      <c r="E346" s="542"/>
      <c r="F346" s="542"/>
      <c r="G346" s="543">
        <v>0.01</v>
      </c>
      <c r="H346" s="543"/>
      <c r="I346" s="544">
        <v>0.4</v>
      </c>
      <c r="J346" s="604"/>
      <c r="K346" s="545">
        <v>108</v>
      </c>
      <c r="L346" s="273"/>
      <c r="M346" s="273"/>
      <c r="N346" s="273"/>
      <c r="P346" s="274"/>
      <c r="Q346" s="274"/>
      <c r="R346" s="274"/>
      <c r="S346" s="274"/>
      <c r="T346" s="273"/>
      <c r="U346" s="273"/>
      <c r="V346" s="273"/>
      <c r="W346" s="273"/>
      <c r="X346" s="273"/>
      <c r="Y346" s="273"/>
      <c r="Z346" s="273"/>
      <c r="AA346" s="273"/>
      <c r="AB346" s="273"/>
      <c r="AC346" s="273"/>
      <c r="AD346" s="273"/>
      <c r="AE346" s="273"/>
      <c r="AF346" s="273"/>
    </row>
    <row r="347" spans="2:32">
      <c r="B347" s="519"/>
      <c r="C347" s="520" t="s">
        <v>66</v>
      </c>
      <c r="D347" s="520" t="s">
        <v>57</v>
      </c>
      <c r="E347" s="520"/>
      <c r="F347" s="520"/>
      <c r="G347" s="527">
        <v>0.01</v>
      </c>
      <c r="H347" s="527"/>
      <c r="I347" s="529">
        <v>0.4</v>
      </c>
      <c r="J347" s="596"/>
      <c r="K347" s="521">
        <v>108</v>
      </c>
      <c r="L347" s="273"/>
      <c r="M347" s="273"/>
      <c r="N347" s="273"/>
      <c r="P347" s="274"/>
      <c r="Q347" s="274"/>
      <c r="R347" s="274"/>
      <c r="S347" s="274"/>
      <c r="T347" s="273"/>
      <c r="U347" s="273"/>
      <c r="V347" s="273"/>
      <c r="W347" s="273"/>
      <c r="X347" s="273"/>
      <c r="Y347" s="273"/>
      <c r="Z347" s="273"/>
      <c r="AA347" s="273"/>
      <c r="AB347" s="273"/>
      <c r="AC347" s="273"/>
      <c r="AD347" s="273"/>
      <c r="AE347" s="273"/>
      <c r="AF347" s="273"/>
    </row>
    <row r="348" spans="2:32">
      <c r="B348" s="536"/>
      <c r="C348" s="537" t="s">
        <v>66</v>
      </c>
      <c r="D348" s="537" t="s">
        <v>59</v>
      </c>
      <c r="E348" s="537"/>
      <c r="F348" s="537"/>
      <c r="G348" s="538">
        <v>0.01</v>
      </c>
      <c r="H348" s="538"/>
      <c r="I348" s="539">
        <v>0.4</v>
      </c>
      <c r="J348" s="597"/>
      <c r="K348" s="540">
        <v>108</v>
      </c>
      <c r="L348" s="273"/>
      <c r="M348" s="273"/>
      <c r="N348" s="273"/>
      <c r="P348" s="274"/>
      <c r="Q348" s="274"/>
      <c r="R348" s="274"/>
      <c r="S348" s="274"/>
      <c r="T348" s="273"/>
      <c r="U348" s="273"/>
      <c r="V348" s="273"/>
      <c r="W348" s="273"/>
      <c r="X348" s="273"/>
      <c r="Y348" s="273"/>
      <c r="Z348" s="273"/>
      <c r="AA348" s="273"/>
      <c r="AB348" s="273"/>
      <c r="AC348" s="273"/>
      <c r="AD348" s="273"/>
      <c r="AE348" s="273"/>
      <c r="AF348" s="273"/>
    </row>
    <row r="349" spans="2:32">
      <c r="B349" s="541"/>
      <c r="C349" s="542" t="s">
        <v>66</v>
      </c>
      <c r="D349" s="542" t="s">
        <v>55</v>
      </c>
      <c r="E349" s="542"/>
      <c r="F349" s="542"/>
      <c r="G349" s="543">
        <v>0.01</v>
      </c>
      <c r="H349" s="543"/>
      <c r="I349" s="544">
        <v>0.4</v>
      </c>
      <c r="J349" s="604"/>
      <c r="K349" s="545">
        <v>109</v>
      </c>
      <c r="L349" s="273"/>
      <c r="M349" s="273"/>
      <c r="N349" s="273"/>
      <c r="P349" s="274"/>
      <c r="Q349" s="274"/>
      <c r="R349" s="274"/>
      <c r="S349" s="274"/>
      <c r="T349" s="273"/>
      <c r="U349" s="273"/>
      <c r="V349" s="273"/>
      <c r="W349" s="273"/>
      <c r="X349" s="273"/>
      <c r="Y349" s="273"/>
      <c r="Z349" s="273"/>
      <c r="AA349" s="273"/>
      <c r="AB349" s="273"/>
      <c r="AC349" s="273"/>
      <c r="AD349" s="273"/>
      <c r="AE349" s="273"/>
      <c r="AF349" s="273"/>
    </row>
    <row r="350" spans="2:32">
      <c r="B350" s="519"/>
      <c r="C350" s="520" t="s">
        <v>66</v>
      </c>
      <c r="D350" s="520" t="s">
        <v>57</v>
      </c>
      <c r="E350" s="520"/>
      <c r="F350" s="520"/>
      <c r="G350" s="527">
        <v>0.01</v>
      </c>
      <c r="H350" s="527"/>
      <c r="I350" s="529">
        <v>0.4</v>
      </c>
      <c r="J350" s="596"/>
      <c r="K350" s="521">
        <v>109</v>
      </c>
      <c r="L350" s="273"/>
      <c r="M350" s="273"/>
      <c r="N350" s="273"/>
      <c r="P350" s="274"/>
      <c r="Q350" s="274"/>
      <c r="R350" s="274"/>
      <c r="S350" s="274"/>
      <c r="T350" s="273"/>
      <c r="U350" s="273"/>
      <c r="V350" s="273"/>
      <c r="W350" s="273"/>
      <c r="X350" s="273"/>
      <c r="Y350" s="273"/>
      <c r="Z350" s="273"/>
      <c r="AA350" s="273"/>
      <c r="AB350" s="273"/>
      <c r="AC350" s="273"/>
      <c r="AD350" s="273"/>
      <c r="AE350" s="273"/>
      <c r="AF350" s="273"/>
    </row>
    <row r="351" spans="2:32">
      <c r="B351" s="536"/>
      <c r="C351" s="537" t="s">
        <v>66</v>
      </c>
      <c r="D351" s="537" t="s">
        <v>59</v>
      </c>
      <c r="E351" s="537"/>
      <c r="F351" s="537"/>
      <c r="G351" s="538">
        <v>0.01</v>
      </c>
      <c r="H351" s="538"/>
      <c r="I351" s="539">
        <v>0.4</v>
      </c>
      <c r="J351" s="597"/>
      <c r="K351" s="540">
        <v>109</v>
      </c>
      <c r="L351" s="273"/>
      <c r="M351" s="273"/>
      <c r="N351" s="273"/>
      <c r="P351" s="274"/>
      <c r="Q351" s="274"/>
      <c r="R351" s="274"/>
      <c r="S351" s="274"/>
      <c r="T351" s="273"/>
      <c r="U351" s="273"/>
      <c r="V351" s="273"/>
      <c r="W351" s="273"/>
      <c r="X351" s="273"/>
      <c r="Y351" s="273"/>
      <c r="Z351" s="273"/>
      <c r="AA351" s="273"/>
      <c r="AB351" s="273"/>
      <c r="AC351" s="273"/>
      <c r="AD351" s="273"/>
      <c r="AE351" s="273"/>
      <c r="AF351" s="273"/>
    </row>
    <row r="352" spans="2:32">
      <c r="B352" s="541"/>
      <c r="C352" s="542" t="s">
        <v>66</v>
      </c>
      <c r="D352" s="542" t="s">
        <v>55</v>
      </c>
      <c r="E352" s="542"/>
      <c r="F352" s="542"/>
      <c r="G352" s="543">
        <v>0.01</v>
      </c>
      <c r="H352" s="543"/>
      <c r="I352" s="544">
        <v>0.4</v>
      </c>
      <c r="J352" s="604"/>
      <c r="K352" s="545">
        <v>110</v>
      </c>
      <c r="L352" s="273"/>
      <c r="M352" s="273"/>
      <c r="N352" s="273"/>
      <c r="P352" s="274"/>
      <c r="Q352" s="274"/>
      <c r="R352" s="274"/>
      <c r="S352" s="274"/>
      <c r="T352" s="273"/>
      <c r="U352" s="273"/>
      <c r="V352" s="273"/>
      <c r="W352" s="273"/>
      <c r="X352" s="273"/>
      <c r="Y352" s="273"/>
      <c r="Z352" s="273"/>
      <c r="AA352" s="273"/>
      <c r="AB352" s="273"/>
      <c r="AC352" s="273"/>
      <c r="AD352" s="273"/>
      <c r="AE352" s="273"/>
      <c r="AF352" s="273"/>
    </row>
    <row r="353" spans="2:32">
      <c r="B353" s="519"/>
      <c r="C353" s="520" t="s">
        <v>66</v>
      </c>
      <c r="D353" s="520" t="s">
        <v>57</v>
      </c>
      <c r="E353" s="520"/>
      <c r="F353" s="520"/>
      <c r="G353" s="527">
        <v>0.01</v>
      </c>
      <c r="H353" s="527"/>
      <c r="I353" s="529">
        <v>0.4</v>
      </c>
      <c r="J353" s="596"/>
      <c r="K353" s="521">
        <v>110</v>
      </c>
      <c r="L353" s="273"/>
      <c r="M353" s="273"/>
      <c r="N353" s="273"/>
      <c r="P353" s="274"/>
      <c r="Q353" s="274"/>
      <c r="R353" s="274"/>
      <c r="S353" s="274"/>
      <c r="T353" s="273"/>
      <c r="U353" s="273"/>
      <c r="V353" s="273"/>
      <c r="W353" s="273"/>
      <c r="X353" s="273"/>
      <c r="Y353" s="273"/>
      <c r="Z353" s="273"/>
      <c r="AA353" s="273"/>
      <c r="AB353" s="273"/>
      <c r="AC353" s="273"/>
      <c r="AD353" s="273"/>
      <c r="AE353" s="273"/>
      <c r="AF353" s="273"/>
    </row>
    <row r="354" spans="2:32">
      <c r="B354" s="536"/>
      <c r="C354" s="537" t="s">
        <v>66</v>
      </c>
      <c r="D354" s="537" t="s">
        <v>59</v>
      </c>
      <c r="E354" s="537"/>
      <c r="F354" s="537"/>
      <c r="G354" s="538">
        <v>0.01</v>
      </c>
      <c r="H354" s="538"/>
      <c r="I354" s="539">
        <v>0.4</v>
      </c>
      <c r="J354" s="597"/>
      <c r="K354" s="540">
        <v>110</v>
      </c>
      <c r="L354" s="273"/>
      <c r="M354" s="273"/>
      <c r="N354" s="273"/>
      <c r="P354" s="274"/>
      <c r="Q354" s="274"/>
      <c r="R354" s="274"/>
      <c r="S354" s="274"/>
      <c r="T354" s="273"/>
      <c r="U354" s="273"/>
      <c r="V354" s="273"/>
      <c r="W354" s="273"/>
      <c r="X354" s="273"/>
      <c r="Y354" s="273"/>
      <c r="Z354" s="273"/>
      <c r="AA354" s="273"/>
      <c r="AB354" s="273"/>
      <c r="AC354" s="273"/>
      <c r="AD354" s="273"/>
      <c r="AE354" s="273"/>
      <c r="AF354" s="273"/>
    </row>
    <row r="355" spans="2:32">
      <c r="B355" s="541"/>
      <c r="C355" s="542" t="s">
        <v>66</v>
      </c>
      <c r="D355" s="542" t="s">
        <v>55</v>
      </c>
      <c r="E355" s="542"/>
      <c r="F355" s="542"/>
      <c r="G355" s="543">
        <v>0.01</v>
      </c>
      <c r="H355" s="543"/>
      <c r="I355" s="544">
        <v>0.4</v>
      </c>
      <c r="J355" s="604"/>
      <c r="K355" s="545">
        <v>111</v>
      </c>
      <c r="L355" s="273"/>
      <c r="M355" s="273"/>
      <c r="N355" s="273"/>
      <c r="P355" s="274"/>
      <c r="Q355" s="274"/>
      <c r="R355" s="274"/>
      <c r="S355" s="274"/>
      <c r="T355" s="273"/>
      <c r="U355" s="273"/>
      <c r="V355" s="273"/>
      <c r="W355" s="273"/>
      <c r="X355" s="273"/>
      <c r="Y355" s="273"/>
      <c r="Z355" s="273"/>
      <c r="AA355" s="273"/>
      <c r="AB355" s="273"/>
      <c r="AC355" s="273"/>
      <c r="AD355" s="273"/>
      <c r="AE355" s="273"/>
      <c r="AF355" s="273"/>
    </row>
    <row r="356" spans="2:32">
      <c r="B356" s="519"/>
      <c r="C356" s="520" t="s">
        <v>66</v>
      </c>
      <c r="D356" s="520" t="s">
        <v>57</v>
      </c>
      <c r="E356" s="520"/>
      <c r="F356" s="520"/>
      <c r="G356" s="527">
        <v>0.01</v>
      </c>
      <c r="H356" s="527"/>
      <c r="I356" s="529">
        <v>0.4</v>
      </c>
      <c r="J356" s="596"/>
      <c r="K356" s="521">
        <v>111</v>
      </c>
      <c r="L356" s="273"/>
      <c r="M356" s="273"/>
      <c r="N356" s="273"/>
      <c r="P356" s="274"/>
      <c r="Q356" s="274"/>
      <c r="R356" s="274"/>
      <c r="S356" s="274"/>
      <c r="T356" s="273"/>
      <c r="U356" s="273"/>
      <c r="V356" s="273"/>
      <c r="W356" s="273"/>
      <c r="X356" s="273"/>
      <c r="Y356" s="273"/>
      <c r="Z356" s="273"/>
      <c r="AA356" s="273"/>
      <c r="AB356" s="273"/>
      <c r="AC356" s="273"/>
      <c r="AD356" s="273"/>
      <c r="AE356" s="273"/>
      <c r="AF356" s="273"/>
    </row>
    <row r="357" spans="2:32">
      <c r="B357" s="536"/>
      <c r="C357" s="537" t="s">
        <v>66</v>
      </c>
      <c r="D357" s="537" t="s">
        <v>59</v>
      </c>
      <c r="E357" s="537"/>
      <c r="F357" s="537"/>
      <c r="G357" s="538">
        <v>0.01</v>
      </c>
      <c r="H357" s="538"/>
      <c r="I357" s="539">
        <v>0.4</v>
      </c>
      <c r="J357" s="597"/>
      <c r="K357" s="540">
        <v>111</v>
      </c>
      <c r="L357" s="273"/>
      <c r="M357" s="273"/>
      <c r="N357" s="273"/>
      <c r="P357" s="274"/>
      <c r="Q357" s="274"/>
      <c r="R357" s="274"/>
      <c r="S357" s="274"/>
      <c r="T357" s="273"/>
      <c r="U357" s="273"/>
      <c r="V357" s="273"/>
      <c r="W357" s="273"/>
      <c r="X357" s="273"/>
      <c r="Y357" s="273"/>
      <c r="Z357" s="273"/>
      <c r="AA357" s="273"/>
      <c r="AB357" s="273"/>
      <c r="AC357" s="273"/>
      <c r="AD357" s="273"/>
      <c r="AE357" s="273"/>
      <c r="AF357" s="273"/>
    </row>
    <row r="358" spans="2:32">
      <c r="B358" s="541"/>
      <c r="C358" s="542" t="s">
        <v>66</v>
      </c>
      <c r="D358" s="542" t="s">
        <v>55</v>
      </c>
      <c r="E358" s="542"/>
      <c r="F358" s="542"/>
      <c r="G358" s="543">
        <v>0.01</v>
      </c>
      <c r="H358" s="543"/>
      <c r="I358" s="544">
        <v>0.4</v>
      </c>
      <c r="J358" s="604"/>
      <c r="K358" s="545">
        <v>112</v>
      </c>
      <c r="L358" s="273"/>
      <c r="M358" s="273"/>
      <c r="N358" s="273"/>
      <c r="P358" s="274"/>
      <c r="Q358" s="274"/>
      <c r="R358" s="274"/>
      <c r="S358" s="274"/>
      <c r="T358" s="273"/>
      <c r="U358" s="273"/>
      <c r="V358" s="273"/>
      <c r="W358" s="273"/>
      <c r="X358" s="273"/>
      <c r="Y358" s="273"/>
      <c r="Z358" s="273"/>
      <c r="AA358" s="273"/>
      <c r="AB358" s="273"/>
      <c r="AC358" s="273"/>
      <c r="AD358" s="273"/>
      <c r="AE358" s="273"/>
      <c r="AF358" s="273"/>
    </row>
    <row r="359" spans="2:32">
      <c r="B359" s="519"/>
      <c r="C359" s="520" t="s">
        <v>66</v>
      </c>
      <c r="D359" s="520" t="s">
        <v>57</v>
      </c>
      <c r="E359" s="520"/>
      <c r="F359" s="520"/>
      <c r="G359" s="527">
        <v>0.01</v>
      </c>
      <c r="H359" s="527"/>
      <c r="I359" s="529">
        <v>0.4</v>
      </c>
      <c r="J359" s="596"/>
      <c r="K359" s="521">
        <v>112</v>
      </c>
      <c r="L359" s="273"/>
      <c r="M359" s="273"/>
      <c r="N359" s="273"/>
      <c r="P359" s="274"/>
      <c r="Q359" s="274"/>
      <c r="R359" s="274"/>
      <c r="S359" s="274"/>
      <c r="T359" s="273"/>
      <c r="U359" s="273"/>
      <c r="V359" s="273"/>
      <c r="W359" s="273"/>
      <c r="X359" s="273"/>
      <c r="Y359" s="273"/>
      <c r="Z359" s="273"/>
      <c r="AA359" s="273"/>
      <c r="AB359" s="273"/>
      <c r="AC359" s="273"/>
      <c r="AD359" s="273"/>
      <c r="AE359" s="273"/>
      <c r="AF359" s="273"/>
    </row>
    <row r="360" spans="2:32">
      <c r="B360" s="536"/>
      <c r="C360" s="537" t="s">
        <v>66</v>
      </c>
      <c r="D360" s="537" t="s">
        <v>59</v>
      </c>
      <c r="E360" s="537"/>
      <c r="F360" s="537"/>
      <c r="G360" s="538">
        <v>0.01</v>
      </c>
      <c r="H360" s="538"/>
      <c r="I360" s="539">
        <v>0.4</v>
      </c>
      <c r="J360" s="597"/>
      <c r="K360" s="540">
        <v>112</v>
      </c>
      <c r="L360" s="273"/>
      <c r="M360" s="273"/>
      <c r="N360" s="273"/>
      <c r="P360" s="274"/>
      <c r="Q360" s="274"/>
      <c r="R360" s="274"/>
      <c r="S360" s="274"/>
      <c r="T360" s="273"/>
      <c r="U360" s="273"/>
      <c r="V360" s="273"/>
      <c r="W360" s="273"/>
      <c r="X360" s="273"/>
      <c r="Y360" s="273"/>
      <c r="Z360" s="273"/>
      <c r="AA360" s="273"/>
      <c r="AB360" s="273"/>
      <c r="AC360" s="273"/>
      <c r="AD360" s="273"/>
      <c r="AE360" s="273"/>
      <c r="AF360" s="273"/>
    </row>
    <row r="361" spans="2:32">
      <c r="B361" s="541"/>
      <c r="C361" s="542" t="s">
        <v>66</v>
      </c>
      <c r="D361" s="542" t="s">
        <v>55</v>
      </c>
      <c r="E361" s="542"/>
      <c r="F361" s="542"/>
      <c r="G361" s="543">
        <v>0.01</v>
      </c>
      <c r="H361" s="543"/>
      <c r="I361" s="544">
        <v>0.4</v>
      </c>
      <c r="J361" s="604"/>
      <c r="K361" s="545">
        <v>113</v>
      </c>
      <c r="L361" s="273"/>
      <c r="M361" s="273"/>
      <c r="N361" s="273"/>
      <c r="P361" s="274"/>
      <c r="Q361" s="274"/>
      <c r="R361" s="274"/>
      <c r="S361" s="274"/>
      <c r="T361" s="273"/>
      <c r="U361" s="273"/>
      <c r="V361" s="273"/>
      <c r="W361" s="273"/>
      <c r="X361" s="273"/>
      <c r="Y361" s="273"/>
      <c r="Z361" s="273"/>
      <c r="AA361" s="273"/>
      <c r="AB361" s="273"/>
      <c r="AC361" s="273"/>
      <c r="AD361" s="273"/>
      <c r="AE361" s="273"/>
      <c r="AF361" s="273"/>
    </row>
    <row r="362" spans="2:32">
      <c r="B362" s="519"/>
      <c r="C362" s="520" t="s">
        <v>66</v>
      </c>
      <c r="D362" s="520" t="s">
        <v>57</v>
      </c>
      <c r="E362" s="520"/>
      <c r="F362" s="520"/>
      <c r="G362" s="527">
        <v>0.01</v>
      </c>
      <c r="H362" s="527"/>
      <c r="I362" s="529">
        <v>0.4</v>
      </c>
      <c r="J362" s="596"/>
      <c r="K362" s="521">
        <v>113</v>
      </c>
      <c r="L362" s="273"/>
      <c r="M362" s="273"/>
      <c r="N362" s="273"/>
      <c r="P362" s="274"/>
      <c r="Q362" s="274"/>
      <c r="R362" s="274"/>
      <c r="S362" s="274"/>
      <c r="T362" s="273"/>
      <c r="U362" s="273"/>
      <c r="V362" s="273"/>
      <c r="W362" s="273"/>
      <c r="X362" s="273"/>
      <c r="Y362" s="273"/>
      <c r="Z362" s="273"/>
      <c r="AA362" s="273"/>
      <c r="AB362" s="273"/>
      <c r="AC362" s="273"/>
      <c r="AD362" s="273"/>
      <c r="AE362" s="273"/>
      <c r="AF362" s="273"/>
    </row>
    <row r="363" spans="2:32">
      <c r="B363" s="536"/>
      <c r="C363" s="537" t="s">
        <v>66</v>
      </c>
      <c r="D363" s="537" t="s">
        <v>59</v>
      </c>
      <c r="E363" s="537"/>
      <c r="F363" s="537"/>
      <c r="G363" s="538">
        <v>0.01</v>
      </c>
      <c r="H363" s="538"/>
      <c r="I363" s="539">
        <v>0.4</v>
      </c>
      <c r="J363" s="597"/>
      <c r="K363" s="540">
        <v>113</v>
      </c>
      <c r="L363" s="273"/>
      <c r="M363" s="273"/>
      <c r="N363" s="273"/>
      <c r="P363" s="274"/>
      <c r="Q363" s="274"/>
      <c r="R363" s="274"/>
      <c r="S363" s="274"/>
      <c r="T363" s="273"/>
      <c r="U363" s="273"/>
      <c r="V363" s="273"/>
      <c r="W363" s="273"/>
      <c r="X363" s="273"/>
      <c r="Y363" s="273"/>
      <c r="Z363" s="273"/>
      <c r="AA363" s="273"/>
      <c r="AB363" s="273"/>
      <c r="AC363" s="273"/>
      <c r="AD363" s="273"/>
      <c r="AE363" s="273"/>
      <c r="AF363" s="273"/>
    </row>
    <row r="364" spans="2:32">
      <c r="B364" s="541"/>
      <c r="C364" s="542" t="s">
        <v>66</v>
      </c>
      <c r="D364" s="542" t="s">
        <v>55</v>
      </c>
      <c r="E364" s="542"/>
      <c r="F364" s="542"/>
      <c r="G364" s="543">
        <v>0.01</v>
      </c>
      <c r="H364" s="543"/>
      <c r="I364" s="544">
        <v>0.4</v>
      </c>
      <c r="J364" s="604"/>
      <c r="K364" s="545">
        <v>114</v>
      </c>
      <c r="L364" s="273"/>
      <c r="M364" s="273"/>
      <c r="N364" s="273"/>
      <c r="P364" s="274"/>
      <c r="Q364" s="274"/>
      <c r="R364" s="274"/>
      <c r="S364" s="274"/>
      <c r="T364" s="273"/>
      <c r="U364" s="273"/>
      <c r="V364" s="273"/>
      <c r="W364" s="273"/>
      <c r="X364" s="273"/>
      <c r="Y364" s="273"/>
      <c r="Z364" s="273"/>
      <c r="AA364" s="273"/>
      <c r="AB364" s="273"/>
      <c r="AC364" s="273"/>
      <c r="AD364" s="273"/>
      <c r="AE364" s="273"/>
      <c r="AF364" s="273"/>
    </row>
    <row r="365" spans="2:32">
      <c r="B365" s="519"/>
      <c r="C365" s="520" t="s">
        <v>66</v>
      </c>
      <c r="D365" s="520" t="s">
        <v>57</v>
      </c>
      <c r="E365" s="520"/>
      <c r="F365" s="520"/>
      <c r="G365" s="527">
        <v>0.01</v>
      </c>
      <c r="H365" s="527"/>
      <c r="I365" s="529">
        <v>0.4</v>
      </c>
      <c r="J365" s="596"/>
      <c r="K365" s="521">
        <v>114</v>
      </c>
      <c r="L365" s="273"/>
      <c r="M365" s="273"/>
      <c r="N365" s="273"/>
      <c r="P365" s="274"/>
      <c r="Q365" s="274"/>
      <c r="R365" s="274"/>
      <c r="S365" s="274"/>
      <c r="T365" s="273"/>
      <c r="U365" s="273"/>
      <c r="V365" s="273"/>
      <c r="W365" s="273"/>
      <c r="X365" s="273"/>
      <c r="Y365" s="273"/>
      <c r="Z365" s="273"/>
      <c r="AA365" s="273"/>
      <c r="AB365" s="273"/>
      <c r="AC365" s="273"/>
      <c r="AD365" s="273"/>
      <c r="AE365" s="273"/>
      <c r="AF365" s="273"/>
    </row>
    <row r="366" spans="2:32">
      <c r="B366" s="536"/>
      <c r="C366" s="537" t="s">
        <v>66</v>
      </c>
      <c r="D366" s="537" t="s">
        <v>59</v>
      </c>
      <c r="E366" s="537"/>
      <c r="F366" s="537"/>
      <c r="G366" s="538">
        <v>0.01</v>
      </c>
      <c r="H366" s="538"/>
      <c r="I366" s="539">
        <v>0.4</v>
      </c>
      <c r="J366" s="597"/>
      <c r="K366" s="540">
        <v>114</v>
      </c>
      <c r="L366" s="273"/>
      <c r="M366" s="273"/>
      <c r="N366" s="273"/>
      <c r="P366" s="274"/>
      <c r="Q366" s="274"/>
      <c r="R366" s="274"/>
      <c r="S366" s="274"/>
      <c r="T366" s="273"/>
      <c r="U366" s="273"/>
      <c r="V366" s="273"/>
      <c r="W366" s="273"/>
      <c r="X366" s="273"/>
      <c r="Y366" s="273"/>
      <c r="Z366" s="273"/>
      <c r="AA366" s="273"/>
      <c r="AB366" s="273"/>
      <c r="AC366" s="273"/>
      <c r="AD366" s="273"/>
      <c r="AE366" s="273"/>
      <c r="AF366" s="273"/>
    </row>
    <row r="367" spans="2:32">
      <c r="B367" s="541"/>
      <c r="C367" s="542" t="s">
        <v>66</v>
      </c>
      <c r="D367" s="542" t="s">
        <v>55</v>
      </c>
      <c r="E367" s="542"/>
      <c r="F367" s="542"/>
      <c r="G367" s="543">
        <v>0.01</v>
      </c>
      <c r="H367" s="543"/>
      <c r="I367" s="544">
        <v>0.4</v>
      </c>
      <c r="J367" s="604"/>
      <c r="K367" s="545">
        <v>115</v>
      </c>
      <c r="L367" s="273"/>
      <c r="M367" s="273"/>
      <c r="N367" s="273"/>
      <c r="P367" s="274"/>
      <c r="Q367" s="274"/>
      <c r="R367" s="274"/>
      <c r="S367" s="274"/>
      <c r="T367" s="273"/>
      <c r="U367" s="273"/>
      <c r="V367" s="273"/>
      <c r="W367" s="273"/>
      <c r="X367" s="273"/>
      <c r="Y367" s="273"/>
      <c r="Z367" s="273"/>
      <c r="AA367" s="273"/>
      <c r="AB367" s="273"/>
      <c r="AC367" s="273"/>
      <c r="AD367" s="273"/>
      <c r="AE367" s="273"/>
      <c r="AF367" s="273"/>
    </row>
    <row r="368" spans="2:32">
      <c r="B368" s="519"/>
      <c r="C368" s="520" t="s">
        <v>66</v>
      </c>
      <c r="D368" s="520" t="s">
        <v>57</v>
      </c>
      <c r="E368" s="520"/>
      <c r="F368" s="520"/>
      <c r="G368" s="527">
        <v>0.01</v>
      </c>
      <c r="H368" s="527"/>
      <c r="I368" s="529">
        <v>0.4</v>
      </c>
      <c r="J368" s="596"/>
      <c r="K368" s="521">
        <v>115</v>
      </c>
      <c r="L368" s="273"/>
      <c r="M368" s="273"/>
      <c r="N368" s="273"/>
      <c r="P368" s="274"/>
      <c r="Q368" s="274"/>
      <c r="R368" s="274"/>
      <c r="S368" s="274"/>
      <c r="T368" s="273"/>
      <c r="U368" s="273"/>
      <c r="V368" s="273"/>
      <c r="W368" s="273"/>
      <c r="X368" s="273"/>
      <c r="Y368" s="273"/>
      <c r="Z368" s="273"/>
      <c r="AA368" s="273"/>
      <c r="AB368" s="273"/>
      <c r="AC368" s="273"/>
      <c r="AD368" s="273"/>
      <c r="AE368" s="273"/>
      <c r="AF368" s="273"/>
    </row>
    <row r="369" spans="2:32">
      <c r="B369" s="536"/>
      <c r="C369" s="537" t="s">
        <v>66</v>
      </c>
      <c r="D369" s="537" t="s">
        <v>59</v>
      </c>
      <c r="E369" s="537"/>
      <c r="F369" s="537"/>
      <c r="G369" s="538">
        <v>0.01</v>
      </c>
      <c r="H369" s="538"/>
      <c r="I369" s="539">
        <v>0.4</v>
      </c>
      <c r="J369" s="597"/>
      <c r="K369" s="540">
        <v>115</v>
      </c>
      <c r="L369" s="273"/>
      <c r="M369" s="273"/>
      <c r="N369" s="273"/>
      <c r="P369" s="274"/>
      <c r="Q369" s="274"/>
      <c r="R369" s="274"/>
      <c r="S369" s="274"/>
      <c r="T369" s="273"/>
      <c r="U369" s="273"/>
      <c r="V369" s="273"/>
      <c r="W369" s="273"/>
      <c r="X369" s="273"/>
      <c r="Y369" s="273"/>
      <c r="Z369" s="273"/>
      <c r="AA369" s="273"/>
      <c r="AB369" s="273"/>
      <c r="AC369" s="273"/>
      <c r="AD369" s="273"/>
      <c r="AE369" s="273"/>
      <c r="AF369" s="273"/>
    </row>
    <row r="370" spans="2:32">
      <c r="B370" s="541"/>
      <c r="C370" s="542" t="s">
        <v>66</v>
      </c>
      <c r="D370" s="542" t="s">
        <v>55</v>
      </c>
      <c r="E370" s="542"/>
      <c r="F370" s="542"/>
      <c r="G370" s="543">
        <v>0.01</v>
      </c>
      <c r="H370" s="543"/>
      <c r="I370" s="544">
        <v>0.4</v>
      </c>
      <c r="J370" s="604"/>
      <c r="K370" s="545">
        <v>116</v>
      </c>
      <c r="L370" s="273"/>
      <c r="M370" s="273"/>
      <c r="N370" s="273"/>
      <c r="P370" s="274"/>
      <c r="Q370" s="274"/>
      <c r="R370" s="274"/>
      <c r="S370" s="274"/>
      <c r="T370" s="273"/>
      <c r="U370" s="273"/>
      <c r="V370" s="273"/>
      <c r="W370" s="273"/>
      <c r="X370" s="273"/>
      <c r="Y370" s="273"/>
      <c r="Z370" s="273"/>
      <c r="AA370" s="273"/>
      <c r="AB370" s="273"/>
      <c r="AC370" s="273"/>
      <c r="AD370" s="273"/>
      <c r="AE370" s="273"/>
      <c r="AF370" s="273"/>
    </row>
    <row r="371" spans="2:32">
      <c r="B371" s="519"/>
      <c r="C371" s="520" t="s">
        <v>66</v>
      </c>
      <c r="D371" s="520" t="s">
        <v>57</v>
      </c>
      <c r="E371" s="520"/>
      <c r="F371" s="520"/>
      <c r="G371" s="527">
        <v>0.01</v>
      </c>
      <c r="H371" s="527"/>
      <c r="I371" s="529">
        <v>0.4</v>
      </c>
      <c r="J371" s="596"/>
      <c r="K371" s="521">
        <v>116</v>
      </c>
      <c r="L371" s="273"/>
      <c r="M371" s="273"/>
      <c r="N371" s="273"/>
      <c r="P371" s="274"/>
      <c r="Q371" s="274"/>
      <c r="R371" s="274"/>
      <c r="S371" s="274"/>
      <c r="T371" s="273"/>
      <c r="U371" s="273"/>
      <c r="V371" s="273"/>
      <c r="W371" s="273"/>
      <c r="X371" s="273"/>
      <c r="Y371" s="273"/>
      <c r="Z371" s="273"/>
      <c r="AA371" s="273"/>
      <c r="AB371" s="273"/>
      <c r="AC371" s="273"/>
      <c r="AD371" s="273"/>
      <c r="AE371" s="273"/>
      <c r="AF371" s="273"/>
    </row>
    <row r="372" spans="2:32">
      <c r="B372" s="536"/>
      <c r="C372" s="537" t="s">
        <v>66</v>
      </c>
      <c r="D372" s="537" t="s">
        <v>59</v>
      </c>
      <c r="E372" s="537"/>
      <c r="F372" s="537"/>
      <c r="G372" s="538">
        <v>0.01</v>
      </c>
      <c r="H372" s="538"/>
      <c r="I372" s="539">
        <v>0.4</v>
      </c>
      <c r="J372" s="597"/>
      <c r="K372" s="540">
        <v>116</v>
      </c>
      <c r="L372" s="273"/>
      <c r="M372" s="273"/>
      <c r="N372" s="273"/>
      <c r="P372" s="274"/>
      <c r="Q372" s="274"/>
      <c r="R372" s="274"/>
      <c r="S372" s="274"/>
      <c r="T372" s="273"/>
      <c r="U372" s="273"/>
      <c r="V372" s="273"/>
      <c r="W372" s="273"/>
      <c r="X372" s="273"/>
      <c r="Y372" s="273"/>
      <c r="Z372" s="273"/>
      <c r="AA372" s="273"/>
      <c r="AB372" s="273"/>
      <c r="AC372" s="273"/>
      <c r="AD372" s="273"/>
      <c r="AE372" s="273"/>
      <c r="AF372" s="273"/>
    </row>
    <row r="373" spans="2:32">
      <c r="B373" s="541"/>
      <c r="C373" s="542" t="s">
        <v>66</v>
      </c>
      <c r="D373" s="542" t="s">
        <v>55</v>
      </c>
      <c r="E373" s="542"/>
      <c r="F373" s="542"/>
      <c r="G373" s="543">
        <v>0.01</v>
      </c>
      <c r="H373" s="543"/>
      <c r="I373" s="544">
        <v>0.4</v>
      </c>
      <c r="J373" s="604"/>
      <c r="K373" s="545">
        <v>117</v>
      </c>
      <c r="L373" s="273"/>
      <c r="M373" s="273"/>
      <c r="N373" s="273"/>
      <c r="P373" s="274"/>
      <c r="Q373" s="274"/>
      <c r="R373" s="274"/>
      <c r="S373" s="274"/>
      <c r="T373" s="273"/>
      <c r="U373" s="273"/>
      <c r="V373" s="273"/>
      <c r="W373" s="273"/>
      <c r="X373" s="273"/>
      <c r="Y373" s="273"/>
      <c r="Z373" s="273"/>
      <c r="AA373" s="273"/>
      <c r="AB373" s="273"/>
      <c r="AC373" s="273"/>
      <c r="AD373" s="273"/>
      <c r="AE373" s="273"/>
      <c r="AF373" s="273"/>
    </row>
    <row r="374" spans="2:32">
      <c r="B374" s="519"/>
      <c r="C374" s="520" t="s">
        <v>66</v>
      </c>
      <c r="D374" s="520" t="s">
        <v>57</v>
      </c>
      <c r="E374" s="520"/>
      <c r="F374" s="520"/>
      <c r="G374" s="527">
        <v>0.01</v>
      </c>
      <c r="H374" s="527"/>
      <c r="I374" s="529">
        <v>0.4</v>
      </c>
      <c r="J374" s="596"/>
      <c r="K374" s="521">
        <v>117</v>
      </c>
      <c r="L374" s="273"/>
      <c r="M374" s="273"/>
      <c r="N374" s="273"/>
      <c r="P374" s="274"/>
      <c r="Q374" s="274"/>
      <c r="R374" s="274"/>
      <c r="S374" s="274"/>
      <c r="T374" s="273"/>
      <c r="U374" s="273"/>
      <c r="V374" s="273"/>
      <c r="W374" s="273"/>
      <c r="X374" s="273"/>
      <c r="Y374" s="273"/>
      <c r="Z374" s="273"/>
      <c r="AA374" s="273"/>
      <c r="AB374" s="273"/>
      <c r="AC374" s="273"/>
      <c r="AD374" s="273"/>
      <c r="AE374" s="273"/>
      <c r="AF374" s="273"/>
    </row>
    <row r="375" spans="2:32">
      <c r="B375" s="536"/>
      <c r="C375" s="537" t="s">
        <v>66</v>
      </c>
      <c r="D375" s="537" t="s">
        <v>59</v>
      </c>
      <c r="E375" s="537"/>
      <c r="F375" s="537"/>
      <c r="G375" s="538">
        <v>0.01</v>
      </c>
      <c r="H375" s="538"/>
      <c r="I375" s="539">
        <v>0.4</v>
      </c>
      <c r="J375" s="597"/>
      <c r="K375" s="540">
        <v>117</v>
      </c>
      <c r="L375" s="273"/>
      <c r="M375" s="273"/>
      <c r="N375" s="273"/>
      <c r="P375" s="274"/>
      <c r="Q375" s="274"/>
      <c r="R375" s="274"/>
      <c r="S375" s="274"/>
      <c r="T375" s="273"/>
      <c r="U375" s="273"/>
      <c r="V375" s="273"/>
      <c r="W375" s="273"/>
      <c r="X375" s="273"/>
      <c r="Y375" s="273"/>
      <c r="Z375" s="273"/>
      <c r="AA375" s="273"/>
      <c r="AB375" s="273"/>
      <c r="AC375" s="273"/>
      <c r="AD375" s="273"/>
      <c r="AE375" s="273"/>
      <c r="AF375" s="273"/>
    </row>
    <row r="376" spans="2:32">
      <c r="B376" s="541"/>
      <c r="C376" s="542" t="s">
        <v>66</v>
      </c>
      <c r="D376" s="542" t="s">
        <v>55</v>
      </c>
      <c r="E376" s="542"/>
      <c r="F376" s="542"/>
      <c r="G376" s="543">
        <v>0.01</v>
      </c>
      <c r="H376" s="543"/>
      <c r="I376" s="544">
        <v>0.4</v>
      </c>
      <c r="J376" s="604"/>
      <c r="K376" s="545">
        <v>118</v>
      </c>
      <c r="L376" s="273"/>
      <c r="M376" s="273"/>
      <c r="N376" s="273"/>
      <c r="P376" s="274"/>
      <c r="Q376" s="274"/>
      <c r="R376" s="274"/>
      <c r="S376" s="274"/>
      <c r="T376" s="273"/>
      <c r="U376" s="273"/>
      <c r="V376" s="273"/>
      <c r="W376" s="273"/>
      <c r="X376" s="273"/>
      <c r="Y376" s="273"/>
      <c r="Z376" s="273"/>
      <c r="AA376" s="273"/>
      <c r="AB376" s="273"/>
      <c r="AC376" s="273"/>
      <c r="AD376" s="273"/>
      <c r="AE376" s="273"/>
      <c r="AF376" s="273"/>
    </row>
    <row r="377" spans="2:32">
      <c r="B377" s="519"/>
      <c r="C377" s="520" t="s">
        <v>66</v>
      </c>
      <c r="D377" s="520" t="s">
        <v>57</v>
      </c>
      <c r="E377" s="520"/>
      <c r="F377" s="520"/>
      <c r="G377" s="527">
        <v>0.01</v>
      </c>
      <c r="H377" s="527"/>
      <c r="I377" s="529">
        <v>0.4</v>
      </c>
      <c r="J377" s="596"/>
      <c r="K377" s="521">
        <v>118</v>
      </c>
      <c r="L377" s="273"/>
      <c r="M377" s="273"/>
      <c r="N377" s="273"/>
      <c r="P377" s="274"/>
      <c r="Q377" s="274"/>
      <c r="R377" s="274"/>
      <c r="S377" s="274"/>
      <c r="T377" s="273"/>
      <c r="U377" s="273"/>
      <c r="V377" s="273"/>
      <c r="W377" s="273"/>
      <c r="X377" s="273"/>
      <c r="Y377" s="273"/>
      <c r="Z377" s="273"/>
      <c r="AA377" s="273"/>
      <c r="AB377" s="273"/>
      <c r="AC377" s="273"/>
      <c r="AD377" s="273"/>
      <c r="AE377" s="273"/>
      <c r="AF377" s="273"/>
    </row>
    <row r="378" spans="2:32">
      <c r="B378" s="536"/>
      <c r="C378" s="537" t="s">
        <v>66</v>
      </c>
      <c r="D378" s="537" t="s">
        <v>59</v>
      </c>
      <c r="E378" s="537"/>
      <c r="F378" s="537"/>
      <c r="G378" s="538">
        <v>0.01</v>
      </c>
      <c r="H378" s="538"/>
      <c r="I378" s="539">
        <v>0.4</v>
      </c>
      <c r="J378" s="597"/>
      <c r="K378" s="540">
        <v>118</v>
      </c>
      <c r="L378" s="273"/>
      <c r="M378" s="273"/>
      <c r="N378" s="273"/>
      <c r="P378" s="274"/>
      <c r="Q378" s="274"/>
      <c r="R378" s="274"/>
      <c r="S378" s="274"/>
      <c r="T378" s="273"/>
      <c r="U378" s="273"/>
      <c r="V378" s="273"/>
      <c r="W378" s="273"/>
      <c r="X378" s="273"/>
      <c r="Y378" s="273"/>
      <c r="Z378" s="273"/>
      <c r="AA378" s="273"/>
      <c r="AB378" s="273"/>
      <c r="AC378" s="273"/>
      <c r="AD378" s="273"/>
      <c r="AE378" s="273"/>
      <c r="AF378" s="273"/>
    </row>
    <row r="379" spans="2:32">
      <c r="B379" s="541"/>
      <c r="C379" s="542" t="s">
        <v>66</v>
      </c>
      <c r="D379" s="542" t="s">
        <v>55</v>
      </c>
      <c r="E379" s="542"/>
      <c r="F379" s="542"/>
      <c r="G379" s="543">
        <v>0.01</v>
      </c>
      <c r="H379" s="543"/>
      <c r="I379" s="544">
        <v>0.4</v>
      </c>
      <c r="J379" s="604"/>
      <c r="K379" s="545">
        <v>119</v>
      </c>
      <c r="L379" s="273"/>
      <c r="M379" s="273"/>
      <c r="N379" s="273"/>
      <c r="P379" s="274"/>
      <c r="Q379" s="274"/>
      <c r="R379" s="274"/>
      <c r="S379" s="274"/>
      <c r="T379" s="273"/>
      <c r="U379" s="273"/>
      <c r="V379" s="273"/>
      <c r="W379" s="273"/>
      <c r="X379" s="273"/>
      <c r="Y379" s="273"/>
      <c r="Z379" s="273"/>
      <c r="AA379" s="273"/>
      <c r="AB379" s="273"/>
      <c r="AC379" s="273"/>
      <c r="AD379" s="273"/>
      <c r="AE379" s="273"/>
      <c r="AF379" s="273"/>
    </row>
    <row r="380" spans="2:32">
      <c r="B380" s="519"/>
      <c r="C380" s="520" t="s">
        <v>66</v>
      </c>
      <c r="D380" s="520" t="s">
        <v>57</v>
      </c>
      <c r="E380" s="520"/>
      <c r="F380" s="520"/>
      <c r="G380" s="527">
        <v>0.01</v>
      </c>
      <c r="H380" s="527"/>
      <c r="I380" s="529">
        <v>0.4</v>
      </c>
      <c r="J380" s="596"/>
      <c r="K380" s="521">
        <v>119</v>
      </c>
      <c r="L380" s="273"/>
      <c r="M380" s="273"/>
      <c r="N380" s="273"/>
      <c r="P380" s="274"/>
      <c r="Q380" s="274"/>
      <c r="R380" s="274"/>
      <c r="S380" s="274"/>
      <c r="T380" s="273"/>
      <c r="U380" s="273"/>
      <c r="V380" s="273"/>
      <c r="W380" s="273"/>
      <c r="X380" s="273"/>
      <c r="Y380" s="273"/>
      <c r="Z380" s="273"/>
      <c r="AA380" s="273"/>
      <c r="AB380" s="273"/>
      <c r="AC380" s="273"/>
      <c r="AD380" s="273"/>
      <c r="AE380" s="273"/>
      <c r="AF380" s="273"/>
    </row>
    <row r="381" spans="2:32">
      <c r="B381" s="536"/>
      <c r="C381" s="537" t="s">
        <v>66</v>
      </c>
      <c r="D381" s="537" t="s">
        <v>59</v>
      </c>
      <c r="E381" s="537"/>
      <c r="F381" s="537"/>
      <c r="G381" s="538">
        <v>0.01</v>
      </c>
      <c r="H381" s="538"/>
      <c r="I381" s="539">
        <v>0.4</v>
      </c>
      <c r="J381" s="597"/>
      <c r="K381" s="540">
        <v>119</v>
      </c>
      <c r="L381" s="273"/>
      <c r="M381" s="273"/>
      <c r="N381" s="273"/>
      <c r="P381" s="274"/>
      <c r="Q381" s="274"/>
      <c r="R381" s="274"/>
      <c r="S381" s="274"/>
      <c r="T381" s="273"/>
      <c r="U381" s="273"/>
      <c r="V381" s="273"/>
      <c r="W381" s="273"/>
      <c r="X381" s="273"/>
      <c r="Y381" s="273"/>
      <c r="Z381" s="273"/>
      <c r="AA381" s="273"/>
      <c r="AB381" s="273"/>
      <c r="AC381" s="273"/>
      <c r="AD381" s="273"/>
      <c r="AE381" s="273"/>
      <c r="AF381" s="273"/>
    </row>
    <row r="382" spans="2:32">
      <c r="B382" s="541"/>
      <c r="C382" s="542" t="s">
        <v>66</v>
      </c>
      <c r="D382" s="542" t="s">
        <v>55</v>
      </c>
      <c r="E382" s="542"/>
      <c r="F382" s="542"/>
      <c r="G382" s="543">
        <v>0.01</v>
      </c>
      <c r="H382" s="543"/>
      <c r="I382" s="544">
        <v>0.4</v>
      </c>
      <c r="J382" s="604"/>
      <c r="K382" s="545">
        <v>120</v>
      </c>
      <c r="L382" s="273"/>
      <c r="M382" s="273"/>
      <c r="N382" s="273"/>
      <c r="P382" s="274"/>
      <c r="Q382" s="274"/>
      <c r="R382" s="274"/>
      <c r="S382" s="274"/>
      <c r="T382" s="273"/>
      <c r="U382" s="273"/>
      <c r="V382" s="273"/>
      <c r="W382" s="273"/>
      <c r="X382" s="273"/>
      <c r="Y382" s="273"/>
      <c r="Z382" s="273"/>
      <c r="AA382" s="273"/>
      <c r="AB382" s="273"/>
      <c r="AC382" s="273"/>
      <c r="AD382" s="273"/>
      <c r="AE382" s="273"/>
      <c r="AF382" s="273"/>
    </row>
    <row r="383" spans="2:32">
      <c r="B383" s="519"/>
      <c r="C383" s="520" t="s">
        <v>66</v>
      </c>
      <c r="D383" s="520" t="s">
        <v>57</v>
      </c>
      <c r="E383" s="520"/>
      <c r="F383" s="520"/>
      <c r="G383" s="527">
        <v>0.01</v>
      </c>
      <c r="H383" s="527"/>
      <c r="I383" s="529">
        <v>0.4</v>
      </c>
      <c r="J383" s="596"/>
      <c r="K383" s="521">
        <v>120</v>
      </c>
      <c r="L383" s="273"/>
      <c r="M383" s="273"/>
      <c r="N383" s="273"/>
      <c r="P383" s="274"/>
      <c r="Q383" s="274"/>
      <c r="R383" s="274"/>
      <c r="S383" s="274"/>
      <c r="T383" s="273"/>
      <c r="U383" s="273"/>
      <c r="V383" s="273"/>
      <c r="W383" s="273"/>
      <c r="X383" s="273"/>
      <c r="Y383" s="273"/>
      <c r="Z383" s="273"/>
      <c r="AA383" s="273"/>
      <c r="AB383" s="273"/>
      <c r="AC383" s="273"/>
      <c r="AD383" s="273"/>
      <c r="AE383" s="273"/>
      <c r="AF383" s="273"/>
    </row>
    <row r="384" spans="2:32">
      <c r="B384" s="536"/>
      <c r="C384" s="537" t="s">
        <v>66</v>
      </c>
      <c r="D384" s="537" t="s">
        <v>59</v>
      </c>
      <c r="E384" s="537"/>
      <c r="F384" s="537"/>
      <c r="G384" s="538">
        <v>0.01</v>
      </c>
      <c r="H384" s="538"/>
      <c r="I384" s="539">
        <v>0.4</v>
      </c>
      <c r="J384" s="597"/>
      <c r="K384" s="540">
        <v>120</v>
      </c>
      <c r="L384" s="273"/>
      <c r="M384" s="273"/>
      <c r="N384" s="273"/>
      <c r="P384" s="274"/>
      <c r="Q384" s="274"/>
      <c r="R384" s="274"/>
      <c r="S384" s="274"/>
      <c r="T384" s="273"/>
      <c r="U384" s="273"/>
      <c r="V384" s="273"/>
      <c r="W384" s="273"/>
      <c r="X384" s="273"/>
      <c r="Y384" s="273"/>
      <c r="Z384" s="273"/>
      <c r="AA384" s="273"/>
      <c r="AB384" s="273"/>
      <c r="AC384" s="273"/>
      <c r="AD384" s="273"/>
      <c r="AE384" s="273"/>
      <c r="AF384" s="273"/>
    </row>
    <row r="385" spans="2:32">
      <c r="B385" s="541"/>
      <c r="C385" s="542" t="s">
        <v>66</v>
      </c>
      <c r="D385" s="542" t="s">
        <v>55</v>
      </c>
      <c r="E385" s="542"/>
      <c r="F385" s="542"/>
      <c r="G385" s="543">
        <v>0.01</v>
      </c>
      <c r="H385" s="543"/>
      <c r="I385" s="544">
        <v>0.4</v>
      </c>
      <c r="J385" s="604"/>
      <c r="K385" s="545">
        <v>121</v>
      </c>
      <c r="L385" s="273"/>
      <c r="M385" s="273"/>
      <c r="N385" s="273"/>
      <c r="P385" s="274"/>
      <c r="Q385" s="274"/>
      <c r="R385" s="274"/>
      <c r="S385" s="274"/>
      <c r="T385" s="273"/>
      <c r="U385" s="273"/>
      <c r="V385" s="273"/>
      <c r="W385" s="273"/>
      <c r="X385" s="273"/>
      <c r="Y385" s="273"/>
      <c r="Z385" s="273"/>
      <c r="AA385" s="273"/>
      <c r="AB385" s="273"/>
      <c r="AC385" s="273"/>
      <c r="AD385" s="273"/>
      <c r="AE385" s="273"/>
      <c r="AF385" s="273"/>
    </row>
    <row r="386" spans="2:32">
      <c r="B386" s="519"/>
      <c r="C386" s="520" t="s">
        <v>66</v>
      </c>
      <c r="D386" s="520" t="s">
        <v>57</v>
      </c>
      <c r="E386" s="520"/>
      <c r="F386" s="520"/>
      <c r="G386" s="527">
        <v>0.01</v>
      </c>
      <c r="H386" s="527"/>
      <c r="I386" s="529">
        <v>0.4</v>
      </c>
      <c r="J386" s="596"/>
      <c r="K386" s="521">
        <v>121</v>
      </c>
      <c r="L386" s="273"/>
      <c r="M386" s="273"/>
      <c r="N386" s="273"/>
      <c r="P386" s="274"/>
      <c r="Q386" s="274"/>
      <c r="R386" s="274"/>
      <c r="S386" s="274"/>
      <c r="T386" s="273"/>
      <c r="U386" s="273"/>
      <c r="V386" s="273"/>
      <c r="W386" s="273"/>
      <c r="X386" s="273"/>
      <c r="Y386" s="273"/>
      <c r="Z386" s="273"/>
      <c r="AA386" s="273"/>
      <c r="AB386" s="273"/>
      <c r="AC386" s="273"/>
      <c r="AD386" s="273"/>
      <c r="AE386" s="273"/>
      <c r="AF386" s="273"/>
    </row>
    <row r="387" spans="2:32">
      <c r="B387" s="536"/>
      <c r="C387" s="537" t="s">
        <v>66</v>
      </c>
      <c r="D387" s="537" t="s">
        <v>59</v>
      </c>
      <c r="E387" s="537"/>
      <c r="F387" s="537"/>
      <c r="G387" s="538">
        <v>0.01</v>
      </c>
      <c r="H387" s="538"/>
      <c r="I387" s="539">
        <v>0.4</v>
      </c>
      <c r="J387" s="597"/>
      <c r="K387" s="540">
        <v>121</v>
      </c>
      <c r="L387" s="273"/>
      <c r="M387" s="273"/>
      <c r="N387" s="273"/>
      <c r="P387" s="274"/>
      <c r="Q387" s="274"/>
      <c r="R387" s="274"/>
      <c r="S387" s="274"/>
      <c r="T387" s="273"/>
      <c r="U387" s="273"/>
      <c r="V387" s="273"/>
      <c r="W387" s="273"/>
      <c r="X387" s="273"/>
      <c r="Y387" s="273"/>
      <c r="Z387" s="273"/>
      <c r="AA387" s="273"/>
      <c r="AB387" s="273"/>
      <c r="AC387" s="273"/>
      <c r="AD387" s="273"/>
      <c r="AE387" s="273"/>
      <c r="AF387" s="273"/>
    </row>
    <row r="388" spans="2:32">
      <c r="B388" s="541"/>
      <c r="C388" s="542" t="s">
        <v>66</v>
      </c>
      <c r="D388" s="542" t="s">
        <v>55</v>
      </c>
      <c r="E388" s="542"/>
      <c r="F388" s="542"/>
      <c r="G388" s="543">
        <v>0.01</v>
      </c>
      <c r="H388" s="543"/>
      <c r="I388" s="544">
        <v>0.4</v>
      </c>
      <c r="J388" s="604"/>
      <c r="K388" s="545">
        <v>122</v>
      </c>
      <c r="L388" s="273"/>
      <c r="M388" s="273"/>
      <c r="N388" s="273"/>
      <c r="P388" s="274"/>
      <c r="Q388" s="274"/>
      <c r="R388" s="274"/>
      <c r="S388" s="274"/>
      <c r="T388" s="273"/>
      <c r="U388" s="273"/>
      <c r="V388" s="273"/>
      <c r="W388" s="273"/>
      <c r="X388" s="273"/>
      <c r="Y388" s="273"/>
      <c r="Z388" s="273"/>
      <c r="AA388" s="273"/>
      <c r="AB388" s="273"/>
      <c r="AC388" s="273"/>
      <c r="AD388" s="273"/>
      <c r="AE388" s="273"/>
      <c r="AF388" s="273"/>
    </row>
    <row r="389" spans="2:32">
      <c r="B389" s="519"/>
      <c r="C389" s="520" t="s">
        <v>66</v>
      </c>
      <c r="D389" s="520" t="s">
        <v>57</v>
      </c>
      <c r="E389" s="520"/>
      <c r="F389" s="520"/>
      <c r="G389" s="527">
        <v>0.01</v>
      </c>
      <c r="H389" s="527"/>
      <c r="I389" s="529">
        <v>0.4</v>
      </c>
      <c r="J389" s="596"/>
      <c r="K389" s="521">
        <v>122</v>
      </c>
      <c r="L389" s="273"/>
      <c r="M389" s="273"/>
      <c r="N389" s="273"/>
      <c r="P389" s="274"/>
      <c r="Q389" s="274"/>
      <c r="R389" s="274"/>
      <c r="S389" s="274"/>
      <c r="T389" s="273"/>
      <c r="U389" s="273"/>
      <c r="V389" s="273"/>
      <c r="W389" s="273"/>
      <c r="X389" s="273"/>
      <c r="Y389" s="273"/>
      <c r="Z389" s="273"/>
      <c r="AA389" s="273"/>
      <c r="AB389" s="273"/>
      <c r="AC389" s="273"/>
      <c r="AD389" s="273"/>
      <c r="AE389" s="273"/>
      <c r="AF389" s="273"/>
    </row>
    <row r="390" spans="2:32">
      <c r="B390" s="536"/>
      <c r="C390" s="537" t="s">
        <v>66</v>
      </c>
      <c r="D390" s="537" t="s">
        <v>59</v>
      </c>
      <c r="E390" s="537"/>
      <c r="F390" s="537"/>
      <c r="G390" s="538">
        <v>0.01</v>
      </c>
      <c r="H390" s="538"/>
      <c r="I390" s="539">
        <v>0.4</v>
      </c>
      <c r="J390" s="597"/>
      <c r="K390" s="540">
        <v>122</v>
      </c>
      <c r="L390" s="273"/>
      <c r="M390" s="273"/>
      <c r="N390" s="273"/>
      <c r="P390" s="274"/>
      <c r="Q390" s="274"/>
      <c r="R390" s="274"/>
      <c r="S390" s="274"/>
      <c r="T390" s="273"/>
      <c r="U390" s="273"/>
      <c r="V390" s="273"/>
      <c r="W390" s="273"/>
      <c r="X390" s="273"/>
      <c r="Y390" s="273"/>
      <c r="Z390" s="273"/>
      <c r="AA390" s="273"/>
      <c r="AB390" s="273"/>
      <c r="AC390" s="273"/>
      <c r="AD390" s="273"/>
      <c r="AE390" s="273"/>
      <c r="AF390" s="273"/>
    </row>
    <row r="391" spans="2:32">
      <c r="B391" s="541"/>
      <c r="C391" s="542" t="s">
        <v>66</v>
      </c>
      <c r="D391" s="542" t="s">
        <v>55</v>
      </c>
      <c r="E391" s="542"/>
      <c r="F391" s="542"/>
      <c r="G391" s="543">
        <v>0.01</v>
      </c>
      <c r="H391" s="543"/>
      <c r="I391" s="544">
        <v>0.4</v>
      </c>
      <c r="J391" s="604"/>
      <c r="K391" s="545">
        <v>123</v>
      </c>
      <c r="L391" s="273"/>
      <c r="M391" s="273"/>
      <c r="N391" s="273"/>
      <c r="P391" s="274"/>
      <c r="Q391" s="274"/>
      <c r="R391" s="274"/>
      <c r="S391" s="274"/>
      <c r="T391" s="273"/>
      <c r="U391" s="273"/>
      <c r="V391" s="273"/>
      <c r="W391" s="273"/>
      <c r="X391" s="273"/>
      <c r="Y391" s="273"/>
      <c r="Z391" s="273"/>
      <c r="AA391" s="273"/>
      <c r="AB391" s="273"/>
      <c r="AC391" s="273"/>
      <c r="AD391" s="273"/>
      <c r="AE391" s="273"/>
      <c r="AF391" s="273"/>
    </row>
    <row r="392" spans="2:32">
      <c r="B392" s="519"/>
      <c r="C392" s="520" t="s">
        <v>66</v>
      </c>
      <c r="D392" s="520" t="s">
        <v>57</v>
      </c>
      <c r="E392" s="520"/>
      <c r="F392" s="520"/>
      <c r="G392" s="527">
        <v>0.01</v>
      </c>
      <c r="H392" s="527"/>
      <c r="I392" s="529">
        <v>0.4</v>
      </c>
      <c r="J392" s="596"/>
      <c r="K392" s="521">
        <v>123</v>
      </c>
      <c r="L392" s="273"/>
      <c r="M392" s="273"/>
      <c r="N392" s="273"/>
      <c r="P392" s="274"/>
      <c r="Q392" s="274"/>
      <c r="R392" s="274"/>
      <c r="S392" s="274"/>
      <c r="T392" s="273"/>
      <c r="U392" s="273"/>
      <c r="V392" s="273"/>
      <c r="W392" s="273"/>
      <c r="X392" s="273"/>
      <c r="Y392" s="273"/>
      <c r="Z392" s="273"/>
      <c r="AA392" s="273"/>
      <c r="AB392" s="273"/>
      <c r="AC392" s="273"/>
      <c r="AD392" s="273"/>
      <c r="AE392" s="273"/>
      <c r="AF392" s="273"/>
    </row>
    <row r="393" spans="2:32">
      <c r="B393" s="536"/>
      <c r="C393" s="537" t="s">
        <v>66</v>
      </c>
      <c r="D393" s="537" t="s">
        <v>59</v>
      </c>
      <c r="E393" s="537"/>
      <c r="F393" s="537"/>
      <c r="G393" s="538">
        <v>0.01</v>
      </c>
      <c r="H393" s="538"/>
      <c r="I393" s="539">
        <v>0.4</v>
      </c>
      <c r="J393" s="597"/>
      <c r="K393" s="540">
        <v>123</v>
      </c>
      <c r="L393" s="273"/>
      <c r="M393" s="273"/>
      <c r="N393" s="273"/>
      <c r="P393" s="274"/>
      <c r="Q393" s="274"/>
      <c r="R393" s="274"/>
      <c r="S393" s="274"/>
      <c r="T393" s="273"/>
      <c r="U393" s="273"/>
      <c r="V393" s="273"/>
      <c r="W393" s="273"/>
      <c r="X393" s="273"/>
      <c r="Y393" s="273"/>
      <c r="Z393" s="273"/>
      <c r="AA393" s="273"/>
      <c r="AB393" s="273"/>
      <c r="AC393" s="273"/>
      <c r="AD393" s="273"/>
      <c r="AE393" s="273"/>
      <c r="AF393" s="273"/>
    </row>
    <row r="394" spans="2:32">
      <c r="B394" s="541"/>
      <c r="C394" s="542" t="s">
        <v>66</v>
      </c>
      <c r="D394" s="542" t="s">
        <v>55</v>
      </c>
      <c r="E394" s="542"/>
      <c r="F394" s="542"/>
      <c r="G394" s="543">
        <v>0.01</v>
      </c>
      <c r="H394" s="543"/>
      <c r="I394" s="544">
        <v>0.4</v>
      </c>
      <c r="J394" s="604"/>
      <c r="K394" s="545">
        <v>124</v>
      </c>
      <c r="L394" s="273"/>
      <c r="M394" s="273"/>
      <c r="N394" s="273"/>
      <c r="P394" s="274"/>
      <c r="Q394" s="274"/>
      <c r="R394" s="274"/>
      <c r="S394" s="274"/>
      <c r="T394" s="273"/>
      <c r="U394" s="273"/>
      <c r="V394" s="273"/>
      <c r="W394" s="273"/>
      <c r="X394" s="273"/>
      <c r="Y394" s="273"/>
      <c r="Z394" s="273"/>
      <c r="AA394" s="273"/>
      <c r="AB394" s="273"/>
      <c r="AC394" s="273"/>
      <c r="AD394" s="273"/>
      <c r="AE394" s="273"/>
      <c r="AF394" s="273"/>
    </row>
    <row r="395" spans="2:32">
      <c r="B395" s="519"/>
      <c r="C395" s="520" t="s">
        <v>66</v>
      </c>
      <c r="D395" s="520" t="s">
        <v>57</v>
      </c>
      <c r="E395" s="520"/>
      <c r="F395" s="520"/>
      <c r="G395" s="527">
        <v>0.01</v>
      </c>
      <c r="H395" s="527"/>
      <c r="I395" s="529">
        <v>0.4</v>
      </c>
      <c r="J395" s="596"/>
      <c r="K395" s="521">
        <v>124</v>
      </c>
      <c r="L395" s="273"/>
      <c r="M395" s="273"/>
      <c r="N395" s="273"/>
      <c r="P395" s="274"/>
      <c r="Q395" s="274"/>
      <c r="R395" s="274"/>
      <c r="S395" s="274"/>
      <c r="T395" s="273"/>
      <c r="U395" s="273"/>
      <c r="V395" s="273"/>
      <c r="W395" s="273"/>
      <c r="X395" s="273"/>
      <c r="Y395" s="273"/>
      <c r="Z395" s="273"/>
      <c r="AA395" s="273"/>
      <c r="AB395" s="273"/>
      <c r="AC395" s="273"/>
      <c r="AD395" s="273"/>
      <c r="AE395" s="273"/>
      <c r="AF395" s="273"/>
    </row>
    <row r="396" spans="2:32">
      <c r="B396" s="536"/>
      <c r="C396" s="537" t="s">
        <v>66</v>
      </c>
      <c r="D396" s="537" t="s">
        <v>59</v>
      </c>
      <c r="E396" s="537"/>
      <c r="F396" s="537"/>
      <c r="G396" s="538">
        <v>0.01</v>
      </c>
      <c r="H396" s="538"/>
      <c r="I396" s="539">
        <v>0.4</v>
      </c>
      <c r="J396" s="597"/>
      <c r="K396" s="540">
        <v>124</v>
      </c>
      <c r="L396" s="273"/>
      <c r="M396" s="273"/>
      <c r="N396" s="273"/>
      <c r="P396" s="274"/>
      <c r="Q396" s="274"/>
      <c r="R396" s="274"/>
      <c r="S396" s="274"/>
      <c r="T396" s="273"/>
      <c r="U396" s="273"/>
      <c r="V396" s="273"/>
      <c r="W396" s="273"/>
      <c r="X396" s="273"/>
      <c r="Y396" s="273"/>
      <c r="Z396" s="273"/>
      <c r="AA396" s="273"/>
      <c r="AB396" s="273"/>
      <c r="AC396" s="273"/>
      <c r="AD396" s="273"/>
      <c r="AE396" s="273"/>
      <c r="AF396" s="273"/>
    </row>
    <row r="397" spans="2:32">
      <c r="B397" s="519"/>
      <c r="C397" s="520" t="s">
        <v>66</v>
      </c>
      <c r="D397" s="520" t="s">
        <v>55</v>
      </c>
      <c r="E397" s="520"/>
      <c r="F397" s="520"/>
      <c r="G397" s="527">
        <v>0.01</v>
      </c>
      <c r="H397" s="527"/>
      <c r="I397" s="529">
        <v>0.4</v>
      </c>
      <c r="J397" s="596"/>
      <c r="K397" s="521">
        <v>125</v>
      </c>
      <c r="L397" s="273"/>
      <c r="M397" s="273"/>
      <c r="N397" s="273"/>
      <c r="P397" s="274"/>
      <c r="Q397" s="274"/>
      <c r="R397" s="274"/>
      <c r="S397" s="274"/>
      <c r="T397" s="273"/>
      <c r="U397" s="273"/>
      <c r="V397" s="273"/>
      <c r="W397" s="273"/>
      <c r="X397" s="273"/>
      <c r="Y397" s="273"/>
      <c r="Z397" s="273"/>
      <c r="AA397" s="273"/>
      <c r="AB397" s="273"/>
      <c r="AC397" s="273"/>
      <c r="AD397" s="273"/>
      <c r="AE397" s="273"/>
      <c r="AF397" s="273"/>
    </row>
    <row r="398" spans="2:32">
      <c r="B398" s="519"/>
      <c r="C398" s="520" t="s">
        <v>66</v>
      </c>
      <c r="D398" s="520" t="s">
        <v>57</v>
      </c>
      <c r="E398" s="520"/>
      <c r="F398" s="520"/>
      <c r="G398" s="527">
        <v>0.01</v>
      </c>
      <c r="H398" s="527"/>
      <c r="I398" s="529">
        <v>0.4</v>
      </c>
      <c r="J398" s="596"/>
      <c r="K398" s="521">
        <v>125</v>
      </c>
      <c r="L398" s="273"/>
      <c r="M398" s="273"/>
      <c r="N398" s="273"/>
      <c r="P398" s="274"/>
      <c r="Q398" s="274"/>
      <c r="R398" s="274"/>
      <c r="S398" s="274"/>
      <c r="T398" s="273"/>
      <c r="U398" s="273"/>
      <c r="V398" s="273"/>
      <c r="W398" s="273"/>
      <c r="X398" s="273"/>
      <c r="Y398" s="273"/>
      <c r="Z398" s="273"/>
      <c r="AA398" s="273"/>
      <c r="AB398" s="273"/>
      <c r="AC398" s="273"/>
      <c r="AD398" s="273"/>
      <c r="AE398" s="273"/>
      <c r="AF398" s="273"/>
    </row>
    <row r="399" spans="2:32" ht="12" thickBot="1">
      <c r="B399" s="522"/>
      <c r="C399" s="523" t="s">
        <v>66</v>
      </c>
      <c r="D399" s="523" t="s">
        <v>59</v>
      </c>
      <c r="E399" s="523"/>
      <c r="F399" s="523"/>
      <c r="G399" s="528">
        <v>0.01</v>
      </c>
      <c r="H399" s="528"/>
      <c r="I399" s="530">
        <v>0.4</v>
      </c>
      <c r="J399" s="605"/>
      <c r="K399" s="524">
        <v>125</v>
      </c>
      <c r="L399" s="273"/>
      <c r="M399" s="273"/>
      <c r="N399" s="273"/>
      <c r="P399" s="274"/>
      <c r="Q399" s="274"/>
      <c r="R399" s="274"/>
      <c r="S399" s="274"/>
      <c r="T399" s="273"/>
      <c r="U399" s="273"/>
      <c r="V399" s="273"/>
      <c r="W399" s="273"/>
      <c r="X399" s="273"/>
      <c r="Y399" s="273"/>
      <c r="Z399" s="273"/>
      <c r="AA399" s="273"/>
      <c r="AB399" s="273"/>
      <c r="AC399" s="273"/>
      <c r="AD399" s="273"/>
      <c r="AE399" s="273"/>
      <c r="AF399" s="273"/>
    </row>
    <row r="400" spans="2:32">
      <c r="D400" s="273"/>
      <c r="E400" s="273"/>
      <c r="F400" s="273"/>
      <c r="G400" s="273"/>
      <c r="H400" s="273"/>
      <c r="I400" s="273"/>
      <c r="J400" s="273"/>
      <c r="K400" s="273"/>
      <c r="L400" s="273"/>
      <c r="M400" s="273"/>
      <c r="N400" s="273"/>
      <c r="P400" s="274"/>
      <c r="Q400" s="274"/>
      <c r="R400" s="274"/>
      <c r="S400" s="274"/>
      <c r="T400" s="273"/>
      <c r="U400" s="273"/>
      <c r="V400" s="273"/>
      <c r="W400" s="273"/>
      <c r="X400" s="273"/>
      <c r="Y400" s="273"/>
      <c r="Z400" s="273"/>
      <c r="AA400" s="273"/>
      <c r="AB400" s="273"/>
      <c r="AC400" s="273"/>
      <c r="AD400" s="273"/>
      <c r="AE400" s="273"/>
      <c r="AF400" s="273"/>
    </row>
    <row r="401" spans="15:19" s="273" customFormat="1">
      <c r="O401" s="274"/>
      <c r="P401" s="274"/>
      <c r="Q401" s="274"/>
      <c r="R401" s="274"/>
      <c r="S401" s="274"/>
    </row>
    <row r="402" spans="15:19" s="273" customFormat="1">
      <c r="O402" s="274"/>
      <c r="P402" s="274"/>
      <c r="Q402" s="274"/>
      <c r="R402" s="274"/>
      <c r="S402" s="274"/>
    </row>
    <row r="403" spans="15:19" s="273" customFormat="1">
      <c r="O403" s="274"/>
      <c r="P403" s="274"/>
      <c r="Q403" s="274"/>
      <c r="R403" s="274"/>
      <c r="S403" s="274"/>
    </row>
    <row r="404" spans="15:19" s="273" customFormat="1">
      <c r="O404" s="274"/>
      <c r="P404" s="274"/>
      <c r="Q404" s="274"/>
      <c r="R404" s="274"/>
      <c r="S404" s="274"/>
    </row>
    <row r="405" spans="15:19" s="273" customFormat="1">
      <c r="O405" s="274"/>
      <c r="P405" s="274"/>
      <c r="Q405" s="274"/>
      <c r="R405" s="274"/>
      <c r="S405" s="274"/>
    </row>
    <row r="406" spans="15:19" s="273" customFormat="1">
      <c r="O406" s="274"/>
      <c r="P406" s="274"/>
      <c r="Q406" s="274"/>
      <c r="R406" s="274"/>
      <c r="S406" s="274"/>
    </row>
    <row r="407" spans="15:19" s="273" customFormat="1">
      <c r="O407" s="274"/>
      <c r="P407" s="274"/>
      <c r="Q407" s="274"/>
      <c r="R407" s="274"/>
      <c r="S407" s="274"/>
    </row>
    <row r="408" spans="15:19" s="273" customFormat="1">
      <c r="O408" s="274"/>
      <c r="P408" s="274"/>
      <c r="Q408" s="274"/>
      <c r="R408" s="274"/>
      <c r="S408" s="274"/>
    </row>
    <row r="409" spans="15:19" s="273" customFormat="1">
      <c r="O409" s="274"/>
      <c r="P409" s="274"/>
      <c r="Q409" s="274"/>
      <c r="R409" s="274"/>
      <c r="S409" s="274"/>
    </row>
    <row r="410" spans="15:19" s="273" customFormat="1">
      <c r="O410" s="274"/>
      <c r="P410" s="274"/>
      <c r="Q410" s="274"/>
      <c r="R410" s="274"/>
      <c r="S410" s="274"/>
    </row>
    <row r="411" spans="15:19" s="273" customFormat="1">
      <c r="O411" s="274"/>
      <c r="P411" s="274"/>
      <c r="Q411" s="274"/>
      <c r="R411" s="274"/>
      <c r="S411" s="274"/>
    </row>
    <row r="412" spans="15:19" s="273" customFormat="1">
      <c r="O412" s="274"/>
      <c r="P412" s="274"/>
      <c r="Q412" s="274"/>
      <c r="R412" s="274"/>
      <c r="S412" s="274"/>
    </row>
    <row r="413" spans="15:19" s="273" customFormat="1">
      <c r="O413" s="274"/>
      <c r="P413" s="274"/>
      <c r="Q413" s="274"/>
      <c r="R413" s="274"/>
      <c r="S413" s="274"/>
    </row>
    <row r="414" spans="15:19" s="273" customFormat="1">
      <c r="O414" s="274"/>
      <c r="P414" s="274"/>
      <c r="Q414" s="274"/>
      <c r="R414" s="274"/>
      <c r="S414" s="274"/>
    </row>
    <row r="415" spans="15:19" s="273" customFormat="1">
      <c r="O415" s="274"/>
      <c r="P415" s="274"/>
      <c r="Q415" s="274"/>
      <c r="R415" s="274"/>
      <c r="S415" s="274"/>
    </row>
    <row r="416" spans="15:19" s="273" customFormat="1">
      <c r="O416" s="274"/>
      <c r="P416" s="274"/>
      <c r="Q416" s="274"/>
      <c r="R416" s="274"/>
      <c r="S416" s="274"/>
    </row>
    <row r="417" spans="15:19" s="273" customFormat="1">
      <c r="O417" s="274"/>
      <c r="P417" s="274"/>
      <c r="Q417" s="274"/>
      <c r="R417" s="274"/>
      <c r="S417" s="274"/>
    </row>
    <row r="418" spans="15:19" s="273" customFormat="1">
      <c r="O418" s="274"/>
      <c r="P418" s="274"/>
      <c r="Q418" s="274"/>
      <c r="R418" s="274"/>
      <c r="S418" s="274"/>
    </row>
    <row r="419" spans="15:19" s="273" customFormat="1">
      <c r="O419" s="274"/>
      <c r="P419" s="274"/>
      <c r="Q419" s="274"/>
      <c r="R419" s="274"/>
      <c r="S419" s="274"/>
    </row>
    <row r="420" spans="15:19" s="273" customFormat="1">
      <c r="O420" s="274"/>
      <c r="P420" s="274"/>
      <c r="Q420" s="274"/>
      <c r="R420" s="274"/>
      <c r="S420" s="274"/>
    </row>
    <row r="421" spans="15:19" s="273" customFormat="1">
      <c r="O421" s="274"/>
      <c r="P421" s="274"/>
      <c r="Q421" s="274"/>
      <c r="R421" s="274"/>
      <c r="S421" s="274"/>
    </row>
    <row r="422" spans="15:19" s="273" customFormat="1">
      <c r="O422" s="274"/>
      <c r="P422" s="274"/>
      <c r="Q422" s="274"/>
      <c r="R422" s="274"/>
      <c r="S422" s="274"/>
    </row>
    <row r="423" spans="15:19" s="273" customFormat="1">
      <c r="O423" s="274"/>
      <c r="P423" s="274"/>
      <c r="Q423" s="274"/>
      <c r="R423" s="274"/>
      <c r="S423" s="274"/>
    </row>
    <row r="424" spans="15:19" s="273" customFormat="1">
      <c r="O424" s="274"/>
      <c r="P424" s="274"/>
      <c r="Q424" s="274"/>
      <c r="R424" s="274"/>
      <c r="S424" s="274"/>
    </row>
    <row r="425" spans="15:19" s="273" customFormat="1">
      <c r="O425" s="274"/>
      <c r="P425" s="274"/>
      <c r="Q425" s="274"/>
      <c r="R425" s="274"/>
      <c r="S425" s="274"/>
    </row>
    <row r="426" spans="15:19" s="273" customFormat="1">
      <c r="O426" s="274"/>
      <c r="P426" s="274"/>
      <c r="Q426" s="274"/>
      <c r="R426" s="274"/>
      <c r="S426" s="274"/>
    </row>
    <row r="427" spans="15:19" s="273" customFormat="1">
      <c r="O427" s="274"/>
      <c r="P427" s="274"/>
      <c r="Q427" s="274"/>
      <c r="R427" s="274"/>
      <c r="S427" s="274"/>
    </row>
    <row r="428" spans="15:19" s="273" customFormat="1">
      <c r="O428" s="274"/>
      <c r="P428" s="274"/>
      <c r="Q428" s="274"/>
      <c r="R428" s="274"/>
      <c r="S428" s="274"/>
    </row>
    <row r="429" spans="15:19" s="273" customFormat="1">
      <c r="O429" s="274"/>
      <c r="P429" s="274"/>
      <c r="Q429" s="274"/>
      <c r="R429" s="274"/>
      <c r="S429" s="274"/>
    </row>
    <row r="430" spans="15:19" s="273" customFormat="1">
      <c r="O430" s="274"/>
      <c r="P430" s="274"/>
      <c r="Q430" s="274"/>
      <c r="R430" s="274"/>
      <c r="S430" s="274"/>
    </row>
    <row r="431" spans="15:19" s="273" customFormat="1">
      <c r="O431" s="274"/>
      <c r="P431" s="274"/>
      <c r="Q431" s="274"/>
      <c r="R431" s="274"/>
      <c r="S431" s="274"/>
    </row>
    <row r="432" spans="15:19" s="273" customFormat="1">
      <c r="O432" s="274"/>
      <c r="P432" s="274"/>
      <c r="Q432" s="274"/>
      <c r="R432" s="274"/>
      <c r="S432" s="274"/>
    </row>
    <row r="433" spans="15:19" s="273" customFormat="1">
      <c r="O433" s="274"/>
      <c r="P433" s="274"/>
      <c r="Q433" s="274"/>
      <c r="R433" s="274"/>
      <c r="S433" s="274"/>
    </row>
    <row r="434" spans="15:19" s="273" customFormat="1">
      <c r="O434" s="274"/>
      <c r="P434" s="274"/>
      <c r="Q434" s="274"/>
      <c r="R434" s="274"/>
      <c r="S434" s="274"/>
    </row>
    <row r="435" spans="15:19" s="273" customFormat="1">
      <c r="O435" s="274"/>
      <c r="P435" s="274"/>
      <c r="Q435" s="274"/>
      <c r="R435" s="274"/>
      <c r="S435" s="274"/>
    </row>
    <row r="436" spans="15:19" s="273" customFormat="1">
      <c r="O436" s="274"/>
      <c r="P436" s="274"/>
      <c r="Q436" s="274"/>
      <c r="R436" s="274"/>
      <c r="S436" s="274"/>
    </row>
    <row r="437" spans="15:19" s="273" customFormat="1">
      <c r="O437" s="274"/>
      <c r="P437" s="274"/>
      <c r="Q437" s="274"/>
      <c r="R437" s="274"/>
      <c r="S437" s="274"/>
    </row>
    <row r="438" spans="15:19" s="273" customFormat="1">
      <c r="O438" s="274"/>
      <c r="P438" s="274"/>
      <c r="Q438" s="274"/>
      <c r="R438" s="274"/>
      <c r="S438" s="274"/>
    </row>
    <row r="439" spans="15:19" s="273" customFormat="1">
      <c r="O439" s="274"/>
      <c r="P439" s="274"/>
      <c r="Q439" s="274"/>
      <c r="R439" s="274"/>
      <c r="S439" s="274"/>
    </row>
    <row r="440" spans="15:19" s="273" customFormat="1">
      <c r="O440" s="274"/>
      <c r="P440" s="274"/>
      <c r="Q440" s="274"/>
      <c r="R440" s="274"/>
      <c r="S440" s="274"/>
    </row>
    <row r="441" spans="15:19" s="273" customFormat="1">
      <c r="O441" s="274"/>
      <c r="P441" s="274"/>
      <c r="Q441" s="274"/>
      <c r="R441" s="274"/>
      <c r="S441" s="274"/>
    </row>
    <row r="442" spans="15:19" s="273" customFormat="1">
      <c r="O442" s="274"/>
      <c r="P442" s="274"/>
      <c r="Q442" s="274"/>
      <c r="R442" s="274"/>
      <c r="S442" s="274"/>
    </row>
    <row r="443" spans="15:19" s="273" customFormat="1">
      <c r="O443" s="274"/>
      <c r="P443" s="274"/>
      <c r="Q443" s="274"/>
      <c r="R443" s="274"/>
      <c r="S443" s="274"/>
    </row>
    <row r="444" spans="15:19" s="273" customFormat="1">
      <c r="O444" s="274"/>
      <c r="P444" s="274"/>
      <c r="Q444" s="274"/>
      <c r="R444" s="274"/>
      <c r="S444" s="274"/>
    </row>
    <row r="445" spans="15:19" s="273" customFormat="1">
      <c r="O445" s="274"/>
      <c r="P445" s="274"/>
      <c r="Q445" s="274"/>
      <c r="R445" s="274"/>
      <c r="S445" s="274"/>
    </row>
    <row r="446" spans="15:19" s="273" customFormat="1">
      <c r="O446" s="274"/>
      <c r="P446" s="274"/>
      <c r="Q446" s="274"/>
      <c r="R446" s="274"/>
      <c r="S446" s="274"/>
    </row>
    <row r="447" spans="15:19" s="273" customFormat="1">
      <c r="O447" s="274"/>
      <c r="P447" s="274"/>
      <c r="Q447" s="274"/>
      <c r="R447" s="274"/>
      <c r="S447" s="274"/>
    </row>
    <row r="448" spans="15:19" s="273" customFormat="1">
      <c r="O448" s="274"/>
      <c r="P448" s="274"/>
      <c r="Q448" s="274"/>
      <c r="R448" s="274"/>
      <c r="S448" s="274"/>
    </row>
    <row r="449" spans="15:19" s="273" customFormat="1">
      <c r="O449" s="274"/>
      <c r="P449" s="274"/>
      <c r="Q449" s="274"/>
      <c r="R449" s="274"/>
      <c r="S449" s="274"/>
    </row>
    <row r="450" spans="15:19" s="273" customFormat="1">
      <c r="O450" s="274"/>
      <c r="P450" s="274"/>
      <c r="Q450" s="274"/>
      <c r="R450" s="274"/>
      <c r="S450" s="274"/>
    </row>
    <row r="451" spans="15:19" s="273" customFormat="1">
      <c r="O451" s="274"/>
      <c r="P451" s="274"/>
      <c r="Q451" s="274"/>
      <c r="R451" s="274"/>
      <c r="S451" s="274"/>
    </row>
    <row r="452" spans="15:19" s="273" customFormat="1">
      <c r="O452" s="274"/>
      <c r="P452" s="274"/>
      <c r="Q452" s="274"/>
      <c r="R452" s="274"/>
      <c r="S452" s="274"/>
    </row>
    <row r="453" spans="15:19" s="273" customFormat="1">
      <c r="O453" s="274"/>
      <c r="P453" s="274"/>
      <c r="Q453" s="274"/>
      <c r="R453" s="274"/>
      <c r="S453" s="274"/>
    </row>
    <row r="454" spans="15:19" s="273" customFormat="1">
      <c r="O454" s="274"/>
      <c r="P454" s="274"/>
      <c r="Q454" s="274"/>
      <c r="R454" s="274"/>
      <c r="S454" s="274"/>
    </row>
    <row r="455" spans="15:19" s="273" customFormat="1">
      <c r="O455" s="274"/>
      <c r="P455" s="274"/>
      <c r="Q455" s="274"/>
      <c r="R455" s="274"/>
      <c r="S455" s="274"/>
    </row>
    <row r="456" spans="15:19" s="273" customFormat="1">
      <c r="O456" s="274"/>
      <c r="P456" s="274"/>
      <c r="Q456" s="274"/>
      <c r="R456" s="274"/>
      <c r="S456" s="274"/>
    </row>
    <row r="457" spans="15:19" s="273" customFormat="1">
      <c r="O457" s="274"/>
      <c r="P457" s="274"/>
      <c r="Q457" s="274"/>
      <c r="R457" s="274"/>
      <c r="S457" s="274"/>
    </row>
    <row r="458" spans="15:19" s="273" customFormat="1">
      <c r="O458" s="274"/>
      <c r="P458" s="274"/>
      <c r="Q458" s="274"/>
      <c r="R458" s="274"/>
      <c r="S458" s="274"/>
    </row>
    <row r="459" spans="15:19" s="273" customFormat="1">
      <c r="O459" s="274"/>
      <c r="P459" s="274"/>
      <c r="Q459" s="274"/>
      <c r="R459" s="274"/>
      <c r="S459" s="274"/>
    </row>
    <row r="460" spans="15:19" s="273" customFormat="1">
      <c r="O460" s="274"/>
      <c r="P460" s="274"/>
      <c r="Q460" s="274"/>
      <c r="R460" s="274"/>
      <c r="S460" s="274"/>
    </row>
    <row r="461" spans="15:19" s="273" customFormat="1">
      <c r="O461" s="274"/>
      <c r="P461" s="274"/>
      <c r="Q461" s="274"/>
      <c r="R461" s="274"/>
      <c r="S461" s="274"/>
    </row>
    <row r="462" spans="15:19" s="273" customFormat="1">
      <c r="O462" s="274"/>
      <c r="P462" s="274"/>
      <c r="Q462" s="274"/>
      <c r="R462" s="274"/>
      <c r="S462" s="274"/>
    </row>
    <row r="463" spans="15:19" s="273" customFormat="1">
      <c r="O463" s="274"/>
      <c r="P463" s="274"/>
      <c r="Q463" s="274"/>
      <c r="R463" s="274"/>
      <c r="S463" s="274"/>
    </row>
    <row r="464" spans="15:19" s="273" customFormat="1">
      <c r="O464" s="274"/>
      <c r="P464" s="274"/>
      <c r="Q464" s="274"/>
      <c r="R464" s="274"/>
      <c r="S464" s="274"/>
    </row>
    <row r="465" spans="15:19" s="273" customFormat="1">
      <c r="O465" s="274"/>
      <c r="P465" s="274"/>
      <c r="Q465" s="274"/>
      <c r="R465" s="274"/>
      <c r="S465" s="274"/>
    </row>
    <row r="466" spans="15:19" s="273" customFormat="1">
      <c r="O466" s="274"/>
      <c r="P466" s="274"/>
      <c r="Q466" s="274"/>
      <c r="R466" s="274"/>
      <c r="S466" s="274"/>
    </row>
    <row r="467" spans="15:19" s="273" customFormat="1">
      <c r="O467" s="274"/>
      <c r="P467" s="274"/>
      <c r="Q467" s="274"/>
      <c r="R467" s="274"/>
      <c r="S467" s="274"/>
    </row>
    <row r="468" spans="15:19" s="273" customFormat="1">
      <c r="O468" s="274"/>
      <c r="P468" s="274"/>
      <c r="Q468" s="274"/>
      <c r="R468" s="274"/>
      <c r="S468" s="274"/>
    </row>
    <row r="469" spans="15:19" s="273" customFormat="1">
      <c r="O469" s="274"/>
      <c r="P469" s="274"/>
      <c r="Q469" s="274"/>
      <c r="R469" s="274"/>
      <c r="S469" s="274"/>
    </row>
    <row r="470" spans="15:19" s="273" customFormat="1">
      <c r="O470" s="274"/>
      <c r="P470" s="274"/>
      <c r="Q470" s="274"/>
      <c r="R470" s="274"/>
      <c r="S470" s="274"/>
    </row>
    <row r="471" spans="15:19" s="273" customFormat="1">
      <c r="O471" s="274"/>
      <c r="P471" s="274"/>
      <c r="Q471" s="274"/>
      <c r="R471" s="274"/>
      <c r="S471" s="274"/>
    </row>
    <row r="472" spans="15:19" s="273" customFormat="1">
      <c r="O472" s="274"/>
      <c r="P472" s="274"/>
      <c r="Q472" s="274"/>
      <c r="R472" s="274"/>
      <c r="S472" s="274"/>
    </row>
    <row r="473" spans="15:19" s="273" customFormat="1">
      <c r="O473" s="274"/>
      <c r="P473" s="274"/>
      <c r="Q473" s="274"/>
      <c r="R473" s="274"/>
      <c r="S473" s="274"/>
    </row>
    <row r="474" spans="15:19" s="273" customFormat="1">
      <c r="O474" s="274"/>
      <c r="P474" s="274"/>
      <c r="Q474" s="274"/>
      <c r="R474" s="274"/>
      <c r="S474" s="274"/>
    </row>
    <row r="475" spans="15:19" s="273" customFormat="1">
      <c r="O475" s="274"/>
      <c r="P475" s="274"/>
      <c r="Q475" s="274"/>
      <c r="R475" s="274"/>
      <c r="S475" s="274"/>
    </row>
    <row r="476" spans="15:19" s="273" customFormat="1">
      <c r="O476" s="274"/>
      <c r="P476" s="274"/>
      <c r="Q476" s="274"/>
      <c r="R476" s="274"/>
      <c r="S476" s="274"/>
    </row>
    <row r="477" spans="15:19" s="273" customFormat="1">
      <c r="O477" s="274"/>
      <c r="P477" s="274"/>
      <c r="Q477" s="274"/>
      <c r="R477" s="274"/>
      <c r="S477" s="274"/>
    </row>
    <row r="478" spans="15:19" s="273" customFormat="1">
      <c r="O478" s="274"/>
      <c r="P478" s="274"/>
      <c r="Q478" s="274"/>
      <c r="R478" s="274"/>
      <c r="S478" s="274"/>
    </row>
    <row r="479" spans="15:19" s="273" customFormat="1">
      <c r="O479" s="274"/>
      <c r="P479" s="274"/>
      <c r="Q479" s="274"/>
      <c r="R479" s="274"/>
      <c r="S479" s="274"/>
    </row>
    <row r="480" spans="15:19" s="273" customFormat="1">
      <c r="O480" s="274"/>
      <c r="P480" s="274"/>
      <c r="Q480" s="274"/>
      <c r="R480" s="274"/>
      <c r="S480" s="274"/>
    </row>
    <row r="481" spans="15:19" s="273" customFormat="1">
      <c r="O481" s="274"/>
      <c r="P481" s="274"/>
      <c r="Q481" s="274"/>
      <c r="R481" s="274"/>
      <c r="S481" s="274"/>
    </row>
    <row r="482" spans="15:19" s="273" customFormat="1">
      <c r="O482" s="274"/>
      <c r="P482" s="274"/>
      <c r="Q482" s="274"/>
      <c r="R482" s="274"/>
      <c r="S482" s="274"/>
    </row>
    <row r="483" spans="15:19" s="273" customFormat="1">
      <c r="O483" s="274"/>
      <c r="P483" s="274"/>
      <c r="Q483" s="274"/>
      <c r="R483" s="274"/>
      <c r="S483" s="274"/>
    </row>
    <row r="484" spans="15:19" s="273" customFormat="1">
      <c r="O484" s="274"/>
      <c r="P484" s="274"/>
      <c r="Q484" s="274"/>
      <c r="R484" s="274"/>
      <c r="S484" s="274"/>
    </row>
    <row r="485" spans="15:19" s="273" customFormat="1">
      <c r="O485" s="274"/>
      <c r="P485" s="274"/>
      <c r="Q485" s="274"/>
      <c r="R485" s="274"/>
      <c r="S485" s="274"/>
    </row>
    <row r="486" spans="15:19" s="273" customFormat="1">
      <c r="O486" s="274"/>
      <c r="P486" s="274"/>
      <c r="Q486" s="274"/>
      <c r="R486" s="274"/>
      <c r="S486" s="274"/>
    </row>
    <row r="487" spans="15:19" s="273" customFormat="1">
      <c r="O487" s="274"/>
      <c r="P487" s="274"/>
      <c r="Q487" s="274"/>
      <c r="R487" s="274"/>
      <c r="S487" s="274"/>
    </row>
    <row r="488" spans="15:19" s="273" customFormat="1">
      <c r="O488" s="274"/>
      <c r="P488" s="274"/>
      <c r="Q488" s="274"/>
      <c r="R488" s="274"/>
      <c r="S488" s="274"/>
    </row>
    <row r="489" spans="15:19" s="273" customFormat="1">
      <c r="O489" s="274"/>
      <c r="P489" s="274"/>
      <c r="Q489" s="274"/>
      <c r="R489" s="274"/>
      <c r="S489" s="274"/>
    </row>
    <row r="490" spans="15:19" s="273" customFormat="1">
      <c r="O490" s="274"/>
      <c r="P490" s="274"/>
      <c r="Q490" s="274"/>
      <c r="R490" s="274"/>
      <c r="S490" s="274"/>
    </row>
    <row r="491" spans="15:19" s="273" customFormat="1">
      <c r="O491" s="274"/>
      <c r="P491" s="274"/>
      <c r="Q491" s="274"/>
      <c r="R491" s="274"/>
      <c r="S491" s="274"/>
    </row>
    <row r="492" spans="15:19" s="273" customFormat="1">
      <c r="O492" s="274"/>
      <c r="P492" s="274"/>
      <c r="Q492" s="274"/>
      <c r="R492" s="274"/>
      <c r="S492" s="274"/>
    </row>
    <row r="493" spans="15:19" s="273" customFormat="1">
      <c r="O493" s="274"/>
      <c r="P493" s="274"/>
      <c r="Q493" s="274"/>
      <c r="R493" s="274"/>
      <c r="S493" s="274"/>
    </row>
    <row r="494" spans="15:19" s="273" customFormat="1">
      <c r="O494" s="274"/>
      <c r="P494" s="274"/>
      <c r="Q494" s="274"/>
      <c r="R494" s="274"/>
      <c r="S494" s="274"/>
    </row>
    <row r="495" spans="15:19" s="273" customFormat="1">
      <c r="O495" s="274"/>
      <c r="P495" s="274"/>
      <c r="Q495" s="274"/>
      <c r="R495" s="274"/>
      <c r="S495" s="274"/>
    </row>
    <row r="496" spans="15:19" s="273" customFormat="1">
      <c r="O496" s="274"/>
      <c r="P496" s="274"/>
      <c r="Q496" s="274"/>
      <c r="R496" s="274"/>
      <c r="S496" s="274"/>
    </row>
    <row r="497" spans="15:19" s="273" customFormat="1">
      <c r="O497" s="274"/>
      <c r="P497" s="274"/>
      <c r="Q497" s="274"/>
      <c r="R497" s="274"/>
      <c r="S497" s="274"/>
    </row>
    <row r="498" spans="15:19" s="273" customFormat="1">
      <c r="O498" s="274"/>
      <c r="P498" s="274"/>
      <c r="Q498" s="274"/>
      <c r="R498" s="274"/>
      <c r="S498" s="274"/>
    </row>
    <row r="499" spans="15:19" s="273" customFormat="1">
      <c r="O499" s="274"/>
      <c r="P499" s="274"/>
      <c r="Q499" s="274"/>
      <c r="R499" s="274"/>
      <c r="S499" s="274"/>
    </row>
    <row r="500" spans="15:19" s="273" customFormat="1">
      <c r="O500" s="274"/>
      <c r="P500" s="274"/>
      <c r="Q500" s="274"/>
      <c r="R500" s="274"/>
      <c r="S500" s="274"/>
    </row>
    <row r="501" spans="15:19" s="273" customFormat="1">
      <c r="O501" s="274"/>
      <c r="P501" s="274"/>
      <c r="Q501" s="274"/>
      <c r="R501" s="274"/>
      <c r="S501" s="274"/>
    </row>
    <row r="502" spans="15:19" s="273" customFormat="1">
      <c r="O502" s="274"/>
      <c r="P502" s="274"/>
      <c r="Q502" s="274"/>
      <c r="R502" s="274"/>
      <c r="S502" s="274"/>
    </row>
    <row r="503" spans="15:19" s="273" customFormat="1">
      <c r="O503" s="274"/>
      <c r="P503" s="274"/>
      <c r="Q503" s="274"/>
      <c r="R503" s="274"/>
      <c r="S503" s="274"/>
    </row>
    <row r="504" spans="15:19" s="273" customFormat="1">
      <c r="O504" s="274"/>
      <c r="P504" s="274"/>
      <c r="Q504" s="274"/>
      <c r="R504" s="274"/>
      <c r="S504" s="274"/>
    </row>
    <row r="505" spans="15:19" s="273" customFormat="1">
      <c r="O505" s="274"/>
      <c r="P505" s="274"/>
      <c r="Q505" s="274"/>
      <c r="R505" s="274"/>
      <c r="S505" s="274"/>
    </row>
    <row r="506" spans="15:19" s="273" customFormat="1">
      <c r="O506" s="274"/>
      <c r="P506" s="274"/>
      <c r="Q506" s="274"/>
      <c r="R506" s="274"/>
      <c r="S506" s="274"/>
    </row>
    <row r="507" spans="15:19" s="273" customFormat="1">
      <c r="O507" s="274"/>
      <c r="P507" s="274"/>
      <c r="Q507" s="274"/>
      <c r="R507" s="274"/>
      <c r="S507" s="274"/>
    </row>
    <row r="508" spans="15:19" s="273" customFormat="1">
      <c r="O508" s="274"/>
      <c r="P508" s="274"/>
      <c r="Q508" s="274"/>
      <c r="R508" s="274"/>
      <c r="S508" s="274"/>
    </row>
    <row r="509" spans="15:19" s="273" customFormat="1">
      <c r="O509" s="274"/>
      <c r="P509" s="274"/>
      <c r="Q509" s="274"/>
      <c r="R509" s="274"/>
      <c r="S509" s="274"/>
    </row>
    <row r="510" spans="15:19" s="273" customFormat="1">
      <c r="O510" s="274"/>
      <c r="P510" s="274"/>
      <c r="Q510" s="274"/>
      <c r="R510" s="274"/>
      <c r="S510" s="274"/>
    </row>
    <row r="511" spans="15:19" s="273" customFormat="1">
      <c r="O511" s="274"/>
      <c r="P511" s="274"/>
      <c r="Q511" s="274"/>
      <c r="R511" s="274"/>
      <c r="S511" s="274"/>
    </row>
    <row r="512" spans="15:19" s="273" customFormat="1">
      <c r="O512" s="274"/>
      <c r="P512" s="274"/>
      <c r="Q512" s="274"/>
      <c r="R512" s="274"/>
      <c r="S512" s="274"/>
    </row>
    <row r="513" spans="15:19" s="273" customFormat="1">
      <c r="O513" s="274"/>
      <c r="P513" s="274"/>
      <c r="Q513" s="274"/>
      <c r="R513" s="274"/>
      <c r="S513" s="274"/>
    </row>
    <row r="514" spans="15:19" s="273" customFormat="1">
      <c r="O514" s="274"/>
      <c r="P514" s="274"/>
      <c r="Q514" s="274"/>
      <c r="R514" s="274"/>
      <c r="S514" s="274"/>
    </row>
    <row r="515" spans="15:19" s="273" customFormat="1">
      <c r="P515" s="274"/>
      <c r="Q515" s="274"/>
      <c r="R515" s="274"/>
      <c r="S515" s="274"/>
    </row>
    <row r="516" spans="15:19" s="273" customFormat="1">
      <c r="P516" s="274"/>
      <c r="Q516" s="274"/>
      <c r="R516" s="274"/>
      <c r="S516" s="274"/>
    </row>
    <row r="517" spans="15:19" s="273" customFormat="1">
      <c r="P517" s="274"/>
      <c r="Q517" s="274"/>
      <c r="R517" s="274"/>
      <c r="S517" s="274"/>
    </row>
    <row r="518" spans="15:19" s="273" customFormat="1">
      <c r="P518" s="274"/>
      <c r="Q518" s="274"/>
      <c r="R518" s="274"/>
      <c r="S518" s="274"/>
    </row>
    <row r="519" spans="15:19" s="273" customFormat="1">
      <c r="P519" s="274"/>
      <c r="Q519" s="274"/>
      <c r="R519" s="274"/>
      <c r="S519" s="274"/>
    </row>
    <row r="520" spans="15:19" s="273" customFormat="1">
      <c r="P520" s="274"/>
      <c r="Q520" s="274"/>
      <c r="R520" s="274"/>
      <c r="S520" s="274"/>
    </row>
    <row r="521" spans="15:19" s="273" customFormat="1">
      <c r="P521" s="274"/>
      <c r="Q521" s="274"/>
      <c r="R521" s="274"/>
      <c r="S521" s="274"/>
    </row>
    <row r="522" spans="15:19" s="273" customFormat="1">
      <c r="P522" s="274"/>
      <c r="Q522" s="274"/>
      <c r="R522" s="274"/>
      <c r="S522" s="274"/>
    </row>
    <row r="523" spans="15:19" s="273" customFormat="1">
      <c r="P523" s="274"/>
      <c r="Q523" s="274"/>
      <c r="R523" s="274"/>
      <c r="S523" s="274"/>
    </row>
    <row r="524" spans="15:19" s="273" customFormat="1">
      <c r="P524" s="274"/>
      <c r="Q524" s="274"/>
      <c r="R524" s="274"/>
      <c r="S524" s="274"/>
    </row>
    <row r="525" spans="15:19" s="273" customFormat="1">
      <c r="P525" s="274"/>
      <c r="Q525" s="274"/>
      <c r="R525" s="274"/>
      <c r="S525" s="274"/>
    </row>
    <row r="526" spans="15:19" s="273" customFormat="1">
      <c r="P526" s="274"/>
      <c r="Q526" s="274"/>
      <c r="R526" s="274"/>
      <c r="S526" s="274"/>
    </row>
    <row r="527" spans="15:19" s="273" customFormat="1">
      <c r="P527" s="274"/>
      <c r="Q527" s="274"/>
      <c r="R527" s="274"/>
      <c r="S527" s="274"/>
    </row>
    <row r="528" spans="15:19" s="273" customFormat="1">
      <c r="P528" s="274"/>
      <c r="Q528" s="274"/>
      <c r="R528" s="274"/>
      <c r="S528" s="274"/>
    </row>
    <row r="529" spans="16:19" s="273" customFormat="1">
      <c r="P529" s="274"/>
      <c r="Q529" s="274"/>
      <c r="R529" s="274"/>
      <c r="S529" s="274"/>
    </row>
    <row r="530" spans="16:19" s="273" customFormat="1">
      <c r="P530" s="274"/>
      <c r="Q530" s="274"/>
      <c r="R530" s="274"/>
      <c r="S530" s="274"/>
    </row>
    <row r="531" spans="16:19" s="273" customFormat="1">
      <c r="P531" s="274"/>
      <c r="Q531" s="274"/>
      <c r="R531" s="274"/>
      <c r="S531" s="274"/>
    </row>
    <row r="532" spans="16:19" s="273" customFormat="1">
      <c r="P532" s="274"/>
      <c r="Q532" s="274"/>
      <c r="R532" s="274"/>
      <c r="S532" s="274"/>
    </row>
    <row r="533" spans="16:19" s="273" customFormat="1">
      <c r="P533" s="274"/>
      <c r="Q533" s="274"/>
      <c r="R533" s="274"/>
      <c r="S533" s="274"/>
    </row>
    <row r="534" spans="16:19" s="273" customFormat="1">
      <c r="P534" s="274"/>
      <c r="Q534" s="274"/>
      <c r="R534" s="274"/>
      <c r="S534" s="274"/>
    </row>
    <row r="535" spans="16:19" s="273" customFormat="1">
      <c r="P535" s="274"/>
      <c r="Q535" s="274"/>
      <c r="R535" s="274"/>
      <c r="S535" s="274"/>
    </row>
    <row r="536" spans="16:19" s="273" customFormat="1">
      <c r="P536" s="274"/>
      <c r="Q536" s="274"/>
      <c r="R536" s="274"/>
      <c r="S536" s="274"/>
    </row>
    <row r="537" spans="16:19" s="273" customFormat="1">
      <c r="P537" s="274"/>
      <c r="Q537" s="274"/>
      <c r="R537" s="274"/>
      <c r="S537" s="274"/>
    </row>
    <row r="538" spans="16:19" s="273" customFormat="1">
      <c r="P538" s="274"/>
      <c r="Q538" s="274"/>
      <c r="R538" s="274"/>
      <c r="S538" s="274"/>
    </row>
    <row r="539" spans="16:19" s="273" customFormat="1">
      <c r="P539" s="274"/>
      <c r="Q539" s="274"/>
      <c r="R539" s="274"/>
      <c r="S539" s="274"/>
    </row>
    <row r="540" spans="16:19" s="273" customFormat="1">
      <c r="P540" s="274"/>
      <c r="Q540" s="274"/>
      <c r="R540" s="274"/>
      <c r="S540" s="274"/>
    </row>
    <row r="541" spans="16:19" s="273" customFormat="1">
      <c r="P541" s="274"/>
      <c r="Q541" s="274"/>
      <c r="R541" s="274"/>
      <c r="S541" s="274"/>
    </row>
    <row r="542" spans="16:19" s="273" customFormat="1">
      <c r="P542" s="274"/>
      <c r="Q542" s="274"/>
      <c r="R542" s="274"/>
      <c r="S542" s="274"/>
    </row>
    <row r="543" spans="16:19" s="273" customFormat="1">
      <c r="P543" s="274"/>
      <c r="Q543" s="274"/>
      <c r="R543" s="274"/>
      <c r="S543" s="274"/>
    </row>
    <row r="544" spans="16:19" s="273" customFormat="1">
      <c r="P544" s="274"/>
      <c r="Q544" s="274"/>
      <c r="R544" s="274"/>
      <c r="S544" s="274"/>
    </row>
    <row r="545" spans="16:19" s="273" customFormat="1">
      <c r="P545" s="274"/>
      <c r="Q545" s="274"/>
      <c r="R545" s="274"/>
      <c r="S545" s="274"/>
    </row>
    <row r="546" spans="16:19" s="273" customFormat="1">
      <c r="P546" s="274"/>
      <c r="Q546" s="274"/>
      <c r="R546" s="274"/>
      <c r="S546" s="274"/>
    </row>
    <row r="547" spans="16:19" s="273" customFormat="1">
      <c r="P547" s="274"/>
      <c r="Q547" s="274"/>
      <c r="R547" s="274"/>
      <c r="S547" s="274"/>
    </row>
    <row r="548" spans="16:19" s="273" customFormat="1">
      <c r="P548" s="274"/>
      <c r="Q548" s="274"/>
      <c r="R548" s="274"/>
      <c r="S548" s="274"/>
    </row>
    <row r="549" spans="16:19" s="273" customFormat="1">
      <c r="P549" s="274"/>
      <c r="Q549" s="274"/>
      <c r="R549" s="274"/>
      <c r="S549" s="274"/>
    </row>
    <row r="550" spans="16:19" s="273" customFormat="1">
      <c r="P550" s="274"/>
      <c r="Q550" s="274"/>
      <c r="R550" s="274"/>
      <c r="S550" s="274"/>
    </row>
    <row r="551" spans="16:19" s="273" customFormat="1">
      <c r="P551" s="274"/>
      <c r="Q551" s="274"/>
      <c r="R551" s="274"/>
      <c r="S551" s="274"/>
    </row>
    <row r="552" spans="16:19" s="273" customFormat="1">
      <c r="P552" s="274"/>
      <c r="Q552" s="274"/>
      <c r="R552" s="274"/>
      <c r="S552" s="274"/>
    </row>
    <row r="553" spans="16:19" s="273" customFormat="1">
      <c r="P553" s="274"/>
      <c r="Q553" s="274"/>
      <c r="R553" s="274"/>
      <c r="S553" s="274"/>
    </row>
    <row r="554" spans="16:19" s="273" customFormat="1">
      <c r="P554" s="274"/>
      <c r="Q554" s="274"/>
      <c r="R554" s="274"/>
      <c r="S554" s="274"/>
    </row>
    <row r="555" spans="16:19" s="273" customFormat="1">
      <c r="P555" s="274"/>
      <c r="Q555" s="274"/>
      <c r="R555" s="274"/>
      <c r="S555" s="274"/>
    </row>
    <row r="556" spans="16:19" s="273" customFormat="1">
      <c r="P556" s="274"/>
      <c r="Q556" s="274"/>
      <c r="R556" s="274"/>
      <c r="S556" s="274"/>
    </row>
    <row r="557" spans="16:19" s="273" customFormat="1">
      <c r="P557" s="274"/>
      <c r="Q557" s="274"/>
      <c r="R557" s="274"/>
      <c r="S557" s="274"/>
    </row>
    <row r="558" spans="16:19" s="273" customFormat="1">
      <c r="P558" s="274"/>
      <c r="Q558" s="274"/>
      <c r="R558" s="274"/>
      <c r="S558" s="274"/>
    </row>
    <row r="559" spans="16:19" s="273" customFormat="1">
      <c r="P559" s="274"/>
      <c r="Q559" s="274"/>
      <c r="R559" s="274"/>
      <c r="S559" s="274"/>
    </row>
    <row r="560" spans="16:19" s="273" customFormat="1">
      <c r="P560" s="274"/>
      <c r="Q560" s="274"/>
      <c r="R560" s="274"/>
      <c r="S560" s="274"/>
    </row>
    <row r="561" spans="16:19" s="273" customFormat="1">
      <c r="P561" s="274"/>
      <c r="Q561" s="274"/>
      <c r="R561" s="274"/>
      <c r="S561" s="274"/>
    </row>
    <row r="562" spans="16:19" s="273" customFormat="1">
      <c r="P562" s="274"/>
      <c r="Q562" s="274"/>
      <c r="R562" s="274"/>
      <c r="S562" s="274"/>
    </row>
    <row r="563" spans="16:19" s="273" customFormat="1">
      <c r="P563" s="274"/>
      <c r="Q563" s="274"/>
      <c r="R563" s="274"/>
      <c r="S563" s="274"/>
    </row>
    <row r="564" spans="16:19" s="273" customFormat="1">
      <c r="P564" s="274"/>
      <c r="Q564" s="274"/>
      <c r="R564" s="274"/>
      <c r="S564" s="274"/>
    </row>
    <row r="565" spans="16:19" s="273" customFormat="1">
      <c r="P565" s="274"/>
      <c r="Q565" s="274"/>
      <c r="R565" s="274"/>
      <c r="S565" s="274"/>
    </row>
    <row r="566" spans="16:19" s="273" customFormat="1">
      <c r="P566" s="274"/>
      <c r="Q566" s="274"/>
      <c r="R566" s="274"/>
      <c r="S566" s="274"/>
    </row>
    <row r="567" spans="16:19" s="273" customFormat="1">
      <c r="P567" s="274"/>
      <c r="Q567" s="274"/>
      <c r="R567" s="274"/>
      <c r="S567" s="274"/>
    </row>
    <row r="568" spans="16:19" s="273" customFormat="1">
      <c r="P568" s="274"/>
      <c r="Q568" s="274"/>
      <c r="R568" s="274"/>
      <c r="S568" s="274"/>
    </row>
    <row r="569" spans="16:19" s="273" customFormat="1">
      <c r="P569" s="274"/>
      <c r="Q569" s="274"/>
      <c r="R569" s="274"/>
      <c r="S569" s="274"/>
    </row>
    <row r="570" spans="16:19" s="273" customFormat="1">
      <c r="P570" s="274"/>
      <c r="Q570" s="274"/>
      <c r="R570" s="274"/>
      <c r="S570" s="274"/>
    </row>
    <row r="571" spans="16:19" s="273" customFormat="1">
      <c r="P571" s="274"/>
      <c r="Q571" s="274"/>
      <c r="R571" s="274"/>
      <c r="S571" s="274"/>
    </row>
    <row r="572" spans="16:19" s="273" customFormat="1">
      <c r="P572" s="274"/>
      <c r="Q572" s="274"/>
      <c r="R572" s="274"/>
      <c r="S572" s="274"/>
    </row>
    <row r="573" spans="16:19" s="273" customFormat="1">
      <c r="P573" s="274"/>
      <c r="Q573" s="274"/>
      <c r="R573" s="274"/>
      <c r="S573" s="274"/>
    </row>
    <row r="574" spans="16:19" s="273" customFormat="1">
      <c r="P574" s="274"/>
      <c r="Q574" s="274"/>
      <c r="R574" s="274"/>
      <c r="S574" s="274"/>
    </row>
    <row r="575" spans="16:19" s="273" customFormat="1">
      <c r="P575" s="274"/>
      <c r="Q575" s="274"/>
      <c r="R575" s="274"/>
      <c r="S575" s="274"/>
    </row>
    <row r="576" spans="16:19" s="273" customFormat="1">
      <c r="P576" s="274"/>
      <c r="Q576" s="274"/>
      <c r="R576" s="274"/>
      <c r="S576" s="274"/>
    </row>
    <row r="577" spans="16:19" s="273" customFormat="1">
      <c r="P577" s="274"/>
      <c r="Q577" s="274"/>
      <c r="R577" s="274"/>
      <c r="S577" s="274"/>
    </row>
    <row r="578" spans="16:19" s="273" customFormat="1">
      <c r="P578" s="274"/>
      <c r="Q578" s="274"/>
      <c r="R578" s="274"/>
      <c r="S578" s="274"/>
    </row>
    <row r="579" spans="16:19" s="273" customFormat="1">
      <c r="P579" s="274"/>
      <c r="Q579" s="274"/>
      <c r="R579" s="274"/>
      <c r="S579" s="274"/>
    </row>
    <row r="580" spans="16:19" s="273" customFormat="1">
      <c r="P580" s="274"/>
      <c r="Q580" s="274"/>
      <c r="R580" s="274"/>
      <c r="S580" s="274"/>
    </row>
    <row r="581" spans="16:19" s="273" customFormat="1">
      <c r="P581" s="274"/>
      <c r="Q581" s="274"/>
      <c r="R581" s="274"/>
      <c r="S581" s="274"/>
    </row>
    <row r="582" spans="16:19" s="273" customFormat="1">
      <c r="P582" s="274"/>
      <c r="Q582" s="274"/>
      <c r="R582" s="274"/>
      <c r="S582" s="274"/>
    </row>
    <row r="583" spans="16:19" s="273" customFormat="1">
      <c r="P583" s="274"/>
      <c r="Q583" s="274"/>
      <c r="R583" s="274"/>
      <c r="S583" s="274"/>
    </row>
    <row r="584" spans="16:19" s="273" customFormat="1">
      <c r="P584" s="274"/>
      <c r="Q584" s="274"/>
      <c r="R584" s="274"/>
      <c r="S584" s="274"/>
    </row>
    <row r="585" spans="16:19" s="273" customFormat="1">
      <c r="P585" s="274"/>
      <c r="Q585" s="274"/>
      <c r="R585" s="274"/>
      <c r="S585" s="274"/>
    </row>
    <row r="586" spans="16:19" s="273" customFormat="1">
      <c r="P586" s="274"/>
      <c r="Q586" s="274"/>
      <c r="R586" s="274"/>
      <c r="S586" s="274"/>
    </row>
    <row r="587" spans="16:19" s="273" customFormat="1">
      <c r="P587" s="274"/>
      <c r="Q587" s="274"/>
      <c r="R587" s="274"/>
      <c r="S587" s="274"/>
    </row>
    <row r="588" spans="16:19" s="273" customFormat="1">
      <c r="P588" s="274"/>
      <c r="Q588" s="274"/>
      <c r="R588" s="274"/>
      <c r="S588" s="274"/>
    </row>
    <row r="589" spans="16:19" s="273" customFormat="1">
      <c r="P589" s="274"/>
      <c r="Q589" s="274"/>
      <c r="R589" s="274"/>
      <c r="S589" s="274"/>
    </row>
    <row r="590" spans="16:19" s="273" customFormat="1">
      <c r="P590" s="274"/>
      <c r="Q590" s="274"/>
      <c r="R590" s="274"/>
      <c r="S590" s="274"/>
    </row>
    <row r="591" spans="16:19" s="273" customFormat="1">
      <c r="P591" s="274"/>
      <c r="Q591" s="274"/>
      <c r="R591" s="274"/>
      <c r="S591" s="274"/>
    </row>
    <row r="592" spans="16:19" s="273" customFormat="1">
      <c r="P592" s="274"/>
      <c r="Q592" s="274"/>
      <c r="R592" s="274"/>
      <c r="S592" s="274"/>
    </row>
    <row r="593" spans="16:19" s="273" customFormat="1">
      <c r="P593" s="274"/>
      <c r="Q593" s="274"/>
      <c r="R593" s="274"/>
      <c r="S593" s="274"/>
    </row>
    <row r="594" spans="16:19" s="273" customFormat="1">
      <c r="P594" s="274"/>
      <c r="Q594" s="274"/>
      <c r="R594" s="274"/>
      <c r="S594" s="274"/>
    </row>
    <row r="595" spans="16:19" s="273" customFormat="1">
      <c r="P595" s="274"/>
      <c r="Q595" s="274"/>
      <c r="R595" s="274"/>
      <c r="S595" s="274"/>
    </row>
    <row r="596" spans="16:19" s="273" customFormat="1">
      <c r="P596" s="274"/>
      <c r="Q596" s="274"/>
      <c r="R596" s="274"/>
      <c r="S596" s="274"/>
    </row>
    <row r="597" spans="16:19" s="273" customFormat="1">
      <c r="P597" s="274"/>
      <c r="Q597" s="274"/>
      <c r="R597" s="274"/>
      <c r="S597" s="274"/>
    </row>
    <row r="598" spans="16:19" s="273" customFormat="1">
      <c r="P598" s="274"/>
      <c r="Q598" s="274"/>
      <c r="R598" s="274"/>
      <c r="S598" s="274"/>
    </row>
    <row r="599" spans="16:19" s="273" customFormat="1">
      <c r="P599" s="274"/>
      <c r="Q599" s="274"/>
      <c r="R599" s="274"/>
      <c r="S599" s="274"/>
    </row>
    <row r="600" spans="16:19" s="273" customFormat="1">
      <c r="P600" s="274"/>
      <c r="Q600" s="274"/>
      <c r="R600" s="274"/>
      <c r="S600" s="274"/>
    </row>
    <row r="601" spans="16:19" s="273" customFormat="1">
      <c r="P601" s="274"/>
      <c r="Q601" s="274"/>
      <c r="R601" s="274"/>
      <c r="S601" s="274"/>
    </row>
    <row r="602" spans="16:19" s="273" customFormat="1">
      <c r="P602" s="274"/>
      <c r="Q602" s="274"/>
      <c r="R602" s="274"/>
      <c r="S602" s="274"/>
    </row>
    <row r="603" spans="16:19" s="273" customFormat="1">
      <c r="P603" s="274"/>
      <c r="Q603" s="274"/>
      <c r="R603" s="274"/>
      <c r="S603" s="274"/>
    </row>
    <row r="604" spans="16:19" s="273" customFormat="1">
      <c r="P604" s="274"/>
      <c r="Q604" s="274"/>
      <c r="R604" s="274"/>
      <c r="S604" s="274"/>
    </row>
    <row r="605" spans="16:19" s="273" customFormat="1">
      <c r="P605" s="274"/>
      <c r="Q605" s="274"/>
      <c r="R605" s="274"/>
      <c r="S605" s="274"/>
    </row>
    <row r="606" spans="16:19" s="273" customFormat="1">
      <c r="P606" s="274"/>
      <c r="Q606" s="274"/>
      <c r="R606" s="274"/>
      <c r="S606" s="274"/>
    </row>
    <row r="607" spans="16:19" s="273" customFormat="1">
      <c r="P607" s="274"/>
      <c r="Q607" s="274"/>
      <c r="R607" s="274"/>
      <c r="S607" s="274"/>
    </row>
    <row r="608" spans="16:19" s="273" customFormat="1">
      <c r="P608" s="274"/>
      <c r="Q608" s="274"/>
      <c r="R608" s="274"/>
      <c r="S608" s="274"/>
    </row>
    <row r="609" spans="16:19" s="273" customFormat="1">
      <c r="P609" s="274"/>
      <c r="Q609" s="274"/>
      <c r="R609" s="274"/>
      <c r="S609" s="274"/>
    </row>
    <row r="610" spans="16:19" s="273" customFormat="1">
      <c r="P610" s="274"/>
      <c r="Q610" s="274"/>
      <c r="R610" s="274"/>
      <c r="S610" s="274"/>
    </row>
    <row r="611" spans="16:19" s="273" customFormat="1">
      <c r="P611" s="274"/>
      <c r="Q611" s="274"/>
      <c r="R611" s="274"/>
      <c r="S611" s="274"/>
    </row>
    <row r="612" spans="16:19" s="273" customFormat="1">
      <c r="P612" s="274"/>
      <c r="Q612" s="274"/>
      <c r="R612" s="274"/>
      <c r="S612" s="274"/>
    </row>
    <row r="613" spans="16:19" s="273" customFormat="1">
      <c r="P613" s="274"/>
      <c r="Q613" s="274"/>
      <c r="R613" s="274"/>
      <c r="S613" s="274"/>
    </row>
    <row r="614" spans="16:19" s="273" customFormat="1">
      <c r="P614" s="274"/>
      <c r="Q614" s="274"/>
      <c r="R614" s="274"/>
      <c r="S614" s="274"/>
    </row>
    <row r="615" spans="16:19" s="273" customFormat="1">
      <c r="P615" s="274"/>
      <c r="Q615" s="274"/>
      <c r="R615" s="274"/>
      <c r="S615" s="274"/>
    </row>
    <row r="616" spans="16:19" s="273" customFormat="1">
      <c r="P616" s="274"/>
      <c r="Q616" s="274"/>
      <c r="R616" s="274"/>
      <c r="S616" s="274"/>
    </row>
    <row r="617" spans="16:19" s="273" customFormat="1">
      <c r="P617" s="274"/>
      <c r="Q617" s="274"/>
      <c r="R617" s="274"/>
      <c r="S617" s="274"/>
    </row>
    <row r="618" spans="16:19" s="273" customFormat="1">
      <c r="P618" s="274"/>
      <c r="Q618" s="274"/>
      <c r="R618" s="274"/>
      <c r="S618" s="274"/>
    </row>
    <row r="619" spans="16:19" s="273" customFormat="1">
      <c r="P619" s="274"/>
      <c r="Q619" s="274"/>
      <c r="R619" s="274"/>
      <c r="S619" s="274"/>
    </row>
    <row r="620" spans="16:19" s="273" customFormat="1">
      <c r="P620" s="274"/>
      <c r="Q620" s="274"/>
      <c r="R620" s="274"/>
      <c r="S620" s="274"/>
    </row>
    <row r="621" spans="16:19" s="273" customFormat="1">
      <c r="P621" s="274"/>
      <c r="Q621" s="274"/>
      <c r="R621" s="274"/>
      <c r="S621" s="274"/>
    </row>
    <row r="622" spans="16:19" s="273" customFormat="1"/>
    <row r="623" spans="16:19" s="273" customFormat="1"/>
    <row r="624" spans="16:19" s="273" customFormat="1"/>
    <row r="625" s="273" customFormat="1"/>
    <row r="626" s="273" customFormat="1"/>
    <row r="627" s="273" customFormat="1"/>
    <row r="628" s="273" customFormat="1"/>
    <row r="629" s="273" customFormat="1"/>
    <row r="630" s="273" customFormat="1"/>
    <row r="631" s="273" customFormat="1"/>
    <row r="632" s="273" customFormat="1"/>
    <row r="633" s="273" customFormat="1"/>
    <row r="634" s="273" customFormat="1"/>
    <row r="635" s="273" customFormat="1"/>
    <row r="636" s="273" customFormat="1"/>
    <row r="637" s="273" customFormat="1"/>
    <row r="638" s="273" customFormat="1"/>
    <row r="639" s="273" customFormat="1"/>
    <row r="640" s="273" customFormat="1"/>
    <row r="641" s="273" customFormat="1"/>
    <row r="642" s="273" customFormat="1"/>
    <row r="643" s="273" customFormat="1"/>
    <row r="644" s="273" customFormat="1"/>
    <row r="645" s="273" customFormat="1"/>
    <row r="646" s="273" customFormat="1"/>
    <row r="647" s="273" customFormat="1"/>
    <row r="648" s="273" customFormat="1"/>
    <row r="649" s="273" customFormat="1"/>
    <row r="650" s="273" customFormat="1"/>
    <row r="651" s="273" customFormat="1"/>
    <row r="652" s="273" customFormat="1"/>
    <row r="653" s="273" customFormat="1"/>
    <row r="654" s="273" customFormat="1"/>
    <row r="655" s="273" customFormat="1"/>
    <row r="656" s="273" customFormat="1"/>
    <row r="657" s="273" customFormat="1"/>
    <row r="658" s="273" customFormat="1"/>
    <row r="659" s="273" customFormat="1"/>
    <row r="660" s="273" customFormat="1"/>
    <row r="661" s="273" customFormat="1"/>
    <row r="662" s="273" customFormat="1"/>
    <row r="663" s="273" customFormat="1"/>
    <row r="664" s="273" customFormat="1"/>
    <row r="665" s="273" customFormat="1"/>
    <row r="666" s="273" customFormat="1"/>
    <row r="667" s="273" customFormat="1"/>
    <row r="668" s="273" customFormat="1"/>
    <row r="669" s="273" customFormat="1"/>
    <row r="670" s="273" customFormat="1"/>
    <row r="671" s="273" customFormat="1"/>
    <row r="672" s="273" customFormat="1"/>
    <row r="673" s="273" customFormat="1"/>
    <row r="674" s="273" customFormat="1"/>
    <row r="675" s="273" customFormat="1"/>
    <row r="676" s="273" customFormat="1"/>
    <row r="677" s="273" customFormat="1"/>
    <row r="678" s="273" customFormat="1"/>
    <row r="679" s="273" customFormat="1"/>
    <row r="680" s="273" customFormat="1"/>
    <row r="681" s="273" customFormat="1"/>
    <row r="682" s="273" customFormat="1"/>
    <row r="683" s="273" customFormat="1"/>
    <row r="684" s="273" customFormat="1"/>
    <row r="685" s="273" customFormat="1"/>
    <row r="686" s="273" customFormat="1"/>
    <row r="687" s="273" customFormat="1"/>
    <row r="688" s="273" customFormat="1"/>
    <row r="689" s="273" customFormat="1"/>
    <row r="690" s="273" customFormat="1"/>
    <row r="691" s="273" customFormat="1"/>
    <row r="692" s="273" customFormat="1"/>
    <row r="693" s="273" customFormat="1"/>
    <row r="694" s="273" customFormat="1"/>
    <row r="695" s="273" customFormat="1"/>
    <row r="696" s="273" customFormat="1"/>
    <row r="697" s="273" customFormat="1"/>
    <row r="698" s="273" customFormat="1"/>
    <row r="699" s="273" customFormat="1"/>
    <row r="700" s="273" customFormat="1"/>
    <row r="701" s="273" customFormat="1"/>
    <row r="702" s="273" customFormat="1"/>
    <row r="703" s="273" customFormat="1"/>
    <row r="704" s="273" customFormat="1"/>
    <row r="705" s="273" customFormat="1"/>
    <row r="706" s="273" customFormat="1"/>
    <row r="707" s="273" customFormat="1"/>
    <row r="708" s="273" customFormat="1"/>
    <row r="709" s="273" customFormat="1"/>
    <row r="710" s="273" customFormat="1"/>
    <row r="711" s="273" customFormat="1"/>
    <row r="712" s="273" customFormat="1"/>
    <row r="713" s="273" customFormat="1"/>
    <row r="714" s="273" customFormat="1"/>
    <row r="715" s="273" customFormat="1"/>
    <row r="716" s="273" customFormat="1"/>
    <row r="717" s="273" customFormat="1"/>
    <row r="718" s="273" customFormat="1"/>
    <row r="719" s="273" customFormat="1"/>
    <row r="720" s="273" customFormat="1"/>
    <row r="721" s="273" customFormat="1"/>
    <row r="722" s="273" customFormat="1"/>
    <row r="723" s="273" customFormat="1"/>
    <row r="724" s="273" customFormat="1"/>
    <row r="725" s="273" customFormat="1"/>
    <row r="726" s="273" customFormat="1"/>
    <row r="727" s="273" customFormat="1"/>
    <row r="728" s="273" customFormat="1"/>
    <row r="729" s="273" customFormat="1"/>
    <row r="730" s="273" customFormat="1"/>
    <row r="731" s="273" customFormat="1"/>
    <row r="732" s="273" customFormat="1"/>
    <row r="733" s="273" customFormat="1"/>
    <row r="734" s="273" customFormat="1"/>
    <row r="735" s="273" customFormat="1"/>
    <row r="736" s="273" customFormat="1"/>
    <row r="737" s="273" customFormat="1"/>
    <row r="738" s="273" customFormat="1"/>
    <row r="739" s="273" customFormat="1"/>
    <row r="740" s="273" customFormat="1"/>
    <row r="741" s="273" customFormat="1"/>
    <row r="742" s="273" customFormat="1"/>
    <row r="743" s="273" customFormat="1"/>
    <row r="744" s="273" customFormat="1"/>
    <row r="745" s="273" customFormat="1"/>
    <row r="746" s="273" customFormat="1"/>
    <row r="747" s="273" customFormat="1"/>
    <row r="748" s="273" customFormat="1"/>
    <row r="749" s="273" customFormat="1"/>
    <row r="750" s="273" customFormat="1"/>
    <row r="751" s="273" customFormat="1"/>
    <row r="752" s="273" customFormat="1"/>
    <row r="753" spans="4:32">
      <c r="D753" s="273"/>
      <c r="E753" s="273"/>
      <c r="F753" s="273"/>
      <c r="G753" s="273"/>
      <c r="H753" s="273"/>
      <c r="I753" s="273"/>
      <c r="J753" s="273"/>
      <c r="K753" s="273"/>
      <c r="L753" s="273"/>
      <c r="M753" s="273"/>
      <c r="N753" s="273"/>
      <c r="O753" s="273"/>
      <c r="P753" s="273"/>
      <c r="Q753" s="273"/>
      <c r="R753" s="273"/>
      <c r="S753" s="273"/>
      <c r="T753" s="273"/>
      <c r="U753" s="273"/>
      <c r="V753" s="273"/>
      <c r="W753" s="273"/>
      <c r="X753" s="273"/>
      <c r="Y753" s="273"/>
      <c r="Z753" s="273"/>
      <c r="AA753" s="273"/>
      <c r="AB753" s="273"/>
      <c r="AC753" s="273"/>
      <c r="AD753" s="273"/>
      <c r="AE753" s="273"/>
      <c r="AF753" s="273"/>
    </row>
    <row r="754" spans="4:32">
      <c r="D754" s="273"/>
      <c r="E754" s="273"/>
      <c r="F754" s="273"/>
      <c r="G754" s="273"/>
      <c r="H754" s="273"/>
      <c r="I754" s="273"/>
      <c r="J754" s="273"/>
      <c r="K754" s="273"/>
      <c r="L754" s="273"/>
      <c r="M754" s="273"/>
      <c r="N754" s="273"/>
      <c r="O754" s="273"/>
      <c r="P754" s="273"/>
      <c r="Q754" s="273"/>
      <c r="R754" s="273"/>
      <c r="S754" s="273"/>
      <c r="T754" s="273"/>
      <c r="U754" s="273"/>
      <c r="V754" s="273"/>
      <c r="W754" s="273"/>
      <c r="X754" s="273"/>
      <c r="Y754" s="273"/>
      <c r="Z754" s="273"/>
      <c r="AA754" s="273"/>
      <c r="AB754" s="273"/>
      <c r="AC754" s="273"/>
      <c r="AD754" s="273"/>
      <c r="AE754" s="273"/>
      <c r="AF754" s="273"/>
    </row>
    <row r="755" spans="4:32">
      <c r="D755" s="273"/>
      <c r="E755" s="273"/>
      <c r="F755" s="273"/>
      <c r="G755" s="273"/>
      <c r="H755" s="273"/>
      <c r="I755" s="273"/>
      <c r="J755" s="273"/>
      <c r="K755" s="273"/>
      <c r="L755" s="273"/>
      <c r="M755" s="273"/>
      <c r="N755" s="273"/>
      <c r="O755" s="273"/>
      <c r="P755" s="273"/>
      <c r="Q755" s="273"/>
      <c r="R755" s="273"/>
      <c r="S755" s="273"/>
      <c r="T755" s="273"/>
      <c r="U755" s="273"/>
      <c r="V755" s="273"/>
      <c r="W755" s="273"/>
      <c r="X755" s="273"/>
      <c r="Y755" s="273"/>
      <c r="Z755" s="273"/>
      <c r="AA755" s="273"/>
      <c r="AB755" s="273"/>
      <c r="AC755" s="273"/>
      <c r="AD755" s="273"/>
      <c r="AE755" s="273"/>
      <c r="AF755" s="273"/>
    </row>
    <row r="756" spans="4:32">
      <c r="D756" s="273"/>
      <c r="E756" s="273"/>
      <c r="F756" s="273"/>
      <c r="G756" s="273"/>
      <c r="H756" s="273"/>
      <c r="I756" s="273"/>
      <c r="J756" s="273"/>
      <c r="K756" s="273"/>
      <c r="L756" s="273"/>
      <c r="M756" s="273"/>
      <c r="N756" s="273"/>
      <c r="O756" s="273"/>
      <c r="P756" s="273"/>
      <c r="Q756" s="273"/>
      <c r="R756" s="273"/>
      <c r="S756" s="273"/>
      <c r="T756" s="273"/>
      <c r="U756" s="273"/>
      <c r="V756" s="273"/>
      <c r="W756" s="273"/>
      <c r="X756" s="273"/>
      <c r="Y756" s="273"/>
      <c r="Z756" s="273"/>
      <c r="AA756" s="273"/>
      <c r="AB756" s="273"/>
      <c r="AC756" s="273"/>
      <c r="AD756" s="273"/>
      <c r="AE756" s="273"/>
      <c r="AF756" s="273"/>
    </row>
    <row r="757" spans="4:32">
      <c r="D757" s="273"/>
      <c r="E757" s="273"/>
      <c r="F757" s="273"/>
      <c r="G757" s="273"/>
      <c r="H757" s="273"/>
      <c r="I757" s="273"/>
      <c r="J757" s="273"/>
      <c r="K757" s="273"/>
      <c r="L757" s="273"/>
      <c r="M757" s="273"/>
      <c r="N757" s="273"/>
      <c r="O757" s="273"/>
      <c r="P757" s="273"/>
      <c r="Q757" s="273"/>
      <c r="R757" s="273"/>
      <c r="S757" s="273"/>
      <c r="T757" s="273"/>
      <c r="U757" s="273"/>
      <c r="V757" s="273"/>
      <c r="W757" s="273"/>
      <c r="X757" s="273"/>
      <c r="Y757" s="273"/>
      <c r="Z757" s="273"/>
      <c r="AA757" s="273"/>
      <c r="AB757" s="273"/>
      <c r="AC757" s="273"/>
      <c r="AD757" s="273"/>
      <c r="AE757" s="273"/>
      <c r="AF757" s="273"/>
    </row>
    <row r="758" spans="4:32">
      <c r="P758" s="273"/>
      <c r="Q758" s="273"/>
      <c r="R758" s="273"/>
      <c r="S758" s="273"/>
      <c r="T758" s="273"/>
      <c r="U758" s="273"/>
      <c r="V758" s="273"/>
      <c r="W758" s="273"/>
      <c r="X758" s="273"/>
      <c r="Y758" s="273"/>
      <c r="Z758" s="273"/>
      <c r="AA758" s="273"/>
      <c r="AB758" s="273"/>
      <c r="AC758" s="273"/>
      <c r="AD758" s="273"/>
      <c r="AE758" s="273"/>
      <c r="AF758" s="273"/>
    </row>
    <row r="759" spans="4:32">
      <c r="P759" s="273"/>
      <c r="Q759" s="273"/>
      <c r="R759" s="273"/>
      <c r="S759" s="273"/>
      <c r="T759" s="273"/>
      <c r="U759" s="273"/>
      <c r="V759" s="273"/>
      <c r="W759" s="273"/>
      <c r="X759" s="273"/>
      <c r="Y759" s="273"/>
      <c r="Z759" s="273"/>
      <c r="AA759" s="273"/>
      <c r="AB759" s="273"/>
      <c r="AC759" s="273"/>
      <c r="AD759" s="273"/>
      <c r="AE759" s="273"/>
      <c r="AF759" s="273"/>
    </row>
    <row r="760" spans="4:32">
      <c r="P760" s="273"/>
      <c r="Q760" s="273"/>
      <c r="R760" s="273"/>
      <c r="S760" s="273"/>
      <c r="T760" s="273"/>
      <c r="U760" s="273"/>
      <c r="V760" s="273"/>
      <c r="W760" s="273"/>
      <c r="X760" s="273"/>
      <c r="Y760" s="273"/>
      <c r="Z760" s="273"/>
      <c r="AA760" s="273"/>
      <c r="AB760" s="273"/>
      <c r="AC760" s="273"/>
      <c r="AD760" s="273"/>
      <c r="AE760" s="273"/>
      <c r="AF760" s="273"/>
    </row>
    <row r="761" spans="4:32">
      <c r="P761" s="273"/>
      <c r="Q761" s="273"/>
      <c r="R761" s="273"/>
      <c r="S761" s="273"/>
      <c r="T761" s="273"/>
      <c r="U761" s="273"/>
      <c r="V761" s="273"/>
      <c r="W761" s="273"/>
      <c r="X761" s="273"/>
      <c r="Y761" s="273"/>
      <c r="Z761" s="273"/>
      <c r="AA761" s="273"/>
      <c r="AB761" s="273"/>
      <c r="AC761" s="273"/>
      <c r="AD761" s="273"/>
      <c r="AE761" s="273"/>
      <c r="AF761" s="273"/>
    </row>
    <row r="762" spans="4:32">
      <c r="P762" s="273"/>
      <c r="Q762" s="273"/>
      <c r="R762" s="273"/>
      <c r="S762" s="273"/>
      <c r="T762" s="273"/>
      <c r="U762" s="273"/>
      <c r="V762" s="273"/>
      <c r="W762" s="273"/>
      <c r="X762" s="273"/>
      <c r="Y762" s="273"/>
      <c r="Z762" s="273"/>
      <c r="AA762" s="273"/>
      <c r="AB762" s="273"/>
      <c r="AC762" s="273"/>
      <c r="AD762" s="273"/>
      <c r="AE762" s="273"/>
      <c r="AF762" s="273"/>
    </row>
    <row r="763" spans="4:32">
      <c r="P763" s="273"/>
      <c r="Q763" s="273"/>
      <c r="R763" s="273"/>
      <c r="S763" s="273"/>
      <c r="T763" s="273"/>
      <c r="U763" s="273"/>
      <c r="V763" s="273"/>
      <c r="W763" s="273"/>
      <c r="X763" s="273"/>
      <c r="Y763" s="273"/>
      <c r="Z763" s="273"/>
      <c r="AA763" s="273"/>
      <c r="AB763" s="273"/>
      <c r="AC763" s="273"/>
      <c r="AD763" s="273"/>
      <c r="AE763" s="273"/>
      <c r="AF763" s="273"/>
    </row>
    <row r="764" spans="4:32">
      <c r="P764" s="273"/>
      <c r="Q764" s="273"/>
      <c r="R764" s="273"/>
      <c r="S764" s="273"/>
      <c r="T764" s="273"/>
      <c r="U764" s="273"/>
      <c r="V764" s="273"/>
      <c r="W764" s="273"/>
      <c r="X764" s="273"/>
      <c r="Y764" s="273"/>
      <c r="Z764" s="273"/>
      <c r="AA764" s="273"/>
      <c r="AB764" s="273"/>
      <c r="AC764" s="273"/>
      <c r="AD764" s="273"/>
      <c r="AE764" s="273"/>
      <c r="AF764" s="273"/>
    </row>
    <row r="765" spans="4:32">
      <c r="P765" s="273"/>
      <c r="Q765" s="273"/>
      <c r="R765" s="273"/>
      <c r="S765" s="273"/>
      <c r="T765" s="273"/>
      <c r="U765" s="273"/>
      <c r="V765" s="273"/>
      <c r="W765" s="273"/>
      <c r="X765" s="273"/>
      <c r="Y765" s="273"/>
      <c r="Z765" s="273"/>
      <c r="AA765" s="273"/>
      <c r="AB765" s="273"/>
      <c r="AC765" s="273"/>
      <c r="AD765" s="273"/>
      <c r="AE765" s="273"/>
      <c r="AF765" s="273"/>
    </row>
    <row r="766" spans="4:32">
      <c r="P766" s="273"/>
      <c r="Q766" s="273"/>
      <c r="R766" s="273"/>
      <c r="S766" s="273"/>
      <c r="T766" s="273"/>
      <c r="U766" s="273"/>
      <c r="V766" s="273"/>
      <c r="W766" s="273"/>
      <c r="X766" s="273"/>
      <c r="Y766" s="273"/>
      <c r="Z766" s="273"/>
      <c r="AA766" s="273"/>
      <c r="AB766" s="273"/>
      <c r="AC766" s="273"/>
      <c r="AD766" s="273"/>
      <c r="AE766" s="273"/>
      <c r="AF766" s="273"/>
    </row>
    <row r="767" spans="4:32">
      <c r="P767" s="273"/>
      <c r="Q767" s="273"/>
      <c r="R767" s="273"/>
      <c r="S767" s="273"/>
      <c r="T767" s="273"/>
      <c r="U767" s="273"/>
      <c r="V767" s="273"/>
      <c r="W767" s="273"/>
      <c r="X767" s="273"/>
      <c r="Y767" s="273"/>
      <c r="Z767" s="273"/>
      <c r="AA767" s="273"/>
      <c r="AB767" s="273"/>
      <c r="AC767" s="273"/>
      <c r="AD767" s="273"/>
      <c r="AE767" s="273"/>
      <c r="AF767" s="273"/>
    </row>
    <row r="768" spans="4:32">
      <c r="P768" s="273"/>
      <c r="Q768" s="273"/>
      <c r="R768" s="273"/>
      <c r="S768" s="273"/>
      <c r="T768" s="273"/>
      <c r="U768" s="273"/>
      <c r="V768" s="273"/>
      <c r="W768" s="273"/>
      <c r="X768" s="273"/>
      <c r="Y768" s="273"/>
      <c r="Z768" s="273"/>
      <c r="AA768" s="273"/>
      <c r="AB768" s="273"/>
      <c r="AC768" s="273"/>
      <c r="AD768" s="273"/>
      <c r="AE768" s="273"/>
      <c r="AF768" s="273"/>
    </row>
    <row r="769" spans="16:32">
      <c r="P769" s="273"/>
      <c r="Q769" s="273"/>
      <c r="R769" s="273"/>
      <c r="S769" s="273"/>
      <c r="T769" s="273"/>
      <c r="U769" s="273"/>
      <c r="V769" s="273"/>
      <c r="W769" s="273"/>
      <c r="X769" s="273"/>
      <c r="Y769" s="273"/>
      <c r="Z769" s="273"/>
      <c r="AA769" s="273"/>
      <c r="AB769" s="273"/>
      <c r="AC769" s="273"/>
      <c r="AD769" s="273"/>
      <c r="AE769" s="273"/>
      <c r="AF769" s="273"/>
    </row>
    <row r="770" spans="16:32">
      <c r="P770" s="273"/>
      <c r="Q770" s="273"/>
      <c r="R770" s="273"/>
      <c r="S770" s="273"/>
      <c r="T770" s="273"/>
      <c r="U770" s="273"/>
      <c r="V770" s="273"/>
      <c r="W770" s="273"/>
      <c r="X770" s="273"/>
      <c r="Y770" s="273"/>
      <c r="Z770" s="273"/>
      <c r="AA770" s="273"/>
      <c r="AB770" s="273"/>
      <c r="AC770" s="273"/>
      <c r="AD770" s="273"/>
      <c r="AE770" s="273"/>
      <c r="AF770" s="273"/>
    </row>
    <row r="771" spans="16:32">
      <c r="P771" s="273"/>
      <c r="Q771" s="273"/>
      <c r="R771" s="273"/>
      <c r="S771" s="273"/>
      <c r="T771" s="273"/>
      <c r="U771" s="273"/>
      <c r="V771" s="273"/>
      <c r="W771" s="273"/>
      <c r="X771" s="273"/>
      <c r="Y771" s="273"/>
      <c r="Z771" s="273"/>
      <c r="AA771" s="273"/>
      <c r="AB771" s="273"/>
      <c r="AC771" s="273"/>
      <c r="AD771" s="273"/>
      <c r="AE771" s="273"/>
      <c r="AF771" s="273"/>
    </row>
    <row r="772" spans="16:32">
      <c r="P772" s="273"/>
      <c r="Q772" s="273"/>
      <c r="R772" s="273"/>
      <c r="S772" s="273"/>
      <c r="T772" s="273"/>
      <c r="U772" s="273"/>
      <c r="V772" s="273"/>
      <c r="W772" s="273"/>
      <c r="X772" s="273"/>
      <c r="Y772" s="273"/>
      <c r="Z772" s="273"/>
      <c r="AA772" s="273"/>
      <c r="AB772" s="273"/>
      <c r="AC772" s="273"/>
      <c r="AD772" s="273"/>
      <c r="AE772" s="273"/>
      <c r="AF772" s="273"/>
    </row>
    <row r="773" spans="16:32">
      <c r="P773" s="273"/>
      <c r="Q773" s="273"/>
      <c r="R773" s="273"/>
      <c r="S773" s="273"/>
      <c r="T773" s="273"/>
      <c r="U773" s="273"/>
      <c r="V773" s="273"/>
      <c r="W773" s="273"/>
      <c r="X773" s="273"/>
      <c r="Y773" s="273"/>
      <c r="Z773" s="273"/>
      <c r="AA773" s="273"/>
      <c r="AB773" s="273"/>
      <c r="AC773" s="273"/>
      <c r="AD773" s="273"/>
      <c r="AE773" s="273"/>
      <c r="AF773" s="273"/>
    </row>
    <row r="774" spans="16:32">
      <c r="P774" s="273"/>
      <c r="Q774" s="273"/>
      <c r="R774" s="273"/>
      <c r="S774" s="273"/>
      <c r="T774" s="273"/>
      <c r="U774" s="273"/>
      <c r="V774" s="273"/>
      <c r="W774" s="273"/>
      <c r="X774" s="273"/>
      <c r="Y774" s="273"/>
      <c r="Z774" s="273"/>
      <c r="AA774" s="273"/>
      <c r="AB774" s="273"/>
      <c r="AC774" s="273"/>
      <c r="AD774" s="273"/>
      <c r="AE774" s="273"/>
      <c r="AF774" s="273"/>
    </row>
    <row r="775" spans="16:32">
      <c r="P775" s="273"/>
      <c r="Q775" s="273"/>
      <c r="R775" s="273"/>
      <c r="S775" s="273"/>
      <c r="T775" s="273"/>
      <c r="U775" s="273"/>
      <c r="V775" s="273"/>
      <c r="W775" s="273"/>
      <c r="X775" s="273"/>
      <c r="Y775" s="273"/>
      <c r="Z775" s="273"/>
      <c r="AA775" s="273"/>
      <c r="AB775" s="273"/>
      <c r="AC775" s="273"/>
      <c r="AD775" s="273"/>
      <c r="AE775" s="273"/>
      <c r="AF775" s="273"/>
    </row>
    <row r="776" spans="16:32">
      <c r="P776" s="273"/>
      <c r="Q776" s="273"/>
      <c r="R776" s="273"/>
      <c r="S776" s="273"/>
      <c r="T776" s="273"/>
      <c r="U776" s="273"/>
      <c r="V776" s="273"/>
      <c r="W776" s="273"/>
      <c r="X776" s="273"/>
      <c r="Y776" s="273"/>
      <c r="Z776" s="273"/>
      <c r="AA776" s="273"/>
      <c r="AB776" s="273"/>
      <c r="AC776" s="273"/>
      <c r="AD776" s="273"/>
      <c r="AE776" s="273"/>
      <c r="AF776" s="273"/>
    </row>
    <row r="777" spans="16:32">
      <c r="P777" s="273"/>
      <c r="Q777" s="273"/>
      <c r="R777" s="273"/>
      <c r="S777" s="273"/>
      <c r="T777" s="273"/>
      <c r="U777" s="273"/>
      <c r="V777" s="273"/>
      <c r="W777" s="273"/>
      <c r="X777" s="273"/>
      <c r="Y777" s="273"/>
      <c r="Z777" s="273"/>
      <c r="AA777" s="273"/>
      <c r="AB777" s="273"/>
      <c r="AC777" s="273"/>
      <c r="AD777" s="273"/>
      <c r="AE777" s="273"/>
      <c r="AF777" s="273"/>
    </row>
    <row r="778" spans="16:32">
      <c r="P778" s="273"/>
      <c r="Q778" s="273"/>
      <c r="R778" s="273"/>
      <c r="S778" s="273"/>
      <c r="T778" s="273"/>
      <c r="U778" s="273"/>
      <c r="V778" s="273"/>
      <c r="W778" s="273"/>
      <c r="X778" s="273"/>
      <c r="Y778" s="273"/>
      <c r="Z778" s="273"/>
      <c r="AA778" s="273"/>
      <c r="AB778" s="273"/>
      <c r="AC778" s="273"/>
      <c r="AD778" s="273"/>
      <c r="AE778" s="273"/>
      <c r="AF778" s="273"/>
    </row>
    <row r="779" spans="16:32">
      <c r="P779" s="273"/>
      <c r="Q779" s="273"/>
      <c r="R779" s="273"/>
      <c r="S779" s="273"/>
      <c r="T779" s="273"/>
      <c r="U779" s="273"/>
      <c r="V779" s="273"/>
      <c r="W779" s="273"/>
      <c r="X779" s="273"/>
      <c r="Y779" s="273"/>
      <c r="Z779" s="273"/>
      <c r="AA779" s="273"/>
      <c r="AB779" s="273"/>
      <c r="AC779" s="273"/>
      <c r="AD779" s="273"/>
      <c r="AE779" s="273"/>
      <c r="AF779" s="273"/>
    </row>
    <row r="780" spans="16:32">
      <c r="P780" s="273"/>
      <c r="Q780" s="273"/>
      <c r="R780" s="273"/>
      <c r="S780" s="273"/>
      <c r="T780" s="273"/>
      <c r="U780" s="273"/>
      <c r="V780" s="273"/>
      <c r="W780" s="273"/>
      <c r="X780" s="273"/>
      <c r="Y780" s="273"/>
      <c r="Z780" s="273"/>
      <c r="AA780" s="273"/>
      <c r="AB780" s="273"/>
      <c r="AC780" s="273"/>
      <c r="AD780" s="273"/>
      <c r="AE780" s="273"/>
      <c r="AF780" s="273"/>
    </row>
    <row r="781" spans="16:32">
      <c r="P781" s="273"/>
      <c r="Q781" s="273"/>
      <c r="R781" s="273"/>
      <c r="S781" s="273"/>
      <c r="T781" s="273"/>
      <c r="U781" s="273"/>
      <c r="V781" s="273"/>
      <c r="W781" s="273"/>
      <c r="X781" s="273"/>
      <c r="Y781" s="273"/>
      <c r="Z781" s="273"/>
      <c r="AA781" s="273"/>
      <c r="AB781" s="273"/>
      <c r="AC781" s="273"/>
      <c r="AD781" s="273"/>
      <c r="AE781" s="273"/>
      <c r="AF781" s="273"/>
    </row>
    <row r="782" spans="16:32">
      <c r="P782" s="273"/>
      <c r="Q782" s="273"/>
      <c r="R782" s="273"/>
      <c r="S782" s="273"/>
      <c r="T782" s="273"/>
      <c r="U782" s="273"/>
      <c r="V782" s="273"/>
      <c r="W782" s="273"/>
      <c r="X782" s="273"/>
      <c r="Y782" s="273"/>
      <c r="Z782" s="273"/>
      <c r="AA782" s="273"/>
      <c r="AB782" s="273"/>
      <c r="AC782" s="273"/>
      <c r="AD782" s="273"/>
      <c r="AE782" s="273"/>
      <c r="AF782" s="273"/>
    </row>
    <row r="783" spans="16:32">
      <c r="P783" s="273"/>
      <c r="Q783" s="273"/>
      <c r="R783" s="273"/>
      <c r="S783" s="273"/>
      <c r="T783" s="273"/>
      <c r="U783" s="273"/>
      <c r="V783" s="273"/>
      <c r="W783" s="273"/>
      <c r="X783" s="273"/>
      <c r="Y783" s="273"/>
      <c r="Z783" s="273"/>
      <c r="AA783" s="273"/>
      <c r="AB783" s="273"/>
      <c r="AC783" s="273"/>
      <c r="AD783" s="273"/>
      <c r="AE783" s="273"/>
      <c r="AF783" s="273"/>
    </row>
    <row r="784" spans="16:32">
      <c r="P784" s="273"/>
      <c r="Q784" s="273"/>
      <c r="R784" s="273"/>
      <c r="S784" s="273"/>
      <c r="T784" s="273"/>
      <c r="U784" s="273"/>
      <c r="V784" s="273"/>
      <c r="W784" s="273"/>
      <c r="X784" s="273"/>
      <c r="Y784" s="273"/>
      <c r="Z784" s="273"/>
      <c r="AA784" s="273"/>
      <c r="AB784" s="273"/>
      <c r="AC784" s="273"/>
      <c r="AD784" s="273"/>
      <c r="AE784" s="273"/>
      <c r="AF784" s="273"/>
    </row>
    <row r="785" spans="16:32">
      <c r="P785" s="273"/>
      <c r="Q785" s="273"/>
      <c r="R785" s="273"/>
      <c r="S785" s="273"/>
      <c r="T785" s="273"/>
      <c r="U785" s="273"/>
      <c r="V785" s="273"/>
      <c r="W785" s="273"/>
      <c r="X785" s="273"/>
      <c r="Y785" s="273"/>
      <c r="Z785" s="273"/>
      <c r="AA785" s="273"/>
      <c r="AB785" s="273"/>
      <c r="AC785" s="273"/>
      <c r="AD785" s="273"/>
      <c r="AE785" s="273"/>
      <c r="AF785" s="273"/>
    </row>
    <row r="786" spans="16:32">
      <c r="P786" s="273"/>
      <c r="Q786" s="273"/>
      <c r="R786" s="273"/>
      <c r="S786" s="273"/>
      <c r="T786" s="273"/>
      <c r="U786" s="273"/>
      <c r="V786" s="273"/>
      <c r="W786" s="273"/>
      <c r="X786" s="273"/>
      <c r="Y786" s="273"/>
      <c r="Z786" s="273"/>
      <c r="AA786" s="273"/>
      <c r="AB786" s="273"/>
      <c r="AC786" s="273"/>
      <c r="AD786" s="273"/>
      <c r="AE786" s="273"/>
      <c r="AF786" s="273"/>
    </row>
    <row r="787" spans="16:32">
      <c r="P787" s="273"/>
      <c r="Q787" s="273"/>
      <c r="R787" s="273"/>
      <c r="S787" s="273"/>
      <c r="T787" s="273"/>
      <c r="U787" s="273"/>
      <c r="V787" s="273"/>
      <c r="W787" s="273"/>
      <c r="X787" s="273"/>
      <c r="Y787" s="273"/>
      <c r="Z787" s="273"/>
      <c r="AA787" s="273"/>
      <c r="AB787" s="273"/>
      <c r="AC787" s="273"/>
      <c r="AD787" s="273"/>
      <c r="AE787" s="273"/>
      <c r="AF787" s="273"/>
    </row>
    <row r="788" spans="16:32">
      <c r="P788" s="273"/>
      <c r="Q788" s="273"/>
      <c r="R788" s="273"/>
      <c r="S788" s="273"/>
      <c r="T788" s="273"/>
      <c r="U788" s="273"/>
      <c r="V788" s="273"/>
      <c r="W788" s="273"/>
      <c r="X788" s="273"/>
      <c r="Y788" s="273"/>
      <c r="Z788" s="273"/>
      <c r="AA788" s="273"/>
      <c r="AB788" s="273"/>
      <c r="AC788" s="273"/>
      <c r="AD788" s="273"/>
      <c r="AE788" s="273"/>
      <c r="AF788" s="273"/>
    </row>
    <row r="789" spans="16:32">
      <c r="P789" s="273"/>
      <c r="Q789" s="273"/>
      <c r="R789" s="273"/>
      <c r="S789" s="273"/>
      <c r="T789" s="273"/>
      <c r="U789" s="273"/>
      <c r="V789" s="273"/>
      <c r="W789" s="273"/>
      <c r="X789" s="273"/>
      <c r="Y789" s="273"/>
      <c r="Z789" s="273"/>
      <c r="AA789" s="273"/>
      <c r="AB789" s="273"/>
      <c r="AC789" s="273"/>
      <c r="AD789" s="273"/>
      <c r="AE789" s="273"/>
      <c r="AF789" s="273"/>
    </row>
    <row r="790" spans="16:32">
      <c r="P790" s="273"/>
      <c r="Q790" s="273"/>
      <c r="R790" s="273"/>
      <c r="S790" s="273"/>
      <c r="T790" s="273"/>
      <c r="U790" s="273"/>
      <c r="V790" s="273"/>
      <c r="W790" s="273"/>
      <c r="X790" s="273"/>
      <c r="Y790" s="273"/>
      <c r="Z790" s="273"/>
      <c r="AA790" s="273"/>
      <c r="AB790" s="273"/>
      <c r="AC790" s="273"/>
      <c r="AD790" s="273"/>
      <c r="AE790" s="273"/>
      <c r="AF790" s="273"/>
    </row>
    <row r="791" spans="16:32">
      <c r="P791" s="273"/>
      <c r="Q791" s="273"/>
      <c r="R791" s="273"/>
      <c r="S791" s="273"/>
      <c r="T791" s="273"/>
      <c r="U791" s="273"/>
      <c r="V791" s="273"/>
      <c r="W791" s="273"/>
      <c r="X791" s="273"/>
      <c r="Y791" s="273"/>
      <c r="Z791" s="273"/>
      <c r="AA791" s="273"/>
      <c r="AB791" s="273"/>
      <c r="AC791" s="273"/>
      <c r="AD791" s="273"/>
      <c r="AE791" s="273"/>
      <c r="AF791" s="273"/>
    </row>
    <row r="792" spans="16:32">
      <c r="P792" s="273"/>
      <c r="Q792" s="273"/>
      <c r="R792" s="273"/>
      <c r="S792" s="273"/>
      <c r="T792" s="273"/>
      <c r="U792" s="273"/>
      <c r="V792" s="273"/>
      <c r="W792" s="273"/>
      <c r="X792" s="273"/>
      <c r="Y792" s="273"/>
      <c r="Z792" s="273"/>
      <c r="AA792" s="273"/>
      <c r="AB792" s="273"/>
      <c r="AC792" s="273"/>
      <c r="AD792" s="273"/>
      <c r="AE792" s="273"/>
      <c r="AF792" s="273"/>
    </row>
    <row r="793" spans="16:32">
      <c r="P793" s="273"/>
      <c r="Q793" s="273"/>
      <c r="R793" s="273"/>
      <c r="S793" s="273"/>
      <c r="T793" s="273"/>
      <c r="U793" s="273"/>
      <c r="V793" s="273"/>
      <c r="W793" s="273"/>
      <c r="X793" s="273"/>
      <c r="Y793" s="273"/>
      <c r="Z793" s="273"/>
      <c r="AA793" s="273"/>
      <c r="AB793" s="273"/>
      <c r="AC793" s="273"/>
      <c r="AD793" s="273"/>
      <c r="AE793" s="273"/>
      <c r="AF793" s="273"/>
    </row>
    <row r="794" spans="16:32">
      <c r="P794" s="273"/>
      <c r="Q794" s="273"/>
      <c r="R794" s="273"/>
      <c r="S794" s="273"/>
      <c r="T794" s="273"/>
      <c r="U794" s="273"/>
      <c r="V794" s="273"/>
      <c r="W794" s="273"/>
      <c r="X794" s="273"/>
      <c r="Y794" s="273"/>
      <c r="Z794" s="273"/>
      <c r="AA794" s="273"/>
      <c r="AB794" s="273"/>
      <c r="AC794" s="273"/>
      <c r="AD794" s="273"/>
      <c r="AE794" s="273"/>
      <c r="AF794" s="273"/>
    </row>
    <row r="795" spans="16:32">
      <c r="P795" s="273"/>
      <c r="Q795" s="273"/>
      <c r="R795" s="273"/>
      <c r="S795" s="273"/>
      <c r="T795" s="273"/>
      <c r="U795" s="273"/>
      <c r="V795" s="273"/>
      <c r="W795" s="273"/>
      <c r="X795" s="273"/>
      <c r="Y795" s="273"/>
      <c r="Z795" s="273"/>
      <c r="AA795" s="273"/>
      <c r="AB795" s="273"/>
      <c r="AC795" s="273"/>
      <c r="AD795" s="273"/>
      <c r="AE795" s="273"/>
      <c r="AF795" s="273"/>
    </row>
    <row r="796" spans="16:32">
      <c r="P796" s="273"/>
      <c r="Q796" s="273"/>
      <c r="R796" s="273"/>
      <c r="S796" s="273"/>
      <c r="T796" s="273"/>
      <c r="U796" s="273"/>
      <c r="V796" s="273"/>
      <c r="W796" s="273"/>
      <c r="X796" s="273"/>
      <c r="Y796" s="273"/>
      <c r="Z796" s="273"/>
      <c r="AA796" s="273"/>
      <c r="AB796" s="273"/>
      <c r="AC796" s="273"/>
      <c r="AD796" s="273"/>
      <c r="AE796" s="273"/>
      <c r="AF796" s="273"/>
    </row>
    <row r="797" spans="16:32">
      <c r="P797" s="273"/>
      <c r="Q797" s="273"/>
      <c r="R797" s="273"/>
      <c r="S797" s="273"/>
      <c r="T797" s="273"/>
      <c r="U797" s="273"/>
      <c r="V797" s="273"/>
      <c r="W797" s="273"/>
      <c r="X797" s="273"/>
      <c r="Y797" s="273"/>
      <c r="Z797" s="273"/>
      <c r="AA797" s="273"/>
      <c r="AB797" s="273"/>
      <c r="AC797" s="273"/>
      <c r="AD797" s="273"/>
      <c r="AE797" s="273"/>
      <c r="AF797" s="273"/>
    </row>
    <row r="798" spans="16:32">
      <c r="P798" s="273"/>
      <c r="Q798" s="273"/>
      <c r="R798" s="273"/>
      <c r="S798" s="273"/>
      <c r="T798" s="273"/>
      <c r="U798" s="273"/>
      <c r="V798" s="273"/>
      <c r="W798" s="273"/>
      <c r="X798" s="273"/>
      <c r="Y798" s="273"/>
      <c r="Z798" s="273"/>
      <c r="AA798" s="273"/>
      <c r="AB798" s="273"/>
      <c r="AC798" s="273"/>
      <c r="AD798" s="273"/>
      <c r="AE798" s="273"/>
      <c r="AF798" s="273"/>
    </row>
    <row r="799" spans="16:32">
      <c r="P799" s="273"/>
      <c r="Q799" s="273"/>
      <c r="R799" s="273"/>
      <c r="S799" s="273"/>
      <c r="T799" s="273"/>
      <c r="U799" s="273"/>
      <c r="V799" s="273"/>
      <c r="W799" s="273"/>
      <c r="X799" s="273"/>
      <c r="Y799" s="273"/>
      <c r="Z799" s="273"/>
      <c r="AA799" s="273"/>
      <c r="AB799" s="273"/>
      <c r="AC799" s="273"/>
      <c r="AD799" s="273"/>
      <c r="AE799" s="273"/>
      <c r="AF799" s="273"/>
    </row>
    <row r="800" spans="16:32">
      <c r="P800" s="273"/>
      <c r="Q800" s="273"/>
      <c r="R800" s="273"/>
      <c r="S800" s="273"/>
      <c r="T800" s="273"/>
      <c r="U800" s="273"/>
      <c r="V800" s="273"/>
      <c r="W800" s="273"/>
      <c r="X800" s="273"/>
      <c r="Y800" s="273"/>
      <c r="Z800" s="273"/>
      <c r="AA800" s="273"/>
      <c r="AB800" s="273"/>
      <c r="AC800" s="273"/>
      <c r="AD800" s="273"/>
      <c r="AE800" s="273"/>
      <c r="AF800" s="273"/>
    </row>
    <row r="801" spans="16:32">
      <c r="P801" s="273"/>
      <c r="Q801" s="273"/>
      <c r="R801" s="273"/>
      <c r="S801" s="273"/>
      <c r="T801" s="273"/>
      <c r="U801" s="273"/>
      <c r="V801" s="273"/>
      <c r="W801" s="273"/>
      <c r="X801" s="273"/>
      <c r="Y801" s="273"/>
      <c r="Z801" s="273"/>
      <c r="AA801" s="273"/>
      <c r="AB801" s="273"/>
      <c r="AC801" s="273"/>
      <c r="AD801" s="273"/>
      <c r="AE801" s="273"/>
      <c r="AF801" s="273"/>
    </row>
    <row r="802" spans="16:32">
      <c r="P802" s="273"/>
      <c r="Q802" s="273"/>
      <c r="R802" s="273"/>
      <c r="S802" s="273"/>
      <c r="T802" s="273"/>
      <c r="U802" s="273"/>
      <c r="V802" s="273"/>
      <c r="W802" s="273"/>
      <c r="X802" s="273"/>
      <c r="Y802" s="273"/>
      <c r="Z802" s="273"/>
      <c r="AA802" s="273"/>
      <c r="AB802" s="273"/>
      <c r="AC802" s="273"/>
      <c r="AD802" s="273"/>
      <c r="AE802" s="273"/>
      <c r="AF802" s="273"/>
    </row>
    <row r="803" spans="16:32">
      <c r="P803" s="273"/>
      <c r="Q803" s="273"/>
      <c r="R803" s="273"/>
      <c r="S803" s="273"/>
      <c r="T803" s="273"/>
      <c r="U803" s="273"/>
      <c r="V803" s="273"/>
      <c r="W803" s="273"/>
      <c r="X803" s="273"/>
      <c r="Y803" s="273"/>
      <c r="Z803" s="273"/>
      <c r="AA803" s="273"/>
      <c r="AB803" s="273"/>
      <c r="AC803" s="273"/>
      <c r="AD803" s="273"/>
      <c r="AE803" s="273"/>
      <c r="AF803" s="273"/>
    </row>
    <row r="804" spans="16:32">
      <c r="P804" s="273"/>
      <c r="Q804" s="273"/>
      <c r="R804" s="273"/>
      <c r="S804" s="273"/>
      <c r="T804" s="273"/>
      <c r="U804" s="273"/>
      <c r="V804" s="273"/>
      <c r="W804" s="273"/>
      <c r="X804" s="273"/>
      <c r="Y804" s="273"/>
      <c r="Z804" s="273"/>
      <c r="AA804" s="273"/>
      <c r="AB804" s="273"/>
      <c r="AC804" s="273"/>
      <c r="AD804" s="273"/>
      <c r="AE804" s="273"/>
      <c r="AF804" s="273"/>
    </row>
    <row r="805" spans="16:32">
      <c r="P805" s="273"/>
      <c r="Q805" s="273"/>
      <c r="R805" s="273"/>
      <c r="S805" s="273"/>
      <c r="T805" s="273"/>
      <c r="U805" s="273"/>
      <c r="V805" s="273"/>
      <c r="W805" s="273"/>
      <c r="X805" s="273"/>
      <c r="Y805" s="273"/>
      <c r="Z805" s="273"/>
      <c r="AA805" s="273"/>
      <c r="AB805" s="273"/>
      <c r="AC805" s="273"/>
      <c r="AD805" s="273"/>
      <c r="AE805" s="273"/>
      <c r="AF805" s="273"/>
    </row>
    <row r="806" spans="16:32">
      <c r="P806" s="273"/>
      <c r="Q806" s="273"/>
      <c r="R806" s="273"/>
      <c r="S806" s="273"/>
      <c r="T806" s="273"/>
      <c r="U806" s="273"/>
      <c r="V806" s="273"/>
      <c r="W806" s="273"/>
      <c r="X806" s="273"/>
      <c r="Y806" s="273"/>
      <c r="Z806" s="273"/>
      <c r="AA806" s="273"/>
      <c r="AB806" s="273"/>
      <c r="AC806" s="273"/>
      <c r="AD806" s="273"/>
      <c r="AE806" s="273"/>
      <c r="AF806" s="273"/>
    </row>
    <row r="807" spans="16:32">
      <c r="P807" s="273"/>
      <c r="Q807" s="273"/>
      <c r="R807" s="273"/>
      <c r="S807" s="273"/>
      <c r="T807" s="273"/>
      <c r="U807" s="273"/>
      <c r="V807" s="273"/>
      <c r="W807" s="273"/>
      <c r="X807" s="273"/>
      <c r="Y807" s="273"/>
      <c r="Z807" s="273"/>
      <c r="AA807" s="273"/>
      <c r="AB807" s="273"/>
      <c r="AC807" s="273"/>
      <c r="AD807" s="273"/>
      <c r="AE807" s="273"/>
      <c r="AF807" s="273"/>
    </row>
    <row r="808" spans="16:32">
      <c r="P808" s="273"/>
      <c r="Q808" s="273"/>
      <c r="R808" s="273"/>
      <c r="S808" s="273"/>
      <c r="T808" s="273"/>
      <c r="U808" s="273"/>
      <c r="V808" s="273"/>
      <c r="W808" s="273"/>
      <c r="X808" s="273"/>
      <c r="Y808" s="273"/>
      <c r="Z808" s="273"/>
      <c r="AA808" s="273"/>
      <c r="AB808" s="273"/>
      <c r="AC808" s="273"/>
      <c r="AD808" s="273"/>
      <c r="AE808" s="273"/>
      <c r="AF808" s="273"/>
    </row>
  </sheetData>
  <autoFilter ref="B24:K399" xr:uid="{BAB8E048-3245-4E24-912E-3BBF0790E685}"/>
  <dataValidations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20</xdr:col>
                    <xdr:colOff>323850</xdr:colOff>
                    <xdr:row>4</xdr:row>
                    <xdr:rowOff>66675</xdr:rowOff>
                  </from>
                  <to>
                    <xdr:col>21</xdr:col>
                    <xdr:colOff>247650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3" customWidth="1"/>
    <col min="2" max="2" width="17" style="273" bestFit="1" customWidth="1"/>
    <col min="3" max="3" width="26.5703125" style="273" bestFit="1" customWidth="1"/>
    <col min="4" max="4" width="10.5703125" style="274" customWidth="1"/>
    <col min="5" max="14" width="9.85546875" style="274" customWidth="1"/>
    <col min="15" max="31" width="9.140625" style="79"/>
    <col min="32" max="16384" width="9.140625" style="273"/>
  </cols>
  <sheetData>
    <row r="1" spans="1:228" customFormat="1" ht="29.25" customHeight="1">
      <c r="A1" s="270"/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270"/>
      <c r="CC1" s="270"/>
      <c r="CD1" s="270"/>
      <c r="CE1" s="270"/>
      <c r="CF1" s="270"/>
      <c r="CG1" s="270"/>
      <c r="CH1" s="270"/>
      <c r="CI1" s="270"/>
      <c r="CJ1" s="270"/>
      <c r="CK1" s="270"/>
      <c r="CL1" s="270"/>
      <c r="CM1" s="270"/>
      <c r="CN1" s="270"/>
      <c r="CO1" s="270"/>
      <c r="CP1" s="270"/>
      <c r="CQ1" s="270"/>
      <c r="CR1" s="270"/>
      <c r="CS1" s="270"/>
      <c r="CT1" s="270"/>
      <c r="CU1" s="270"/>
      <c r="CV1" s="270"/>
      <c r="CW1" s="270"/>
      <c r="CX1" s="270"/>
      <c r="CY1" s="270"/>
      <c r="CZ1" s="270"/>
      <c r="DA1" s="270"/>
      <c r="DB1" s="270"/>
      <c r="DC1" s="270"/>
      <c r="DD1" s="270"/>
      <c r="DE1" s="270"/>
      <c r="DF1" s="270"/>
      <c r="DG1" s="270"/>
      <c r="DH1" s="270"/>
      <c r="DI1" s="270"/>
      <c r="DJ1" s="270"/>
      <c r="DK1" s="270"/>
      <c r="DL1" s="270"/>
      <c r="DM1" s="270"/>
      <c r="DN1" s="270"/>
      <c r="DO1" s="270"/>
      <c r="DP1" s="270"/>
      <c r="DQ1" s="270"/>
      <c r="DR1" s="270"/>
      <c r="DS1" s="270"/>
      <c r="DT1" s="270"/>
      <c r="DU1" s="270"/>
      <c r="DV1" s="270"/>
      <c r="DW1" s="270"/>
      <c r="DX1" s="270"/>
      <c r="DY1" s="270"/>
      <c r="DZ1" s="270"/>
      <c r="EA1" s="270"/>
      <c r="EB1" s="270"/>
      <c r="EC1" s="270"/>
      <c r="ED1" s="270"/>
      <c r="EE1" s="270"/>
      <c r="EF1" s="270"/>
      <c r="EG1" s="270"/>
      <c r="EH1" s="270"/>
      <c r="EI1" s="270"/>
      <c r="EJ1" s="270"/>
      <c r="EK1" s="270"/>
      <c r="EL1" s="270"/>
      <c r="EM1" s="270"/>
      <c r="EN1" s="270"/>
      <c r="EO1" s="270"/>
      <c r="EP1" s="270"/>
      <c r="EQ1" s="270"/>
      <c r="ER1" s="270"/>
      <c r="ES1" s="270"/>
      <c r="ET1" s="270"/>
      <c r="EU1" s="270"/>
      <c r="EV1" s="270"/>
      <c r="EW1" s="270"/>
      <c r="EX1" s="270"/>
      <c r="EY1" s="270"/>
      <c r="EZ1" s="270"/>
      <c r="FA1" s="270"/>
      <c r="FB1" s="270"/>
      <c r="FC1" s="270"/>
      <c r="FD1" s="270"/>
      <c r="FE1" s="270"/>
      <c r="FF1" s="270"/>
      <c r="FG1" s="270"/>
      <c r="FH1" s="270"/>
      <c r="FI1" s="270"/>
      <c r="FJ1" s="270"/>
      <c r="FK1" s="270"/>
      <c r="FL1" s="270"/>
      <c r="FM1" s="270"/>
      <c r="FN1" s="270"/>
      <c r="FO1" s="270"/>
      <c r="FP1" s="270"/>
      <c r="FQ1" s="270"/>
      <c r="FR1" s="270"/>
      <c r="FS1" s="270"/>
      <c r="FT1" s="270"/>
      <c r="FU1" s="270"/>
      <c r="FV1" s="270"/>
      <c r="FW1" s="270"/>
      <c r="FX1" s="270"/>
      <c r="FY1" s="270"/>
      <c r="FZ1" s="270"/>
      <c r="GA1" s="270"/>
      <c r="GB1" s="270"/>
      <c r="GC1" s="270"/>
      <c r="GD1" s="270"/>
      <c r="GE1" s="270"/>
      <c r="GF1" s="270"/>
      <c r="GG1" s="270"/>
      <c r="GH1" s="270"/>
      <c r="GI1" s="270"/>
      <c r="GJ1" s="270"/>
      <c r="GK1" s="270"/>
      <c r="GL1" s="270"/>
      <c r="GM1" s="270"/>
      <c r="GN1" s="270"/>
      <c r="GO1" s="270"/>
      <c r="GP1" s="270"/>
      <c r="GQ1" s="270"/>
      <c r="GR1" s="270"/>
      <c r="GS1" s="270"/>
      <c r="GT1" s="270"/>
      <c r="GU1" s="270"/>
      <c r="GV1" s="270"/>
      <c r="GW1" s="270"/>
      <c r="GX1" s="270"/>
      <c r="GY1" s="270"/>
      <c r="GZ1" s="270"/>
      <c r="HA1" s="270"/>
      <c r="HB1" s="270"/>
      <c r="HC1" s="270"/>
      <c r="HD1" s="270"/>
      <c r="HE1" s="270"/>
      <c r="HF1" s="270"/>
      <c r="HG1" s="270"/>
      <c r="HH1" s="270"/>
      <c r="HI1" s="270"/>
      <c r="HJ1" s="270"/>
      <c r="HK1" s="270"/>
      <c r="HL1" s="270"/>
      <c r="HM1" s="270"/>
      <c r="HN1" s="270"/>
      <c r="HO1" s="270"/>
      <c r="HP1" s="270"/>
      <c r="HQ1" s="270"/>
      <c r="HR1" s="270"/>
      <c r="HS1" s="270"/>
      <c r="HT1" s="270"/>
    </row>
    <row r="2" spans="1:228" customFormat="1" ht="54.75" customHeight="1">
      <c r="A2" s="270"/>
      <c r="B2" s="270"/>
      <c r="C2" s="271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0"/>
      <c r="AL2" s="270"/>
      <c r="AM2" s="270"/>
      <c r="AN2" s="270"/>
      <c r="AO2" s="270"/>
      <c r="AP2" s="270"/>
      <c r="AQ2" s="270"/>
      <c r="AR2" s="270"/>
      <c r="AS2" s="270"/>
      <c r="AT2" s="270"/>
      <c r="AU2" s="270"/>
      <c r="AV2" s="270"/>
      <c r="AW2" s="270"/>
      <c r="AX2" s="270"/>
      <c r="AY2" s="270"/>
      <c r="AZ2" s="270"/>
      <c r="BA2" s="270"/>
      <c r="BB2" s="270"/>
      <c r="BC2" s="270"/>
      <c r="BD2" s="270"/>
      <c r="BE2" s="270"/>
      <c r="BF2" s="270"/>
      <c r="BG2" s="270"/>
      <c r="BH2" s="270"/>
      <c r="BI2" s="270"/>
      <c r="BJ2" s="270"/>
      <c r="BK2" s="270"/>
      <c r="BL2" s="270"/>
      <c r="BM2" s="270"/>
      <c r="BN2" s="270"/>
      <c r="BO2" s="270"/>
      <c r="BP2" s="270"/>
      <c r="BQ2" s="270"/>
      <c r="BR2" s="270"/>
      <c r="BS2" s="270"/>
      <c r="BT2" s="270"/>
      <c r="BU2" s="270"/>
      <c r="BV2" s="270"/>
      <c r="BW2" s="270"/>
      <c r="BX2" s="270"/>
      <c r="BY2" s="270"/>
      <c r="BZ2" s="270"/>
      <c r="CA2" s="270"/>
      <c r="CB2" s="270"/>
      <c r="CC2" s="270"/>
      <c r="CD2" s="270"/>
      <c r="CE2" s="270"/>
      <c r="CF2" s="270"/>
      <c r="CG2" s="270"/>
      <c r="CH2" s="270"/>
      <c r="CI2" s="270"/>
      <c r="CJ2" s="270"/>
      <c r="CK2" s="270"/>
      <c r="CL2" s="270"/>
      <c r="CM2" s="270"/>
      <c r="CN2" s="270"/>
      <c r="CO2" s="270"/>
      <c r="CP2" s="270"/>
      <c r="CQ2" s="270"/>
      <c r="CR2" s="270"/>
      <c r="CS2" s="270"/>
      <c r="CT2" s="270"/>
      <c r="CU2" s="270"/>
      <c r="CV2" s="270"/>
      <c r="CW2" s="270"/>
      <c r="CX2" s="270"/>
      <c r="CY2" s="270"/>
      <c r="CZ2" s="270"/>
      <c r="DA2" s="270"/>
      <c r="DB2" s="270"/>
      <c r="DC2" s="270"/>
      <c r="DD2" s="270"/>
      <c r="DE2" s="270"/>
      <c r="DF2" s="270"/>
      <c r="DG2" s="270"/>
      <c r="DH2" s="270"/>
      <c r="DI2" s="270"/>
      <c r="DJ2" s="270"/>
      <c r="DK2" s="270"/>
      <c r="DL2" s="270"/>
      <c r="DM2" s="270"/>
      <c r="DN2" s="270"/>
      <c r="DO2" s="270"/>
      <c r="DP2" s="270"/>
      <c r="DQ2" s="270"/>
      <c r="DR2" s="270"/>
      <c r="DS2" s="270"/>
      <c r="DT2" s="270"/>
      <c r="DU2" s="270"/>
      <c r="DV2" s="270"/>
      <c r="DW2" s="270"/>
      <c r="DX2" s="270"/>
      <c r="DY2" s="270"/>
      <c r="DZ2" s="270"/>
      <c r="EA2" s="270"/>
      <c r="EB2" s="270"/>
      <c r="EC2" s="270"/>
      <c r="ED2" s="270"/>
      <c r="EE2" s="270"/>
      <c r="EF2" s="270"/>
      <c r="EG2" s="270"/>
      <c r="EH2" s="270"/>
      <c r="EI2" s="270"/>
      <c r="EJ2" s="270"/>
      <c r="EK2" s="270"/>
      <c r="EL2" s="270"/>
      <c r="EM2" s="270"/>
      <c r="EN2" s="270"/>
      <c r="EO2" s="270"/>
      <c r="EP2" s="270"/>
      <c r="EQ2" s="270"/>
      <c r="ER2" s="270"/>
      <c r="ES2" s="270"/>
      <c r="ET2" s="270"/>
      <c r="EU2" s="270"/>
      <c r="EV2" s="270"/>
      <c r="EW2" s="270"/>
      <c r="EX2" s="270"/>
      <c r="EY2" s="270"/>
      <c r="EZ2" s="270"/>
      <c r="FA2" s="270"/>
      <c r="FB2" s="270"/>
      <c r="FC2" s="270"/>
      <c r="FD2" s="270"/>
      <c r="FE2" s="270"/>
      <c r="FF2" s="270"/>
      <c r="FG2" s="270"/>
      <c r="FH2" s="270"/>
      <c r="FI2" s="270"/>
      <c r="FJ2" s="270"/>
      <c r="FK2" s="270"/>
      <c r="FL2" s="270"/>
      <c r="FM2" s="270"/>
      <c r="FN2" s="270"/>
      <c r="FO2" s="270"/>
      <c r="FP2" s="270"/>
      <c r="FQ2" s="270"/>
      <c r="FR2" s="270"/>
      <c r="FS2" s="270"/>
      <c r="FT2" s="270"/>
      <c r="FU2" s="270"/>
      <c r="FV2" s="270"/>
      <c r="FW2" s="270"/>
      <c r="FX2" s="270"/>
      <c r="FY2" s="270"/>
      <c r="FZ2" s="270"/>
      <c r="GA2" s="270"/>
      <c r="GB2" s="270"/>
      <c r="GC2" s="270"/>
      <c r="GD2" s="270"/>
      <c r="GE2" s="270"/>
      <c r="GF2" s="270"/>
      <c r="GG2" s="270"/>
      <c r="GH2" s="270"/>
      <c r="GI2" s="270"/>
      <c r="GJ2" s="270"/>
      <c r="GK2" s="270"/>
      <c r="GL2" s="270"/>
      <c r="GM2" s="270"/>
      <c r="GN2" s="270"/>
      <c r="GO2" s="270"/>
      <c r="GP2" s="270"/>
      <c r="GQ2" s="270"/>
      <c r="GR2" s="270"/>
      <c r="GS2" s="270"/>
      <c r="GT2" s="270"/>
      <c r="GU2" s="270"/>
      <c r="GV2" s="270"/>
      <c r="GW2" s="270"/>
      <c r="GX2" s="270"/>
      <c r="GY2" s="270"/>
      <c r="GZ2" s="270"/>
      <c r="HA2" s="270"/>
      <c r="HB2" s="270"/>
      <c r="HC2" s="270"/>
      <c r="HD2" s="270"/>
      <c r="HE2" s="270"/>
      <c r="HF2" s="270"/>
      <c r="HG2" s="270"/>
      <c r="HH2" s="270"/>
      <c r="HI2" s="270"/>
      <c r="HJ2" s="270"/>
      <c r="HK2" s="270"/>
      <c r="HL2" s="270"/>
      <c r="HM2" s="270"/>
      <c r="HN2" s="270"/>
      <c r="HO2" s="270"/>
      <c r="HP2" s="270"/>
      <c r="HQ2" s="270"/>
      <c r="HR2" s="270"/>
      <c r="HS2" s="270"/>
      <c r="HT2" s="270"/>
    </row>
    <row r="3" spans="1:228" customFormat="1" ht="36.75" customHeight="1">
      <c r="A3" s="270"/>
      <c r="B3" s="270"/>
      <c r="C3" s="270"/>
      <c r="D3" s="270"/>
      <c r="E3" s="270"/>
      <c r="F3" s="270"/>
      <c r="G3" s="270"/>
      <c r="H3" s="270"/>
      <c r="I3" s="272"/>
      <c r="J3" s="272"/>
      <c r="K3" s="272"/>
      <c r="L3" s="272"/>
      <c r="M3" s="272"/>
      <c r="N3" s="272"/>
      <c r="O3" s="272"/>
      <c r="P3" s="272"/>
      <c r="Q3" s="270"/>
      <c r="R3" s="270"/>
      <c r="S3" s="270"/>
      <c r="T3" s="270"/>
      <c r="U3" s="270"/>
      <c r="V3" s="270"/>
      <c r="W3" s="270"/>
      <c r="X3" s="270"/>
      <c r="Y3" s="270"/>
      <c r="Z3" s="270"/>
      <c r="AA3" s="270"/>
      <c r="AB3" s="272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0"/>
      <c r="AN3" s="270"/>
      <c r="AO3" s="270"/>
      <c r="AP3" s="270"/>
      <c r="AQ3" s="270"/>
      <c r="AR3" s="270"/>
      <c r="AS3" s="270"/>
      <c r="AT3" s="270"/>
      <c r="AU3" s="270"/>
      <c r="AV3" s="270"/>
      <c r="AW3" s="270"/>
      <c r="AX3" s="270"/>
      <c r="AY3" s="270"/>
      <c r="AZ3" s="270"/>
      <c r="BA3" s="270"/>
      <c r="BB3" s="270"/>
      <c r="BC3" s="270"/>
      <c r="BD3" s="270"/>
      <c r="BE3" s="270"/>
      <c r="BF3" s="270"/>
      <c r="BG3" s="270"/>
      <c r="BH3" s="270"/>
      <c r="BI3" s="270"/>
      <c r="BJ3" s="270"/>
      <c r="BK3" s="270"/>
      <c r="BL3" s="270"/>
      <c r="BM3" s="270"/>
      <c r="BN3" s="270"/>
      <c r="BO3" s="270"/>
      <c r="BP3" s="270"/>
      <c r="BQ3" s="270"/>
      <c r="BR3" s="270"/>
      <c r="BS3" s="270"/>
      <c r="BT3" s="270"/>
      <c r="BU3" s="270"/>
      <c r="BV3" s="270"/>
      <c r="BW3" s="270"/>
      <c r="BX3" s="270"/>
      <c r="BY3" s="270"/>
      <c r="BZ3" s="270"/>
      <c r="CA3" s="270"/>
      <c r="CB3" s="270"/>
      <c r="CC3" s="270"/>
      <c r="CD3" s="270"/>
      <c r="CE3" s="270"/>
      <c r="CF3" s="270"/>
      <c r="CG3" s="270"/>
      <c r="CH3" s="270"/>
      <c r="CI3" s="270"/>
      <c r="CJ3" s="270"/>
      <c r="CK3" s="270"/>
      <c r="CL3" s="270"/>
      <c r="CM3" s="270"/>
      <c r="CN3" s="270"/>
      <c r="CO3" s="270"/>
      <c r="CP3" s="270"/>
      <c r="CQ3" s="270"/>
      <c r="CR3" s="270"/>
      <c r="CS3" s="270"/>
      <c r="CT3" s="270"/>
      <c r="CU3" s="270"/>
      <c r="CV3" s="270"/>
      <c r="CW3" s="270"/>
      <c r="CX3" s="270"/>
      <c r="CY3" s="270"/>
      <c r="CZ3" s="270"/>
      <c r="DA3" s="270"/>
      <c r="DB3" s="270"/>
      <c r="DC3" s="270"/>
      <c r="DD3" s="270"/>
      <c r="DE3" s="270"/>
      <c r="DF3" s="270"/>
      <c r="DG3" s="270"/>
      <c r="DH3" s="270"/>
      <c r="DI3" s="270"/>
      <c r="DJ3" s="270"/>
      <c r="DK3" s="270"/>
      <c r="DL3" s="270"/>
      <c r="DM3" s="270"/>
      <c r="DN3" s="270"/>
      <c r="DO3" s="270"/>
      <c r="DP3" s="270"/>
      <c r="DQ3" s="270"/>
      <c r="DR3" s="270"/>
      <c r="DS3" s="270"/>
      <c r="DT3" s="270"/>
      <c r="DU3" s="270"/>
      <c r="DV3" s="270"/>
      <c r="DW3" s="270"/>
      <c r="DX3" s="270"/>
      <c r="DY3" s="270"/>
      <c r="DZ3" s="270"/>
      <c r="EA3" s="270"/>
      <c r="EB3" s="270"/>
      <c r="EC3" s="270"/>
      <c r="ED3" s="270"/>
      <c r="EE3" s="270"/>
      <c r="EF3" s="270"/>
      <c r="EG3" s="270"/>
      <c r="EH3" s="270"/>
      <c r="EI3" s="270"/>
      <c r="EJ3" s="270"/>
      <c r="EK3" s="270"/>
      <c r="EL3" s="270"/>
      <c r="EM3" s="270"/>
      <c r="EN3" s="270"/>
      <c r="EO3" s="270"/>
      <c r="EP3" s="270"/>
      <c r="EQ3" s="270"/>
      <c r="ER3" s="270"/>
      <c r="ES3" s="270"/>
      <c r="ET3" s="270"/>
      <c r="EU3" s="270"/>
      <c r="EV3" s="270"/>
      <c r="EW3" s="270"/>
      <c r="EX3" s="270"/>
      <c r="EY3" s="270"/>
      <c r="EZ3" s="270"/>
      <c r="FA3" s="270"/>
      <c r="FB3" s="270"/>
      <c r="FC3" s="270"/>
      <c r="FD3" s="270"/>
      <c r="FE3" s="270"/>
      <c r="FF3" s="270"/>
      <c r="FG3" s="270"/>
      <c r="FH3" s="270"/>
      <c r="FI3" s="270"/>
      <c r="FJ3" s="270"/>
      <c r="FK3" s="270"/>
      <c r="FL3" s="270"/>
      <c r="FM3" s="270"/>
      <c r="FN3" s="270"/>
      <c r="FO3" s="270"/>
      <c r="FP3" s="270"/>
      <c r="FQ3" s="270"/>
      <c r="FR3" s="270"/>
      <c r="FS3" s="270"/>
      <c r="FT3" s="270"/>
      <c r="FU3" s="270"/>
      <c r="FV3" s="270"/>
      <c r="FW3" s="270"/>
      <c r="FX3" s="270"/>
      <c r="FY3" s="270"/>
      <c r="FZ3" s="270"/>
      <c r="GA3" s="270"/>
      <c r="GB3" s="270"/>
      <c r="GC3" s="270"/>
      <c r="GD3" s="270"/>
      <c r="GE3" s="270"/>
      <c r="GF3" s="270"/>
      <c r="GG3" s="270"/>
      <c r="GH3" s="270"/>
      <c r="GI3" s="270"/>
      <c r="GJ3" s="270"/>
      <c r="GK3" s="270"/>
      <c r="GL3" s="270"/>
      <c r="GM3" s="270"/>
      <c r="GN3" s="270"/>
      <c r="GO3" s="270"/>
      <c r="GP3" s="270"/>
      <c r="GQ3" s="270"/>
      <c r="GR3" s="270"/>
      <c r="GS3" s="270"/>
      <c r="GT3" s="270"/>
      <c r="GU3" s="270"/>
      <c r="GV3" s="270"/>
      <c r="GW3" s="270"/>
      <c r="GX3" s="270"/>
      <c r="GY3" s="270"/>
      <c r="GZ3" s="270"/>
      <c r="HA3" s="270"/>
      <c r="HB3" s="270"/>
      <c r="HC3" s="270"/>
      <c r="HD3" s="270"/>
      <c r="HE3" s="270"/>
      <c r="HF3" s="270"/>
      <c r="HG3" s="270"/>
      <c r="HH3" s="270"/>
      <c r="HI3" s="270"/>
      <c r="HJ3" s="270"/>
      <c r="HK3" s="270"/>
      <c r="HL3" s="270"/>
      <c r="HM3" s="270"/>
      <c r="HN3" s="270"/>
      <c r="HO3" s="270"/>
      <c r="HP3" s="270"/>
      <c r="HQ3" s="270"/>
      <c r="HR3" s="270"/>
      <c r="HS3" s="270"/>
      <c r="HT3" s="270"/>
    </row>
    <row r="4" spans="1:228" ht="12" thickBot="1">
      <c r="O4" s="273"/>
      <c r="P4" s="273"/>
      <c r="Q4" s="273"/>
      <c r="R4" s="273"/>
      <c r="S4" s="273"/>
      <c r="T4" s="273"/>
      <c r="U4" s="273"/>
      <c r="V4" s="273"/>
      <c r="W4" s="273"/>
      <c r="X4" s="273"/>
      <c r="Y4" s="273"/>
      <c r="Z4" s="273"/>
      <c r="AA4" s="273"/>
      <c r="AB4" s="273"/>
      <c r="AC4" s="273"/>
      <c r="AD4" s="273"/>
      <c r="AE4" s="273"/>
    </row>
    <row r="5" spans="1:228">
      <c r="B5" s="275" t="s">
        <v>432</v>
      </c>
      <c r="C5" s="276">
        <v>46828</v>
      </c>
      <c r="O5" s="273"/>
      <c r="P5" s="273"/>
      <c r="Q5" s="273"/>
      <c r="R5" s="273"/>
      <c r="S5" s="273"/>
      <c r="T5" s="273"/>
      <c r="U5" s="273"/>
      <c r="V5" s="273"/>
      <c r="W5" s="273"/>
      <c r="X5" s="273"/>
      <c r="Y5" s="273"/>
      <c r="Z5" s="273"/>
      <c r="AA5" s="273"/>
      <c r="AB5" s="273"/>
      <c r="AC5" s="273"/>
      <c r="AD5" s="273"/>
      <c r="AE5" s="273"/>
    </row>
    <row r="6" spans="1:228">
      <c r="B6" s="277" t="s">
        <v>475</v>
      </c>
      <c r="C6" s="278">
        <v>5000</v>
      </c>
      <c r="D6" s="273"/>
      <c r="E6" s="649"/>
      <c r="F6" s="649"/>
      <c r="G6" s="649"/>
      <c r="H6" s="649"/>
      <c r="I6" s="649"/>
      <c r="J6" s="649"/>
      <c r="K6" s="649"/>
      <c r="L6" s="649"/>
      <c r="M6" s="649"/>
      <c r="N6" s="649"/>
      <c r="O6" s="273"/>
      <c r="P6" s="273"/>
      <c r="Q6" s="273"/>
      <c r="R6" s="273"/>
      <c r="S6" s="273"/>
      <c r="T6" s="273"/>
      <c r="U6" s="273"/>
      <c r="V6" s="273"/>
      <c r="W6" s="273"/>
      <c r="X6" s="273"/>
      <c r="Y6" s="273"/>
      <c r="Z6" s="273"/>
      <c r="AA6" s="273"/>
      <c r="AB6" s="273"/>
      <c r="AC6" s="273"/>
      <c r="AD6" s="273"/>
      <c r="AE6" s="273"/>
    </row>
    <row r="7" spans="1:228" ht="12" thickBot="1">
      <c r="B7" s="279" t="s">
        <v>476</v>
      </c>
      <c r="C7" s="280" t="b">
        <v>0</v>
      </c>
      <c r="D7" s="273"/>
      <c r="E7" s="273"/>
      <c r="H7" s="281"/>
      <c r="O7" s="649"/>
      <c r="P7" s="649"/>
      <c r="Q7" s="649"/>
      <c r="R7" s="649"/>
      <c r="S7" s="649"/>
      <c r="T7" s="649"/>
      <c r="U7" s="649"/>
      <c r="V7" s="649"/>
      <c r="W7" s="649"/>
      <c r="X7" s="649"/>
      <c r="Y7" s="273"/>
      <c r="Z7" s="273"/>
      <c r="AA7" s="273"/>
      <c r="AB7" s="273"/>
      <c r="AC7" s="273"/>
      <c r="AD7" s="273"/>
      <c r="AE7" s="273"/>
    </row>
    <row r="8" spans="1:228" ht="12" thickBot="1">
      <c r="B8" s="279" t="s">
        <v>477</v>
      </c>
      <c r="C8" s="282">
        <v>0.3</v>
      </c>
      <c r="D8" s="283"/>
      <c r="E8" s="273"/>
      <c r="H8" s="281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</row>
    <row r="9" spans="1:228" ht="12" thickBot="1">
      <c r="B9" s="279" t="s">
        <v>478</v>
      </c>
      <c r="C9" s="284">
        <v>125</v>
      </c>
      <c r="D9" s="283"/>
      <c r="E9" s="273"/>
      <c r="H9" s="281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</row>
    <row r="10" spans="1:228" ht="12" thickBot="1">
      <c r="B10" s="285"/>
      <c r="C10" s="286"/>
      <c r="D10" s="283"/>
      <c r="E10" s="273"/>
      <c r="H10" s="281"/>
      <c r="O10" s="273"/>
      <c r="P10" s="273"/>
      <c r="Q10" s="273"/>
      <c r="R10" s="273"/>
      <c r="S10" s="273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</row>
    <row r="11" spans="1:228">
      <c r="B11" s="287" t="s">
        <v>82</v>
      </c>
      <c r="C11" s="288" t="s">
        <v>67</v>
      </c>
      <c r="D11" s="273"/>
      <c r="E11" s="273"/>
      <c r="H11" s="281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</row>
    <row r="12" spans="1:228">
      <c r="B12" s="289" t="s">
        <v>437</v>
      </c>
      <c r="C12" s="290">
        <v>-0.1</v>
      </c>
      <c r="D12" s="283"/>
      <c r="E12" s="273"/>
      <c r="H12" s="281"/>
      <c r="O12" s="273"/>
      <c r="P12" s="273"/>
      <c r="Q12" s="273"/>
      <c r="R12" s="273"/>
      <c r="S12" s="273"/>
      <c r="T12" s="273"/>
      <c r="U12" s="273"/>
      <c r="V12" s="273"/>
      <c r="W12" s="273"/>
      <c r="X12" s="273"/>
      <c r="Y12" s="273"/>
      <c r="Z12" s="273"/>
      <c r="AA12" s="273"/>
      <c r="AB12" s="273"/>
      <c r="AC12" s="273"/>
      <c r="AD12" s="273"/>
      <c r="AE12" s="273"/>
    </row>
    <row r="13" spans="1:228" ht="12" thickBot="1">
      <c r="B13" s="291" t="s">
        <v>439</v>
      </c>
      <c r="C13" s="226">
        <v>0.1</v>
      </c>
      <c r="E13" s="292"/>
      <c r="H13" s="281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</row>
    <row r="14" spans="1:228" ht="12" thickBot="1">
      <c r="B14" s="293"/>
      <c r="C14" s="294"/>
      <c r="E14" s="292"/>
      <c r="H14" s="281"/>
      <c r="O14" s="273"/>
      <c r="P14" s="273"/>
      <c r="Q14" s="273"/>
      <c r="R14" s="273"/>
      <c r="S14" s="273"/>
      <c r="T14" s="273"/>
      <c r="U14" s="273"/>
      <c r="V14" s="273"/>
      <c r="W14" s="273"/>
      <c r="X14" s="273"/>
      <c r="Y14" s="273"/>
      <c r="Z14" s="273"/>
      <c r="AA14" s="273"/>
      <c r="AB14" s="273"/>
      <c r="AC14" s="273"/>
      <c r="AD14" s="273"/>
      <c r="AE14" s="273"/>
    </row>
    <row r="15" spans="1:228">
      <c r="B15" s="275" t="s">
        <v>458</v>
      </c>
      <c r="C15" s="295" t="s">
        <v>459</v>
      </c>
      <c r="E15" s="292"/>
      <c r="H15" s="281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</row>
    <row r="16" spans="1:228">
      <c r="B16" s="277" t="s">
        <v>461</v>
      </c>
      <c r="C16" s="296" t="s">
        <v>479</v>
      </c>
      <c r="E16" s="292"/>
      <c r="H16" s="281"/>
      <c r="O16" s="273"/>
      <c r="P16" s="273"/>
      <c r="Q16" s="273"/>
      <c r="R16" s="273"/>
      <c r="S16" s="273"/>
      <c r="T16" s="273"/>
      <c r="U16" s="273"/>
      <c r="V16" s="273"/>
      <c r="W16" s="273"/>
      <c r="X16" s="273"/>
      <c r="Y16" s="273"/>
      <c r="Z16" s="273"/>
      <c r="AA16" s="273"/>
      <c r="AB16" s="273"/>
      <c r="AC16" s="273"/>
      <c r="AD16" s="273"/>
      <c r="AE16" s="273"/>
    </row>
    <row r="17" spans="2:31" ht="12" thickBot="1">
      <c r="B17" s="279" t="s">
        <v>462</v>
      </c>
      <c r="C17" s="297"/>
      <c r="E17" s="292"/>
      <c r="H17" s="281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273"/>
    </row>
    <row r="18" spans="2:31" ht="12" thickBot="1">
      <c r="B18" s="285"/>
      <c r="C18" s="298"/>
      <c r="E18" s="292"/>
      <c r="H18" s="281"/>
      <c r="O18" s="273"/>
      <c r="P18" s="273"/>
      <c r="Q18" s="273"/>
      <c r="R18" s="273"/>
      <c r="S18" s="273"/>
      <c r="T18" s="273"/>
      <c r="U18" s="273"/>
      <c r="V18" s="273"/>
      <c r="W18" s="273"/>
      <c r="X18" s="273"/>
      <c r="Y18" s="273"/>
      <c r="Z18" s="273"/>
      <c r="AA18" s="273"/>
      <c r="AB18" s="273"/>
      <c r="AC18" s="273"/>
      <c r="AD18" s="273"/>
      <c r="AE18" s="273"/>
    </row>
    <row r="19" spans="2:31" ht="12" thickBot="1">
      <c r="B19" s="287" t="s">
        <v>480</v>
      </c>
      <c r="C19" s="299"/>
      <c r="D19" s="300"/>
      <c r="E19" s="650" t="s">
        <v>481</v>
      </c>
      <c r="F19" s="650"/>
      <c r="G19" s="650"/>
      <c r="H19" s="650"/>
      <c r="I19" s="650"/>
      <c r="J19" s="650"/>
      <c r="K19" s="650"/>
      <c r="L19" s="650"/>
      <c r="M19" s="650"/>
      <c r="N19" s="651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  <c r="AA19" s="273"/>
      <c r="AB19" s="273"/>
      <c r="AC19" s="273"/>
      <c r="AD19" s="273"/>
      <c r="AE19" s="273"/>
    </row>
    <row r="20" spans="2:31" ht="12" thickBot="1">
      <c r="B20" s="302"/>
      <c r="C20" s="303"/>
      <c r="D20" s="304" t="s">
        <v>482</v>
      </c>
      <c r="E20" s="305">
        <v>1</v>
      </c>
      <c r="F20" s="306">
        <v>2</v>
      </c>
      <c r="G20" s="305">
        <v>3</v>
      </c>
      <c r="H20" s="307">
        <v>4</v>
      </c>
      <c r="I20" s="307">
        <v>5</v>
      </c>
      <c r="J20" s="307">
        <v>6</v>
      </c>
      <c r="K20" s="307">
        <v>7</v>
      </c>
      <c r="L20" s="306">
        <v>8</v>
      </c>
      <c r="M20" s="307">
        <v>9</v>
      </c>
      <c r="N20" s="308">
        <v>10</v>
      </c>
      <c r="O20" s="273"/>
      <c r="P20" s="273"/>
      <c r="Q20" s="273"/>
      <c r="R20" s="273"/>
      <c r="S20" s="273"/>
      <c r="T20" s="273"/>
      <c r="U20" s="273"/>
      <c r="V20" s="273"/>
      <c r="W20" s="285"/>
      <c r="X20" s="273"/>
      <c r="Y20" s="273"/>
      <c r="Z20" s="273"/>
      <c r="AA20" s="273"/>
      <c r="AB20" s="273"/>
      <c r="AC20" s="273"/>
      <c r="AD20" s="273"/>
      <c r="AE20" s="273"/>
    </row>
    <row r="21" spans="2:31">
      <c r="B21" s="275" t="s">
        <v>465</v>
      </c>
      <c r="C21" s="309">
        <v>0.54</v>
      </c>
      <c r="D21" s="310" t="s">
        <v>465</v>
      </c>
      <c r="E21" s="311">
        <v>6.0999999999999999E-2</v>
      </c>
      <c r="F21" s="311">
        <v>6.0999999999999999E-2</v>
      </c>
      <c r="G21" s="311">
        <v>6.0999999999999999E-2</v>
      </c>
      <c r="H21" s="311">
        <v>6.0999999999999999E-2</v>
      </c>
      <c r="I21" s="312">
        <v>0.06</v>
      </c>
      <c r="J21" s="312">
        <v>0.06</v>
      </c>
      <c r="K21" s="313"/>
      <c r="L21" s="314"/>
      <c r="M21" s="313"/>
      <c r="N21" s="315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  <c r="AA21" s="273"/>
      <c r="AB21" s="273"/>
      <c r="AC21" s="273"/>
      <c r="AD21" s="273"/>
      <c r="AE21" s="273"/>
    </row>
    <row r="22" spans="2:31" ht="12" thickBot="1">
      <c r="B22" s="279" t="s">
        <v>466</v>
      </c>
      <c r="C22" s="316">
        <v>0.84</v>
      </c>
      <c r="D22" s="310" t="s">
        <v>483</v>
      </c>
      <c r="E22" s="317">
        <v>0.111</v>
      </c>
      <c r="F22" s="317">
        <v>0.111</v>
      </c>
      <c r="G22" s="317">
        <v>0.111</v>
      </c>
      <c r="H22" s="317">
        <v>0.111</v>
      </c>
      <c r="I22" s="318">
        <v>0.11</v>
      </c>
      <c r="J22" s="318">
        <v>0.11</v>
      </c>
      <c r="K22" s="319"/>
      <c r="L22" s="320"/>
      <c r="M22" s="319"/>
      <c r="N22" s="321"/>
      <c r="O22" s="273"/>
      <c r="P22" s="273"/>
      <c r="Q22" s="322"/>
      <c r="R22" s="273"/>
      <c r="S22" s="273"/>
      <c r="T22" s="273"/>
      <c r="U22" s="273"/>
      <c r="V22" s="273"/>
      <c r="W22" s="273"/>
      <c r="X22" s="273"/>
      <c r="Y22" s="273"/>
      <c r="Z22" s="273"/>
      <c r="AA22" s="273"/>
      <c r="AB22" s="273"/>
      <c r="AC22" s="273"/>
      <c r="AD22" s="273"/>
      <c r="AE22" s="273"/>
    </row>
    <row r="23" spans="2:31" ht="12" thickBot="1">
      <c r="B23" s="323"/>
      <c r="C23" s="324"/>
      <c r="D23" s="325" t="s">
        <v>484</v>
      </c>
      <c r="E23" s="326">
        <f t="shared" ref="E23:J23" si="0">0.166666666666667%*100</f>
        <v>0.16666666666666699</v>
      </c>
      <c r="F23" s="326">
        <f t="shared" si="0"/>
        <v>0.16666666666666699</v>
      </c>
      <c r="G23" s="326">
        <f t="shared" si="0"/>
        <v>0.16666666666666699</v>
      </c>
      <c r="H23" s="326">
        <f t="shared" si="0"/>
        <v>0.16666666666666699</v>
      </c>
      <c r="I23" s="326">
        <f t="shared" si="0"/>
        <v>0.16666666666666699</v>
      </c>
      <c r="J23" s="326">
        <f t="shared" si="0"/>
        <v>0.16666666666666699</v>
      </c>
      <c r="K23" s="319"/>
      <c r="L23" s="320"/>
      <c r="M23" s="319"/>
      <c r="N23" s="321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</row>
    <row r="24" spans="2:31" ht="12" thickBot="1">
      <c r="B24" s="323"/>
      <c r="C24" s="324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126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</row>
    <row r="25" spans="2:31" ht="12" thickBot="1">
      <c r="B25" s="275" t="s">
        <v>485</v>
      </c>
      <c r="C25" s="330">
        <v>8.3836702003960026E-2</v>
      </c>
      <c r="D25" s="331"/>
      <c r="E25" s="648" t="s">
        <v>486</v>
      </c>
      <c r="F25" s="648"/>
      <c r="G25" s="648"/>
      <c r="H25" s="648"/>
      <c r="I25" s="648"/>
      <c r="J25" s="648"/>
      <c r="K25" s="648"/>
      <c r="L25" s="648"/>
      <c r="M25" s="648"/>
      <c r="N25" s="647"/>
      <c r="O25" s="273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  <c r="AA25" s="273"/>
      <c r="AB25" s="273"/>
      <c r="AC25" s="273"/>
      <c r="AD25" s="273"/>
      <c r="AE25" s="273"/>
    </row>
    <row r="26" spans="2:31" ht="12" thickBot="1">
      <c r="B26" s="279" t="s">
        <v>487</v>
      </c>
      <c r="C26" s="332" t="b">
        <v>1</v>
      </c>
      <c r="D26" s="304" t="s">
        <v>488</v>
      </c>
      <c r="E26" s="333">
        <v>1</v>
      </c>
      <c r="F26" s="59">
        <f t="shared" ref="F26:N26" si="1">E26+1</f>
        <v>2</v>
      </c>
      <c r="G26" s="334">
        <f t="shared" si="1"/>
        <v>3</v>
      </c>
      <c r="H26" s="335">
        <f t="shared" si="1"/>
        <v>4</v>
      </c>
      <c r="I26" s="335">
        <f t="shared" si="1"/>
        <v>5</v>
      </c>
      <c r="J26" s="335">
        <f t="shared" si="1"/>
        <v>6</v>
      </c>
      <c r="K26" s="335">
        <f t="shared" si="1"/>
        <v>7</v>
      </c>
      <c r="L26" s="59">
        <f t="shared" si="1"/>
        <v>8</v>
      </c>
      <c r="M26" s="335">
        <f t="shared" si="1"/>
        <v>9</v>
      </c>
      <c r="N26" s="336">
        <f t="shared" si="1"/>
        <v>10</v>
      </c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</row>
    <row r="27" spans="2:31">
      <c r="B27" s="323"/>
      <c r="D27" s="337">
        <v>0</v>
      </c>
      <c r="E27" s="338">
        <v>1.9E-2</v>
      </c>
      <c r="F27" s="339">
        <v>2.1000000000000001E-2</v>
      </c>
      <c r="G27" s="340">
        <v>2.1999999999999999E-2</v>
      </c>
      <c r="H27" s="341">
        <v>2.1000000000000001E-2</v>
      </c>
      <c r="I27" s="340">
        <v>2.1999999999999999E-2</v>
      </c>
      <c r="J27" s="340">
        <v>2.1000000000000001E-2</v>
      </c>
      <c r="K27" s="314"/>
      <c r="L27" s="342"/>
      <c r="M27" s="314"/>
      <c r="N27" s="290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</row>
    <row r="28" spans="2:31">
      <c r="B28" s="323"/>
      <c r="D28" s="343">
        <v>2.4E-2</v>
      </c>
      <c r="E28" s="338">
        <v>3.5999999999999997E-2</v>
      </c>
      <c r="F28" s="344">
        <v>0.04</v>
      </c>
      <c r="G28" s="345">
        <v>4.1000000000000002E-2</v>
      </c>
      <c r="H28" s="346">
        <v>0.04</v>
      </c>
      <c r="I28" s="346">
        <v>4.1000000000000002E-2</v>
      </c>
      <c r="J28" s="346">
        <v>0.04</v>
      </c>
      <c r="K28" s="347"/>
      <c r="L28" s="347"/>
      <c r="M28" s="347"/>
      <c r="N28" s="347"/>
      <c r="O28" s="273"/>
      <c r="P28" s="273"/>
      <c r="Q28" s="273"/>
      <c r="R28" s="273"/>
      <c r="S28" s="273"/>
      <c r="T28" s="273"/>
      <c r="U28" s="273"/>
      <c r="V28" s="273"/>
      <c r="W28" s="273"/>
      <c r="X28" s="273"/>
      <c r="Y28" s="273"/>
      <c r="Z28" s="273"/>
      <c r="AA28" s="273"/>
      <c r="AB28" s="273"/>
      <c r="AC28" s="273"/>
      <c r="AD28" s="273"/>
      <c r="AE28" s="273"/>
    </row>
    <row r="29" spans="2:31">
      <c r="B29" s="323"/>
      <c r="D29" s="343">
        <v>4.9000000000000002E-2</v>
      </c>
      <c r="E29" s="338">
        <v>6.3E-2</v>
      </c>
      <c r="F29" s="344">
        <v>6.9000000000000006E-2</v>
      </c>
      <c r="G29" s="345">
        <v>7.0999999999999994E-2</v>
      </c>
      <c r="H29" s="346">
        <v>6.9000000000000006E-2</v>
      </c>
      <c r="I29" s="346">
        <v>7.0999999999999994E-2</v>
      </c>
      <c r="J29" s="346">
        <v>6.9000000000000006E-2</v>
      </c>
      <c r="K29" s="347"/>
      <c r="L29" s="347"/>
      <c r="M29" s="347"/>
      <c r="N29" s="347"/>
      <c r="O29" s="273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  <c r="AA29" s="273"/>
      <c r="AB29" s="273"/>
      <c r="AC29" s="273"/>
      <c r="AD29" s="273"/>
      <c r="AE29" s="273"/>
    </row>
    <row r="30" spans="2:31">
      <c r="B30" s="323"/>
      <c r="D30" s="343">
        <v>6.5000000000000002E-2</v>
      </c>
      <c r="E30" s="338">
        <v>9.2999999999999999E-2</v>
      </c>
      <c r="F30" s="344">
        <v>0.107</v>
      </c>
      <c r="G30" s="345">
        <v>0.111</v>
      </c>
      <c r="H30" s="346">
        <v>0.108</v>
      </c>
      <c r="I30" s="346">
        <v>0.112</v>
      </c>
      <c r="J30" s="346">
        <v>0.108</v>
      </c>
      <c r="K30" s="347"/>
      <c r="L30" s="347"/>
      <c r="M30" s="347"/>
      <c r="N30" s="347"/>
      <c r="O30" s="273"/>
      <c r="P30" s="273"/>
      <c r="Q30" s="273"/>
      <c r="R30" s="273"/>
      <c r="S30" s="273"/>
      <c r="T30" s="273"/>
      <c r="U30" s="273"/>
      <c r="V30" s="273"/>
      <c r="W30" s="273"/>
      <c r="X30" s="273"/>
      <c r="Y30" s="273"/>
      <c r="Z30" s="273"/>
      <c r="AA30" s="273"/>
      <c r="AB30" s="273"/>
      <c r="AC30" s="273"/>
      <c r="AD30" s="273"/>
      <c r="AE30" s="273"/>
    </row>
    <row r="31" spans="2:31">
      <c r="B31" s="323"/>
      <c r="D31" s="343">
        <v>8.1000000000000003E-2</v>
      </c>
      <c r="E31" s="338">
        <v>0.13300000000000001</v>
      </c>
      <c r="F31" s="344">
        <v>0.14899999999999999</v>
      </c>
      <c r="G31" s="345">
        <v>0.154</v>
      </c>
      <c r="H31" s="346">
        <v>0.151</v>
      </c>
      <c r="I31" s="346">
        <v>0.154</v>
      </c>
      <c r="J31" s="346">
        <v>0.14899999999999999</v>
      </c>
      <c r="K31" s="347"/>
      <c r="L31" s="347"/>
      <c r="M31" s="347"/>
      <c r="N31" s="347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</row>
    <row r="32" spans="2:31">
      <c r="B32" s="323"/>
      <c r="D32" s="343">
        <v>9.8000000000000004E-2</v>
      </c>
      <c r="E32" s="338">
        <v>0.17399999999999999</v>
      </c>
      <c r="F32" s="344">
        <v>0.191</v>
      </c>
      <c r="G32" s="345">
        <v>0.19600000000000001</v>
      </c>
      <c r="H32" s="346">
        <v>0.19400000000000001</v>
      </c>
      <c r="I32" s="346">
        <v>0.19700000000000001</v>
      </c>
      <c r="J32" s="346">
        <v>0.191</v>
      </c>
      <c r="K32" s="347"/>
      <c r="L32" s="347"/>
      <c r="M32" s="347"/>
      <c r="N32" s="347"/>
      <c r="O32" s="273"/>
      <c r="P32" s="273"/>
      <c r="Q32" s="273"/>
      <c r="R32" s="273"/>
      <c r="S32" s="273"/>
      <c r="T32" s="273"/>
      <c r="U32" s="273"/>
      <c r="V32" s="273"/>
      <c r="W32" s="273"/>
      <c r="X32" s="273"/>
      <c r="Y32" s="273"/>
      <c r="Z32" s="273"/>
      <c r="AA32" s="273"/>
      <c r="AB32" s="273"/>
      <c r="AC32" s="273"/>
      <c r="AD32" s="273"/>
      <c r="AE32" s="273"/>
    </row>
    <row r="33" spans="1:31" ht="12" thickBot="1">
      <c r="B33" s="348"/>
      <c r="C33" s="349"/>
      <c r="D33" s="350">
        <v>0.114</v>
      </c>
      <c r="E33" s="351">
        <v>0.214</v>
      </c>
      <c r="F33" s="352">
        <v>0.23200000000000001</v>
      </c>
      <c r="G33" s="353">
        <v>0.23799999999999999</v>
      </c>
      <c r="H33" s="354">
        <v>0.23499999999999999</v>
      </c>
      <c r="I33" s="353">
        <v>0.23899999999999999</v>
      </c>
      <c r="J33" s="353">
        <v>0.23200000000000001</v>
      </c>
      <c r="K33" s="320"/>
      <c r="L33" s="355"/>
      <c r="M33" s="320"/>
      <c r="N33" s="316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  <c r="AA33" s="273"/>
      <c r="AB33" s="273"/>
      <c r="AC33" s="273"/>
      <c r="AD33" s="273"/>
      <c r="AE33" s="273"/>
    </row>
    <row r="34" spans="1:31" ht="12" thickBot="1"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  <c r="O34" s="273"/>
      <c r="P34" s="273"/>
      <c r="Q34" s="273"/>
      <c r="R34" s="273"/>
      <c r="S34" s="273"/>
      <c r="T34" s="273"/>
      <c r="U34" s="273"/>
      <c r="V34" s="273"/>
      <c r="W34" s="273"/>
      <c r="X34" s="273"/>
      <c r="Y34" s="273"/>
      <c r="Z34" s="273"/>
      <c r="AA34" s="273"/>
      <c r="AB34" s="273"/>
      <c r="AC34" s="273"/>
      <c r="AD34" s="273"/>
      <c r="AE34" s="273"/>
    </row>
    <row r="35" spans="1:31" ht="12" thickBot="1">
      <c r="D35" s="356" t="s">
        <v>423</v>
      </c>
      <c r="E35" s="357" t="b">
        <v>1</v>
      </c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273"/>
      <c r="T35" s="273"/>
      <c r="U35" s="273"/>
      <c r="V35" s="273"/>
      <c r="W35" s="273"/>
      <c r="X35" s="273"/>
      <c r="Y35" s="273"/>
      <c r="Z35" s="273"/>
      <c r="AA35" s="273"/>
      <c r="AB35" s="273"/>
      <c r="AC35" s="273"/>
      <c r="AD35" s="273"/>
      <c r="AE35" s="273"/>
    </row>
    <row r="36" spans="1:31" ht="12" thickBot="1">
      <c r="B36" s="358"/>
      <c r="C36" s="79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273"/>
      <c r="T36" s="273"/>
      <c r="U36" s="273"/>
      <c r="V36" s="273"/>
      <c r="W36" s="273"/>
      <c r="X36" s="273"/>
      <c r="Y36" s="273"/>
      <c r="Z36" s="273"/>
      <c r="AA36" s="273"/>
      <c r="AB36" s="273"/>
      <c r="AC36" s="273"/>
      <c r="AD36" s="273"/>
      <c r="AE36" s="273"/>
    </row>
    <row r="37" spans="1:31" ht="13.5" customHeight="1" thickBot="1">
      <c r="B37" s="358"/>
      <c r="C37" s="646" t="s">
        <v>480</v>
      </c>
      <c r="D37" s="647"/>
      <c r="E37" s="648" t="s">
        <v>489</v>
      </c>
      <c r="F37" s="648"/>
      <c r="G37" s="648"/>
      <c r="H37" s="648"/>
      <c r="I37" s="648"/>
      <c r="J37" s="648"/>
      <c r="K37" s="648"/>
      <c r="L37" s="648"/>
      <c r="M37" s="648"/>
      <c r="N37" s="647"/>
      <c r="O37" s="273"/>
      <c r="P37" s="273"/>
      <c r="Q37" s="273"/>
      <c r="R37" s="273"/>
      <c r="S37" s="273"/>
      <c r="T37" s="273"/>
      <c r="U37" s="273"/>
      <c r="V37" s="273"/>
      <c r="W37" s="273"/>
      <c r="X37" s="273"/>
      <c r="Y37" s="273"/>
      <c r="Z37" s="273"/>
      <c r="AA37" s="273"/>
      <c r="AB37" s="273"/>
      <c r="AC37" s="273"/>
      <c r="AD37" s="273"/>
      <c r="AE37" s="273"/>
    </row>
    <row r="38" spans="1:31" ht="12" thickBot="1">
      <c r="B38" s="285"/>
      <c r="C38" s="359" t="s">
        <v>434</v>
      </c>
      <c r="D38" s="360" t="s">
        <v>490</v>
      </c>
      <c r="E38" s="274">
        <v>1</v>
      </c>
      <c r="F38" s="274">
        <f t="shared" ref="F38:N38" si="2">E38+1</f>
        <v>2</v>
      </c>
      <c r="G38" s="274">
        <f t="shared" si="2"/>
        <v>3</v>
      </c>
      <c r="H38" s="274">
        <f t="shared" si="2"/>
        <v>4</v>
      </c>
      <c r="I38" s="274">
        <f t="shared" si="2"/>
        <v>5</v>
      </c>
      <c r="J38" s="274">
        <f t="shared" si="2"/>
        <v>6</v>
      </c>
      <c r="K38" s="274">
        <f t="shared" si="2"/>
        <v>7</v>
      </c>
      <c r="L38" s="274">
        <f t="shared" si="2"/>
        <v>8</v>
      </c>
      <c r="M38" s="274">
        <f t="shared" si="2"/>
        <v>9</v>
      </c>
      <c r="N38" s="361">
        <f t="shared" si="2"/>
        <v>10</v>
      </c>
      <c r="O38" s="273"/>
      <c r="P38" s="273"/>
      <c r="Q38" s="273"/>
      <c r="R38" s="273"/>
      <c r="S38" s="273"/>
      <c r="T38" s="273"/>
      <c r="U38" s="273"/>
      <c r="V38" s="273"/>
      <c r="W38" s="273"/>
      <c r="X38" s="273"/>
      <c r="Y38" s="273"/>
      <c r="Z38" s="273"/>
      <c r="AA38" s="273"/>
      <c r="AB38" s="273"/>
      <c r="AC38" s="273"/>
      <c r="AD38" s="273"/>
      <c r="AE38" s="273"/>
    </row>
    <row r="39" spans="1:31" ht="12" thickBot="1">
      <c r="A39" s="79"/>
      <c r="B39" s="359" t="s">
        <v>491</v>
      </c>
      <c r="C39" s="362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3" t="e">
        <f ca="1"/>
        <v>#NAME?</v>
      </c>
      <c r="E39" s="364" t="e">
        <f ca="1"/>
        <v>#NAME?</v>
      </c>
      <c r="F39" s="364" t="e">
        <f ca="1"/>
        <v>#NAME?</v>
      </c>
      <c r="G39" s="364" t="e">
        <f ca="1"/>
        <v>#NAME?</v>
      </c>
      <c r="H39" s="364" t="e">
        <f ca="1"/>
        <v>#NAME?</v>
      </c>
      <c r="I39" s="364" t="e">
        <f ca="1"/>
        <v>#NAME?</v>
      </c>
      <c r="J39" s="364" t="e">
        <f ca="1"/>
        <v>#NAME?</v>
      </c>
      <c r="K39" s="364" t="e">
        <f ca="1"/>
        <v>#NAME?</v>
      </c>
      <c r="L39" s="364" t="e">
        <f ca="1"/>
        <v>#NAME?</v>
      </c>
      <c r="M39" s="364" t="e">
        <f ca="1"/>
        <v>#NAME?</v>
      </c>
      <c r="N39" s="365" t="e">
        <f ca="1"/>
        <v>#NAME?</v>
      </c>
      <c r="O39" s="273"/>
      <c r="P39" s="273"/>
      <c r="Q39" s="273"/>
      <c r="R39" s="273"/>
      <c r="S39" s="273"/>
      <c r="T39" s="273"/>
      <c r="U39" s="273"/>
      <c r="V39" s="273"/>
      <c r="W39" s="273"/>
      <c r="X39" s="273"/>
      <c r="Y39" s="273"/>
      <c r="Z39" s="273"/>
      <c r="AA39" s="273"/>
      <c r="AB39" s="273"/>
      <c r="AC39" s="273"/>
      <c r="AD39" s="273"/>
      <c r="AE39" s="273"/>
    </row>
    <row r="40" spans="1:31" ht="12" thickBot="1">
      <c r="B40" s="359" t="s">
        <v>492</v>
      </c>
      <c r="C40" s="366" t="e">
        <f ca="1"/>
        <v>#NAME?</v>
      </c>
      <c r="D40" s="367" t="e">
        <f ca="1"/>
        <v>#NAME?</v>
      </c>
      <c r="E40" s="368" t="e">
        <f ca="1"/>
        <v>#NAME?</v>
      </c>
      <c r="F40" s="368" t="e">
        <f ca="1"/>
        <v>#NAME?</v>
      </c>
      <c r="G40" s="368" t="e">
        <f ca="1"/>
        <v>#NAME?</v>
      </c>
      <c r="H40" s="368" t="e">
        <f ca="1"/>
        <v>#NAME?</v>
      </c>
      <c r="I40" s="368" t="e">
        <f ca="1"/>
        <v>#NAME?</v>
      </c>
      <c r="J40" s="368" t="e">
        <f ca="1"/>
        <v>#NAME?</v>
      </c>
      <c r="K40" s="368" t="e">
        <f ca="1"/>
        <v>#NAME?</v>
      </c>
      <c r="L40" s="368" t="e">
        <f ca="1"/>
        <v>#NAME?</v>
      </c>
      <c r="M40" s="368" t="e">
        <f ca="1"/>
        <v>#NAME?</v>
      </c>
      <c r="N40" s="369" t="e">
        <f ca="1"/>
        <v>#NAME?</v>
      </c>
      <c r="O40" s="273"/>
      <c r="P40" s="273"/>
      <c r="Q40" s="273"/>
      <c r="R40" s="273"/>
      <c r="S40" s="273"/>
      <c r="T40" s="273"/>
      <c r="U40" s="273"/>
      <c r="V40" s="273"/>
      <c r="W40" s="273"/>
      <c r="X40" s="273"/>
      <c r="Y40" s="273"/>
      <c r="Z40" s="273"/>
      <c r="AA40" s="273"/>
      <c r="AB40" s="273"/>
      <c r="AC40" s="273"/>
      <c r="AD40" s="273"/>
      <c r="AE40" s="273"/>
    </row>
    <row r="41" spans="1:31">
      <c r="C41" s="370"/>
      <c r="D41" s="371" t="e" cm="1">
        <f t="array" aca="1" ref="D41" ca="1">GetTest2(E21:N23)</f>
        <v>#NAME?</v>
      </c>
      <c r="E41" s="371"/>
      <c r="F41" s="372"/>
      <c r="G41" s="371"/>
      <c r="H41" s="372"/>
      <c r="I41" s="370"/>
      <c r="J41" s="372"/>
      <c r="K41" s="370"/>
      <c r="L41" s="372"/>
      <c r="M41" s="370"/>
      <c r="N41" s="370"/>
      <c r="O41" s="273"/>
      <c r="P41" s="649"/>
      <c r="Q41" s="649"/>
      <c r="R41" s="649"/>
      <c r="S41" s="273"/>
      <c r="T41" s="273"/>
      <c r="U41" s="273"/>
      <c r="V41" s="273"/>
      <c r="W41" s="273"/>
      <c r="X41" s="273"/>
      <c r="Y41" s="273"/>
      <c r="Z41" s="273"/>
      <c r="AA41" s="273"/>
      <c r="AB41" s="273"/>
      <c r="AC41" s="273"/>
      <c r="AD41" s="273"/>
      <c r="AE41" s="273"/>
    </row>
    <row r="42" spans="1:31">
      <c r="B42" s="273" t="e" cm="1">
        <f t="array" aca="1" ref="B42" ca="1">GetTest2(E21:N23,C21,C22,C26,D46:N345,Parameter_Date,C5,C11)</f>
        <v>#NAME?</v>
      </c>
      <c r="D42" s="371"/>
      <c r="E42" s="371"/>
      <c r="F42" s="372"/>
      <c r="G42" s="371"/>
      <c r="H42" s="372"/>
      <c r="I42" s="370"/>
      <c r="J42" s="372"/>
      <c r="K42" s="370"/>
      <c r="L42" s="372"/>
      <c r="M42" s="370"/>
      <c r="N42" s="370"/>
      <c r="O42" s="273"/>
      <c r="P42" s="273"/>
      <c r="Q42" s="273"/>
      <c r="R42" s="273"/>
      <c r="S42" s="273"/>
      <c r="T42" s="273"/>
      <c r="U42" s="273"/>
      <c r="V42" s="273"/>
      <c r="W42" s="273"/>
      <c r="X42" s="273"/>
      <c r="Y42" s="273"/>
      <c r="Z42" s="273"/>
      <c r="AA42" s="273"/>
      <c r="AB42" s="273"/>
      <c r="AC42" s="273"/>
      <c r="AD42" s="273"/>
      <c r="AE42" s="273"/>
    </row>
    <row r="43" spans="1:31" ht="12" thickBot="1">
      <c r="D43" s="273"/>
      <c r="E43" s="373"/>
      <c r="O43" s="273"/>
      <c r="P43" s="273"/>
      <c r="Q43" s="273"/>
      <c r="R43" s="27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</row>
    <row r="44" spans="1:31" ht="12" thickBot="1">
      <c r="C44" s="324"/>
      <c r="D44" s="374"/>
      <c r="E44" s="646" t="s">
        <v>493</v>
      </c>
      <c r="F44" s="648"/>
      <c r="G44" s="648"/>
      <c r="H44" s="648"/>
      <c r="I44" s="648"/>
      <c r="J44" s="648"/>
      <c r="K44" s="648"/>
      <c r="L44" s="648"/>
      <c r="M44" s="648"/>
      <c r="N44" s="647"/>
      <c r="O44" s="273"/>
      <c r="P44" s="273"/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3"/>
      <c r="AD44" s="273"/>
      <c r="AE44" s="273"/>
    </row>
    <row r="45" spans="1:31" ht="12" thickBot="1">
      <c r="B45" s="304" t="s">
        <v>494</v>
      </c>
      <c r="C45" s="301" t="s">
        <v>495</v>
      </c>
      <c r="D45" s="359" t="s">
        <v>474</v>
      </c>
      <c r="E45" s="375">
        <v>1</v>
      </c>
      <c r="F45" s="376">
        <f t="shared" ref="F45:N45" si="3">E45+1</f>
        <v>2</v>
      </c>
      <c r="G45" s="376">
        <f t="shared" si="3"/>
        <v>3</v>
      </c>
      <c r="H45" s="376">
        <f t="shared" si="3"/>
        <v>4</v>
      </c>
      <c r="I45" s="376">
        <f t="shared" si="3"/>
        <v>5</v>
      </c>
      <c r="J45" s="376">
        <f t="shared" si="3"/>
        <v>6</v>
      </c>
      <c r="K45" s="376">
        <f t="shared" si="3"/>
        <v>7</v>
      </c>
      <c r="L45" s="376">
        <f t="shared" si="3"/>
        <v>8</v>
      </c>
      <c r="M45" s="376">
        <f t="shared" si="3"/>
        <v>9</v>
      </c>
      <c r="N45" s="377">
        <f t="shared" si="3"/>
        <v>10</v>
      </c>
      <c r="O45" s="273"/>
      <c r="P45" s="273"/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</row>
    <row r="46" spans="1:31" ht="15">
      <c r="B46" s="378">
        <v>1</v>
      </c>
      <c r="C46" s="386" t="str" cm="1">
        <f t="array" aca="1" ref="C46" ca="1">IF(B46&lt;=$C$9,GetGetCDSName(B46),"")</f>
        <v>ABNAMRO_MMR.EUR.SU</v>
      </c>
      <c r="D46" s="346">
        <v>0</v>
      </c>
      <c r="E46" s="379">
        <v>0</v>
      </c>
      <c r="F46" s="298">
        <v>0</v>
      </c>
      <c r="G46" s="298">
        <v>1</v>
      </c>
      <c r="H46" s="298">
        <v>0</v>
      </c>
      <c r="I46" s="298">
        <v>0</v>
      </c>
      <c r="J46" s="298">
        <v>0</v>
      </c>
      <c r="K46" s="298"/>
      <c r="L46" s="298"/>
      <c r="M46" s="298"/>
      <c r="N46" s="380"/>
      <c r="O46" s="273"/>
      <c r="P46" s="273"/>
      <c r="Q46" s="273"/>
      <c r="R46" s="273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</row>
    <row r="47" spans="1:31" ht="15">
      <c r="B47" s="378">
        <f t="shared" ref="B47:B110" si="4">B46+1</f>
        <v>2</v>
      </c>
      <c r="C47" s="386" t="str" cm="1">
        <f t="array" aca="1" ref="C47" ca="1">IF(B47&lt;=$C$9,GetGetCDSName(B47),"")</f>
        <v>ACCOR_MMR.EUR.SU</v>
      </c>
      <c r="D47" s="346">
        <v>0</v>
      </c>
      <c r="E47" s="379">
        <v>0</v>
      </c>
      <c r="F47" s="298">
        <v>0</v>
      </c>
      <c r="G47" s="298">
        <v>0</v>
      </c>
      <c r="H47" s="298">
        <v>0</v>
      </c>
      <c r="I47" s="298">
        <v>1</v>
      </c>
      <c r="J47" s="298">
        <v>1</v>
      </c>
      <c r="K47" s="298"/>
      <c r="L47" s="298"/>
      <c r="M47" s="298"/>
      <c r="N47" s="380"/>
      <c r="O47" s="273"/>
      <c r="P47" s="273"/>
      <c r="Q47" s="273"/>
      <c r="R47" s="273"/>
      <c r="S47" s="273"/>
      <c r="T47" s="273"/>
      <c r="U47" s="273"/>
      <c r="V47" s="273"/>
      <c r="W47" s="273"/>
      <c r="X47" s="273"/>
      <c r="Y47" s="273"/>
      <c r="Z47" s="273"/>
      <c r="AA47" s="273"/>
      <c r="AB47" s="273"/>
      <c r="AC47" s="273"/>
      <c r="AD47" s="273"/>
      <c r="AE47" s="273"/>
    </row>
    <row r="48" spans="1:31" ht="15">
      <c r="B48" s="378">
        <f t="shared" si="4"/>
        <v>3</v>
      </c>
      <c r="C48" s="386" t="str" cm="1">
        <f t="array" aca="1" ref="C48" ca="1">IF(B48&lt;=$C$9,GetGetCDSName(B48),"")</f>
        <v>ADECCO_MMR.EUR.SU</v>
      </c>
      <c r="D48" s="346">
        <v>0</v>
      </c>
      <c r="E48" s="379">
        <v>0</v>
      </c>
      <c r="F48" s="298">
        <v>0</v>
      </c>
      <c r="G48" s="298">
        <v>1</v>
      </c>
      <c r="H48" s="298">
        <v>0</v>
      </c>
      <c r="I48" s="298">
        <v>1</v>
      </c>
      <c r="J48" s="298">
        <v>0</v>
      </c>
      <c r="K48" s="298"/>
      <c r="L48" s="298"/>
      <c r="M48" s="298"/>
      <c r="N48" s="380"/>
      <c r="O48" s="273"/>
      <c r="P48" s="273"/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</row>
    <row r="49" spans="2:31" ht="15">
      <c r="B49" s="378">
        <f t="shared" si="4"/>
        <v>4</v>
      </c>
      <c r="C49" s="386" t="str" cm="1">
        <f t="array" aca="1" ref="C49" ca="1">IF(B49&lt;=$C$9,GetGetCDSName(B49),"")</f>
        <v>AEGON_MMR.EUR.SU</v>
      </c>
      <c r="D49" s="346">
        <v>0</v>
      </c>
      <c r="E49" s="379">
        <v>0</v>
      </c>
      <c r="F49" s="298">
        <v>0</v>
      </c>
      <c r="G49" s="298">
        <v>0</v>
      </c>
      <c r="H49" s="298">
        <v>0</v>
      </c>
      <c r="I49" s="298">
        <v>0</v>
      </c>
      <c r="J49" s="298">
        <v>1</v>
      </c>
      <c r="K49" s="298"/>
      <c r="L49" s="298"/>
      <c r="M49" s="298"/>
      <c r="N49" s="380"/>
      <c r="O49" s="273"/>
      <c r="P49" s="273"/>
      <c r="Q49" s="273"/>
      <c r="R49" s="273"/>
      <c r="S49" s="273"/>
      <c r="T49" s="273"/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</row>
    <row r="50" spans="2:31" ht="15">
      <c r="B50" s="378">
        <f t="shared" si="4"/>
        <v>5</v>
      </c>
      <c r="C50" s="386" t="str" cm="1">
        <f t="array" aca="1" ref="C50" ca="1">IF(B50&lt;=$C$9,GetGetCDSName(B50),"")</f>
        <v>AKZONOBEL_MMR.EUR.SU</v>
      </c>
      <c r="D50" s="346">
        <v>0</v>
      </c>
      <c r="E50" s="379">
        <v>0</v>
      </c>
      <c r="F50" s="298">
        <v>0</v>
      </c>
      <c r="G50" s="298">
        <v>0</v>
      </c>
      <c r="H50" s="298">
        <v>1</v>
      </c>
      <c r="I50" s="298">
        <v>0</v>
      </c>
      <c r="J50" s="298">
        <v>0</v>
      </c>
      <c r="K50" s="298"/>
      <c r="L50" s="298"/>
      <c r="M50" s="298"/>
      <c r="N50" s="380"/>
      <c r="O50" s="273"/>
      <c r="P50" s="273"/>
      <c r="Q50" s="273"/>
      <c r="R50" s="273"/>
      <c r="S50" s="273"/>
      <c r="T50" s="273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</row>
    <row r="51" spans="2:31" ht="15">
      <c r="B51" s="378">
        <f t="shared" si="4"/>
        <v>6</v>
      </c>
      <c r="C51" s="386" t="str" cm="1">
        <f t="array" aca="1" ref="C51" ca="1">IF(B51&lt;=$C$9,GetGetCDSName(B51),"")</f>
        <v>ALLIANZ_MMR.EUR.SU</v>
      </c>
      <c r="D51" s="346">
        <v>0</v>
      </c>
      <c r="E51" s="379">
        <v>1</v>
      </c>
      <c r="F51" s="298">
        <v>1</v>
      </c>
      <c r="G51" s="298">
        <v>0</v>
      </c>
      <c r="H51" s="298">
        <v>0</v>
      </c>
      <c r="I51" s="298">
        <v>0</v>
      </c>
      <c r="J51" s="298">
        <v>1</v>
      </c>
      <c r="K51" s="298"/>
      <c r="L51" s="298"/>
      <c r="M51" s="298"/>
      <c r="N51" s="380"/>
      <c r="O51" s="273"/>
      <c r="P51" s="273"/>
      <c r="Q51" s="273"/>
      <c r="R51" s="273"/>
      <c r="S51" s="273"/>
      <c r="T51" s="273"/>
      <c r="U51" s="273"/>
      <c r="V51" s="273"/>
      <c r="W51" s="273"/>
      <c r="X51" s="273"/>
      <c r="Y51" s="273"/>
      <c r="Z51" s="273"/>
      <c r="AA51" s="273"/>
      <c r="AB51" s="273"/>
      <c r="AC51" s="273"/>
      <c r="AD51" s="273"/>
      <c r="AE51" s="273"/>
    </row>
    <row r="52" spans="2:31" ht="15">
      <c r="B52" s="378">
        <f t="shared" si="4"/>
        <v>7</v>
      </c>
      <c r="C52" s="386" t="str" cm="1">
        <f t="array" aca="1" ref="C52" ca="1">IF(B52&lt;=$C$9,GetGetCDSName(B52),"")</f>
        <v>ALTADIS_MMR.EUR.SU</v>
      </c>
      <c r="D52" s="346">
        <v>0</v>
      </c>
      <c r="E52" s="379">
        <v>0</v>
      </c>
      <c r="F52" s="298">
        <v>0</v>
      </c>
      <c r="G52" s="298">
        <v>1</v>
      </c>
      <c r="H52" s="298">
        <v>1</v>
      </c>
      <c r="I52" s="298">
        <v>1</v>
      </c>
      <c r="J52" s="298">
        <v>0</v>
      </c>
      <c r="K52" s="298"/>
      <c r="L52" s="298"/>
      <c r="M52" s="298"/>
      <c r="N52" s="380"/>
      <c r="O52" s="273"/>
      <c r="P52" s="273"/>
      <c r="Q52" s="273"/>
      <c r="R52" s="273"/>
      <c r="S52" s="273"/>
      <c r="T52" s="273"/>
      <c r="U52" s="273"/>
      <c r="V52" s="273"/>
      <c r="W52" s="273"/>
      <c r="X52" s="273"/>
      <c r="Y52" s="273"/>
      <c r="Z52" s="273"/>
      <c r="AA52" s="273"/>
      <c r="AB52" s="273"/>
      <c r="AC52" s="273"/>
      <c r="AD52" s="273"/>
      <c r="AE52" s="273"/>
    </row>
    <row r="53" spans="2:31" ht="15">
      <c r="B53" s="378">
        <f t="shared" si="4"/>
        <v>8</v>
      </c>
      <c r="C53" s="386" t="str" cm="1">
        <f t="array" aca="1" ref="C53" ca="1">IF(B53&lt;=$C$9,GetGetCDSName(B53),"")</f>
        <v>ARCELORFINANCESCA_MMR.EUR.SU</v>
      </c>
      <c r="D53" s="346">
        <v>0</v>
      </c>
      <c r="E53" s="379">
        <v>1</v>
      </c>
      <c r="F53" s="298">
        <v>1</v>
      </c>
      <c r="G53" s="298">
        <v>0</v>
      </c>
      <c r="H53" s="298">
        <v>0</v>
      </c>
      <c r="I53" s="298">
        <v>1</v>
      </c>
      <c r="J53" s="298">
        <v>0</v>
      </c>
      <c r="K53" s="298"/>
      <c r="L53" s="298"/>
      <c r="M53" s="298"/>
      <c r="N53" s="380"/>
      <c r="O53" s="273"/>
      <c r="P53" s="273"/>
      <c r="Q53" s="273"/>
      <c r="R53" s="273"/>
      <c r="S53" s="273"/>
      <c r="T53" s="273"/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</row>
    <row r="54" spans="2:31" ht="15">
      <c r="B54" s="378">
        <f t="shared" si="4"/>
        <v>9</v>
      </c>
      <c r="C54" s="386" t="str" cm="1">
        <f t="array" aca="1" ref="C54" ca="1">IF(B54&lt;=$C$9,GetGetCDSName(B54),"")</f>
        <v>AUCHAN_MMR.EUR.SU</v>
      </c>
      <c r="D54" s="346">
        <v>0</v>
      </c>
      <c r="E54" s="379">
        <v>0</v>
      </c>
      <c r="F54" s="298">
        <v>0</v>
      </c>
      <c r="G54" s="298">
        <v>0</v>
      </c>
      <c r="H54" s="298">
        <v>0</v>
      </c>
      <c r="I54" s="298">
        <v>0</v>
      </c>
      <c r="J54" s="298">
        <v>1</v>
      </c>
      <c r="K54" s="298"/>
      <c r="L54" s="298"/>
      <c r="M54" s="298"/>
      <c r="N54" s="380"/>
      <c r="O54" s="273"/>
      <c r="P54" s="273"/>
      <c r="Q54" s="273"/>
      <c r="R54" s="273"/>
      <c r="S54" s="273"/>
      <c r="T54" s="273"/>
      <c r="U54" s="273"/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</row>
    <row r="55" spans="2:31" ht="15">
      <c r="B55" s="378">
        <f t="shared" si="4"/>
        <v>10</v>
      </c>
      <c r="C55" s="386" t="str" cm="1">
        <f t="array" aca="1" ref="C55" ca="1">IF(B55&lt;=$C$9,GetGetCDSName(B55),"")</f>
        <v>AVIVA_MMR.EUR.SU</v>
      </c>
      <c r="D55" s="346">
        <v>0</v>
      </c>
      <c r="E55" s="379">
        <v>0</v>
      </c>
      <c r="F55" s="298">
        <v>0</v>
      </c>
      <c r="G55" s="298">
        <v>1</v>
      </c>
      <c r="H55" s="298">
        <v>1</v>
      </c>
      <c r="I55" s="298">
        <v>0</v>
      </c>
      <c r="J55" s="298">
        <v>0</v>
      </c>
      <c r="K55" s="298"/>
      <c r="L55" s="298"/>
      <c r="M55" s="298"/>
      <c r="N55" s="380"/>
      <c r="O55" s="273"/>
      <c r="P55" s="273"/>
      <c r="Q55" s="273"/>
      <c r="R55" s="273"/>
      <c r="S55" s="273"/>
      <c r="T55" s="273"/>
      <c r="U55" s="273"/>
      <c r="V55" s="273"/>
      <c r="W55" s="273"/>
      <c r="X55" s="273"/>
      <c r="Y55" s="273"/>
      <c r="Z55" s="273"/>
      <c r="AA55" s="273"/>
      <c r="AB55" s="273"/>
      <c r="AC55" s="273"/>
      <c r="AD55" s="273"/>
      <c r="AE55" s="273"/>
    </row>
    <row r="56" spans="2:31" ht="15">
      <c r="B56" s="378">
        <f t="shared" si="4"/>
        <v>11</v>
      </c>
      <c r="C56" s="386" t="str" cm="1">
        <f t="array" aca="1" ref="C56" ca="1">IF(B56&lt;=$C$9,GetGetCDSName(B56),"")</f>
        <v>AXA_MMR.EUR.SU</v>
      </c>
      <c r="D56" s="346">
        <v>0</v>
      </c>
      <c r="E56" s="379">
        <v>1</v>
      </c>
      <c r="F56" s="298">
        <v>0</v>
      </c>
      <c r="G56" s="298">
        <v>0</v>
      </c>
      <c r="H56" s="298">
        <v>0</v>
      </c>
      <c r="I56" s="298">
        <v>0</v>
      </c>
      <c r="J56" s="298">
        <v>0</v>
      </c>
      <c r="K56" s="298"/>
      <c r="L56" s="298"/>
      <c r="M56" s="298"/>
      <c r="N56" s="380"/>
      <c r="O56" s="273"/>
      <c r="P56" s="273"/>
      <c r="Q56" s="273"/>
      <c r="R56" s="273"/>
      <c r="S56" s="273"/>
      <c r="T56" s="273"/>
      <c r="U56" s="273"/>
      <c r="V56" s="273"/>
      <c r="W56" s="273"/>
      <c r="X56" s="273"/>
      <c r="Y56" s="273"/>
      <c r="Z56" s="273"/>
      <c r="AA56" s="273"/>
      <c r="AB56" s="273"/>
      <c r="AC56" s="273"/>
      <c r="AD56" s="273"/>
      <c r="AE56" s="273"/>
    </row>
    <row r="57" spans="2:31" ht="15">
      <c r="B57" s="378">
        <f t="shared" si="4"/>
        <v>12</v>
      </c>
      <c r="C57" s="386" t="str" cm="1">
        <f t="array" aca="1" ref="C57" ca="1">IF(B57&lt;=$C$9,GetGetCDSName(B57),"")</f>
        <v>BANCOESPIRITOSANTO_MMR.EUR.SU</v>
      </c>
      <c r="D57" s="346">
        <v>0</v>
      </c>
      <c r="E57" s="379">
        <v>0</v>
      </c>
      <c r="F57" s="298">
        <v>1</v>
      </c>
      <c r="G57" s="298">
        <v>0</v>
      </c>
      <c r="H57" s="298">
        <v>0</v>
      </c>
      <c r="I57" s="298">
        <v>0</v>
      </c>
      <c r="J57" s="298">
        <v>0</v>
      </c>
      <c r="K57" s="298"/>
      <c r="L57" s="298"/>
      <c r="M57" s="298"/>
      <c r="N57" s="380"/>
      <c r="O57" s="273"/>
      <c r="P57" s="273"/>
      <c r="Q57" s="273"/>
      <c r="R57" s="273"/>
      <c r="S57" s="273"/>
      <c r="T57" s="273"/>
      <c r="U57" s="273"/>
      <c r="V57" s="273"/>
      <c r="W57" s="273"/>
      <c r="X57" s="273"/>
      <c r="Y57" s="273"/>
      <c r="Z57" s="273"/>
      <c r="AA57" s="273"/>
      <c r="AB57" s="273"/>
      <c r="AC57" s="273"/>
      <c r="AD57" s="273"/>
      <c r="AE57" s="273"/>
    </row>
    <row r="58" spans="2:31" ht="15">
      <c r="B58" s="378">
        <f t="shared" si="4"/>
        <v>13</v>
      </c>
      <c r="C58" s="386" t="str" cm="1">
        <f t="array" aca="1" ref="C58" ca="1">IF(B58&lt;=$C$9,GetGetCDSName(B58),"")</f>
        <v>BARCLAYS_MMR.EUR.SU</v>
      </c>
      <c r="D58" s="346">
        <v>0</v>
      </c>
      <c r="E58" s="379">
        <v>0</v>
      </c>
      <c r="F58" s="298">
        <v>0</v>
      </c>
      <c r="G58" s="298">
        <v>0</v>
      </c>
      <c r="H58" s="298">
        <v>1</v>
      </c>
      <c r="I58" s="298">
        <v>0</v>
      </c>
      <c r="J58" s="298">
        <v>0</v>
      </c>
      <c r="K58" s="298"/>
      <c r="L58" s="298"/>
      <c r="M58" s="298"/>
      <c r="N58" s="380"/>
      <c r="O58" s="273"/>
      <c r="P58" s="273"/>
      <c r="Q58" s="273"/>
      <c r="R58" s="273"/>
      <c r="S58" s="273"/>
      <c r="T58" s="273"/>
      <c r="U58" s="273"/>
      <c r="V58" s="273"/>
      <c r="W58" s="273"/>
      <c r="X58" s="273"/>
      <c r="Y58" s="273"/>
      <c r="Z58" s="273"/>
      <c r="AA58" s="273"/>
      <c r="AB58" s="273"/>
      <c r="AC58" s="273"/>
      <c r="AD58" s="273"/>
      <c r="AE58" s="273"/>
    </row>
    <row r="59" spans="2:31" ht="15">
      <c r="B59" s="378">
        <f t="shared" si="4"/>
        <v>14</v>
      </c>
      <c r="C59" s="386" t="str" cm="1">
        <f t="array" aca="1" ref="C59" ca="1">IF(B59&lt;=$C$9,GetGetCDSName(B59),"")</f>
        <v>BASF_MMR.EUR.SU</v>
      </c>
      <c r="D59" s="346">
        <v>0</v>
      </c>
      <c r="E59" s="379">
        <v>0</v>
      </c>
      <c r="F59" s="298">
        <v>0</v>
      </c>
      <c r="G59" s="298">
        <v>0</v>
      </c>
      <c r="H59" s="298">
        <v>1</v>
      </c>
      <c r="I59" s="298">
        <v>1</v>
      </c>
      <c r="J59" s="298">
        <v>0</v>
      </c>
      <c r="K59" s="298"/>
      <c r="L59" s="298"/>
      <c r="M59" s="298"/>
      <c r="N59" s="380"/>
      <c r="O59" s="273"/>
      <c r="P59" s="273"/>
      <c r="Q59" s="273"/>
      <c r="R59" s="273"/>
      <c r="S59" s="273"/>
      <c r="T59" s="273"/>
      <c r="U59" s="273"/>
      <c r="V59" s="273"/>
      <c r="W59" s="273"/>
      <c r="X59" s="273"/>
      <c r="Y59" s="273"/>
      <c r="Z59" s="273"/>
      <c r="AA59" s="273"/>
      <c r="AB59" s="273"/>
      <c r="AC59" s="273"/>
      <c r="AD59" s="273"/>
      <c r="AE59" s="273"/>
    </row>
    <row r="60" spans="2:31" ht="15">
      <c r="B60" s="378">
        <f t="shared" si="4"/>
        <v>15</v>
      </c>
      <c r="C60" s="386" t="str" cm="1">
        <f t="array" aca="1" ref="C60" ca="1">IF(B60&lt;=$C$9,GetGetCDSName(B60),"")</f>
        <v>BAT_MMR.EUR.SU</v>
      </c>
      <c r="D60" s="346">
        <v>0</v>
      </c>
      <c r="E60" s="379">
        <v>1</v>
      </c>
      <c r="F60" s="298">
        <v>0</v>
      </c>
      <c r="G60" s="298">
        <v>0</v>
      </c>
      <c r="H60" s="298">
        <v>1</v>
      </c>
      <c r="I60" s="298">
        <v>1</v>
      </c>
      <c r="J60" s="298">
        <v>0</v>
      </c>
      <c r="K60" s="298"/>
      <c r="L60" s="298"/>
      <c r="M60" s="298"/>
      <c r="N60" s="380"/>
      <c r="O60" s="273"/>
      <c r="P60" s="273"/>
      <c r="Q60" s="273"/>
      <c r="R60" s="273"/>
      <c r="S60" s="273"/>
      <c r="T60" s="273"/>
      <c r="U60" s="273"/>
      <c r="V60" s="273"/>
      <c r="W60" s="273"/>
      <c r="X60" s="273"/>
      <c r="Y60" s="273"/>
      <c r="Z60" s="273"/>
      <c r="AA60" s="273"/>
      <c r="AB60" s="273"/>
      <c r="AC60" s="273"/>
      <c r="AD60" s="273"/>
      <c r="AE60" s="273"/>
    </row>
    <row r="61" spans="2:31" ht="15">
      <c r="B61" s="378">
        <f t="shared" si="4"/>
        <v>16</v>
      </c>
      <c r="C61" s="386" t="str" cm="1">
        <f t="array" aca="1" ref="C61" ca="1">IF(B61&lt;=$C$9,GetGetCDSName(B61),"")</f>
        <v>BAYER_MMR.EUR.SU</v>
      </c>
      <c r="D61" s="346">
        <v>0</v>
      </c>
      <c r="E61" s="379">
        <v>0</v>
      </c>
      <c r="F61" s="298">
        <v>0</v>
      </c>
      <c r="G61" s="298">
        <v>0</v>
      </c>
      <c r="H61" s="298">
        <v>0</v>
      </c>
      <c r="I61" s="298">
        <v>1</v>
      </c>
      <c r="J61" s="298">
        <v>0</v>
      </c>
      <c r="K61" s="298"/>
      <c r="L61" s="298"/>
      <c r="M61" s="298"/>
      <c r="N61" s="380"/>
      <c r="O61" s="273"/>
      <c r="P61" s="273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</row>
    <row r="62" spans="2:31" ht="15">
      <c r="B62" s="378">
        <f t="shared" si="4"/>
        <v>17</v>
      </c>
      <c r="C62" s="386" t="str" cm="1">
        <f t="array" aca="1" ref="C62" ca="1">IF(B62&lt;=$C$9,GetGetCDSName(B62),"")</f>
        <v>BBVA_MMR.EUR.SU</v>
      </c>
      <c r="D62" s="346">
        <v>0</v>
      </c>
      <c r="E62" s="379">
        <v>1</v>
      </c>
      <c r="F62" s="298">
        <v>0</v>
      </c>
      <c r="G62" s="298">
        <v>0</v>
      </c>
      <c r="H62" s="298">
        <v>0</v>
      </c>
      <c r="I62" s="298">
        <v>0</v>
      </c>
      <c r="J62" s="298">
        <v>0</v>
      </c>
      <c r="K62" s="298"/>
      <c r="L62" s="298"/>
      <c r="M62" s="298"/>
      <c r="N62" s="380"/>
      <c r="O62" s="273"/>
      <c r="P62" s="273"/>
      <c r="Q62" s="273"/>
      <c r="R62" s="273"/>
      <c r="S62" s="273"/>
      <c r="T62" s="273"/>
      <c r="U62" s="273"/>
      <c r="V62" s="273"/>
      <c r="W62" s="273"/>
      <c r="X62" s="273"/>
      <c r="Y62" s="273"/>
      <c r="Z62" s="273"/>
      <c r="AA62" s="273"/>
      <c r="AB62" s="273"/>
      <c r="AC62" s="273"/>
      <c r="AD62" s="273"/>
      <c r="AE62" s="273"/>
    </row>
    <row r="63" spans="2:31" ht="15">
      <c r="B63" s="378">
        <f t="shared" si="4"/>
        <v>18</v>
      </c>
      <c r="C63" s="386" t="str" cm="1">
        <f t="array" aca="1" ref="C63" ca="1">IF(B63&lt;=$C$9,GetGetCDSName(B63),"")</f>
        <v>BERTELSMANNAG_MMR.EUR.SU</v>
      </c>
      <c r="D63" s="346">
        <v>0</v>
      </c>
      <c r="E63" s="379">
        <v>0</v>
      </c>
      <c r="F63" s="298">
        <v>1</v>
      </c>
      <c r="G63" s="298">
        <v>0</v>
      </c>
      <c r="H63" s="298">
        <v>0</v>
      </c>
      <c r="I63" s="298">
        <v>0</v>
      </c>
      <c r="J63" s="298">
        <v>0</v>
      </c>
      <c r="K63" s="298"/>
      <c r="L63" s="298"/>
      <c r="M63" s="298"/>
      <c r="N63" s="380"/>
      <c r="O63" s="273"/>
      <c r="P63" s="273"/>
      <c r="Q63" s="273"/>
      <c r="R63" s="273"/>
      <c r="S63" s="273"/>
      <c r="T63" s="273"/>
      <c r="U63" s="273"/>
      <c r="V63" s="273"/>
      <c r="W63" s="273"/>
      <c r="X63" s="273"/>
      <c r="Y63" s="273"/>
      <c r="Z63" s="273"/>
      <c r="AA63" s="273"/>
      <c r="AB63" s="273"/>
      <c r="AC63" s="273"/>
      <c r="AD63" s="273"/>
      <c r="AE63" s="273"/>
    </row>
    <row r="64" spans="2:31" ht="15">
      <c r="B64" s="378">
        <f t="shared" si="4"/>
        <v>19</v>
      </c>
      <c r="C64" s="386" t="str" cm="1">
        <f t="array" aca="1" ref="C64" ca="1">IF(B64&lt;=$C$9,GetGetCDSName(B64),"")</f>
        <v>BMW_MMR.EUR.SU</v>
      </c>
      <c r="D64" s="346">
        <v>0</v>
      </c>
      <c r="E64" s="379">
        <v>0</v>
      </c>
      <c r="F64" s="298">
        <v>0</v>
      </c>
      <c r="G64" s="298">
        <v>1</v>
      </c>
      <c r="H64" s="298">
        <v>0</v>
      </c>
      <c r="I64" s="298">
        <v>0</v>
      </c>
      <c r="J64" s="298">
        <v>0</v>
      </c>
      <c r="K64" s="298"/>
      <c r="L64" s="298"/>
      <c r="M64" s="298"/>
      <c r="N64" s="380"/>
      <c r="O64" s="273"/>
      <c r="P64" s="273"/>
      <c r="Q64" s="273"/>
      <c r="R64" s="273"/>
      <c r="S64" s="273"/>
      <c r="T64" s="273"/>
      <c r="U64" s="273"/>
      <c r="V64" s="273"/>
      <c r="W64" s="273"/>
      <c r="X64" s="273"/>
      <c r="Y64" s="273"/>
      <c r="Z64" s="273"/>
      <c r="AA64" s="273"/>
      <c r="AB64" s="273"/>
      <c r="AC64" s="273"/>
      <c r="AD64" s="273"/>
      <c r="AE64" s="273"/>
    </row>
    <row r="65" spans="2:31" ht="15">
      <c r="B65" s="378">
        <f t="shared" si="4"/>
        <v>20</v>
      </c>
      <c r="C65" s="386" t="str" cm="1">
        <f t="array" aca="1" ref="C65" ca="1">IF(B65&lt;=$C$9,GetGetCDSName(B65),"")</f>
        <v>BNPPARIBAS_MMR.EUR.SU</v>
      </c>
      <c r="D65" s="346">
        <v>0</v>
      </c>
      <c r="E65" s="379">
        <v>1</v>
      </c>
      <c r="F65" s="298">
        <v>0</v>
      </c>
      <c r="G65" s="298">
        <v>1</v>
      </c>
      <c r="H65" s="298">
        <v>1</v>
      </c>
      <c r="I65" s="298">
        <v>0</v>
      </c>
      <c r="J65" s="298">
        <v>0</v>
      </c>
      <c r="K65" s="298"/>
      <c r="L65" s="298"/>
      <c r="M65" s="298"/>
      <c r="N65" s="380"/>
      <c r="O65" s="273"/>
      <c r="P65" s="273"/>
      <c r="Q65" s="273"/>
      <c r="R65" s="273"/>
      <c r="S65" s="273"/>
      <c r="T65" s="273"/>
      <c r="U65" s="273"/>
      <c r="V65" s="273"/>
      <c r="W65" s="273"/>
      <c r="X65" s="273"/>
      <c r="Y65" s="273"/>
      <c r="Z65" s="273"/>
      <c r="AA65" s="273"/>
      <c r="AB65" s="273"/>
      <c r="AC65" s="273"/>
      <c r="AD65" s="273"/>
      <c r="AE65" s="273"/>
    </row>
    <row r="66" spans="2:31" ht="15">
      <c r="B66" s="378">
        <f t="shared" si="4"/>
        <v>21</v>
      </c>
      <c r="C66" s="386" t="str" cm="1">
        <f t="array" aca="1" ref="C66" ca="1">IF(B66&lt;=$C$9,GetGetCDSName(B66),"")</f>
        <v>BRITISHTELECOM_MMR.EUR.SU</v>
      </c>
      <c r="D66" s="346">
        <v>0</v>
      </c>
      <c r="E66" s="379">
        <v>0</v>
      </c>
      <c r="F66" s="298">
        <v>1</v>
      </c>
      <c r="G66" s="298">
        <v>1</v>
      </c>
      <c r="H66" s="298">
        <v>0</v>
      </c>
      <c r="I66" s="298">
        <v>0</v>
      </c>
      <c r="J66" s="298">
        <v>1</v>
      </c>
      <c r="K66" s="298"/>
      <c r="L66" s="298"/>
      <c r="M66" s="298"/>
      <c r="N66" s="380"/>
      <c r="O66" s="273"/>
      <c r="P66" s="273"/>
      <c r="Q66" s="273"/>
      <c r="R66" s="273"/>
      <c r="S66" s="273"/>
      <c r="T66" s="273"/>
      <c r="U66" s="273"/>
      <c r="V66" s="273"/>
      <c r="W66" s="273"/>
      <c r="X66" s="273"/>
      <c r="Y66" s="273"/>
      <c r="Z66" s="273"/>
      <c r="AA66" s="273"/>
      <c r="AB66" s="273"/>
      <c r="AC66" s="273"/>
      <c r="AD66" s="273"/>
      <c r="AE66" s="273"/>
    </row>
    <row r="67" spans="2:31" ht="15">
      <c r="B67" s="378">
        <f t="shared" si="4"/>
        <v>22</v>
      </c>
      <c r="C67" s="386" t="str" cm="1">
        <f t="array" aca="1" ref="C67" ca="1">IF(B67&lt;=$C$9,GetGetCDSName(B67),"")</f>
        <v>BSCH_MMR.EUR.SU</v>
      </c>
      <c r="D67" s="346">
        <v>0</v>
      </c>
      <c r="E67" s="379">
        <v>0</v>
      </c>
      <c r="F67" s="298">
        <v>0</v>
      </c>
      <c r="G67" s="298">
        <v>1</v>
      </c>
      <c r="H67" s="298">
        <v>0</v>
      </c>
      <c r="I67" s="298">
        <v>0</v>
      </c>
      <c r="J67" s="298">
        <v>1</v>
      </c>
      <c r="K67" s="298"/>
      <c r="L67" s="298"/>
      <c r="M67" s="298"/>
      <c r="N67" s="380"/>
      <c r="O67" s="273"/>
      <c r="P67" s="273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73"/>
      <c r="AC67" s="273"/>
      <c r="AD67" s="273"/>
      <c r="AE67" s="273"/>
    </row>
    <row r="68" spans="2:31" ht="15">
      <c r="B68" s="378">
        <f t="shared" si="4"/>
        <v>23</v>
      </c>
      <c r="C68" s="386" t="str" cm="1">
        <f t="array" aca="1" ref="C68" ca="1">IF(B68&lt;=$C$9,GetGetCDSName(B68),"")</f>
        <v>CADBURYSCHWEPPES_MMR.EUR.SU</v>
      </c>
      <c r="D68" s="346">
        <v>0</v>
      </c>
      <c r="E68" s="379">
        <v>0</v>
      </c>
      <c r="F68" s="298">
        <v>0</v>
      </c>
      <c r="G68" s="298">
        <v>0</v>
      </c>
      <c r="H68" s="298">
        <v>0</v>
      </c>
      <c r="I68" s="298">
        <v>0</v>
      </c>
      <c r="J68" s="298">
        <v>1</v>
      </c>
      <c r="K68" s="298"/>
      <c r="L68" s="298"/>
      <c r="M68" s="298"/>
      <c r="N68" s="380"/>
      <c r="O68" s="273"/>
      <c r="P68" s="273"/>
      <c r="Q68" s="273"/>
      <c r="R68" s="273"/>
      <c r="S68" s="273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3"/>
      <c r="AE68" s="273"/>
    </row>
    <row r="69" spans="2:31" ht="15">
      <c r="B69" s="378">
        <f t="shared" si="4"/>
        <v>24</v>
      </c>
      <c r="C69" s="386" t="str" cm="1">
        <f t="array" aca="1" ref="C69" ca="1">IF(B69&lt;=$C$9,GetGetCDSName(B69),"")</f>
        <v>CAPITALIA_MMR.EUR.SU</v>
      </c>
      <c r="D69" s="346">
        <v>0</v>
      </c>
      <c r="E69" s="379">
        <v>0</v>
      </c>
      <c r="F69" s="298">
        <v>1</v>
      </c>
      <c r="G69" s="298">
        <v>1</v>
      </c>
      <c r="H69" s="298">
        <v>0</v>
      </c>
      <c r="I69" s="298">
        <v>0</v>
      </c>
      <c r="J69" s="298">
        <v>0</v>
      </c>
      <c r="K69" s="298"/>
      <c r="L69" s="298"/>
      <c r="M69" s="298"/>
      <c r="N69" s="380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3"/>
      <c r="AE69" s="273"/>
    </row>
    <row r="70" spans="2:31" ht="15">
      <c r="B70" s="378">
        <f t="shared" si="4"/>
        <v>25</v>
      </c>
      <c r="C70" s="386" t="str" cm="1">
        <f t="array" aca="1" ref="C70" ca="1">IF(B70&lt;=$C$9,GetGetCDSName(B70),"")</f>
        <v>CARREFOUR_MMR.EUR.SU</v>
      </c>
      <c r="D70" s="346">
        <v>0</v>
      </c>
      <c r="E70" s="379">
        <v>0</v>
      </c>
      <c r="F70" s="298">
        <v>0</v>
      </c>
      <c r="G70" s="298">
        <v>0</v>
      </c>
      <c r="H70" s="298">
        <v>0</v>
      </c>
      <c r="I70" s="298">
        <v>1</v>
      </c>
      <c r="J70" s="298">
        <v>0</v>
      </c>
      <c r="K70" s="298"/>
      <c r="L70" s="298"/>
      <c r="M70" s="298"/>
      <c r="N70" s="380"/>
      <c r="O70" s="273"/>
      <c r="P70" s="273"/>
      <c r="Q70" s="273"/>
      <c r="R70" s="273"/>
      <c r="S70" s="273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3"/>
      <c r="AE70" s="273"/>
    </row>
    <row r="71" spans="2:31" ht="15">
      <c r="B71" s="378">
        <f t="shared" si="4"/>
        <v>26</v>
      </c>
      <c r="C71" s="386" t="str" cm="1">
        <f t="array" aca="1" ref="C71" ca="1">IF(B71&lt;=$C$9,GetGetCDSName(B71),"")</f>
        <v>CASINOGUICHARD_MMR.EUR.SU</v>
      </c>
      <c r="D71" s="346">
        <v>0</v>
      </c>
      <c r="E71" s="379">
        <v>1</v>
      </c>
      <c r="F71" s="298">
        <v>0</v>
      </c>
      <c r="G71" s="298">
        <v>0</v>
      </c>
      <c r="H71" s="298">
        <v>0</v>
      </c>
      <c r="I71" s="298">
        <v>1</v>
      </c>
      <c r="J71" s="298">
        <v>1</v>
      </c>
      <c r="K71" s="298"/>
      <c r="L71" s="298"/>
      <c r="M71" s="298"/>
      <c r="N71" s="380"/>
      <c r="O71" s="273"/>
      <c r="P71" s="273"/>
      <c r="Q71" s="273"/>
      <c r="R71" s="273"/>
      <c r="S71" s="273"/>
      <c r="T71" s="273"/>
      <c r="U71" s="273"/>
      <c r="V71" s="273"/>
      <c r="W71" s="273"/>
      <c r="X71" s="273"/>
      <c r="Y71" s="273"/>
      <c r="Z71" s="273"/>
      <c r="AA71" s="273"/>
      <c r="AB71" s="273"/>
      <c r="AC71" s="273"/>
      <c r="AD71" s="273"/>
      <c r="AE71" s="273"/>
    </row>
    <row r="72" spans="2:31" ht="15">
      <c r="B72" s="378">
        <f t="shared" si="4"/>
        <v>27</v>
      </c>
      <c r="C72" s="386" t="str" cm="1">
        <f t="array" aca="1" ref="C72" ca="1">IF(B72&lt;=$C$9,GetGetCDSName(B72),"")</f>
        <v>CENTRICA_MMR.EUR.SU</v>
      </c>
      <c r="D72" s="346">
        <v>0</v>
      </c>
      <c r="E72" s="379">
        <v>0</v>
      </c>
      <c r="F72" s="298">
        <v>1</v>
      </c>
      <c r="G72" s="298">
        <v>0</v>
      </c>
      <c r="H72" s="298">
        <v>1</v>
      </c>
      <c r="I72" s="298">
        <v>0</v>
      </c>
      <c r="J72" s="298">
        <v>0</v>
      </c>
      <c r="K72" s="298"/>
      <c r="L72" s="298"/>
      <c r="M72" s="298"/>
      <c r="N72" s="380"/>
      <c r="O72" s="273"/>
      <c r="P72" s="273"/>
      <c r="Q72" s="273"/>
      <c r="R72" s="273"/>
      <c r="S72" s="273"/>
      <c r="T72" s="273"/>
      <c r="U72" s="273"/>
      <c r="V72" s="273"/>
      <c r="W72" s="273"/>
      <c r="X72" s="273"/>
      <c r="Y72" s="273"/>
      <c r="Z72" s="273"/>
      <c r="AA72" s="273"/>
      <c r="AB72" s="273"/>
      <c r="AC72" s="273"/>
      <c r="AD72" s="273"/>
      <c r="AE72" s="273"/>
    </row>
    <row r="73" spans="2:31" ht="15">
      <c r="B73" s="378">
        <f t="shared" si="4"/>
        <v>28</v>
      </c>
      <c r="C73" s="386" t="str" cm="1">
        <f t="array" aca="1" ref="C73" ca="1">IF(B73&lt;=$C$9,GetGetCDSName(B73),"")</f>
        <v>CIBASC_MMR.EUR.SU</v>
      </c>
      <c r="D73" s="346">
        <v>0</v>
      </c>
      <c r="E73" s="379">
        <v>1</v>
      </c>
      <c r="F73" s="298">
        <v>0</v>
      </c>
      <c r="G73" s="298">
        <v>0</v>
      </c>
      <c r="H73" s="298">
        <v>0</v>
      </c>
      <c r="I73" s="298">
        <v>0</v>
      </c>
      <c r="J73" s="298">
        <v>1</v>
      </c>
      <c r="K73" s="298"/>
      <c r="L73" s="298"/>
      <c r="M73" s="298"/>
      <c r="N73" s="380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</row>
    <row r="74" spans="2:31" ht="15">
      <c r="B74" s="378">
        <f t="shared" si="4"/>
        <v>29</v>
      </c>
      <c r="C74" s="386" t="str" cm="1">
        <f t="array" aca="1" ref="C74" ca="1">IF(B74&lt;=$C$9,GetGetCDSName(B74),"")</f>
        <v>COMMERZBANK_MMR.EUR.SU</v>
      </c>
      <c r="D74" s="346">
        <v>0</v>
      </c>
      <c r="E74" s="379">
        <v>1</v>
      </c>
      <c r="F74" s="298">
        <v>0</v>
      </c>
      <c r="G74" s="298">
        <v>0</v>
      </c>
      <c r="H74" s="298">
        <v>0</v>
      </c>
      <c r="I74" s="298">
        <v>0</v>
      </c>
      <c r="J74" s="298">
        <v>0</v>
      </c>
      <c r="K74" s="298"/>
      <c r="L74" s="298"/>
      <c r="M74" s="298"/>
      <c r="N74" s="380"/>
      <c r="O74" s="273"/>
      <c r="P74" s="273"/>
      <c r="Q74" s="273"/>
      <c r="R74" s="273"/>
      <c r="S74" s="273"/>
      <c r="T74" s="273"/>
      <c r="U74" s="273"/>
      <c r="V74" s="273"/>
      <c r="W74" s="273"/>
      <c r="X74" s="273"/>
      <c r="Y74" s="273"/>
      <c r="Z74" s="273"/>
      <c r="AA74" s="273"/>
      <c r="AB74" s="273"/>
      <c r="AC74" s="273"/>
      <c r="AD74" s="273"/>
      <c r="AE74" s="273"/>
    </row>
    <row r="75" spans="2:31" ht="15">
      <c r="B75" s="378">
        <f t="shared" si="4"/>
        <v>30</v>
      </c>
      <c r="C75" s="386" t="str" cm="1">
        <f t="array" aca="1" ref="C75" ca="1">IF(B75&lt;=$C$9,GetGetCDSName(B75),"")</f>
        <v>COMPASS_MMR.EUR.SU</v>
      </c>
      <c r="D75" s="346">
        <v>0</v>
      </c>
      <c r="E75" s="379">
        <v>0</v>
      </c>
      <c r="F75" s="298">
        <v>1</v>
      </c>
      <c r="G75" s="298">
        <v>0</v>
      </c>
      <c r="H75" s="298">
        <v>0</v>
      </c>
      <c r="I75" s="298">
        <v>1</v>
      </c>
      <c r="J75" s="298">
        <v>1</v>
      </c>
      <c r="K75" s="298"/>
      <c r="L75" s="298"/>
      <c r="M75" s="298"/>
      <c r="N75" s="380"/>
      <c r="O75" s="273"/>
      <c r="P75" s="273"/>
      <c r="Q75" s="273"/>
      <c r="R75" s="273"/>
      <c r="S75" s="273"/>
      <c r="T75" s="273"/>
      <c r="U75" s="273"/>
      <c r="V75" s="273"/>
      <c r="W75" s="273"/>
      <c r="X75" s="273"/>
      <c r="Y75" s="273"/>
      <c r="Z75" s="273"/>
      <c r="AA75" s="273"/>
      <c r="AB75" s="273"/>
      <c r="AC75" s="273"/>
      <c r="AD75" s="273"/>
      <c r="AE75" s="273"/>
    </row>
    <row r="76" spans="2:31" ht="15">
      <c r="B76" s="378">
        <f t="shared" si="4"/>
        <v>31</v>
      </c>
      <c r="C76" s="386" t="str" cm="1">
        <f t="array" aca="1" ref="C76" ca="1">IF(B76&lt;=$C$9,GetGetCDSName(B76),"")</f>
        <v>CONTINENTAL_MMR.EUR.SU</v>
      </c>
      <c r="D76" s="346">
        <v>0</v>
      </c>
      <c r="E76" s="379">
        <v>0</v>
      </c>
      <c r="F76" s="298">
        <v>0</v>
      </c>
      <c r="G76" s="298">
        <v>1</v>
      </c>
      <c r="H76" s="298">
        <v>1</v>
      </c>
      <c r="I76" s="298">
        <v>0</v>
      </c>
      <c r="J76" s="298">
        <v>1</v>
      </c>
      <c r="K76" s="298"/>
      <c r="L76" s="298"/>
      <c r="M76" s="298"/>
      <c r="N76" s="380"/>
      <c r="O76" s="273"/>
      <c r="P76" s="273"/>
      <c r="Q76" s="273"/>
      <c r="R76" s="273"/>
      <c r="S76" s="273"/>
      <c r="T76" s="273"/>
      <c r="U76" s="273"/>
      <c r="V76" s="273"/>
      <c r="W76" s="273"/>
      <c r="X76" s="273"/>
      <c r="Y76" s="273"/>
      <c r="Z76" s="273"/>
      <c r="AA76" s="273"/>
      <c r="AB76" s="273"/>
      <c r="AC76" s="273"/>
      <c r="AD76" s="273"/>
      <c r="AE76" s="273"/>
    </row>
    <row r="77" spans="2:31" ht="15">
      <c r="B77" s="378">
        <f t="shared" si="4"/>
        <v>32</v>
      </c>
      <c r="C77" s="386" t="str" cm="1">
        <f t="array" aca="1" ref="C77" ca="1">IF(B77&lt;=$C$9,GetGetCDSName(B77),"")</f>
        <v>CREDITAGRICOLE_MMR.EUR.SU</v>
      </c>
      <c r="D77" s="346">
        <v>0</v>
      </c>
      <c r="E77" s="379">
        <v>0</v>
      </c>
      <c r="F77" s="298">
        <v>0</v>
      </c>
      <c r="G77" s="298">
        <v>1</v>
      </c>
      <c r="H77" s="298">
        <v>0</v>
      </c>
      <c r="I77" s="298">
        <v>0</v>
      </c>
      <c r="J77" s="298">
        <v>1</v>
      </c>
      <c r="K77" s="298"/>
      <c r="L77" s="298"/>
      <c r="M77" s="298"/>
      <c r="N77" s="380"/>
      <c r="O77" s="273"/>
      <c r="P77" s="273"/>
      <c r="Q77" s="273"/>
      <c r="R77" s="273"/>
      <c r="S77" s="273"/>
      <c r="T77" s="273"/>
      <c r="U77" s="273"/>
      <c r="V77" s="273"/>
      <c r="W77" s="273"/>
      <c r="X77" s="273"/>
      <c r="Y77" s="273"/>
      <c r="Z77" s="273"/>
      <c r="AA77" s="273"/>
      <c r="AB77" s="273"/>
      <c r="AC77" s="273"/>
      <c r="AD77" s="273"/>
      <c r="AE77" s="273"/>
    </row>
    <row r="78" spans="2:31" ht="15">
      <c r="B78" s="378">
        <f t="shared" si="4"/>
        <v>33</v>
      </c>
      <c r="C78" s="386" t="str" cm="1">
        <f t="array" aca="1" ref="C78" ca="1">IF(B78&lt;=$C$9,GetGetCDSName(B78),"")</f>
        <v>CREDITSUISSEGROUP_MMR.EUR.SU</v>
      </c>
      <c r="D78" s="346">
        <v>0</v>
      </c>
      <c r="E78" s="379">
        <v>1</v>
      </c>
      <c r="F78" s="298">
        <v>0</v>
      </c>
      <c r="G78" s="298">
        <v>0</v>
      </c>
      <c r="H78" s="298">
        <v>1</v>
      </c>
      <c r="I78" s="298">
        <v>0</v>
      </c>
      <c r="J78" s="298">
        <v>0</v>
      </c>
      <c r="K78" s="298"/>
      <c r="L78" s="298"/>
      <c r="M78" s="298"/>
      <c r="N78" s="380"/>
      <c r="O78" s="273"/>
      <c r="P78" s="273"/>
      <c r="Q78" s="273"/>
      <c r="R78" s="273"/>
      <c r="S78" s="273"/>
      <c r="T78" s="273"/>
      <c r="U78" s="273"/>
      <c r="V78" s="273"/>
      <c r="W78" s="273"/>
      <c r="X78" s="273"/>
      <c r="Y78" s="273"/>
      <c r="Z78" s="273"/>
      <c r="AA78" s="273"/>
      <c r="AB78" s="273"/>
      <c r="AC78" s="273"/>
      <c r="AD78" s="273"/>
      <c r="AE78" s="273"/>
    </row>
    <row r="79" spans="2:31" ht="15">
      <c r="B79" s="378">
        <f t="shared" si="4"/>
        <v>34</v>
      </c>
      <c r="C79" s="386" t="str" cm="1">
        <f t="array" aca="1" ref="C79" ca="1">IF(B79&lt;=$C$9,GetGetCDSName(B79),"")</f>
        <v>DAIMLERCHRYSLER_MMR.EUR.SU</v>
      </c>
      <c r="D79" s="346">
        <v>0</v>
      </c>
      <c r="E79" s="379">
        <v>1</v>
      </c>
      <c r="F79" s="298">
        <v>0</v>
      </c>
      <c r="G79" s="298">
        <v>1</v>
      </c>
      <c r="H79" s="298">
        <v>0</v>
      </c>
      <c r="I79" s="298">
        <v>0</v>
      </c>
      <c r="J79" s="298">
        <v>1</v>
      </c>
      <c r="K79" s="298"/>
      <c r="L79" s="298"/>
      <c r="M79" s="298"/>
      <c r="N79" s="380"/>
      <c r="O79" s="273"/>
      <c r="P79" s="273"/>
      <c r="Q79" s="273"/>
      <c r="R79" s="273"/>
      <c r="S79" s="273"/>
      <c r="T79" s="273"/>
      <c r="U79" s="273"/>
      <c r="V79" s="273"/>
      <c r="W79" s="273"/>
      <c r="X79" s="273"/>
      <c r="Y79" s="273"/>
      <c r="Z79" s="273"/>
      <c r="AA79" s="273"/>
      <c r="AB79" s="273"/>
      <c r="AC79" s="273"/>
      <c r="AD79" s="273"/>
      <c r="AE79" s="273"/>
    </row>
    <row r="80" spans="2:31" ht="15">
      <c r="B80" s="378">
        <f t="shared" si="4"/>
        <v>35</v>
      </c>
      <c r="C80" s="386" t="str" cm="1">
        <f t="array" aca="1" ref="C80" ca="1">IF(B80&lt;=$C$9,GetGetCDSName(B80),"")</f>
        <v>DANONE_MMR.EUR.SU</v>
      </c>
      <c r="D80" s="346">
        <v>0</v>
      </c>
      <c r="E80" s="379">
        <v>0</v>
      </c>
      <c r="F80" s="298">
        <v>1</v>
      </c>
      <c r="G80" s="298">
        <v>1</v>
      </c>
      <c r="H80" s="298">
        <v>1</v>
      </c>
      <c r="I80" s="298">
        <v>0</v>
      </c>
      <c r="J80" s="298">
        <v>0</v>
      </c>
      <c r="K80" s="298"/>
      <c r="L80" s="298"/>
      <c r="M80" s="298"/>
      <c r="N80" s="380"/>
      <c r="O80" s="273"/>
      <c r="P80" s="273"/>
      <c r="Q80" s="273"/>
      <c r="R80" s="273"/>
      <c r="S80" s="273"/>
      <c r="T80" s="273"/>
      <c r="U80" s="273"/>
      <c r="V80" s="273"/>
      <c r="W80" s="273"/>
      <c r="X80" s="273"/>
      <c r="Y80" s="273"/>
      <c r="Z80" s="273"/>
      <c r="AA80" s="273"/>
      <c r="AB80" s="273"/>
      <c r="AC80" s="273"/>
      <c r="AD80" s="273"/>
      <c r="AE80" s="273"/>
    </row>
    <row r="81" spans="2:31" ht="15">
      <c r="B81" s="378">
        <f t="shared" si="4"/>
        <v>36</v>
      </c>
      <c r="C81" s="386" t="str" cm="1">
        <f t="array" aca="1" ref="C81" ca="1">IF(B81&lt;=$C$9,GetGetCDSName(B81),"")</f>
        <v>DEUTSCHEBANK_MMR.EUR.SU</v>
      </c>
      <c r="D81" s="346">
        <v>0</v>
      </c>
      <c r="E81" s="379">
        <v>0</v>
      </c>
      <c r="F81" s="298">
        <v>1</v>
      </c>
      <c r="G81" s="298">
        <v>0</v>
      </c>
      <c r="H81" s="298">
        <v>0</v>
      </c>
      <c r="I81" s="298">
        <v>1</v>
      </c>
      <c r="J81" s="298">
        <v>0</v>
      </c>
      <c r="K81" s="298"/>
      <c r="L81" s="298"/>
      <c r="M81" s="298"/>
      <c r="N81" s="380"/>
      <c r="O81" s="273"/>
      <c r="P81" s="273"/>
      <c r="Q81" s="273"/>
      <c r="R81" s="273"/>
      <c r="S81" s="273"/>
      <c r="T81" s="273"/>
      <c r="U81" s="273"/>
      <c r="V81" s="273"/>
      <c r="W81" s="273"/>
      <c r="X81" s="273"/>
      <c r="Y81" s="273"/>
      <c r="Z81" s="273"/>
      <c r="AA81" s="273"/>
      <c r="AB81" s="273"/>
      <c r="AC81" s="273"/>
      <c r="AD81" s="273"/>
      <c r="AE81" s="273"/>
    </row>
    <row r="82" spans="2:31" ht="15">
      <c r="B82" s="378">
        <f t="shared" si="4"/>
        <v>37</v>
      </c>
      <c r="C82" s="386" t="str" cm="1">
        <f t="array" aca="1" ref="C82" ca="1">IF(B82&lt;=$C$9,GetGetCDSName(B82),"")</f>
        <v>DEUTSCHEPOSTAG_MMR.EUR.SU</v>
      </c>
      <c r="D82" s="346">
        <v>0</v>
      </c>
      <c r="E82" s="379">
        <v>0</v>
      </c>
      <c r="F82" s="298">
        <v>0</v>
      </c>
      <c r="G82" s="298">
        <v>1</v>
      </c>
      <c r="H82" s="298">
        <v>0</v>
      </c>
      <c r="I82" s="298">
        <v>1</v>
      </c>
      <c r="J82" s="298">
        <v>0</v>
      </c>
      <c r="K82" s="298"/>
      <c r="L82" s="298"/>
      <c r="M82" s="298"/>
      <c r="N82" s="380"/>
      <c r="O82" s="273"/>
      <c r="P82" s="273"/>
      <c r="Q82" s="273"/>
      <c r="R82" s="273"/>
      <c r="S82" s="273"/>
      <c r="T82" s="273"/>
      <c r="U82" s="273"/>
      <c r="V82" s="273"/>
      <c r="W82" s="273"/>
      <c r="X82" s="273"/>
      <c r="Y82" s="273"/>
      <c r="Z82" s="273"/>
      <c r="AA82" s="273"/>
      <c r="AB82" s="273"/>
      <c r="AC82" s="273"/>
      <c r="AD82" s="273"/>
      <c r="AE82" s="273"/>
    </row>
    <row r="83" spans="2:31" ht="15">
      <c r="B83" s="378">
        <f t="shared" si="4"/>
        <v>38</v>
      </c>
      <c r="C83" s="386" t="str" cm="1">
        <f t="array" aca="1" ref="C83" ca="1">IF(B83&lt;=$C$9,GetGetCDSName(B83),"")</f>
        <v>DEUTSCHETELEKOM_MMR.EUR.SU</v>
      </c>
      <c r="D83" s="346">
        <v>0</v>
      </c>
      <c r="E83" s="379">
        <v>0</v>
      </c>
      <c r="F83" s="298">
        <v>1</v>
      </c>
      <c r="G83" s="298">
        <v>0</v>
      </c>
      <c r="H83" s="298">
        <v>0</v>
      </c>
      <c r="I83" s="298">
        <v>0</v>
      </c>
      <c r="J83" s="298">
        <v>1</v>
      </c>
      <c r="K83" s="298"/>
      <c r="L83" s="298"/>
      <c r="M83" s="298"/>
      <c r="N83" s="380"/>
      <c r="O83" s="273"/>
      <c r="P83" s="273"/>
      <c r="Q83" s="273"/>
      <c r="R83" s="273"/>
      <c r="S83" s="273"/>
      <c r="T83" s="273"/>
      <c r="U83" s="273"/>
      <c r="V83" s="273"/>
      <c r="W83" s="273"/>
      <c r="X83" s="273"/>
      <c r="Y83" s="273"/>
      <c r="Z83" s="273"/>
      <c r="AA83" s="273"/>
      <c r="AB83" s="273"/>
      <c r="AC83" s="273"/>
      <c r="AD83" s="273"/>
      <c r="AE83" s="273"/>
    </row>
    <row r="84" spans="2:31" ht="15">
      <c r="B84" s="378">
        <f t="shared" si="4"/>
        <v>39</v>
      </c>
      <c r="C84" s="386" t="str" cm="1">
        <f t="array" aca="1" ref="C84" ca="1">IF(B84&lt;=$C$9,GetGetCDSName(B84),"")</f>
        <v>DIAGEO_MMR.EUR.SU</v>
      </c>
      <c r="D84" s="346">
        <v>0</v>
      </c>
      <c r="E84" s="379">
        <v>1</v>
      </c>
      <c r="F84" s="298">
        <v>0</v>
      </c>
      <c r="G84" s="298">
        <v>0</v>
      </c>
      <c r="H84" s="298">
        <v>0</v>
      </c>
      <c r="I84" s="298">
        <v>1</v>
      </c>
      <c r="J84" s="298">
        <v>0</v>
      </c>
      <c r="K84" s="298"/>
      <c r="L84" s="298"/>
      <c r="M84" s="298"/>
      <c r="N84" s="380"/>
      <c r="O84" s="273"/>
      <c r="P84" s="273"/>
      <c r="Q84" s="273"/>
      <c r="R84" s="273"/>
      <c r="S84" s="273"/>
      <c r="T84" s="273"/>
      <c r="U84" s="273"/>
      <c r="V84" s="273"/>
      <c r="W84" s="273"/>
      <c r="X84" s="273"/>
      <c r="Y84" s="273"/>
      <c r="Z84" s="273"/>
      <c r="AA84" s="273"/>
      <c r="AB84" s="273"/>
      <c r="AC84" s="273"/>
      <c r="AD84" s="273"/>
      <c r="AE84" s="273"/>
    </row>
    <row r="85" spans="2:31" ht="15">
      <c r="B85" s="378">
        <f t="shared" si="4"/>
        <v>40</v>
      </c>
      <c r="C85" s="386" t="str" cm="1">
        <f t="array" aca="1" ref="C85" ca="1">IF(B85&lt;=$C$9,GetGetCDSName(B85),"")</f>
        <v>DIXONSGROUPPLC_MMR.EUR.SU</v>
      </c>
      <c r="D85" s="346">
        <v>0</v>
      </c>
      <c r="E85" s="379">
        <v>0</v>
      </c>
      <c r="F85" s="298">
        <v>0</v>
      </c>
      <c r="G85" s="298">
        <v>0</v>
      </c>
      <c r="H85" s="298">
        <v>1</v>
      </c>
      <c r="I85" s="298">
        <v>1</v>
      </c>
      <c r="J85" s="298">
        <v>1</v>
      </c>
      <c r="K85" s="298"/>
      <c r="L85" s="298"/>
      <c r="M85" s="298"/>
      <c r="N85" s="380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3"/>
      <c r="AE85" s="273"/>
    </row>
    <row r="86" spans="2:31" ht="15">
      <c r="B86" s="378">
        <f t="shared" si="4"/>
        <v>41</v>
      </c>
      <c r="C86" s="386" t="str" cm="1">
        <f t="array" aca="1" ref="C86" ca="1">IF(B86&lt;=$C$9,GetGetCDSName(B86),"")</f>
        <v>DSM_MMR.EUR.SU</v>
      </c>
      <c r="D86" s="346">
        <v>0</v>
      </c>
      <c r="E86" s="379">
        <v>0</v>
      </c>
      <c r="F86" s="298">
        <v>0</v>
      </c>
      <c r="G86" s="298">
        <v>0</v>
      </c>
      <c r="H86" s="298">
        <v>1</v>
      </c>
      <c r="I86" s="298">
        <v>0</v>
      </c>
      <c r="J86" s="298">
        <v>1</v>
      </c>
      <c r="K86" s="298"/>
      <c r="L86" s="298"/>
      <c r="M86" s="298"/>
      <c r="N86" s="380"/>
      <c r="O86" s="273"/>
      <c r="P86" s="273"/>
      <c r="Q86" s="273"/>
      <c r="R86" s="273"/>
      <c r="S86" s="273"/>
      <c r="T86" s="273"/>
      <c r="U86" s="273"/>
      <c r="V86" s="273"/>
      <c r="W86" s="273"/>
      <c r="X86" s="273"/>
      <c r="Y86" s="273"/>
      <c r="Z86" s="273"/>
      <c r="AA86" s="273"/>
      <c r="AB86" s="273"/>
      <c r="AC86" s="273"/>
      <c r="AD86" s="273"/>
      <c r="AE86" s="273"/>
    </row>
    <row r="87" spans="2:31" ht="15">
      <c r="B87" s="378">
        <f t="shared" si="4"/>
        <v>42</v>
      </c>
      <c r="C87" s="386" t="str" cm="1">
        <f t="array" aca="1" ref="C87" ca="1">IF(B87&lt;=$C$9,GetGetCDSName(B87),"")</f>
        <v>EADS_MMR.EUR.SU</v>
      </c>
      <c r="D87" s="346">
        <v>0</v>
      </c>
      <c r="E87" s="379">
        <v>1</v>
      </c>
      <c r="F87" s="298">
        <v>0</v>
      </c>
      <c r="G87" s="298">
        <v>1</v>
      </c>
      <c r="H87" s="298">
        <v>0</v>
      </c>
      <c r="I87" s="298">
        <v>0</v>
      </c>
      <c r="J87" s="298">
        <v>0</v>
      </c>
      <c r="K87" s="298"/>
      <c r="L87" s="298"/>
      <c r="M87" s="298"/>
      <c r="N87" s="380"/>
      <c r="O87" s="273"/>
      <c r="P87" s="273"/>
      <c r="Q87" s="273"/>
      <c r="R87" s="273"/>
      <c r="S87" s="273"/>
      <c r="T87" s="273"/>
      <c r="U87" s="273"/>
      <c r="V87" s="273"/>
      <c r="W87" s="273"/>
      <c r="X87" s="273"/>
      <c r="Y87" s="273"/>
      <c r="Z87" s="273"/>
      <c r="AA87" s="273"/>
      <c r="AB87" s="273"/>
      <c r="AC87" s="273"/>
      <c r="AD87" s="273"/>
      <c r="AE87" s="273"/>
    </row>
    <row r="88" spans="2:31" ht="15">
      <c r="B88" s="378">
        <f t="shared" si="4"/>
        <v>43</v>
      </c>
      <c r="C88" s="386" t="str" cm="1">
        <f t="array" aca="1" ref="C88" ca="1">IF(B88&lt;=$C$9,GetGetCDSName(B88),"")</f>
        <v>EDF_MMR.EUR.SU</v>
      </c>
      <c r="D88" s="346">
        <v>0</v>
      </c>
      <c r="E88" s="379">
        <v>0</v>
      </c>
      <c r="F88" s="298">
        <v>1</v>
      </c>
      <c r="G88" s="298">
        <v>0</v>
      </c>
      <c r="H88" s="298">
        <v>0</v>
      </c>
      <c r="I88" s="298">
        <v>0</v>
      </c>
      <c r="J88" s="298">
        <v>0</v>
      </c>
      <c r="K88" s="298"/>
      <c r="L88" s="298"/>
      <c r="M88" s="298"/>
      <c r="N88" s="380"/>
      <c r="O88" s="273"/>
      <c r="P88" s="273"/>
      <c r="Q88" s="273"/>
      <c r="R88" s="273"/>
      <c r="S88" s="273"/>
      <c r="T88" s="273"/>
      <c r="U88" s="273"/>
      <c r="V88" s="273"/>
      <c r="W88" s="273"/>
      <c r="X88" s="273"/>
      <c r="Y88" s="273"/>
      <c r="Z88" s="273"/>
      <c r="AA88" s="273"/>
      <c r="AB88" s="273"/>
      <c r="AC88" s="273"/>
      <c r="AD88" s="273"/>
      <c r="AE88" s="273"/>
    </row>
    <row r="89" spans="2:31" ht="15">
      <c r="B89" s="378">
        <f t="shared" si="4"/>
        <v>44</v>
      </c>
      <c r="C89" s="386" t="str" cm="1">
        <f t="array" aca="1" ref="C89" ca="1">IF(B89&lt;=$C$9,GetGetCDSName(B89),"")</f>
        <v>EDISON_MMR.EUR.SU</v>
      </c>
      <c r="D89" s="346">
        <v>0</v>
      </c>
      <c r="E89" s="379">
        <v>1</v>
      </c>
      <c r="F89" s="298">
        <v>0</v>
      </c>
      <c r="G89" s="298">
        <v>0</v>
      </c>
      <c r="H89" s="298">
        <v>0</v>
      </c>
      <c r="I89" s="298">
        <v>0</v>
      </c>
      <c r="J89" s="298">
        <v>0</v>
      </c>
      <c r="K89" s="298"/>
      <c r="L89" s="298"/>
      <c r="M89" s="298"/>
      <c r="N89" s="380"/>
      <c r="O89" s="273"/>
      <c r="P89" s="273"/>
      <c r="Q89" s="273"/>
      <c r="R89" s="273"/>
      <c r="S89" s="273"/>
      <c r="T89" s="273"/>
      <c r="U89" s="273"/>
      <c r="V89" s="273"/>
      <c r="W89" s="273"/>
      <c r="X89" s="273"/>
      <c r="Y89" s="273"/>
      <c r="Z89" s="273"/>
      <c r="AA89" s="273"/>
      <c r="AB89" s="273"/>
      <c r="AC89" s="273"/>
      <c r="AD89" s="273"/>
      <c r="AE89" s="273"/>
    </row>
    <row r="90" spans="2:31" ht="15">
      <c r="B90" s="378">
        <f t="shared" si="4"/>
        <v>45</v>
      </c>
      <c r="C90" s="386" t="str" cm="1">
        <f t="array" aca="1" ref="C90" ca="1">IF(B90&lt;=$C$9,GetGetCDSName(B90),"")</f>
        <v>ELECTRICITEDEPORTUGAL_MMR.EUR.SU</v>
      </c>
      <c r="D90" s="346">
        <v>0</v>
      </c>
      <c r="E90" s="379">
        <v>0</v>
      </c>
      <c r="F90" s="298">
        <v>0</v>
      </c>
      <c r="G90" s="298">
        <v>1</v>
      </c>
      <c r="H90" s="298">
        <v>0</v>
      </c>
      <c r="I90" s="298">
        <v>0</v>
      </c>
      <c r="J90" s="298">
        <v>0</v>
      </c>
      <c r="K90" s="298"/>
      <c r="L90" s="298"/>
      <c r="M90" s="298"/>
      <c r="N90" s="380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  <c r="Z90" s="273"/>
      <c r="AA90" s="273"/>
      <c r="AB90" s="273"/>
      <c r="AC90" s="273"/>
      <c r="AD90" s="273"/>
      <c r="AE90" s="273"/>
    </row>
    <row r="91" spans="2:31" ht="15">
      <c r="B91" s="378">
        <f t="shared" si="4"/>
        <v>46</v>
      </c>
      <c r="C91" s="386" t="str" cm="1">
        <f t="array" aca="1" ref="C91" ca="1">IF(B91&lt;=$C$9,GetGetCDSName(B91),"")</f>
        <v>ELECTROLUX_MMR.EUR.SU</v>
      </c>
      <c r="D91" s="346">
        <v>0</v>
      </c>
      <c r="E91" s="379">
        <v>1</v>
      </c>
      <c r="F91" s="298">
        <v>1</v>
      </c>
      <c r="G91" s="298">
        <v>1</v>
      </c>
      <c r="H91" s="298">
        <v>0</v>
      </c>
      <c r="I91" s="298">
        <v>0</v>
      </c>
      <c r="J91" s="298">
        <v>0</v>
      </c>
      <c r="K91" s="298"/>
      <c r="L91" s="298"/>
      <c r="M91" s="298"/>
      <c r="N91" s="380"/>
      <c r="O91" s="273"/>
      <c r="P91" s="273"/>
      <c r="Q91" s="273"/>
      <c r="R91" s="273"/>
      <c r="S91" s="273"/>
      <c r="T91" s="273"/>
      <c r="U91" s="273"/>
      <c r="V91" s="273"/>
      <c r="W91" s="273"/>
      <c r="X91" s="273"/>
      <c r="Y91" s="273"/>
      <c r="Z91" s="273"/>
      <c r="AA91" s="273"/>
      <c r="AB91" s="273"/>
      <c r="AC91" s="273"/>
      <c r="AD91" s="273"/>
      <c r="AE91" s="273"/>
    </row>
    <row r="92" spans="2:31" ht="15">
      <c r="B92" s="378">
        <f t="shared" si="4"/>
        <v>47</v>
      </c>
      <c r="C92" s="386" t="str" cm="1">
        <f t="array" aca="1" ref="C92" ca="1">IF(B92&lt;=$C$9,GetGetCDSName(B92),"")</f>
        <v>ENDESA_MMR.EUR.SU</v>
      </c>
      <c r="D92" s="346">
        <v>0</v>
      </c>
      <c r="E92" s="379">
        <v>0</v>
      </c>
      <c r="F92" s="298">
        <v>1</v>
      </c>
      <c r="G92" s="298">
        <v>0</v>
      </c>
      <c r="H92" s="298">
        <v>1</v>
      </c>
      <c r="I92" s="298">
        <v>1</v>
      </c>
      <c r="J92" s="298">
        <v>0</v>
      </c>
      <c r="K92" s="298"/>
      <c r="L92" s="298"/>
      <c r="M92" s="298"/>
      <c r="N92" s="380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  <c r="Z92" s="273"/>
      <c r="AA92" s="273"/>
      <c r="AB92" s="273"/>
      <c r="AC92" s="273"/>
      <c r="AD92" s="273"/>
      <c r="AE92" s="273"/>
    </row>
    <row r="93" spans="2:31" ht="15">
      <c r="B93" s="378">
        <f t="shared" si="4"/>
        <v>48</v>
      </c>
      <c r="C93" s="386" t="str" cm="1">
        <f t="array" aca="1" ref="C93" ca="1">IF(B93&lt;=$C$9,GetGetCDSName(B93),"")</f>
        <v>ENEL_MMR.EUR.SU</v>
      </c>
      <c r="D93" s="346">
        <v>0</v>
      </c>
      <c r="E93" s="379">
        <v>1</v>
      </c>
      <c r="F93" s="298">
        <v>1</v>
      </c>
      <c r="G93" s="298">
        <v>1</v>
      </c>
      <c r="H93" s="298">
        <v>0</v>
      </c>
      <c r="I93" s="298">
        <v>0</v>
      </c>
      <c r="J93" s="298">
        <v>0</v>
      </c>
      <c r="K93" s="298"/>
      <c r="L93" s="298"/>
      <c r="M93" s="298"/>
      <c r="N93" s="380"/>
      <c r="O93" s="273"/>
      <c r="P93" s="273"/>
      <c r="Q93" s="273"/>
      <c r="R93" s="273"/>
      <c r="S93" s="273"/>
      <c r="T93" s="273"/>
      <c r="U93" s="273"/>
      <c r="V93" s="273"/>
      <c r="W93" s="273"/>
      <c r="X93" s="273"/>
      <c r="Y93" s="273"/>
      <c r="Z93" s="273"/>
      <c r="AA93" s="273"/>
      <c r="AB93" s="273"/>
      <c r="AC93" s="273"/>
      <c r="AD93" s="273"/>
      <c r="AE93" s="273"/>
    </row>
    <row r="94" spans="2:31" ht="15">
      <c r="B94" s="378">
        <f t="shared" si="4"/>
        <v>49</v>
      </c>
      <c r="C94" s="386" t="str" cm="1">
        <f t="array" aca="1" ref="C94" ca="1">IF(B94&lt;=$C$9,GetGetCDSName(B94),"")</f>
        <v>ENERGIEBADENWUERTTEMBERG_MMR.EUR.SU</v>
      </c>
      <c r="D94" s="346">
        <v>0</v>
      </c>
      <c r="E94" s="379">
        <v>0</v>
      </c>
      <c r="F94" s="298">
        <v>1</v>
      </c>
      <c r="G94" s="298">
        <v>0</v>
      </c>
      <c r="H94" s="298">
        <v>0</v>
      </c>
      <c r="I94" s="298">
        <v>0</v>
      </c>
      <c r="J94" s="298">
        <v>1</v>
      </c>
      <c r="K94" s="298"/>
      <c r="L94" s="298"/>
      <c r="M94" s="298"/>
      <c r="N94" s="380"/>
      <c r="O94" s="273"/>
      <c r="P94" s="273"/>
      <c r="Q94" s="273"/>
      <c r="R94" s="273"/>
      <c r="S94" s="273"/>
      <c r="T94" s="273"/>
      <c r="U94" s="273"/>
      <c r="V94" s="273"/>
      <c r="W94" s="273"/>
      <c r="X94" s="273"/>
      <c r="Y94" s="273"/>
      <c r="Z94" s="273"/>
      <c r="AA94" s="273"/>
      <c r="AB94" s="273"/>
      <c r="AC94" s="273"/>
      <c r="AD94" s="273"/>
      <c r="AE94" s="273"/>
    </row>
    <row r="95" spans="2:31" ht="15">
      <c r="B95" s="378">
        <f t="shared" si="4"/>
        <v>50</v>
      </c>
      <c r="C95" s="386" t="str" cm="1">
        <f t="array" aca="1" ref="C95" ca="1">IF(B95&lt;=$C$9,GetGetCDSName(B95),"")</f>
        <v>EON_MMR.EUR.SU</v>
      </c>
      <c r="D95" s="346">
        <v>0</v>
      </c>
      <c r="E95" s="379">
        <v>0</v>
      </c>
      <c r="F95" s="298">
        <v>0</v>
      </c>
      <c r="G95" s="298">
        <v>1</v>
      </c>
      <c r="H95" s="298">
        <v>0</v>
      </c>
      <c r="I95" s="298">
        <v>0</v>
      </c>
      <c r="J95" s="298">
        <v>0</v>
      </c>
      <c r="K95" s="298"/>
      <c r="L95" s="298"/>
      <c r="M95" s="298"/>
      <c r="N95" s="380"/>
      <c r="O95" s="273"/>
      <c r="P95" s="273"/>
      <c r="Q95" s="273"/>
      <c r="R95" s="273"/>
      <c r="S95" s="273"/>
      <c r="T95" s="273"/>
      <c r="U95" s="273"/>
      <c r="V95" s="273"/>
      <c r="W95" s="273"/>
      <c r="X95" s="273"/>
      <c r="Y95" s="273"/>
      <c r="Z95" s="273"/>
      <c r="AA95" s="273"/>
      <c r="AB95" s="273"/>
      <c r="AC95" s="273"/>
      <c r="AD95" s="273"/>
      <c r="AE95" s="273"/>
    </row>
    <row r="96" spans="2:31" ht="15">
      <c r="B96" s="378">
        <f t="shared" si="4"/>
        <v>51</v>
      </c>
      <c r="C96" s="386" t="str" cm="1">
        <f t="array" aca="1" ref="C96" ca="1">IF(B96&lt;=$C$9,GetGetCDSName(B96),"")</f>
        <v>FORTUMOYJ_MMR.EUR.SU</v>
      </c>
      <c r="D96" s="346">
        <v>0</v>
      </c>
      <c r="E96" s="379">
        <v>0</v>
      </c>
      <c r="F96" s="298">
        <v>0</v>
      </c>
      <c r="G96" s="298">
        <v>0</v>
      </c>
      <c r="H96" s="298">
        <v>0</v>
      </c>
      <c r="I96" s="298">
        <v>1</v>
      </c>
      <c r="J96" s="298">
        <v>0</v>
      </c>
      <c r="K96" s="298"/>
      <c r="L96" s="298"/>
      <c r="M96" s="298"/>
      <c r="N96" s="380"/>
      <c r="O96" s="273"/>
      <c r="P96" s="273"/>
      <c r="Q96" s="273"/>
      <c r="R96" s="273"/>
      <c r="S96" s="273"/>
      <c r="T96" s="273"/>
      <c r="U96" s="273"/>
      <c r="V96" s="273"/>
      <c r="W96" s="273"/>
      <c r="X96" s="273"/>
      <c r="Y96" s="273"/>
      <c r="Z96" s="273"/>
      <c r="AA96" s="273"/>
      <c r="AB96" s="273"/>
      <c r="AC96" s="273"/>
      <c r="AD96" s="273"/>
      <c r="AE96" s="273"/>
    </row>
    <row r="97" spans="2:31" ht="15">
      <c r="B97" s="378">
        <f t="shared" si="4"/>
        <v>52</v>
      </c>
      <c r="C97" s="386" t="str" cm="1">
        <f t="array" aca="1" ref="C97" ca="1">IF(B97&lt;=$C$9,GetGetCDSName(B97),"")</f>
        <v>FRANCETELECOM_MMR.EUR.SU</v>
      </c>
      <c r="D97" s="346">
        <v>0</v>
      </c>
      <c r="E97" s="379">
        <v>1</v>
      </c>
      <c r="F97" s="298">
        <v>0</v>
      </c>
      <c r="G97" s="298">
        <v>0</v>
      </c>
      <c r="H97" s="298">
        <v>1</v>
      </c>
      <c r="I97" s="298">
        <v>0</v>
      </c>
      <c r="J97" s="298">
        <v>1</v>
      </c>
      <c r="K97" s="298"/>
      <c r="L97" s="298"/>
      <c r="M97" s="298"/>
      <c r="N97" s="380"/>
      <c r="O97" s="273"/>
      <c r="P97" s="273"/>
      <c r="Q97" s="273"/>
      <c r="R97" s="273"/>
      <c r="S97" s="273"/>
      <c r="T97" s="273"/>
      <c r="U97" s="273"/>
      <c r="V97" s="273"/>
      <c r="W97" s="273"/>
      <c r="X97" s="273"/>
      <c r="Y97" s="273"/>
      <c r="Z97" s="273"/>
      <c r="AA97" s="273"/>
      <c r="AB97" s="273"/>
      <c r="AC97" s="273"/>
      <c r="AD97" s="273"/>
      <c r="AE97" s="273"/>
    </row>
    <row r="98" spans="2:31" ht="15">
      <c r="B98" s="378">
        <f t="shared" si="4"/>
        <v>53</v>
      </c>
      <c r="C98" s="386" t="str" cm="1">
        <f t="array" aca="1" ref="C98" ca="1">IF(B98&lt;=$C$9,GetGetCDSName(B98),"")</f>
        <v>GALLAHERGROUPPLC_MMR.EUR.SU</v>
      </c>
      <c r="D98" s="346">
        <v>0</v>
      </c>
      <c r="E98" s="379">
        <v>0</v>
      </c>
      <c r="F98" s="298">
        <v>0</v>
      </c>
      <c r="G98" s="298">
        <v>0</v>
      </c>
      <c r="H98" s="298">
        <v>1</v>
      </c>
      <c r="I98" s="298">
        <v>1</v>
      </c>
      <c r="J98" s="298">
        <v>1</v>
      </c>
      <c r="K98" s="298"/>
      <c r="L98" s="298"/>
      <c r="M98" s="298"/>
      <c r="N98" s="380"/>
      <c r="O98" s="273"/>
      <c r="P98" s="273"/>
      <c r="Q98" s="273"/>
      <c r="R98" s="273"/>
      <c r="S98" s="273"/>
      <c r="T98" s="273"/>
      <c r="U98" s="273"/>
      <c r="V98" s="273"/>
      <c r="W98" s="273"/>
      <c r="X98" s="273"/>
      <c r="Y98" s="273"/>
      <c r="Z98" s="273"/>
      <c r="AA98" s="273"/>
      <c r="AB98" s="273"/>
      <c r="AC98" s="273"/>
      <c r="AD98" s="273"/>
      <c r="AE98" s="273"/>
    </row>
    <row r="99" spans="2:31" ht="15">
      <c r="B99" s="378">
        <f t="shared" si="4"/>
        <v>54</v>
      </c>
      <c r="C99" s="386" t="str" cm="1">
        <f t="array" aca="1" ref="C99" ca="1">IF(B99&lt;=$C$9,GetGetCDSName(B99),"")</f>
        <v>GASNATURALSDGSA_MMR.EUR.SU</v>
      </c>
      <c r="D99" s="346">
        <v>0</v>
      </c>
      <c r="E99" s="379">
        <v>1</v>
      </c>
      <c r="F99" s="298">
        <v>0</v>
      </c>
      <c r="G99" s="298">
        <v>0</v>
      </c>
      <c r="H99" s="298">
        <v>1</v>
      </c>
      <c r="I99" s="298">
        <v>0</v>
      </c>
      <c r="J99" s="298">
        <v>0</v>
      </c>
      <c r="K99" s="298"/>
      <c r="L99" s="298"/>
      <c r="M99" s="298"/>
      <c r="N99" s="380"/>
      <c r="O99" s="273"/>
      <c r="P99" s="273"/>
      <c r="Q99" s="273"/>
      <c r="R99" s="273"/>
      <c r="S99" s="273"/>
      <c r="T99" s="273"/>
      <c r="U99" s="273"/>
      <c r="V99" s="273"/>
      <c r="W99" s="273"/>
      <c r="X99" s="273"/>
      <c r="Y99" s="273"/>
      <c r="Z99" s="273"/>
      <c r="AA99" s="273"/>
      <c r="AB99" s="273"/>
      <c r="AC99" s="273"/>
      <c r="AD99" s="273"/>
      <c r="AE99" s="273"/>
    </row>
    <row r="100" spans="2:31" ht="15">
      <c r="B100" s="378">
        <f t="shared" si="4"/>
        <v>55</v>
      </c>
      <c r="C100" s="386" t="str" cm="1">
        <f t="array" aca="1" ref="C100" ca="1">IF(B100&lt;=$C$9,GetGetCDSName(B100),"")</f>
        <v>GAZDEFRANCE_MMR.EUR.SU</v>
      </c>
      <c r="D100" s="346">
        <v>0</v>
      </c>
      <c r="E100" s="379">
        <v>0</v>
      </c>
      <c r="F100" s="298">
        <v>0</v>
      </c>
      <c r="G100" s="298">
        <v>0</v>
      </c>
      <c r="H100" s="298">
        <v>0</v>
      </c>
      <c r="I100" s="298">
        <v>1</v>
      </c>
      <c r="J100" s="298">
        <v>0</v>
      </c>
      <c r="K100" s="298"/>
      <c r="L100" s="298"/>
      <c r="M100" s="298"/>
      <c r="N100" s="380"/>
      <c r="O100" s="273"/>
      <c r="P100" s="273"/>
      <c r="Q100" s="273"/>
      <c r="R100" s="273"/>
      <c r="S100" s="273"/>
      <c r="T100" s="273"/>
      <c r="U100" s="273"/>
      <c r="V100" s="273"/>
      <c r="W100" s="273"/>
      <c r="X100" s="273"/>
      <c r="Y100" s="273"/>
      <c r="Z100" s="273"/>
      <c r="AA100" s="273"/>
      <c r="AB100" s="273"/>
      <c r="AC100" s="273"/>
      <c r="AD100" s="273"/>
      <c r="AE100" s="273"/>
    </row>
    <row r="101" spans="2:31" ht="15">
      <c r="B101" s="378">
        <f t="shared" si="4"/>
        <v>56</v>
      </c>
      <c r="C101" s="386" t="str" cm="1">
        <f t="array" aca="1" ref="C101" ca="1">IF(B101&lt;=$C$9,GetGetCDSName(B101),"")</f>
        <v>GENERALI_MMR.EUR.SU</v>
      </c>
      <c r="D101" s="346">
        <v>0</v>
      </c>
      <c r="E101" s="379">
        <v>0</v>
      </c>
      <c r="F101" s="298">
        <v>0</v>
      </c>
      <c r="G101" s="298">
        <v>0</v>
      </c>
      <c r="H101" s="298">
        <v>1</v>
      </c>
      <c r="I101" s="298">
        <v>0</v>
      </c>
      <c r="J101" s="298">
        <v>0</v>
      </c>
      <c r="K101" s="298"/>
      <c r="L101" s="298"/>
      <c r="M101" s="298"/>
      <c r="N101" s="380"/>
      <c r="O101" s="273"/>
      <c r="P101" s="273"/>
      <c r="Q101" s="273"/>
      <c r="R101" s="273"/>
      <c r="S101" s="273"/>
      <c r="T101" s="273"/>
      <c r="U101" s="273"/>
      <c r="V101" s="273"/>
      <c r="W101" s="273"/>
      <c r="X101" s="273"/>
      <c r="Y101" s="273"/>
      <c r="Z101" s="273"/>
      <c r="AA101" s="273"/>
      <c r="AB101" s="273"/>
      <c r="AC101" s="273"/>
      <c r="AD101" s="273"/>
      <c r="AE101" s="273"/>
    </row>
    <row r="102" spans="2:31" ht="15">
      <c r="B102" s="378">
        <f t="shared" si="4"/>
        <v>57</v>
      </c>
      <c r="C102" s="386" t="str" cm="1">
        <f t="array" aca="1" ref="C102" ca="1">IF(B102&lt;=$C$9,GetGetCDSName(B102),"")</f>
        <v>GKN HOLDINGS  PLC_MMR.EUR.SU</v>
      </c>
      <c r="D102" s="346">
        <v>0</v>
      </c>
      <c r="E102" s="379">
        <v>0</v>
      </c>
      <c r="F102" s="298">
        <v>0</v>
      </c>
      <c r="G102" s="298">
        <v>0</v>
      </c>
      <c r="H102" s="298">
        <v>0</v>
      </c>
      <c r="I102" s="298">
        <v>0</v>
      </c>
      <c r="J102" s="298">
        <v>1</v>
      </c>
      <c r="K102" s="298"/>
      <c r="L102" s="298"/>
      <c r="M102" s="298"/>
      <c r="N102" s="380"/>
      <c r="O102" s="273"/>
      <c r="P102" s="273"/>
      <c r="Q102" s="273"/>
      <c r="R102" s="273"/>
      <c r="S102" s="273"/>
      <c r="T102" s="273"/>
      <c r="U102" s="273"/>
      <c r="V102" s="273"/>
      <c r="W102" s="273"/>
      <c r="X102" s="273"/>
      <c r="Y102" s="273"/>
      <c r="Z102" s="273"/>
      <c r="AA102" s="273"/>
      <c r="AB102" s="273"/>
      <c r="AC102" s="273"/>
      <c r="AD102" s="273"/>
      <c r="AE102" s="273"/>
    </row>
    <row r="103" spans="2:31" ht="15">
      <c r="B103" s="378">
        <f t="shared" si="4"/>
        <v>58</v>
      </c>
      <c r="C103" s="386" t="str" cm="1">
        <f t="array" aca="1" ref="C103" ca="1">IF(B103&lt;=$C$9,GetGetCDSName(B103),"")</f>
        <v>GLENCOREINTAG_MMR.EUR.SU</v>
      </c>
      <c r="D103" s="346">
        <v>0</v>
      </c>
      <c r="E103" s="379">
        <v>0</v>
      </c>
      <c r="F103" s="298">
        <v>0</v>
      </c>
      <c r="G103" s="298">
        <v>0</v>
      </c>
      <c r="H103" s="298">
        <v>1</v>
      </c>
      <c r="I103" s="298">
        <v>0</v>
      </c>
      <c r="J103" s="298">
        <v>0</v>
      </c>
      <c r="K103" s="298"/>
      <c r="L103" s="298"/>
      <c r="M103" s="298"/>
      <c r="N103" s="380"/>
      <c r="O103" s="273"/>
      <c r="P103" s="273"/>
      <c r="Q103" s="273"/>
      <c r="R103" s="273"/>
      <c r="S103" s="273"/>
      <c r="T103" s="273"/>
      <c r="U103" s="273"/>
      <c r="V103" s="273"/>
      <c r="W103" s="273"/>
      <c r="X103" s="273"/>
      <c r="Y103" s="273"/>
      <c r="Z103" s="273"/>
      <c r="AA103" s="273"/>
      <c r="AB103" s="273"/>
      <c r="AC103" s="273"/>
      <c r="AD103" s="273"/>
      <c r="AE103" s="273"/>
    </row>
    <row r="104" spans="2:31" ht="15">
      <c r="B104" s="378">
        <f t="shared" si="4"/>
        <v>59</v>
      </c>
      <c r="C104" s="386" t="str" cm="1">
        <f t="array" aca="1" ref="C104" ca="1">IF(B104&lt;=$C$9,GetGetCDSName(B104),"")</f>
        <v>GREATUNIVERSALSTORES_MMR.EUR.SU</v>
      </c>
      <c r="D104" s="346">
        <v>0</v>
      </c>
      <c r="E104" s="379">
        <v>0</v>
      </c>
      <c r="F104" s="298">
        <v>1</v>
      </c>
      <c r="G104" s="298">
        <v>1</v>
      </c>
      <c r="H104" s="298">
        <v>0</v>
      </c>
      <c r="I104" s="298">
        <v>1</v>
      </c>
      <c r="J104" s="298">
        <v>0</v>
      </c>
      <c r="K104" s="298"/>
      <c r="L104" s="298"/>
      <c r="M104" s="298"/>
      <c r="N104" s="380"/>
      <c r="O104" s="273"/>
      <c r="P104" s="273"/>
      <c r="Q104" s="273"/>
      <c r="R104" s="273"/>
      <c r="S104" s="273"/>
      <c r="T104" s="273"/>
      <c r="U104" s="273"/>
      <c r="V104" s="273"/>
      <c r="W104" s="273"/>
      <c r="X104" s="273"/>
      <c r="Y104" s="273"/>
      <c r="Z104" s="273"/>
      <c r="AA104" s="273"/>
      <c r="AB104" s="273"/>
      <c r="AC104" s="273"/>
      <c r="AD104" s="273"/>
      <c r="AE104" s="273"/>
    </row>
    <row r="105" spans="2:31" ht="15">
      <c r="B105" s="378">
        <f t="shared" si="4"/>
        <v>60</v>
      </c>
      <c r="C105" s="386" t="str" cm="1">
        <f t="array" aca="1" ref="C105" ca="1">IF(B105&lt;=$C$9,GetGetCDSName(B105),"")</f>
        <v>HANNOVERRUECK_MMR.EUR.SU</v>
      </c>
      <c r="D105" s="346">
        <v>0</v>
      </c>
      <c r="E105" s="379">
        <v>0</v>
      </c>
      <c r="F105" s="298">
        <v>1</v>
      </c>
      <c r="G105" s="298">
        <v>0</v>
      </c>
      <c r="H105" s="298">
        <v>0</v>
      </c>
      <c r="I105" s="298">
        <v>0</v>
      </c>
      <c r="J105" s="298">
        <v>1</v>
      </c>
      <c r="K105" s="298"/>
      <c r="L105" s="298"/>
      <c r="M105" s="298"/>
      <c r="N105" s="380"/>
      <c r="O105" s="273"/>
      <c r="P105" s="273"/>
      <c r="Q105" s="273"/>
      <c r="R105" s="273"/>
      <c r="S105" s="273"/>
      <c r="T105" s="273"/>
      <c r="U105" s="273"/>
      <c r="V105" s="273"/>
      <c r="W105" s="273"/>
      <c r="X105" s="273"/>
      <c r="Y105" s="273"/>
      <c r="Z105" s="273"/>
      <c r="AA105" s="273"/>
      <c r="AB105" s="273"/>
      <c r="AC105" s="273"/>
      <c r="AD105" s="273"/>
      <c r="AE105" s="273"/>
    </row>
    <row r="106" spans="2:31" ht="15">
      <c r="B106" s="378">
        <f t="shared" si="4"/>
        <v>61</v>
      </c>
      <c r="C106" s="386" t="str" cm="1">
        <f t="array" aca="1" ref="C106" ca="1">IF(B106&lt;=$C$9,GetGetCDSName(B106),"")</f>
        <v>HELLENIC TELCOM_MMR.EUR.SU</v>
      </c>
      <c r="D106" s="346">
        <v>0</v>
      </c>
      <c r="E106" s="379">
        <v>0</v>
      </c>
      <c r="F106" s="298">
        <v>1</v>
      </c>
      <c r="G106" s="298">
        <v>0</v>
      </c>
      <c r="H106" s="298">
        <v>1</v>
      </c>
      <c r="I106" s="298">
        <v>0</v>
      </c>
      <c r="J106" s="298">
        <v>0</v>
      </c>
      <c r="K106" s="298"/>
      <c r="L106" s="298"/>
      <c r="M106" s="298"/>
      <c r="N106" s="380"/>
      <c r="O106" s="273"/>
      <c r="P106" s="273"/>
      <c r="Q106" s="273"/>
      <c r="R106" s="273"/>
      <c r="S106" s="273"/>
      <c r="T106" s="273"/>
      <c r="U106" s="273"/>
      <c r="V106" s="273"/>
      <c r="W106" s="273"/>
      <c r="X106" s="273"/>
      <c r="Y106" s="273"/>
      <c r="Z106" s="273"/>
      <c r="AA106" s="273"/>
      <c r="AB106" s="273"/>
      <c r="AC106" s="273"/>
      <c r="AD106" s="273"/>
      <c r="AE106" s="273"/>
    </row>
    <row r="107" spans="2:31" ht="15">
      <c r="B107" s="378">
        <f t="shared" si="4"/>
        <v>62</v>
      </c>
      <c r="C107" s="386" t="str" cm="1">
        <f t="array" aca="1" ref="C107" ca="1">IF(B107&lt;=$C$9,GetGetCDSName(B107),"")</f>
        <v>HENKELKG_MMR.EUR.SU</v>
      </c>
      <c r="D107" s="346">
        <v>0</v>
      </c>
      <c r="E107" s="379">
        <v>1</v>
      </c>
      <c r="F107" s="298">
        <v>0</v>
      </c>
      <c r="G107" s="298">
        <v>0</v>
      </c>
      <c r="H107" s="298">
        <v>0</v>
      </c>
      <c r="I107" s="298">
        <v>0</v>
      </c>
      <c r="J107" s="298">
        <v>1</v>
      </c>
      <c r="K107" s="298"/>
      <c r="L107" s="298"/>
      <c r="M107" s="298"/>
      <c r="N107" s="380"/>
      <c r="O107" s="273"/>
      <c r="P107" s="273"/>
      <c r="Q107" s="273"/>
      <c r="R107" s="273"/>
      <c r="S107" s="273"/>
      <c r="T107" s="273"/>
      <c r="U107" s="273"/>
      <c r="V107" s="273"/>
      <c r="W107" s="273"/>
      <c r="X107" s="273"/>
      <c r="Y107" s="273"/>
      <c r="Z107" s="273"/>
      <c r="AA107" s="273"/>
      <c r="AB107" s="273"/>
      <c r="AC107" s="273"/>
      <c r="AD107" s="273"/>
      <c r="AE107" s="273"/>
    </row>
    <row r="108" spans="2:31" ht="15">
      <c r="B108" s="378">
        <f t="shared" si="4"/>
        <v>63</v>
      </c>
      <c r="C108" s="386" t="str" cm="1">
        <f t="array" aca="1" ref="C108" ca="1">IF(B108&lt;=$C$9,GetGetCDSName(B108),"")</f>
        <v>IBERDROLA_MMR.EUR.SU</v>
      </c>
      <c r="D108" s="346">
        <v>0</v>
      </c>
      <c r="E108" s="379">
        <v>1</v>
      </c>
      <c r="F108" s="298">
        <v>1</v>
      </c>
      <c r="G108" s="298">
        <v>0</v>
      </c>
      <c r="H108" s="298">
        <v>1</v>
      </c>
      <c r="I108" s="298">
        <v>0</v>
      </c>
      <c r="J108" s="298">
        <v>0</v>
      </c>
      <c r="K108" s="298"/>
      <c r="L108" s="298"/>
      <c r="M108" s="298"/>
      <c r="N108" s="380"/>
      <c r="O108" s="273"/>
      <c r="P108" s="273"/>
      <c r="Q108" s="273"/>
      <c r="R108" s="273"/>
      <c r="S108" s="273"/>
      <c r="T108" s="273"/>
      <c r="U108" s="273"/>
      <c r="V108" s="273"/>
      <c r="W108" s="273"/>
      <c r="X108" s="273"/>
      <c r="Y108" s="273"/>
      <c r="Z108" s="273"/>
      <c r="AA108" s="273"/>
      <c r="AB108" s="273"/>
      <c r="AC108" s="273"/>
      <c r="AD108" s="273"/>
      <c r="AE108" s="273"/>
    </row>
    <row r="109" spans="2:31" ht="15">
      <c r="B109" s="378">
        <f t="shared" si="4"/>
        <v>64</v>
      </c>
      <c r="C109" s="386" t="str" cm="1">
        <f t="array" aca="1" ref="C109" ca="1">IF(B109&lt;=$C$9,GetGetCDSName(B109),"")</f>
        <v>ICI_MMR.EUR.SU</v>
      </c>
      <c r="D109" s="346">
        <v>0</v>
      </c>
      <c r="E109" s="379">
        <v>1</v>
      </c>
      <c r="F109" s="298">
        <v>0</v>
      </c>
      <c r="G109" s="298">
        <v>0</v>
      </c>
      <c r="H109" s="298">
        <v>1</v>
      </c>
      <c r="I109" s="298">
        <v>0</v>
      </c>
      <c r="J109" s="298">
        <v>1</v>
      </c>
      <c r="K109" s="298"/>
      <c r="L109" s="298"/>
      <c r="M109" s="298"/>
      <c r="N109" s="380"/>
      <c r="O109" s="273"/>
      <c r="P109" s="273"/>
      <c r="Q109" s="273"/>
      <c r="R109" s="273"/>
      <c r="S109" s="273"/>
      <c r="T109" s="273"/>
      <c r="U109" s="273"/>
      <c r="V109" s="273"/>
      <c r="W109" s="273"/>
      <c r="X109" s="273"/>
      <c r="Y109" s="273"/>
      <c r="Z109" s="273"/>
      <c r="AA109" s="273"/>
      <c r="AB109" s="273"/>
      <c r="AC109" s="273"/>
      <c r="AD109" s="273"/>
      <c r="AE109" s="273"/>
    </row>
    <row r="110" spans="2:31" ht="15">
      <c r="B110" s="378">
        <f t="shared" si="4"/>
        <v>65</v>
      </c>
      <c r="C110" s="386" t="str" cm="1">
        <f t="array" aca="1" ref="C110" ca="1">IF(B110&lt;=$C$9,GetGetCDSName(B110),"")</f>
        <v>INTESA_MMR.EUR.SU</v>
      </c>
      <c r="D110" s="346">
        <v>0</v>
      </c>
      <c r="E110" s="379">
        <v>0</v>
      </c>
      <c r="F110" s="298">
        <v>1</v>
      </c>
      <c r="G110" s="298">
        <v>1</v>
      </c>
      <c r="H110" s="298">
        <v>0</v>
      </c>
      <c r="I110" s="298">
        <v>1</v>
      </c>
      <c r="J110" s="298">
        <v>0</v>
      </c>
      <c r="K110" s="298"/>
      <c r="L110" s="298"/>
      <c r="M110" s="298"/>
      <c r="N110" s="380"/>
      <c r="O110" s="273"/>
      <c r="P110" s="273"/>
      <c r="Q110" s="273"/>
      <c r="R110" s="273"/>
      <c r="S110" s="273"/>
      <c r="T110" s="273"/>
      <c r="U110" s="273"/>
      <c r="V110" s="273"/>
      <c r="W110" s="273"/>
      <c r="X110" s="273"/>
      <c r="Y110" s="273"/>
      <c r="Z110" s="273"/>
      <c r="AA110" s="273"/>
      <c r="AB110" s="273"/>
      <c r="AC110" s="273"/>
      <c r="AD110" s="273"/>
      <c r="AE110" s="273"/>
    </row>
    <row r="111" spans="2:31" ht="15">
      <c r="B111" s="378">
        <f t="shared" ref="B111:B174" si="5">B110+1</f>
        <v>66</v>
      </c>
      <c r="C111" s="386" t="str" cm="1">
        <f t="array" aca="1" ref="C111" ca="1">IF(B111&lt;=$C$9,GetGetCDSName(B111),"")</f>
        <v>KINGFISHER_MMR.EUR.SU</v>
      </c>
      <c r="D111" s="346">
        <v>0</v>
      </c>
      <c r="E111" s="379">
        <v>1</v>
      </c>
      <c r="F111" s="298">
        <v>0</v>
      </c>
      <c r="G111" s="298">
        <v>1</v>
      </c>
      <c r="H111" s="298">
        <v>0</v>
      </c>
      <c r="I111" s="298">
        <v>1</v>
      </c>
      <c r="J111" s="298">
        <v>0</v>
      </c>
      <c r="K111" s="298"/>
      <c r="L111" s="298"/>
      <c r="M111" s="298"/>
      <c r="N111" s="380"/>
      <c r="O111" s="273"/>
      <c r="P111" s="273"/>
      <c r="Q111" s="273"/>
      <c r="R111" s="273"/>
      <c r="S111" s="273"/>
      <c r="T111" s="273"/>
      <c r="U111" s="273"/>
      <c r="V111" s="273"/>
      <c r="W111" s="273"/>
      <c r="X111" s="273"/>
      <c r="Y111" s="273"/>
      <c r="Z111" s="273"/>
      <c r="AA111" s="273"/>
      <c r="AB111" s="273"/>
      <c r="AC111" s="273"/>
      <c r="AD111" s="273"/>
      <c r="AE111" s="273"/>
    </row>
    <row r="112" spans="2:31" ht="15">
      <c r="B112" s="378">
        <f t="shared" si="5"/>
        <v>67</v>
      </c>
      <c r="C112" s="386" t="str" cm="1">
        <f t="array" aca="1" ref="C112" ca="1">IF(B112&lt;=$C$9,GetGetCDSName(B112),"")</f>
        <v>KPN_MMR.EUR.SU</v>
      </c>
      <c r="D112" s="346">
        <v>0</v>
      </c>
      <c r="E112" s="379">
        <v>1</v>
      </c>
      <c r="F112" s="298">
        <v>0</v>
      </c>
      <c r="G112" s="298">
        <v>0</v>
      </c>
      <c r="H112" s="298">
        <v>1</v>
      </c>
      <c r="I112" s="298">
        <v>0</v>
      </c>
      <c r="J112" s="298">
        <v>1</v>
      </c>
      <c r="K112" s="298"/>
      <c r="L112" s="298"/>
      <c r="M112" s="298"/>
      <c r="N112" s="380"/>
      <c r="O112" s="273"/>
      <c r="P112" s="273"/>
      <c r="Q112" s="273"/>
      <c r="R112" s="273"/>
      <c r="S112" s="273"/>
      <c r="T112" s="273"/>
      <c r="U112" s="273"/>
      <c r="V112" s="273"/>
      <c r="W112" s="273"/>
      <c r="X112" s="273"/>
      <c r="Y112" s="273"/>
      <c r="Z112" s="273"/>
      <c r="AA112" s="273"/>
      <c r="AB112" s="273"/>
      <c r="AC112" s="273"/>
      <c r="AD112" s="273"/>
      <c r="AE112" s="273"/>
    </row>
    <row r="113" spans="2:31" ht="15">
      <c r="B113" s="378">
        <f t="shared" si="5"/>
        <v>68</v>
      </c>
      <c r="C113" s="386" t="str" cm="1">
        <f t="array" aca="1" ref="C113" ca="1">IF(B113&lt;=$C$9,GetGetCDSName(B113),"")</f>
        <v>LAFARGE_MMR.EUR.SU</v>
      </c>
      <c r="D113" s="346">
        <v>0</v>
      </c>
      <c r="E113" s="379">
        <v>0</v>
      </c>
      <c r="F113" s="298">
        <v>1</v>
      </c>
      <c r="G113" s="298">
        <v>0</v>
      </c>
      <c r="H113" s="298">
        <v>1</v>
      </c>
      <c r="I113" s="298">
        <v>0</v>
      </c>
      <c r="J113" s="298">
        <v>1</v>
      </c>
      <c r="K113" s="298"/>
      <c r="L113" s="298"/>
      <c r="M113" s="298"/>
      <c r="N113" s="380"/>
      <c r="O113" s="273"/>
      <c r="P113" s="273"/>
      <c r="Q113" s="273"/>
      <c r="R113" s="273"/>
      <c r="S113" s="273"/>
      <c r="T113" s="273"/>
      <c r="U113" s="273"/>
      <c r="V113" s="273"/>
      <c r="W113" s="273"/>
      <c r="X113" s="273"/>
      <c r="Y113" s="273"/>
      <c r="Z113" s="273"/>
      <c r="AA113" s="273"/>
      <c r="AB113" s="273"/>
      <c r="AC113" s="273"/>
      <c r="AD113" s="273"/>
      <c r="AE113" s="273"/>
    </row>
    <row r="114" spans="2:31" ht="15">
      <c r="B114" s="378">
        <f t="shared" si="5"/>
        <v>69</v>
      </c>
      <c r="C114" s="386" t="str" cm="1">
        <f t="array" aca="1" ref="C114" ca="1">IF(B114&lt;=$C$9,GetGetCDSName(B114),"")</f>
        <v>LINDE_MMR.EUR.SU</v>
      </c>
      <c r="D114" s="346">
        <v>0</v>
      </c>
      <c r="E114" s="379">
        <v>0</v>
      </c>
      <c r="F114" s="298">
        <v>0</v>
      </c>
      <c r="G114" s="298">
        <v>1</v>
      </c>
      <c r="H114" s="298">
        <v>0</v>
      </c>
      <c r="I114" s="298">
        <v>1</v>
      </c>
      <c r="J114" s="298">
        <v>1</v>
      </c>
      <c r="K114" s="298"/>
      <c r="L114" s="298"/>
      <c r="M114" s="298"/>
      <c r="N114" s="380"/>
      <c r="O114" s="273"/>
      <c r="P114" s="273"/>
      <c r="Q114" s="273"/>
      <c r="R114" s="273"/>
      <c r="S114" s="273"/>
      <c r="T114" s="273"/>
      <c r="U114" s="273"/>
      <c r="V114" s="273"/>
      <c r="W114" s="273"/>
      <c r="X114" s="273"/>
      <c r="Y114" s="273"/>
      <c r="Z114" s="273"/>
      <c r="AA114" s="273"/>
      <c r="AB114" s="273"/>
      <c r="AC114" s="273"/>
      <c r="AD114" s="273"/>
      <c r="AE114" s="273"/>
    </row>
    <row r="115" spans="2:31" ht="15">
      <c r="B115" s="378">
        <f t="shared" si="5"/>
        <v>70</v>
      </c>
      <c r="C115" s="386" t="str" cm="1">
        <f t="array" aca="1" ref="C115" ca="1">IF(B115&lt;=$C$9,GetGetCDSName(B115),"")</f>
        <v>LUFTHANSA_MMR.EUR.SU</v>
      </c>
      <c r="D115" s="346">
        <v>0</v>
      </c>
      <c r="E115" s="379">
        <v>1</v>
      </c>
      <c r="F115" s="298">
        <v>0</v>
      </c>
      <c r="G115" s="298">
        <v>0</v>
      </c>
      <c r="H115" s="298">
        <v>0</v>
      </c>
      <c r="I115" s="298">
        <v>1</v>
      </c>
      <c r="J115" s="298">
        <v>1</v>
      </c>
      <c r="K115" s="298"/>
      <c r="L115" s="298"/>
      <c r="M115" s="298"/>
      <c r="N115" s="380"/>
      <c r="O115" s="273"/>
      <c r="P115" s="273"/>
      <c r="Q115" s="273"/>
      <c r="R115" s="273"/>
      <c r="S115" s="273"/>
      <c r="T115" s="273"/>
      <c r="U115" s="273"/>
      <c r="V115" s="273"/>
      <c r="W115" s="273"/>
      <c r="X115" s="273"/>
      <c r="Y115" s="273"/>
      <c r="Z115" s="273"/>
      <c r="AA115" s="273"/>
      <c r="AB115" s="273"/>
      <c r="AC115" s="273"/>
      <c r="AD115" s="273"/>
      <c r="AE115" s="273"/>
    </row>
    <row r="116" spans="2:31" ht="15">
      <c r="B116" s="378">
        <f t="shared" si="5"/>
        <v>71</v>
      </c>
      <c r="C116" s="386" t="str" cm="1">
        <f t="array" aca="1" ref="C116" ca="1">IF(B116&lt;=$C$9,GetGetCDSName(B116),"")</f>
        <v>LVMH_MMR.EUR.SU</v>
      </c>
      <c r="D116" s="346">
        <v>0</v>
      </c>
      <c r="E116" s="379">
        <v>1</v>
      </c>
      <c r="F116" s="298">
        <v>1</v>
      </c>
      <c r="G116" s="298">
        <v>0</v>
      </c>
      <c r="H116" s="298">
        <v>0</v>
      </c>
      <c r="I116" s="298">
        <v>0</v>
      </c>
      <c r="J116" s="298">
        <v>1</v>
      </c>
      <c r="K116" s="298"/>
      <c r="L116" s="298"/>
      <c r="M116" s="298"/>
      <c r="N116" s="380"/>
      <c r="O116" s="273"/>
      <c r="P116" s="273"/>
      <c r="Q116" s="273"/>
      <c r="R116" s="273"/>
      <c r="S116" s="273"/>
      <c r="T116" s="273"/>
      <c r="U116" s="273"/>
      <c r="V116" s="273"/>
      <c r="W116" s="273"/>
      <c r="X116" s="273"/>
      <c r="Y116" s="273"/>
      <c r="Z116" s="273"/>
      <c r="AA116" s="273"/>
      <c r="AB116" s="273"/>
      <c r="AC116" s="273"/>
      <c r="AD116" s="273"/>
      <c r="AE116" s="273"/>
    </row>
    <row r="117" spans="2:31" ht="15">
      <c r="B117" s="378">
        <f t="shared" si="5"/>
        <v>72</v>
      </c>
      <c r="C117" s="386" t="str" cm="1">
        <f t="array" aca="1" ref="C117" ca="1">IF(B117&lt;=$C$9,GetGetCDSName(B117),"")</f>
        <v>MARKSANDSPENCERPLC_MMR.EUR.SU</v>
      </c>
      <c r="D117" s="346">
        <v>0</v>
      </c>
      <c r="E117" s="379">
        <v>1</v>
      </c>
      <c r="F117" s="298">
        <v>1</v>
      </c>
      <c r="G117" s="298">
        <v>0</v>
      </c>
      <c r="H117" s="298">
        <v>0</v>
      </c>
      <c r="I117" s="298">
        <v>0</v>
      </c>
      <c r="J117" s="298">
        <v>0</v>
      </c>
      <c r="K117" s="298"/>
      <c r="L117" s="298"/>
      <c r="M117" s="298"/>
      <c r="N117" s="380"/>
      <c r="O117" s="273"/>
      <c r="P117" s="273"/>
      <c r="Q117" s="273"/>
      <c r="R117" s="273"/>
      <c r="S117" s="273"/>
      <c r="T117" s="273"/>
      <c r="U117" s="273"/>
      <c r="V117" s="273"/>
      <c r="W117" s="273"/>
      <c r="X117" s="273"/>
      <c r="Y117" s="273"/>
      <c r="Z117" s="273"/>
      <c r="AA117" s="273"/>
      <c r="AB117" s="273"/>
      <c r="AC117" s="273"/>
      <c r="AD117" s="273"/>
      <c r="AE117" s="273"/>
    </row>
    <row r="118" spans="2:31" ht="15">
      <c r="B118" s="378">
        <f t="shared" si="5"/>
        <v>73</v>
      </c>
      <c r="C118" s="386" t="str" cm="1">
        <f t="array" aca="1" ref="C118" ca="1">IF(B118&lt;=$C$9,GetGetCDSName(B118),"")</f>
        <v>METRO_MMR.EUR.SU</v>
      </c>
      <c r="D118" s="346">
        <v>0</v>
      </c>
      <c r="E118" s="379">
        <v>0</v>
      </c>
      <c r="F118" s="298">
        <v>1</v>
      </c>
      <c r="G118" s="298">
        <v>0</v>
      </c>
      <c r="H118" s="298">
        <v>1</v>
      </c>
      <c r="I118" s="298">
        <v>0</v>
      </c>
      <c r="J118" s="298">
        <v>1</v>
      </c>
      <c r="K118" s="298"/>
      <c r="L118" s="298"/>
      <c r="M118" s="298"/>
      <c r="N118" s="380"/>
      <c r="O118" s="273"/>
      <c r="P118" s="273"/>
      <c r="Q118" s="273"/>
      <c r="R118" s="273"/>
      <c r="S118" s="273"/>
      <c r="T118" s="273"/>
      <c r="U118" s="273"/>
      <c r="V118" s="273"/>
      <c r="W118" s="273"/>
      <c r="X118" s="273"/>
      <c r="Y118" s="273"/>
      <c r="Z118" s="273"/>
      <c r="AA118" s="273"/>
      <c r="AB118" s="273"/>
      <c r="AC118" s="273"/>
      <c r="AD118" s="273"/>
      <c r="AE118" s="273"/>
    </row>
    <row r="119" spans="2:31" ht="15">
      <c r="B119" s="378">
        <f t="shared" si="5"/>
        <v>74</v>
      </c>
      <c r="C119" s="386" t="str" cm="1">
        <f t="array" aca="1" ref="C119" ca="1">IF(B119&lt;=$C$9,GetGetCDSName(B119),"")</f>
        <v>MICHELIN_MMR.EUR.SU</v>
      </c>
      <c r="D119" s="346">
        <v>0</v>
      </c>
      <c r="E119" s="379">
        <v>1</v>
      </c>
      <c r="F119" s="298">
        <v>1</v>
      </c>
      <c r="G119" s="298">
        <v>0</v>
      </c>
      <c r="H119" s="298">
        <v>1</v>
      </c>
      <c r="I119" s="298">
        <v>0</v>
      </c>
      <c r="J119" s="298">
        <v>0</v>
      </c>
      <c r="K119" s="298"/>
      <c r="L119" s="298"/>
      <c r="M119" s="298"/>
      <c r="N119" s="380"/>
      <c r="O119" s="273"/>
      <c r="P119" s="273"/>
      <c r="Q119" s="273"/>
      <c r="R119" s="273"/>
      <c r="S119" s="273"/>
      <c r="T119" s="273"/>
      <c r="U119" s="273"/>
      <c r="V119" s="273"/>
      <c r="W119" s="273"/>
      <c r="X119" s="273"/>
      <c r="Y119" s="273"/>
      <c r="Z119" s="273"/>
      <c r="AA119" s="273"/>
      <c r="AB119" s="273"/>
      <c r="AC119" s="273"/>
      <c r="AD119" s="273"/>
      <c r="AE119" s="273"/>
    </row>
    <row r="120" spans="2:31" ht="15">
      <c r="B120" s="378">
        <f t="shared" si="5"/>
        <v>75</v>
      </c>
      <c r="C120" s="386" t="str" cm="1">
        <f t="array" aca="1" ref="C120" ca="1">IF(B120&lt;=$C$9,GetGetCDSName(B120),"")</f>
        <v>MONTEDEIPASCHI_MMR.EUR.SU</v>
      </c>
      <c r="D120" s="346">
        <v>0</v>
      </c>
      <c r="E120" s="379">
        <v>0</v>
      </c>
      <c r="F120" s="298">
        <v>0</v>
      </c>
      <c r="G120" s="298">
        <v>0</v>
      </c>
      <c r="H120" s="298">
        <v>1</v>
      </c>
      <c r="I120" s="298">
        <v>0</v>
      </c>
      <c r="J120" s="298">
        <v>1</v>
      </c>
      <c r="K120" s="298"/>
      <c r="L120" s="298"/>
      <c r="M120" s="298"/>
      <c r="N120" s="380"/>
      <c r="O120" s="273"/>
      <c r="P120" s="273"/>
      <c r="Q120" s="273"/>
      <c r="R120" s="273"/>
      <c r="S120" s="273"/>
      <c r="T120" s="273"/>
      <c r="U120" s="273"/>
      <c r="V120" s="273"/>
      <c r="W120" s="273"/>
      <c r="X120" s="273"/>
      <c r="Y120" s="273"/>
      <c r="Z120" s="273"/>
      <c r="AA120" s="273"/>
      <c r="AB120" s="273"/>
      <c r="AC120" s="273"/>
      <c r="AD120" s="273"/>
      <c r="AE120" s="273"/>
    </row>
    <row r="121" spans="2:31" ht="15">
      <c r="B121" s="378">
        <f t="shared" si="5"/>
        <v>76</v>
      </c>
      <c r="C121" s="386" t="str" cm="1">
        <f t="array" aca="1" ref="C121" ca="1">IF(B121&lt;=$C$9,GetGetCDSName(B121),"")</f>
        <v>MUNICHRE_MMR.EUR.SU</v>
      </c>
      <c r="D121" s="346">
        <v>0</v>
      </c>
      <c r="E121" s="379">
        <v>0</v>
      </c>
      <c r="F121" s="298">
        <v>0</v>
      </c>
      <c r="G121" s="298">
        <v>1</v>
      </c>
      <c r="H121" s="298">
        <v>1</v>
      </c>
      <c r="I121" s="298">
        <v>0</v>
      </c>
      <c r="J121" s="298">
        <v>1</v>
      </c>
      <c r="K121" s="298"/>
      <c r="L121" s="298"/>
      <c r="M121" s="298"/>
      <c r="N121" s="380"/>
      <c r="O121" s="273"/>
      <c r="P121" s="273"/>
      <c r="Q121" s="273"/>
      <c r="R121" s="273"/>
      <c r="S121" s="273"/>
      <c r="T121" s="273"/>
      <c r="U121" s="273"/>
      <c r="V121" s="273"/>
      <c r="W121" s="273"/>
      <c r="X121" s="273"/>
      <c r="Y121" s="273"/>
      <c r="Z121" s="273"/>
      <c r="AA121" s="273"/>
      <c r="AB121" s="273"/>
      <c r="AC121" s="273"/>
      <c r="AD121" s="273"/>
      <c r="AE121" s="273"/>
    </row>
    <row r="122" spans="2:31" ht="15">
      <c r="B122" s="378">
        <f t="shared" si="5"/>
        <v>77</v>
      </c>
      <c r="C122" s="386" t="str" cm="1">
        <f t="array" aca="1" ref="C122" ca="1">IF(B122&lt;=$C$9,GetGetCDSName(B122),"")</f>
        <v>NATIONALGRIDTRANSCOPLC_MMR.EUR.SU</v>
      </c>
      <c r="D122" s="346">
        <v>0</v>
      </c>
      <c r="E122" s="379">
        <v>1</v>
      </c>
      <c r="F122" s="298">
        <v>0</v>
      </c>
      <c r="G122" s="298">
        <v>1</v>
      </c>
      <c r="H122" s="298">
        <v>0</v>
      </c>
      <c r="I122" s="298">
        <v>1</v>
      </c>
      <c r="J122" s="298">
        <v>0</v>
      </c>
      <c r="K122" s="298"/>
      <c r="L122" s="298"/>
      <c r="M122" s="298"/>
      <c r="N122" s="380"/>
      <c r="O122" s="273"/>
      <c r="P122" s="273"/>
      <c r="Q122" s="273"/>
      <c r="R122" s="273"/>
      <c r="S122" s="273"/>
      <c r="T122" s="273"/>
      <c r="U122" s="273"/>
      <c r="V122" s="273"/>
      <c r="W122" s="273"/>
      <c r="X122" s="273"/>
      <c r="Y122" s="273"/>
      <c r="Z122" s="273"/>
      <c r="AA122" s="273"/>
      <c r="AB122" s="273"/>
      <c r="AC122" s="273"/>
      <c r="AD122" s="273"/>
      <c r="AE122" s="273"/>
    </row>
    <row r="123" spans="2:31" ht="15">
      <c r="B123" s="378">
        <f t="shared" si="5"/>
        <v>78</v>
      </c>
      <c r="C123" s="386" t="str" cm="1">
        <f t="array" aca="1" ref="C123" ca="1">IF(B123&lt;=$C$9,GetGetCDSName(B123),"")</f>
        <v>NEXTPLC_MMR.EUR.SU</v>
      </c>
      <c r="D123" s="346">
        <v>0</v>
      </c>
      <c r="E123" s="379">
        <v>0</v>
      </c>
      <c r="F123" s="298">
        <v>0</v>
      </c>
      <c r="G123" s="298">
        <v>0</v>
      </c>
      <c r="H123" s="298">
        <v>0</v>
      </c>
      <c r="I123" s="298">
        <v>1</v>
      </c>
      <c r="J123" s="298">
        <v>1</v>
      </c>
      <c r="K123" s="298"/>
      <c r="L123" s="298"/>
      <c r="M123" s="298"/>
      <c r="N123" s="380"/>
      <c r="O123" s="273"/>
      <c r="P123" s="273"/>
      <c r="Q123" s="273"/>
      <c r="R123" s="273"/>
      <c r="S123" s="273"/>
      <c r="T123" s="273"/>
      <c r="U123" s="273"/>
      <c r="V123" s="273"/>
      <c r="W123" s="273"/>
      <c r="X123" s="273"/>
      <c r="Y123" s="273"/>
      <c r="Z123" s="273"/>
      <c r="AA123" s="273"/>
      <c r="AB123" s="273"/>
      <c r="AC123" s="273"/>
      <c r="AD123" s="273"/>
      <c r="AE123" s="273"/>
    </row>
    <row r="124" spans="2:31" ht="15">
      <c r="B124" s="378">
        <f t="shared" si="5"/>
        <v>79</v>
      </c>
      <c r="C124" s="386" t="str" cm="1">
        <f t="array" aca="1" ref="C124" ca="1">IF(B124&lt;=$C$9,GetGetCDSName(B124),"")</f>
        <v>PEARSON_MMR.EUR.SU</v>
      </c>
      <c r="D124" s="346">
        <v>0</v>
      </c>
      <c r="E124" s="379">
        <v>0</v>
      </c>
      <c r="F124" s="298">
        <v>0</v>
      </c>
      <c r="G124" s="298">
        <v>1</v>
      </c>
      <c r="H124" s="298">
        <v>0</v>
      </c>
      <c r="I124" s="298">
        <v>0</v>
      </c>
      <c r="J124" s="298">
        <v>1</v>
      </c>
      <c r="K124" s="298"/>
      <c r="L124" s="298"/>
      <c r="M124" s="298"/>
      <c r="N124" s="380"/>
      <c r="O124" s="273"/>
      <c r="P124" s="273"/>
      <c r="Q124" s="273"/>
      <c r="R124" s="273"/>
      <c r="S124" s="273"/>
      <c r="T124" s="273"/>
      <c r="U124" s="273"/>
      <c r="V124" s="273"/>
      <c r="W124" s="273"/>
      <c r="X124" s="273"/>
      <c r="Y124" s="273"/>
      <c r="Z124" s="273"/>
      <c r="AA124" s="273"/>
      <c r="AB124" s="273"/>
      <c r="AC124" s="273"/>
      <c r="AD124" s="273"/>
      <c r="AE124" s="273"/>
    </row>
    <row r="125" spans="2:31" ht="15">
      <c r="B125" s="378">
        <f t="shared" si="5"/>
        <v>80</v>
      </c>
      <c r="C125" s="386" t="str" cm="1">
        <f t="array" aca="1" ref="C125" ca="1">IF(B125&lt;=$C$9,GetGetCDSName(B125),"")</f>
        <v>PEUGEOT_MMR.EUR.SU</v>
      </c>
      <c r="D125" s="346">
        <v>0</v>
      </c>
      <c r="E125" s="379">
        <v>1</v>
      </c>
      <c r="F125" s="298">
        <v>1</v>
      </c>
      <c r="G125" s="298">
        <v>0</v>
      </c>
      <c r="H125" s="298">
        <v>0</v>
      </c>
      <c r="I125" s="298">
        <v>0</v>
      </c>
      <c r="J125" s="298">
        <v>0</v>
      </c>
      <c r="K125" s="298"/>
      <c r="L125" s="298"/>
      <c r="M125" s="298"/>
      <c r="N125" s="380"/>
      <c r="O125" s="273"/>
      <c r="P125" s="273"/>
      <c r="Q125" s="273"/>
      <c r="R125" s="273"/>
      <c r="S125" s="273"/>
      <c r="T125" s="273"/>
      <c r="U125" s="273"/>
      <c r="V125" s="273"/>
      <c r="W125" s="273"/>
      <c r="X125" s="273"/>
      <c r="Y125" s="273"/>
      <c r="Z125" s="273"/>
      <c r="AA125" s="273"/>
      <c r="AB125" s="273"/>
      <c r="AC125" s="273"/>
      <c r="AD125" s="273"/>
      <c r="AE125" s="273"/>
    </row>
    <row r="126" spans="2:31" ht="15">
      <c r="B126" s="378">
        <f t="shared" si="5"/>
        <v>81</v>
      </c>
      <c r="C126" s="386" t="str" cm="1">
        <f t="array" aca="1" ref="C126" ca="1">IF(B126&lt;=$C$9,GetGetCDSName(B126),"")</f>
        <v>PHILIPSELEC_MMR.EUR.SU</v>
      </c>
      <c r="D126" s="346">
        <v>0</v>
      </c>
      <c r="E126" s="379">
        <v>0</v>
      </c>
      <c r="F126" s="298">
        <v>0</v>
      </c>
      <c r="G126" s="298">
        <v>0</v>
      </c>
      <c r="H126" s="298">
        <v>1</v>
      </c>
      <c r="I126" s="298">
        <v>0</v>
      </c>
      <c r="J126" s="298">
        <v>1</v>
      </c>
      <c r="K126" s="298"/>
      <c r="L126" s="298"/>
      <c r="M126" s="298"/>
      <c r="N126" s="380"/>
      <c r="O126" s="273"/>
      <c r="P126" s="273"/>
      <c r="Q126" s="273"/>
      <c r="R126" s="273"/>
      <c r="S126" s="273"/>
      <c r="T126" s="273"/>
      <c r="U126" s="273"/>
      <c r="V126" s="273"/>
      <c r="W126" s="273"/>
      <c r="X126" s="273"/>
      <c r="Y126" s="273"/>
      <c r="Z126" s="273"/>
      <c r="AA126" s="273"/>
      <c r="AB126" s="273"/>
      <c r="AC126" s="273"/>
      <c r="AD126" s="273"/>
      <c r="AE126" s="273"/>
    </row>
    <row r="127" spans="2:31" ht="15">
      <c r="B127" s="378">
        <f t="shared" si="5"/>
        <v>82</v>
      </c>
      <c r="C127" s="386" t="str" cm="1">
        <f t="array" aca="1" ref="C127" ca="1">IF(B127&lt;=$C$9,GetGetCDSName(B127),"")</f>
        <v>PINAULTPRINTEMPS_MMR.EUR.SU</v>
      </c>
      <c r="D127" s="346">
        <v>0</v>
      </c>
      <c r="E127" s="379">
        <v>0</v>
      </c>
      <c r="F127" s="298">
        <v>0</v>
      </c>
      <c r="G127" s="298">
        <v>1</v>
      </c>
      <c r="H127" s="298">
        <v>1</v>
      </c>
      <c r="I127" s="298">
        <v>0</v>
      </c>
      <c r="J127" s="298">
        <v>0</v>
      </c>
      <c r="K127" s="298"/>
      <c r="L127" s="298"/>
      <c r="M127" s="298"/>
      <c r="N127" s="380"/>
      <c r="O127" s="273"/>
      <c r="P127" s="273"/>
      <c r="Q127" s="273"/>
      <c r="R127" s="273"/>
      <c r="S127" s="273"/>
      <c r="T127" s="273"/>
      <c r="U127" s="273"/>
      <c r="V127" s="273"/>
      <c r="W127" s="273"/>
      <c r="X127" s="273"/>
      <c r="Y127" s="273"/>
      <c r="Z127" s="273"/>
      <c r="AA127" s="273"/>
      <c r="AB127" s="273"/>
      <c r="AC127" s="273"/>
      <c r="AD127" s="273"/>
      <c r="AE127" s="273"/>
    </row>
    <row r="128" spans="2:31" ht="15">
      <c r="B128" s="378">
        <f t="shared" si="5"/>
        <v>83</v>
      </c>
      <c r="C128" s="386" t="str" cm="1">
        <f t="array" aca="1" ref="C128" ca="1">IF(B128&lt;=$C$9,GetGetCDSName(B128),"")</f>
        <v>PORTUGALTELECOM_MMR.EUR.SU</v>
      </c>
      <c r="D128" s="346">
        <v>0</v>
      </c>
      <c r="E128" s="379">
        <v>0</v>
      </c>
      <c r="F128" s="298">
        <v>0</v>
      </c>
      <c r="G128" s="298">
        <v>1</v>
      </c>
      <c r="H128" s="298">
        <v>0</v>
      </c>
      <c r="I128" s="298">
        <v>1</v>
      </c>
      <c r="J128" s="298">
        <v>1</v>
      </c>
      <c r="K128" s="298"/>
      <c r="L128" s="298"/>
      <c r="M128" s="298"/>
      <c r="N128" s="380"/>
      <c r="O128" s="273"/>
      <c r="P128" s="273"/>
      <c r="Q128" s="273"/>
      <c r="R128" s="273"/>
      <c r="S128" s="273"/>
      <c r="T128" s="273"/>
      <c r="U128" s="273"/>
      <c r="V128" s="273"/>
      <c r="W128" s="273"/>
      <c r="X128" s="273"/>
      <c r="Y128" s="273"/>
      <c r="Z128" s="273"/>
      <c r="AA128" s="273"/>
      <c r="AB128" s="273"/>
      <c r="AC128" s="273"/>
      <c r="AD128" s="273"/>
      <c r="AE128" s="273"/>
    </row>
    <row r="129" spans="2:31" ht="15">
      <c r="B129" s="378">
        <f t="shared" si="5"/>
        <v>84</v>
      </c>
      <c r="C129" s="386" t="str" cm="1">
        <f t="array" aca="1" ref="C129" ca="1">IF(B129&lt;=$C$9,GetGetCDSName(B129),"")</f>
        <v>REEDELSEVIER_MMR.EUR.SU</v>
      </c>
      <c r="D129" s="346">
        <v>0</v>
      </c>
      <c r="E129" s="379">
        <v>1</v>
      </c>
      <c r="F129" s="298">
        <v>0</v>
      </c>
      <c r="G129" s="298">
        <v>1</v>
      </c>
      <c r="H129" s="298">
        <v>1</v>
      </c>
      <c r="I129" s="298">
        <v>0</v>
      </c>
      <c r="J129" s="298">
        <v>0</v>
      </c>
      <c r="K129" s="298"/>
      <c r="L129" s="298"/>
      <c r="M129" s="298"/>
      <c r="N129" s="380"/>
      <c r="O129" s="273"/>
      <c r="P129" s="273"/>
      <c r="Q129" s="273"/>
      <c r="R129" s="273"/>
      <c r="S129" s="273"/>
      <c r="T129" s="273"/>
      <c r="U129" s="273"/>
      <c r="V129" s="273"/>
      <c r="W129" s="273"/>
      <c r="X129" s="273"/>
      <c r="Y129" s="273"/>
      <c r="Z129" s="273"/>
      <c r="AA129" s="273"/>
      <c r="AB129" s="273"/>
      <c r="AC129" s="273"/>
      <c r="AD129" s="273"/>
      <c r="AE129" s="273"/>
    </row>
    <row r="130" spans="2:31" ht="15">
      <c r="B130" s="378">
        <f t="shared" si="5"/>
        <v>85</v>
      </c>
      <c r="C130" s="386" t="str" cm="1">
        <f t="array" aca="1" ref="C130" ca="1">IF(B130&lt;=$C$9,GetGetCDSName(B130),"")</f>
        <v>RENAULT_MMR.EUR.SU</v>
      </c>
      <c r="D130" s="346">
        <v>0</v>
      </c>
      <c r="E130" s="379">
        <v>0</v>
      </c>
      <c r="F130" s="298">
        <v>1</v>
      </c>
      <c r="G130" s="298">
        <v>0</v>
      </c>
      <c r="H130" s="298">
        <v>0</v>
      </c>
      <c r="I130" s="298">
        <v>1</v>
      </c>
      <c r="J130" s="298">
        <v>0</v>
      </c>
      <c r="K130" s="298"/>
      <c r="L130" s="298"/>
      <c r="M130" s="298"/>
      <c r="N130" s="380"/>
      <c r="O130" s="273"/>
      <c r="P130" s="273"/>
      <c r="Q130" s="273"/>
      <c r="R130" s="273"/>
      <c r="S130" s="273"/>
      <c r="T130" s="273"/>
      <c r="U130" s="273"/>
      <c r="V130" s="273"/>
      <c r="W130" s="273"/>
      <c r="X130" s="273"/>
      <c r="Y130" s="273"/>
      <c r="Z130" s="273"/>
      <c r="AA130" s="273"/>
      <c r="AB130" s="273"/>
      <c r="AC130" s="273"/>
      <c r="AD130" s="273"/>
      <c r="AE130" s="273"/>
    </row>
    <row r="131" spans="2:31" ht="15">
      <c r="B131" s="378">
        <f t="shared" si="5"/>
        <v>86</v>
      </c>
      <c r="C131" s="386" t="str" cm="1">
        <f t="array" aca="1" ref="C131" ca="1">IF(B131&lt;=$C$9,GetGetCDSName(B131),"")</f>
        <v>REPSOL_MMR.EUR.SU</v>
      </c>
      <c r="D131" s="346">
        <v>0</v>
      </c>
      <c r="E131" s="379">
        <v>1</v>
      </c>
      <c r="F131" s="298">
        <v>0</v>
      </c>
      <c r="G131" s="298">
        <v>1</v>
      </c>
      <c r="H131" s="298">
        <v>0</v>
      </c>
      <c r="I131" s="298">
        <v>0</v>
      </c>
      <c r="J131" s="298">
        <v>0</v>
      </c>
      <c r="K131" s="298"/>
      <c r="L131" s="298"/>
      <c r="M131" s="298"/>
      <c r="N131" s="380"/>
      <c r="O131" s="273"/>
      <c r="P131" s="273"/>
      <c r="Q131" s="273"/>
      <c r="R131" s="273"/>
      <c r="S131" s="273"/>
      <c r="T131" s="273"/>
      <c r="U131" s="273"/>
      <c r="V131" s="273"/>
      <c r="W131" s="273"/>
      <c r="X131" s="273"/>
      <c r="Y131" s="273"/>
      <c r="Z131" s="273"/>
      <c r="AA131" s="273"/>
      <c r="AB131" s="273"/>
      <c r="AC131" s="273"/>
      <c r="AD131" s="273"/>
      <c r="AE131" s="273"/>
    </row>
    <row r="132" spans="2:31" ht="15">
      <c r="B132" s="378">
        <f t="shared" si="5"/>
        <v>87</v>
      </c>
      <c r="C132" s="386" t="str" cm="1">
        <f t="array" aca="1" ref="C132" ca="1">IF(B132&lt;=$C$9,GetGetCDSName(B132),"")</f>
        <v>REUTERS_MMR.EUR.SU</v>
      </c>
      <c r="D132" s="346">
        <v>0</v>
      </c>
      <c r="E132" s="379">
        <v>1</v>
      </c>
      <c r="F132" s="298">
        <v>0</v>
      </c>
      <c r="G132" s="298">
        <v>0</v>
      </c>
      <c r="H132" s="298">
        <v>1</v>
      </c>
      <c r="I132" s="298">
        <v>0</v>
      </c>
      <c r="J132" s="298">
        <v>0</v>
      </c>
      <c r="K132" s="298"/>
      <c r="L132" s="298"/>
      <c r="M132" s="298"/>
      <c r="N132" s="380"/>
      <c r="O132" s="273"/>
      <c r="P132" s="273"/>
      <c r="Q132" s="273"/>
      <c r="R132" s="273"/>
      <c r="S132" s="273"/>
      <c r="T132" s="273"/>
      <c r="U132" s="273"/>
      <c r="V132" s="273"/>
      <c r="W132" s="273"/>
      <c r="X132" s="273"/>
      <c r="Y132" s="273"/>
      <c r="Z132" s="273"/>
      <c r="AA132" s="273"/>
      <c r="AB132" s="273"/>
      <c r="AC132" s="273"/>
      <c r="AD132" s="273"/>
      <c r="AE132" s="273"/>
    </row>
    <row r="133" spans="2:31" ht="15">
      <c r="B133" s="378">
        <f t="shared" si="5"/>
        <v>88</v>
      </c>
      <c r="C133" s="386" t="str" cm="1">
        <f t="array" aca="1" ref="C133" ca="1">IF(B133&lt;=$C$9,GetGetCDSName(B133),"")</f>
        <v>ROYALBANKSCOTLAND_MMR.EUR.SU</v>
      </c>
      <c r="D133" s="346">
        <v>0</v>
      </c>
      <c r="E133" s="379">
        <v>0</v>
      </c>
      <c r="F133" s="298">
        <v>0</v>
      </c>
      <c r="G133" s="298">
        <v>1</v>
      </c>
      <c r="H133" s="298">
        <v>1</v>
      </c>
      <c r="I133" s="298">
        <v>1</v>
      </c>
      <c r="J133" s="298">
        <v>0</v>
      </c>
      <c r="K133" s="298"/>
      <c r="L133" s="298"/>
      <c r="M133" s="298"/>
      <c r="N133" s="380"/>
      <c r="O133" s="273"/>
      <c r="P133" s="273"/>
      <c r="Q133" s="273"/>
      <c r="R133" s="273"/>
      <c r="S133" s="273"/>
      <c r="T133" s="273"/>
      <c r="U133" s="273"/>
      <c r="V133" s="273"/>
      <c r="W133" s="273"/>
      <c r="X133" s="273"/>
      <c r="Y133" s="273"/>
      <c r="Z133" s="273"/>
      <c r="AA133" s="273"/>
      <c r="AB133" s="273"/>
      <c r="AC133" s="273"/>
      <c r="AD133" s="273"/>
      <c r="AE133" s="273"/>
    </row>
    <row r="134" spans="2:31" ht="15">
      <c r="B134" s="378">
        <f t="shared" si="5"/>
        <v>89</v>
      </c>
      <c r="C134" s="386" t="str" cm="1">
        <f t="array" aca="1" ref="C134" ca="1">IF(B134&lt;=$C$9,GetGetCDSName(B134),"")</f>
        <v>RWE_MMR.EUR.SU</v>
      </c>
      <c r="D134" s="346">
        <v>0</v>
      </c>
      <c r="E134" s="379">
        <v>0</v>
      </c>
      <c r="F134" s="298">
        <v>0</v>
      </c>
      <c r="G134" s="298">
        <v>0</v>
      </c>
      <c r="H134" s="298">
        <v>1</v>
      </c>
      <c r="I134" s="298">
        <v>1</v>
      </c>
      <c r="J134" s="298">
        <v>0</v>
      </c>
      <c r="K134" s="298"/>
      <c r="L134" s="298"/>
      <c r="M134" s="298"/>
      <c r="N134" s="380"/>
      <c r="O134" s="273"/>
      <c r="P134" s="273"/>
      <c r="Q134" s="273"/>
      <c r="R134" s="273"/>
      <c r="S134" s="273"/>
      <c r="T134" s="273"/>
      <c r="U134" s="273"/>
      <c r="V134" s="273"/>
      <c r="W134" s="273"/>
      <c r="X134" s="273"/>
      <c r="Y134" s="273"/>
      <c r="Z134" s="273"/>
      <c r="AA134" s="273"/>
      <c r="AB134" s="273"/>
      <c r="AC134" s="273"/>
      <c r="AD134" s="273"/>
      <c r="AE134" s="273"/>
    </row>
    <row r="135" spans="2:31" ht="15">
      <c r="B135" s="378">
        <f t="shared" si="5"/>
        <v>90</v>
      </c>
      <c r="C135" s="386" t="str" cm="1">
        <f t="array" aca="1" ref="C135" ca="1">IF(B135&lt;=$C$9,GetGetCDSName(B135),"")</f>
        <v>SAFEWAYPLC_MMR.EUR.SU</v>
      </c>
      <c r="D135" s="346">
        <v>0</v>
      </c>
      <c r="E135" s="379">
        <v>0</v>
      </c>
      <c r="F135" s="298">
        <v>1</v>
      </c>
      <c r="G135" s="298">
        <v>0</v>
      </c>
      <c r="H135" s="298">
        <v>1</v>
      </c>
      <c r="I135" s="298">
        <v>0</v>
      </c>
      <c r="J135" s="298">
        <v>0</v>
      </c>
      <c r="K135" s="298"/>
      <c r="L135" s="298"/>
      <c r="M135" s="298"/>
      <c r="N135" s="380"/>
      <c r="O135" s="273"/>
      <c r="P135" s="273"/>
      <c r="Q135" s="273"/>
      <c r="R135" s="273"/>
      <c r="S135" s="273"/>
      <c r="T135" s="273"/>
      <c r="U135" s="273"/>
      <c r="V135" s="273"/>
      <c r="W135" s="273"/>
      <c r="X135" s="273"/>
      <c r="Y135" s="273"/>
      <c r="Z135" s="273"/>
      <c r="AA135" s="273"/>
      <c r="AB135" s="273"/>
      <c r="AC135" s="273"/>
      <c r="AD135" s="273"/>
      <c r="AE135" s="273"/>
    </row>
    <row r="136" spans="2:31" ht="15">
      <c r="B136" s="378">
        <f t="shared" si="5"/>
        <v>91</v>
      </c>
      <c r="C136" s="386" t="str" cm="1">
        <f t="array" aca="1" ref="C136" ca="1">IF(B136&lt;=$C$9,GetGetCDSName(B136),"")</f>
        <v>SANOFIAVENTIS_MMR.EUR.SU</v>
      </c>
      <c r="D136" s="346">
        <v>0</v>
      </c>
      <c r="E136" s="379">
        <v>0</v>
      </c>
      <c r="F136" s="298">
        <v>1</v>
      </c>
      <c r="G136" s="298">
        <v>1</v>
      </c>
      <c r="H136" s="298">
        <v>0</v>
      </c>
      <c r="I136" s="298">
        <v>0</v>
      </c>
      <c r="J136" s="298">
        <v>1</v>
      </c>
      <c r="K136" s="298"/>
      <c r="L136" s="298"/>
      <c r="M136" s="298"/>
      <c r="N136" s="380"/>
      <c r="O136" s="273"/>
      <c r="P136" s="273"/>
      <c r="Q136" s="273"/>
      <c r="R136" s="273"/>
      <c r="S136" s="273"/>
      <c r="T136" s="273"/>
      <c r="U136" s="273"/>
      <c r="V136" s="273"/>
      <c r="W136" s="273"/>
      <c r="X136" s="273"/>
      <c r="Y136" s="273"/>
      <c r="Z136" s="273"/>
      <c r="AA136" s="273"/>
      <c r="AB136" s="273"/>
      <c r="AC136" s="273"/>
      <c r="AD136" s="273"/>
      <c r="AE136" s="273"/>
    </row>
    <row r="137" spans="2:31" ht="15">
      <c r="B137" s="378">
        <f t="shared" si="5"/>
        <v>92</v>
      </c>
      <c r="C137" s="386" t="str" cm="1">
        <f t="array" aca="1" ref="C137" ca="1">IF(B137&lt;=$C$9,GetGetCDSName(B137),"")</f>
        <v>SIEMENS_MMR.EUR.SU</v>
      </c>
      <c r="D137" s="346">
        <v>0</v>
      </c>
      <c r="E137" s="379">
        <v>0</v>
      </c>
      <c r="F137" s="298">
        <v>1</v>
      </c>
      <c r="G137" s="298">
        <v>0</v>
      </c>
      <c r="H137" s="298">
        <v>0</v>
      </c>
      <c r="I137" s="298">
        <v>1</v>
      </c>
      <c r="J137" s="298">
        <v>1</v>
      </c>
      <c r="K137" s="298"/>
      <c r="L137" s="298"/>
      <c r="M137" s="298"/>
      <c r="N137" s="380"/>
      <c r="O137" s="273"/>
      <c r="P137" s="273"/>
      <c r="Q137" s="273"/>
      <c r="R137" s="273"/>
      <c r="S137" s="273"/>
      <c r="T137" s="273"/>
      <c r="U137" s="273"/>
      <c r="V137" s="273"/>
      <c r="W137" s="273"/>
      <c r="X137" s="273"/>
      <c r="Y137" s="273"/>
      <c r="Z137" s="273"/>
      <c r="AA137" s="273"/>
      <c r="AB137" s="273"/>
      <c r="AC137" s="273"/>
      <c r="AD137" s="273"/>
      <c r="AE137" s="273"/>
    </row>
    <row r="138" spans="2:31" ht="15">
      <c r="B138" s="378">
        <f t="shared" si="5"/>
        <v>93</v>
      </c>
      <c r="C138" s="386" t="str" cm="1">
        <f t="array" aca="1" ref="C138" ca="1">IF(B138&lt;=$C$9,GetGetCDSName(B138),"")</f>
        <v>SODEXHOALLIANCE_MMR.EUR.SU</v>
      </c>
      <c r="D138" s="346">
        <v>0</v>
      </c>
      <c r="E138" s="379">
        <v>1</v>
      </c>
      <c r="F138" s="298">
        <v>1</v>
      </c>
      <c r="G138" s="298">
        <v>0</v>
      </c>
      <c r="H138" s="298">
        <v>0</v>
      </c>
      <c r="I138" s="298">
        <v>1</v>
      </c>
      <c r="J138" s="298">
        <v>0</v>
      </c>
      <c r="K138" s="298"/>
      <c r="L138" s="298"/>
      <c r="M138" s="298"/>
      <c r="N138" s="380"/>
      <c r="O138" s="273"/>
      <c r="P138" s="273"/>
      <c r="Q138" s="273"/>
      <c r="R138" s="273"/>
      <c r="S138" s="273"/>
      <c r="T138" s="273"/>
      <c r="U138" s="273"/>
      <c r="V138" s="273"/>
      <c r="W138" s="273"/>
      <c r="X138" s="273"/>
      <c r="Y138" s="273"/>
      <c r="Z138" s="273"/>
      <c r="AA138" s="273"/>
      <c r="AB138" s="273"/>
      <c r="AC138" s="273"/>
      <c r="AD138" s="273"/>
      <c r="AE138" s="273"/>
    </row>
    <row r="139" spans="2:31" ht="15">
      <c r="B139" s="378">
        <f t="shared" si="5"/>
        <v>94</v>
      </c>
      <c r="C139" s="386" t="str" cm="1">
        <f t="array" aca="1" ref="C139" ca="1">IF(B139&lt;=$C$9,GetGetCDSName(B139),"")</f>
        <v>SOLVAY_MMR.EUR.SU</v>
      </c>
      <c r="D139" s="346">
        <v>0</v>
      </c>
      <c r="E139" s="379">
        <v>1</v>
      </c>
      <c r="F139" s="298">
        <v>0</v>
      </c>
      <c r="G139" s="298">
        <v>0</v>
      </c>
      <c r="H139" s="298">
        <v>0</v>
      </c>
      <c r="I139" s="298">
        <v>1</v>
      </c>
      <c r="J139" s="298">
        <v>0</v>
      </c>
      <c r="K139" s="298"/>
      <c r="L139" s="298"/>
      <c r="M139" s="298"/>
      <c r="N139" s="380"/>
      <c r="O139" s="273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</row>
    <row r="140" spans="2:31" ht="15">
      <c r="B140" s="378">
        <f t="shared" si="5"/>
        <v>95</v>
      </c>
      <c r="C140" s="386" t="str" cm="1">
        <f t="array" aca="1" ref="C140" ca="1">IF(B140&lt;=$C$9,GetGetCDSName(B140),"")</f>
        <v>STGOBAIN_MMR.EUR.SU</v>
      </c>
      <c r="D140" s="346">
        <v>0</v>
      </c>
      <c r="E140" s="379">
        <v>1</v>
      </c>
      <c r="F140" s="298">
        <v>1</v>
      </c>
      <c r="G140" s="298">
        <v>0</v>
      </c>
      <c r="H140" s="298">
        <v>0</v>
      </c>
      <c r="I140" s="298">
        <v>1</v>
      </c>
      <c r="J140" s="298">
        <v>0</v>
      </c>
      <c r="K140" s="298"/>
      <c r="L140" s="298"/>
      <c r="M140" s="298"/>
      <c r="N140" s="380"/>
      <c r="O140" s="273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</row>
    <row r="141" spans="2:31" ht="15">
      <c r="B141" s="378">
        <f t="shared" si="5"/>
        <v>96</v>
      </c>
      <c r="C141" s="386" t="str" cm="1">
        <f t="array" aca="1" ref="C141" ca="1">IF(B141&lt;=$C$9,GetGetCDSName(B141),"")</f>
        <v>STMICRO_MMR.EUR.SU</v>
      </c>
      <c r="D141" s="346">
        <v>0</v>
      </c>
      <c r="E141" s="379">
        <v>0</v>
      </c>
      <c r="F141" s="298">
        <v>0</v>
      </c>
      <c r="G141" s="298">
        <v>0</v>
      </c>
      <c r="H141" s="298">
        <v>0</v>
      </c>
      <c r="I141" s="298">
        <v>0</v>
      </c>
      <c r="J141" s="298">
        <v>1</v>
      </c>
      <c r="K141" s="298"/>
      <c r="L141" s="298"/>
      <c r="M141" s="298"/>
      <c r="N141" s="380"/>
      <c r="O141" s="273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</row>
    <row r="142" spans="2:31" ht="15">
      <c r="B142" s="378">
        <f t="shared" si="5"/>
        <v>97</v>
      </c>
      <c r="C142" s="386" t="str" cm="1">
        <f t="array" aca="1" ref="C142" ca="1">IF(B142&lt;=$C$9,GetGetCDSName(B142),"")</f>
        <v>SUEDZUCKERAG_MMR.EUR.SU</v>
      </c>
      <c r="D142" s="346">
        <v>0</v>
      </c>
      <c r="E142" s="379">
        <v>1</v>
      </c>
      <c r="F142" s="298">
        <v>0</v>
      </c>
      <c r="G142" s="298">
        <v>0</v>
      </c>
      <c r="H142" s="298">
        <v>0</v>
      </c>
      <c r="I142" s="298">
        <v>0</v>
      </c>
      <c r="J142" s="298">
        <v>0</v>
      </c>
      <c r="K142" s="298"/>
      <c r="L142" s="298"/>
      <c r="M142" s="298"/>
      <c r="N142" s="380"/>
      <c r="O142" s="273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</row>
    <row r="143" spans="2:31" ht="15">
      <c r="B143" s="378">
        <f t="shared" si="5"/>
        <v>98</v>
      </c>
      <c r="C143" s="386" t="str" cm="1">
        <f t="array" aca="1" ref="C143" ca="1">IF(B143&lt;=$C$9,GetGetCDSName(B143),"")</f>
        <v>SUEZLYONNAISE_MMR.EUR.SU</v>
      </c>
      <c r="D143" s="346">
        <v>0</v>
      </c>
      <c r="E143" s="379">
        <v>0</v>
      </c>
      <c r="F143" s="298">
        <v>0</v>
      </c>
      <c r="G143" s="298">
        <v>1</v>
      </c>
      <c r="H143" s="298">
        <v>0</v>
      </c>
      <c r="I143" s="298">
        <v>0</v>
      </c>
      <c r="J143" s="298">
        <v>0</v>
      </c>
      <c r="K143" s="298"/>
      <c r="L143" s="298"/>
      <c r="M143" s="298"/>
      <c r="N143" s="380"/>
      <c r="O143" s="273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</row>
    <row r="144" spans="2:31" ht="15">
      <c r="B144" s="378">
        <f t="shared" si="5"/>
        <v>99</v>
      </c>
      <c r="C144" s="386" t="str" cm="1">
        <f t="array" aca="1" ref="C144" ca="1">IF(B144&lt;=$C$9,GetGetCDSName(B144),"")</f>
        <v>SVENSKACELLULOSAAB_MMR.EUR.SU</v>
      </c>
      <c r="D144" s="346">
        <v>0</v>
      </c>
      <c r="E144" s="379">
        <v>0</v>
      </c>
      <c r="F144" s="298">
        <v>0</v>
      </c>
      <c r="G144" s="298">
        <v>0</v>
      </c>
      <c r="H144" s="298">
        <v>0</v>
      </c>
      <c r="I144" s="298">
        <v>1</v>
      </c>
      <c r="J144" s="298">
        <v>0</v>
      </c>
      <c r="K144" s="298"/>
      <c r="L144" s="298"/>
      <c r="M144" s="298"/>
      <c r="N144" s="380"/>
      <c r="O144" s="273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</row>
    <row r="145" spans="2:31" ht="15">
      <c r="B145" s="378">
        <f t="shared" si="5"/>
        <v>100</v>
      </c>
      <c r="C145" s="386" t="str" cm="1">
        <f t="array" aca="1" ref="C145" ca="1">IF(B145&lt;=$C$9,GetGetCDSName(B145),"")</f>
        <v>SWISSRE_MMR.EUR.SU</v>
      </c>
      <c r="D145" s="346">
        <v>0</v>
      </c>
      <c r="E145" s="379">
        <v>0</v>
      </c>
      <c r="F145" s="298">
        <v>0</v>
      </c>
      <c r="G145" s="298">
        <v>1</v>
      </c>
      <c r="H145" s="298">
        <v>0</v>
      </c>
      <c r="I145" s="298">
        <v>1</v>
      </c>
      <c r="J145" s="298">
        <v>1</v>
      </c>
      <c r="K145" s="298"/>
      <c r="L145" s="298"/>
      <c r="M145" s="298"/>
      <c r="N145" s="380"/>
      <c r="O145" s="273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</row>
    <row r="146" spans="2:31" ht="15">
      <c r="B146" s="378">
        <f t="shared" si="5"/>
        <v>101</v>
      </c>
      <c r="C146" s="386" t="str" cm="1">
        <f t="array" aca="1" ref="C146" ca="1">IF(B146&lt;=$C$9,GetGetCDSName(B146),"")</f>
        <v>TATE&amp;LYLE_MMR.EUR.SU</v>
      </c>
      <c r="D146" s="346">
        <v>0</v>
      </c>
      <c r="E146" s="379">
        <v>0</v>
      </c>
      <c r="F146" s="298">
        <v>1</v>
      </c>
      <c r="G146" s="298">
        <v>1</v>
      </c>
      <c r="H146" s="298">
        <v>0</v>
      </c>
      <c r="I146" s="298">
        <v>0</v>
      </c>
      <c r="J146" s="298">
        <v>0</v>
      </c>
      <c r="K146" s="298"/>
      <c r="L146" s="298"/>
      <c r="M146" s="298"/>
      <c r="N146" s="380"/>
      <c r="O146" s="273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</row>
    <row r="147" spans="2:31" ht="15">
      <c r="B147" s="378">
        <f t="shared" si="5"/>
        <v>102</v>
      </c>
      <c r="C147" s="386" t="str" cm="1">
        <f t="array" aca="1" ref="C147" ca="1">IF(B147&lt;=$C$9,GetGetCDSName(B147),"")</f>
        <v>TELECOMITALIA_MMR.EUR.SU</v>
      </c>
      <c r="D147" s="346">
        <v>0</v>
      </c>
      <c r="E147" s="379">
        <v>1</v>
      </c>
      <c r="F147" s="298">
        <v>1</v>
      </c>
      <c r="G147" s="298">
        <v>0</v>
      </c>
      <c r="H147" s="298">
        <v>0</v>
      </c>
      <c r="I147" s="298">
        <v>0</v>
      </c>
      <c r="J147" s="298">
        <v>0</v>
      </c>
      <c r="K147" s="298"/>
      <c r="L147" s="298"/>
      <c r="M147" s="298"/>
      <c r="N147" s="380"/>
      <c r="O147" s="273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</row>
    <row r="148" spans="2:31" ht="15">
      <c r="B148" s="378">
        <f t="shared" si="5"/>
        <v>103</v>
      </c>
      <c r="C148" s="386" t="str" cm="1">
        <f t="array" aca="1" ref="C148" ca="1">IF(B148&lt;=$C$9,GetGetCDSName(B148),"")</f>
        <v>TELEFONICA_MMR.EUR.SU</v>
      </c>
      <c r="D148" s="346">
        <v>0</v>
      </c>
      <c r="E148" s="379">
        <v>0</v>
      </c>
      <c r="F148" s="298">
        <v>0</v>
      </c>
      <c r="G148" s="298">
        <v>0</v>
      </c>
      <c r="H148" s="298">
        <v>1</v>
      </c>
      <c r="I148" s="298">
        <v>0</v>
      </c>
      <c r="J148" s="298">
        <v>0</v>
      </c>
      <c r="K148" s="298"/>
      <c r="L148" s="298"/>
      <c r="M148" s="298"/>
      <c r="N148" s="380"/>
      <c r="O148" s="273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</row>
    <row r="149" spans="2:31" ht="15">
      <c r="B149" s="378">
        <f t="shared" si="5"/>
        <v>104</v>
      </c>
      <c r="C149" s="386" t="str" cm="1">
        <f t="array" aca="1" ref="C149" ca="1">IF(B149&lt;=$C$9,GetGetCDSName(B149),"")</f>
        <v>TELEKOMAUSTRIA_MMR.EUR.SU</v>
      </c>
      <c r="D149" s="346">
        <v>0</v>
      </c>
      <c r="E149" s="379">
        <v>0</v>
      </c>
      <c r="F149" s="298">
        <v>0</v>
      </c>
      <c r="G149" s="298">
        <v>0</v>
      </c>
      <c r="H149" s="298">
        <v>0</v>
      </c>
      <c r="I149" s="298">
        <v>0</v>
      </c>
      <c r="J149" s="298">
        <v>1</v>
      </c>
      <c r="K149" s="298"/>
      <c r="L149" s="298"/>
      <c r="M149" s="298"/>
      <c r="N149" s="380"/>
      <c r="O149" s="273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</row>
    <row r="150" spans="2:31" ht="15">
      <c r="B150" s="378">
        <f t="shared" si="5"/>
        <v>105</v>
      </c>
      <c r="C150" s="386" t="str" cm="1">
        <f t="array" aca="1" ref="C150" ca="1">IF(B150&lt;=$C$9,GetGetCDSName(B150),"")</f>
        <v>TELENOR_MMR.EUR.SU</v>
      </c>
      <c r="D150" s="346">
        <v>0</v>
      </c>
      <c r="E150" s="379">
        <v>0</v>
      </c>
      <c r="F150" s="298">
        <v>1</v>
      </c>
      <c r="G150" s="298">
        <v>0</v>
      </c>
      <c r="H150" s="298">
        <v>1</v>
      </c>
      <c r="I150" s="298">
        <v>1</v>
      </c>
      <c r="J150" s="298">
        <v>0</v>
      </c>
      <c r="K150" s="298"/>
      <c r="L150" s="298"/>
      <c r="M150" s="298"/>
      <c r="N150" s="380"/>
      <c r="O150" s="273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</row>
    <row r="151" spans="2:31" ht="15">
      <c r="B151" s="378">
        <f t="shared" si="5"/>
        <v>106</v>
      </c>
      <c r="C151" s="386" t="str" cm="1">
        <f t="array" aca="1" ref="C151" ca="1">IF(B151&lt;=$C$9,GetGetCDSName(B151),"")</f>
        <v>TELIA_MMR.EUR.SU</v>
      </c>
      <c r="D151" s="346">
        <v>0</v>
      </c>
      <c r="E151" s="379">
        <v>0</v>
      </c>
      <c r="F151" s="298">
        <v>0</v>
      </c>
      <c r="G151" s="298">
        <v>0</v>
      </c>
      <c r="H151" s="298">
        <v>0</v>
      </c>
      <c r="I151" s="298">
        <v>1</v>
      </c>
      <c r="J151" s="298">
        <v>0</v>
      </c>
      <c r="K151" s="298"/>
      <c r="L151" s="298"/>
      <c r="M151" s="298"/>
      <c r="N151" s="380"/>
      <c r="O151" s="273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</row>
    <row r="152" spans="2:31" ht="15">
      <c r="B152" s="378">
        <f t="shared" si="5"/>
        <v>107</v>
      </c>
      <c r="C152" s="386" t="str" cm="1">
        <f t="array" aca="1" ref="C152" ca="1">IF(B152&lt;=$C$9,GetGetCDSName(B152),"")</f>
        <v>TESCO_MMR.EUR.SU</v>
      </c>
      <c r="D152" s="346">
        <v>0</v>
      </c>
      <c r="E152" s="379">
        <v>0</v>
      </c>
      <c r="F152" s="298">
        <v>0</v>
      </c>
      <c r="G152" s="298">
        <v>1</v>
      </c>
      <c r="H152" s="298">
        <v>0</v>
      </c>
      <c r="I152" s="298">
        <v>0</v>
      </c>
      <c r="J152" s="298">
        <v>0</v>
      </c>
      <c r="K152" s="298"/>
      <c r="L152" s="298"/>
      <c r="M152" s="298"/>
      <c r="N152" s="380"/>
      <c r="O152" s="273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</row>
    <row r="153" spans="2:31" ht="15">
      <c r="B153" s="378">
        <f t="shared" si="5"/>
        <v>108</v>
      </c>
      <c r="C153" s="386" t="str" cm="1">
        <f t="array" aca="1" ref="C153" ca="1">IF(B153&lt;=$C$9,GetGetCDSName(B153),"")</f>
        <v>THYSSENKRUPPAG_MMR.EUR.SU</v>
      </c>
      <c r="D153" s="346">
        <v>0</v>
      </c>
      <c r="E153" s="379">
        <v>0</v>
      </c>
      <c r="F153" s="298">
        <v>0</v>
      </c>
      <c r="G153" s="298">
        <v>0</v>
      </c>
      <c r="H153" s="298">
        <v>1</v>
      </c>
      <c r="I153" s="298">
        <v>1</v>
      </c>
      <c r="J153" s="298">
        <v>1</v>
      </c>
      <c r="K153" s="298"/>
      <c r="L153" s="298"/>
      <c r="M153" s="298"/>
      <c r="N153" s="380"/>
      <c r="O153" s="273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</row>
    <row r="154" spans="2:31" ht="15">
      <c r="B154" s="378">
        <f t="shared" si="5"/>
        <v>109</v>
      </c>
      <c r="C154" s="386" t="str" cm="1">
        <f t="array" aca="1" ref="C154" ca="1">IF(B154&lt;=$C$9,GetGetCDSName(B154),"")</f>
        <v>UBS_MMR.EUR.SU</v>
      </c>
      <c r="D154" s="346">
        <v>0</v>
      </c>
      <c r="E154" s="379">
        <v>1</v>
      </c>
      <c r="F154" s="298">
        <v>0</v>
      </c>
      <c r="G154" s="298">
        <v>0</v>
      </c>
      <c r="H154" s="298">
        <v>0</v>
      </c>
      <c r="I154" s="298">
        <v>0</v>
      </c>
      <c r="J154" s="298">
        <v>0</v>
      </c>
      <c r="K154" s="298"/>
      <c r="L154" s="298"/>
      <c r="M154" s="298"/>
      <c r="N154" s="380"/>
      <c r="O154" s="273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</row>
    <row r="155" spans="2:31" ht="15">
      <c r="B155" s="378">
        <f t="shared" si="5"/>
        <v>110</v>
      </c>
      <c r="C155" s="386" t="str" cm="1">
        <f t="array" aca="1" ref="C155" ca="1">IF(B155&lt;=$C$9,GetGetCDSName(B155),"")</f>
        <v>UNICREDITOITALIANO_MMR.EUR.SU</v>
      </c>
      <c r="D155" s="346">
        <v>0</v>
      </c>
      <c r="E155" s="379">
        <v>1</v>
      </c>
      <c r="F155" s="298">
        <v>0</v>
      </c>
      <c r="G155" s="298">
        <v>0</v>
      </c>
      <c r="H155" s="298">
        <v>1</v>
      </c>
      <c r="I155" s="298">
        <v>1</v>
      </c>
      <c r="J155" s="298">
        <v>0</v>
      </c>
      <c r="K155" s="298"/>
      <c r="L155" s="298"/>
      <c r="M155" s="298"/>
      <c r="N155" s="380"/>
      <c r="O155" s="273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</row>
    <row r="156" spans="2:31" ht="15">
      <c r="B156" s="378">
        <f t="shared" si="5"/>
        <v>111</v>
      </c>
      <c r="C156" s="386" t="str" cm="1">
        <f t="array" aca="1" ref="C156" ca="1">IF(B156&lt;=$C$9,GetGetCDSName(B156),"")</f>
        <v>UNILEVER_MMR.EUR.SU</v>
      </c>
      <c r="D156" s="346">
        <v>0</v>
      </c>
      <c r="E156" s="379">
        <v>0</v>
      </c>
      <c r="F156" s="298">
        <v>0</v>
      </c>
      <c r="G156" s="298">
        <v>0</v>
      </c>
      <c r="H156" s="298">
        <v>0</v>
      </c>
      <c r="I156" s="298">
        <v>1</v>
      </c>
      <c r="J156" s="298">
        <v>1</v>
      </c>
      <c r="K156" s="298"/>
      <c r="L156" s="298"/>
      <c r="M156" s="298"/>
      <c r="N156" s="380"/>
      <c r="O156" s="273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</row>
    <row r="157" spans="2:31" ht="15">
      <c r="B157" s="378">
        <f t="shared" si="5"/>
        <v>112</v>
      </c>
      <c r="C157" s="386" t="str" cm="1">
        <f t="array" aca="1" ref="C157" ca="1">IF(B157&lt;=$C$9,GetGetCDSName(B157),"")</f>
        <v>UNIONFENOSA_MMR.EUR.SU</v>
      </c>
      <c r="D157" s="346">
        <v>0</v>
      </c>
      <c r="E157" s="379">
        <v>0</v>
      </c>
      <c r="F157" s="298">
        <v>0</v>
      </c>
      <c r="G157" s="298">
        <v>1</v>
      </c>
      <c r="H157" s="298">
        <v>1</v>
      </c>
      <c r="I157" s="298">
        <v>0</v>
      </c>
      <c r="J157" s="298">
        <v>0</v>
      </c>
      <c r="K157" s="298"/>
      <c r="L157" s="298"/>
      <c r="M157" s="298"/>
      <c r="N157" s="380"/>
      <c r="O157" s="273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</row>
    <row r="158" spans="2:31" ht="15">
      <c r="B158" s="378">
        <f t="shared" si="5"/>
        <v>113</v>
      </c>
      <c r="C158" s="386" t="str" cm="1">
        <f t="array" aca="1" ref="C158" ca="1">IF(B158&lt;=$C$9,GetGetCDSName(B158),"")</f>
        <v>UNITEDUTILITIES_MMR.EUR.SU</v>
      </c>
      <c r="D158" s="346">
        <v>0</v>
      </c>
      <c r="E158" s="379">
        <v>0</v>
      </c>
      <c r="F158" s="298">
        <v>0</v>
      </c>
      <c r="G158" s="298">
        <v>0</v>
      </c>
      <c r="H158" s="298">
        <v>0</v>
      </c>
      <c r="I158" s="298">
        <v>0</v>
      </c>
      <c r="J158" s="298">
        <v>1</v>
      </c>
      <c r="K158" s="298"/>
      <c r="L158" s="298"/>
      <c r="M158" s="298"/>
      <c r="N158" s="380"/>
      <c r="O158" s="273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</row>
    <row r="159" spans="2:31" ht="15">
      <c r="B159" s="378">
        <f t="shared" si="5"/>
        <v>114</v>
      </c>
      <c r="C159" s="386" t="str" cm="1">
        <f t="array" aca="1" ref="C159" ca="1">IF(B159&lt;=$C$9,GetGetCDSName(B159),"")</f>
        <v>UPMKYMMENE_MMR.EUR.SU</v>
      </c>
      <c r="D159" s="346">
        <v>0</v>
      </c>
      <c r="E159" s="379">
        <v>0</v>
      </c>
      <c r="F159" s="298">
        <v>1</v>
      </c>
      <c r="G159" s="298">
        <v>0</v>
      </c>
      <c r="H159" s="298">
        <v>0</v>
      </c>
      <c r="I159" s="298">
        <v>0</v>
      </c>
      <c r="J159" s="298">
        <v>0</v>
      </c>
      <c r="K159" s="298"/>
      <c r="L159" s="298"/>
      <c r="M159" s="298"/>
      <c r="N159" s="380"/>
      <c r="O159" s="273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</row>
    <row r="160" spans="2:31" ht="15">
      <c r="B160" s="378">
        <f t="shared" si="5"/>
        <v>115</v>
      </c>
      <c r="C160" s="386" t="str" cm="1">
        <f t="array" aca="1" ref="C160" ca="1">IF(B160&lt;=$C$9,GetGetCDSName(B160),"")</f>
        <v>VALEO_MMR.EUR.SU</v>
      </c>
      <c r="D160" s="346">
        <v>0</v>
      </c>
      <c r="E160" s="379">
        <v>0</v>
      </c>
      <c r="F160" s="298">
        <v>0</v>
      </c>
      <c r="G160" s="298">
        <v>1</v>
      </c>
      <c r="H160" s="298">
        <v>0</v>
      </c>
      <c r="I160" s="298">
        <v>0</v>
      </c>
      <c r="J160" s="298">
        <v>1</v>
      </c>
      <c r="K160" s="298"/>
      <c r="L160" s="298"/>
      <c r="M160" s="298"/>
      <c r="N160" s="380"/>
      <c r="O160" s="273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</row>
    <row r="161" spans="2:31" ht="15">
      <c r="B161" s="378">
        <f t="shared" si="5"/>
        <v>116</v>
      </c>
      <c r="C161" s="386" t="str" cm="1">
        <f t="array" aca="1" ref="C161" ca="1">IF(B161&lt;=$C$9,GetGetCDSName(B161),"")</f>
        <v>VATTENFALLAB_MMR.EUR.SU</v>
      </c>
      <c r="D161" s="346">
        <v>0</v>
      </c>
      <c r="E161" s="379">
        <v>0</v>
      </c>
      <c r="F161" s="298">
        <v>0</v>
      </c>
      <c r="G161" s="298">
        <v>0</v>
      </c>
      <c r="H161" s="298">
        <v>0</v>
      </c>
      <c r="I161" s="298">
        <v>0</v>
      </c>
      <c r="J161" s="298">
        <v>1</v>
      </c>
      <c r="K161" s="298"/>
      <c r="L161" s="298"/>
      <c r="M161" s="298"/>
      <c r="N161" s="380"/>
      <c r="O161" s="273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</row>
    <row r="162" spans="2:31" ht="15">
      <c r="B162" s="378">
        <f t="shared" si="5"/>
        <v>117</v>
      </c>
      <c r="C162" s="386" t="str" cm="1">
        <f t="array" aca="1" ref="C162" ca="1">IF(B162&lt;=$C$9,GetGetCDSName(B162),"")</f>
        <v>VEOLIAENVIRONNEMENT_MMR.EUR.SU</v>
      </c>
      <c r="D162" s="346">
        <v>0</v>
      </c>
      <c r="E162" s="379">
        <v>0</v>
      </c>
      <c r="F162" s="298">
        <v>0</v>
      </c>
      <c r="G162" s="298">
        <v>1</v>
      </c>
      <c r="H162" s="298">
        <v>0</v>
      </c>
      <c r="I162" s="298">
        <v>1</v>
      </c>
      <c r="J162" s="298">
        <v>0</v>
      </c>
      <c r="K162" s="298"/>
      <c r="L162" s="298"/>
      <c r="M162" s="298"/>
      <c r="N162" s="380"/>
      <c r="O162" s="273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</row>
    <row r="163" spans="2:31" ht="15">
      <c r="B163" s="378">
        <f t="shared" si="5"/>
        <v>118</v>
      </c>
      <c r="C163" s="386" t="str" cm="1">
        <f t="array" aca="1" ref="C163" ca="1">IF(B163&lt;=$C$9,GetGetCDSName(B163),"")</f>
        <v>VINCI_MMR.EUR.SU</v>
      </c>
      <c r="D163" s="346">
        <v>0</v>
      </c>
      <c r="E163" s="379">
        <v>0</v>
      </c>
      <c r="F163" s="298">
        <v>1</v>
      </c>
      <c r="G163" s="298">
        <v>0</v>
      </c>
      <c r="H163" s="298">
        <v>0</v>
      </c>
      <c r="I163" s="298">
        <v>0</v>
      </c>
      <c r="J163" s="298">
        <v>0</v>
      </c>
      <c r="K163" s="298"/>
      <c r="L163" s="298"/>
      <c r="M163" s="298"/>
      <c r="N163" s="380"/>
      <c r="O163" s="273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</row>
    <row r="164" spans="2:31" ht="15">
      <c r="B164" s="378">
        <f t="shared" si="5"/>
        <v>119</v>
      </c>
      <c r="C164" s="386" t="str" cm="1">
        <f t="array" aca="1" ref="C164" ca="1">IF(B164&lt;=$C$9,GetGetCDSName(B164),"")</f>
        <v>VIVENDI_MMR.EUR.SU</v>
      </c>
      <c r="D164" s="346">
        <v>0</v>
      </c>
      <c r="E164" s="379">
        <v>0</v>
      </c>
      <c r="F164" s="298">
        <v>0</v>
      </c>
      <c r="G164" s="298">
        <v>1</v>
      </c>
      <c r="H164" s="298">
        <v>0</v>
      </c>
      <c r="I164" s="298">
        <v>0</v>
      </c>
      <c r="J164" s="298">
        <v>0</v>
      </c>
      <c r="K164" s="298"/>
      <c r="L164" s="298"/>
      <c r="M164" s="298"/>
      <c r="N164" s="380"/>
      <c r="O164" s="273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</row>
    <row r="165" spans="2:31" ht="15">
      <c r="B165" s="378">
        <f t="shared" si="5"/>
        <v>120</v>
      </c>
      <c r="C165" s="386" t="str" cm="1">
        <f t="array" aca="1" ref="C165" ca="1">IF(B165&lt;=$C$9,GetGetCDSName(B165),"")</f>
        <v>VODAFONE_MMR.EUR.SU</v>
      </c>
      <c r="D165" s="346">
        <v>0</v>
      </c>
      <c r="E165" s="379">
        <v>1</v>
      </c>
      <c r="F165" s="298">
        <v>0</v>
      </c>
      <c r="G165" s="298">
        <v>0</v>
      </c>
      <c r="H165" s="298">
        <v>0</v>
      </c>
      <c r="I165" s="298">
        <v>0</v>
      </c>
      <c r="J165" s="298">
        <v>0</v>
      </c>
      <c r="K165" s="298"/>
      <c r="L165" s="298"/>
      <c r="M165" s="298"/>
      <c r="N165" s="380"/>
      <c r="O165" s="273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</row>
    <row r="166" spans="2:31" ht="15">
      <c r="B166" s="378">
        <f t="shared" si="5"/>
        <v>121</v>
      </c>
      <c r="C166" s="386" t="str" cm="1">
        <f t="array" aca="1" ref="C166" ca="1">IF(B166&lt;=$C$9,GetGetCDSName(B166),"")</f>
        <v>VOLVO_MMR.EUR.SU</v>
      </c>
      <c r="D166" s="346">
        <v>0</v>
      </c>
      <c r="E166" s="379">
        <v>0</v>
      </c>
      <c r="F166" s="298">
        <v>0</v>
      </c>
      <c r="G166" s="298">
        <v>0</v>
      </c>
      <c r="H166" s="298">
        <v>1</v>
      </c>
      <c r="I166" s="298">
        <v>0</v>
      </c>
      <c r="J166" s="298">
        <v>1</v>
      </c>
      <c r="K166" s="298"/>
      <c r="L166" s="298"/>
      <c r="M166" s="298"/>
      <c r="N166" s="380"/>
      <c r="O166" s="273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</row>
    <row r="167" spans="2:31" ht="15">
      <c r="B167" s="378">
        <f t="shared" si="5"/>
        <v>122</v>
      </c>
      <c r="C167" s="386" t="str" cm="1">
        <f t="array" aca="1" ref="C167" ca="1">IF(B167&lt;=$C$9,GetGetCDSName(B167),"")</f>
        <v>VW_MMR.EUR.SU</v>
      </c>
      <c r="D167" s="346">
        <v>0</v>
      </c>
      <c r="E167" s="379">
        <v>1</v>
      </c>
      <c r="F167" s="298">
        <v>0</v>
      </c>
      <c r="G167" s="298">
        <v>0</v>
      </c>
      <c r="H167" s="298">
        <v>0</v>
      </c>
      <c r="I167" s="298">
        <v>0</v>
      </c>
      <c r="J167" s="298">
        <v>0</v>
      </c>
      <c r="K167" s="298"/>
      <c r="L167" s="298"/>
      <c r="M167" s="298"/>
      <c r="N167" s="380"/>
      <c r="O167" s="273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</row>
    <row r="168" spans="2:31" ht="15">
      <c r="B168" s="378">
        <f t="shared" si="5"/>
        <v>123</v>
      </c>
      <c r="C168" s="386" t="str" cm="1">
        <f t="array" aca="1" ref="C168" ca="1">IF(B168&lt;=$C$9,GetGetCDSName(B168),"")</f>
        <v>WOLTERSKLUWERCVA_MMR.EUR.SU</v>
      </c>
      <c r="D168" s="346">
        <v>0</v>
      </c>
      <c r="E168" s="379">
        <v>0</v>
      </c>
      <c r="F168" s="298">
        <v>1</v>
      </c>
      <c r="G168" s="298">
        <v>0</v>
      </c>
      <c r="H168" s="298">
        <v>0</v>
      </c>
      <c r="I168" s="298">
        <v>0</v>
      </c>
      <c r="J168" s="298">
        <v>0</v>
      </c>
      <c r="K168" s="298"/>
      <c r="L168" s="298"/>
      <c r="M168" s="298"/>
      <c r="N168" s="380"/>
      <c r="O168" s="273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</row>
    <row r="169" spans="2:31" ht="15">
      <c r="B169" s="378">
        <f t="shared" si="5"/>
        <v>124</v>
      </c>
      <c r="C169" s="386" t="str" cm="1">
        <f t="array" aca="1" ref="C169" ca="1">IF(B169&lt;=$C$9,GetGetCDSName(B169),"")</f>
        <v>WPPGROUP_MMR.EUR.SU</v>
      </c>
      <c r="D169" s="346">
        <v>0</v>
      </c>
      <c r="E169" s="379">
        <v>1</v>
      </c>
      <c r="F169" s="298">
        <v>0</v>
      </c>
      <c r="G169" s="298">
        <v>1</v>
      </c>
      <c r="H169" s="298">
        <v>0</v>
      </c>
      <c r="I169" s="298">
        <v>1</v>
      </c>
      <c r="J169" s="298">
        <v>0</v>
      </c>
      <c r="K169" s="298"/>
      <c r="L169" s="298"/>
      <c r="M169" s="298"/>
      <c r="N169" s="380"/>
      <c r="O169" s="273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</row>
    <row r="170" spans="2:31" ht="15">
      <c r="B170" s="378">
        <f t="shared" si="5"/>
        <v>125</v>
      </c>
      <c r="C170" s="386" t="str" cm="1">
        <f t="array" aca="1" ref="C170" ca="1">IF(B170&lt;=$C$9,GetGetCDSName(B170),"")</f>
        <v>ZURICHINSURANCE_MMR.EUR.SU</v>
      </c>
      <c r="D170" s="346">
        <v>0</v>
      </c>
      <c r="E170" s="379">
        <v>0</v>
      </c>
      <c r="F170" s="298">
        <v>0</v>
      </c>
      <c r="G170" s="298">
        <v>0</v>
      </c>
      <c r="H170" s="298">
        <v>1</v>
      </c>
      <c r="I170" s="298">
        <v>0</v>
      </c>
      <c r="J170" s="298">
        <v>0</v>
      </c>
      <c r="K170" s="298"/>
      <c r="L170" s="298"/>
      <c r="M170" s="298"/>
      <c r="N170" s="380"/>
      <c r="O170" s="273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</row>
    <row r="171" spans="2:31" ht="15">
      <c r="B171" s="378">
        <f t="shared" si="5"/>
        <v>126</v>
      </c>
      <c r="C171" s="386" t="str" cm="1">
        <f t="array" aca="1" ref="C171" ca="1">IF(B171&lt;=$C$9,GetGetCDSName(B171),"")</f>
        <v/>
      </c>
      <c r="D171" s="346"/>
      <c r="E171" s="379"/>
      <c r="F171" s="298"/>
      <c r="G171" s="298"/>
      <c r="H171" s="298"/>
      <c r="I171" s="298"/>
      <c r="J171" s="298"/>
      <c r="K171" s="298"/>
      <c r="L171" s="298"/>
      <c r="M171" s="298"/>
      <c r="N171" s="380"/>
      <c r="O171" s="273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</row>
    <row r="172" spans="2:31" ht="15">
      <c r="B172" s="378">
        <f t="shared" si="5"/>
        <v>127</v>
      </c>
      <c r="C172" s="386" t="str" cm="1">
        <f t="array" aca="1" ref="C172" ca="1">IF(B172&lt;=$C$9,GetGetCDSName(B172),"")</f>
        <v/>
      </c>
      <c r="D172" s="346"/>
      <c r="E172" s="379"/>
      <c r="F172" s="298"/>
      <c r="G172" s="298"/>
      <c r="H172" s="298"/>
      <c r="I172" s="298"/>
      <c r="J172" s="298"/>
      <c r="K172" s="298"/>
      <c r="L172" s="298"/>
      <c r="M172" s="298"/>
      <c r="N172" s="380"/>
      <c r="O172" s="273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</row>
    <row r="173" spans="2:31" ht="15">
      <c r="B173" s="378">
        <f t="shared" si="5"/>
        <v>128</v>
      </c>
      <c r="C173" s="386" t="str" cm="1">
        <f t="array" aca="1" ref="C173" ca="1">IF(B173&lt;=$C$9,GetGetCDSName(B173),"")</f>
        <v/>
      </c>
      <c r="D173" s="346"/>
      <c r="E173" s="379"/>
      <c r="F173" s="298"/>
      <c r="G173" s="298"/>
      <c r="H173" s="298"/>
      <c r="I173" s="298"/>
      <c r="J173" s="298"/>
      <c r="K173" s="298"/>
      <c r="L173" s="298"/>
      <c r="M173" s="298"/>
      <c r="N173" s="380"/>
      <c r="O173" s="273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</row>
    <row r="174" spans="2:31" ht="15">
      <c r="B174" s="378">
        <f t="shared" si="5"/>
        <v>129</v>
      </c>
      <c r="C174" s="386" t="str" cm="1">
        <f t="array" aca="1" ref="C174" ca="1">IF(B174&lt;=$C$9,GetGetCDSName(B174),"")</f>
        <v/>
      </c>
      <c r="D174" s="346"/>
      <c r="E174" s="379"/>
      <c r="F174" s="298"/>
      <c r="G174" s="298"/>
      <c r="H174" s="298"/>
      <c r="I174" s="298"/>
      <c r="J174" s="298"/>
      <c r="K174" s="298"/>
      <c r="L174" s="298"/>
      <c r="M174" s="298"/>
      <c r="N174" s="380"/>
      <c r="O174" s="273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</row>
    <row r="175" spans="2:31" ht="15">
      <c r="B175" s="378">
        <f t="shared" ref="B175:B238" si="6">B174+1</f>
        <v>130</v>
      </c>
      <c r="C175" s="386" t="str" cm="1">
        <f t="array" aca="1" ref="C175" ca="1">IF(B175&lt;=$C$9,GetGetCDSName(B175),"")</f>
        <v/>
      </c>
      <c r="D175" s="346"/>
      <c r="E175" s="379"/>
      <c r="F175" s="298"/>
      <c r="G175" s="298"/>
      <c r="H175" s="298"/>
      <c r="I175" s="298"/>
      <c r="J175" s="298"/>
      <c r="K175" s="298"/>
      <c r="L175" s="298"/>
      <c r="M175" s="298"/>
      <c r="N175" s="380"/>
      <c r="O175" s="273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</row>
    <row r="176" spans="2:31" ht="15">
      <c r="B176" s="378">
        <f t="shared" si="6"/>
        <v>131</v>
      </c>
      <c r="C176" s="386" t="str" cm="1">
        <f t="array" aca="1" ref="C176" ca="1">IF(B176&lt;=$C$9,GetGetCDSName(B176),"")</f>
        <v/>
      </c>
      <c r="D176" s="346"/>
      <c r="E176" s="379"/>
      <c r="F176" s="298"/>
      <c r="G176" s="298"/>
      <c r="H176" s="298"/>
      <c r="I176" s="298"/>
      <c r="J176" s="298"/>
      <c r="K176" s="298"/>
      <c r="L176" s="298"/>
      <c r="M176" s="298"/>
      <c r="N176" s="380"/>
      <c r="O176" s="273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</row>
    <row r="177" spans="2:31" ht="15">
      <c r="B177" s="378">
        <f t="shared" si="6"/>
        <v>132</v>
      </c>
      <c r="C177" s="386" t="str" cm="1">
        <f t="array" aca="1" ref="C177" ca="1">IF(B177&lt;=$C$9,GetGetCDSName(B177),"")</f>
        <v/>
      </c>
      <c r="D177" s="346"/>
      <c r="E177" s="379"/>
      <c r="F177" s="298"/>
      <c r="G177" s="298"/>
      <c r="H177" s="298"/>
      <c r="I177" s="298"/>
      <c r="J177" s="298"/>
      <c r="K177" s="298"/>
      <c r="L177" s="298"/>
      <c r="M177" s="298"/>
      <c r="N177" s="380"/>
      <c r="O177" s="273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</row>
    <row r="178" spans="2:31" ht="15">
      <c r="B178" s="378">
        <f t="shared" si="6"/>
        <v>133</v>
      </c>
      <c r="C178" s="386" t="str" cm="1">
        <f t="array" aca="1" ref="C178" ca="1">IF(B178&lt;=$C$9,GetGetCDSName(B178),"")</f>
        <v/>
      </c>
      <c r="D178" s="346"/>
      <c r="E178" s="379"/>
      <c r="F178" s="298"/>
      <c r="G178" s="298"/>
      <c r="H178" s="298"/>
      <c r="I178" s="298"/>
      <c r="J178" s="298"/>
      <c r="K178" s="298"/>
      <c r="L178" s="298"/>
      <c r="M178" s="298"/>
      <c r="N178" s="380"/>
      <c r="O178" s="273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</row>
    <row r="179" spans="2:31" ht="15">
      <c r="B179" s="378">
        <f t="shared" si="6"/>
        <v>134</v>
      </c>
      <c r="C179" s="386" t="str" cm="1">
        <f t="array" aca="1" ref="C179" ca="1">IF(B179&lt;=$C$9,GetGetCDSName(B179),"")</f>
        <v/>
      </c>
      <c r="D179" s="346"/>
      <c r="E179" s="379"/>
      <c r="F179" s="298"/>
      <c r="G179" s="298"/>
      <c r="H179" s="298"/>
      <c r="I179" s="298"/>
      <c r="J179" s="298"/>
      <c r="K179" s="298"/>
      <c r="L179" s="298"/>
      <c r="M179" s="298"/>
      <c r="N179" s="380"/>
      <c r="O179" s="273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</row>
    <row r="180" spans="2:31" ht="15">
      <c r="B180" s="378">
        <f t="shared" si="6"/>
        <v>135</v>
      </c>
      <c r="C180" s="386" t="str" cm="1">
        <f t="array" aca="1" ref="C180" ca="1">IF(B180&lt;=$C$9,GetGetCDSName(B180),"")</f>
        <v/>
      </c>
      <c r="D180" s="346"/>
      <c r="E180" s="379"/>
      <c r="F180" s="298"/>
      <c r="G180" s="298"/>
      <c r="H180" s="298"/>
      <c r="I180" s="298"/>
      <c r="J180" s="298"/>
      <c r="K180" s="298"/>
      <c r="L180" s="298"/>
      <c r="M180" s="298"/>
      <c r="N180" s="380"/>
      <c r="O180" s="273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</row>
    <row r="181" spans="2:31" ht="15">
      <c r="B181" s="378">
        <f t="shared" si="6"/>
        <v>136</v>
      </c>
      <c r="C181" s="386" t="str" cm="1">
        <f t="array" aca="1" ref="C181" ca="1">IF(B181&lt;=$C$9,GetGetCDSName(B181),"")</f>
        <v/>
      </c>
      <c r="D181" s="346"/>
      <c r="E181" s="379"/>
      <c r="F181" s="298"/>
      <c r="G181" s="298"/>
      <c r="H181" s="298"/>
      <c r="I181" s="298"/>
      <c r="J181" s="298"/>
      <c r="K181" s="298"/>
      <c r="L181" s="298"/>
      <c r="M181" s="298"/>
      <c r="N181" s="380"/>
      <c r="O181" s="273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</row>
    <row r="182" spans="2:31" ht="15">
      <c r="B182" s="378">
        <f t="shared" si="6"/>
        <v>137</v>
      </c>
      <c r="C182" s="386" t="str" cm="1">
        <f t="array" aca="1" ref="C182" ca="1">IF(B182&lt;=$C$9,GetGetCDSName(B182),"")</f>
        <v/>
      </c>
      <c r="D182" s="346"/>
      <c r="E182" s="379"/>
      <c r="F182" s="298"/>
      <c r="G182" s="298"/>
      <c r="H182" s="298"/>
      <c r="I182" s="298"/>
      <c r="J182" s="298"/>
      <c r="K182" s="298"/>
      <c r="L182" s="298"/>
      <c r="M182" s="298"/>
      <c r="N182" s="380"/>
      <c r="O182" s="273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</row>
    <row r="183" spans="2:31" ht="15">
      <c r="B183" s="378">
        <f t="shared" si="6"/>
        <v>138</v>
      </c>
      <c r="C183" s="386" t="str" cm="1">
        <f t="array" aca="1" ref="C183" ca="1">IF(B183&lt;=$C$9,GetGetCDSName(B183),"")</f>
        <v/>
      </c>
      <c r="D183" s="346"/>
      <c r="E183" s="379"/>
      <c r="F183" s="298"/>
      <c r="G183" s="298"/>
      <c r="H183" s="298"/>
      <c r="I183" s="298"/>
      <c r="J183" s="298"/>
      <c r="K183" s="298"/>
      <c r="L183" s="298"/>
      <c r="M183" s="298"/>
      <c r="N183" s="380"/>
      <c r="O183" s="273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</row>
    <row r="184" spans="2:31" ht="15">
      <c r="B184" s="378">
        <f t="shared" si="6"/>
        <v>139</v>
      </c>
      <c r="C184" s="386" t="str" cm="1">
        <f t="array" aca="1" ref="C184" ca="1">IF(B184&lt;=$C$9,GetGetCDSName(B184),"")</f>
        <v/>
      </c>
      <c r="D184" s="346"/>
      <c r="E184" s="379"/>
      <c r="F184" s="298"/>
      <c r="G184" s="298"/>
      <c r="H184" s="298"/>
      <c r="I184" s="298"/>
      <c r="J184" s="298"/>
      <c r="K184" s="298"/>
      <c r="L184" s="298"/>
      <c r="M184" s="298"/>
      <c r="N184" s="380"/>
      <c r="O184" s="273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</row>
    <row r="185" spans="2:31" ht="15">
      <c r="B185" s="378">
        <f t="shared" si="6"/>
        <v>140</v>
      </c>
      <c r="C185" s="386" t="str" cm="1">
        <f t="array" aca="1" ref="C185" ca="1">IF(B185&lt;=$C$9,GetGetCDSName(B185),"")</f>
        <v/>
      </c>
      <c r="D185" s="346"/>
      <c r="E185" s="379"/>
      <c r="F185" s="298"/>
      <c r="G185" s="298"/>
      <c r="H185" s="298"/>
      <c r="I185" s="298"/>
      <c r="J185" s="298"/>
      <c r="K185" s="298"/>
      <c r="L185" s="298"/>
      <c r="M185" s="298"/>
      <c r="N185" s="380"/>
      <c r="O185" s="273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</row>
    <row r="186" spans="2:31" ht="15">
      <c r="B186" s="378">
        <f t="shared" si="6"/>
        <v>141</v>
      </c>
      <c r="C186" s="386" t="str" cm="1">
        <f t="array" aca="1" ref="C186" ca="1">IF(B186&lt;=$C$9,GetGetCDSName(B186),"")</f>
        <v/>
      </c>
      <c r="D186" s="346"/>
      <c r="E186" s="379"/>
      <c r="F186" s="298"/>
      <c r="G186" s="298"/>
      <c r="H186" s="298"/>
      <c r="I186" s="298"/>
      <c r="J186" s="298"/>
      <c r="K186" s="298"/>
      <c r="L186" s="298"/>
      <c r="M186" s="298"/>
      <c r="N186" s="380"/>
      <c r="O186" s="273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</row>
    <row r="187" spans="2:31" ht="15">
      <c r="B187" s="378">
        <f t="shared" si="6"/>
        <v>142</v>
      </c>
      <c r="C187" s="386" t="str" cm="1">
        <f t="array" aca="1" ref="C187" ca="1">IF(B187&lt;=$C$9,GetGetCDSName(B187),"")</f>
        <v/>
      </c>
      <c r="D187" s="346"/>
      <c r="E187" s="379"/>
      <c r="F187" s="298"/>
      <c r="G187" s="298"/>
      <c r="H187" s="298"/>
      <c r="I187" s="298"/>
      <c r="J187" s="298"/>
      <c r="K187" s="298"/>
      <c r="L187" s="298"/>
      <c r="M187" s="298"/>
      <c r="N187" s="380"/>
      <c r="O187" s="273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</row>
    <row r="188" spans="2:31" ht="15">
      <c r="B188" s="378">
        <f t="shared" si="6"/>
        <v>143</v>
      </c>
      <c r="C188" s="386" t="str" cm="1">
        <f t="array" aca="1" ref="C188" ca="1">IF(B188&lt;=$C$9,GetGetCDSName(B188),"")</f>
        <v/>
      </c>
      <c r="D188" s="346"/>
      <c r="E188" s="379"/>
      <c r="F188" s="298"/>
      <c r="G188" s="298"/>
      <c r="H188" s="298"/>
      <c r="I188" s="298"/>
      <c r="J188" s="298"/>
      <c r="K188" s="298"/>
      <c r="L188" s="298"/>
      <c r="M188" s="298"/>
      <c r="N188" s="380"/>
      <c r="O188" s="273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</row>
    <row r="189" spans="2:31" ht="15">
      <c r="B189" s="378">
        <f t="shared" si="6"/>
        <v>144</v>
      </c>
      <c r="C189" s="386" t="str" cm="1">
        <f t="array" aca="1" ref="C189" ca="1">IF(B189&lt;=$C$9,GetGetCDSName(B189),"")</f>
        <v/>
      </c>
      <c r="D189" s="346"/>
      <c r="E189" s="379"/>
      <c r="F189" s="298"/>
      <c r="G189" s="298"/>
      <c r="H189" s="298"/>
      <c r="I189" s="298"/>
      <c r="J189" s="298"/>
      <c r="K189" s="298"/>
      <c r="L189" s="298"/>
      <c r="M189" s="298"/>
      <c r="N189" s="380"/>
      <c r="O189" s="273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</row>
    <row r="190" spans="2:31" ht="15">
      <c r="B190" s="378">
        <f t="shared" si="6"/>
        <v>145</v>
      </c>
      <c r="C190" s="386" t="str" cm="1">
        <f t="array" aca="1" ref="C190" ca="1">IF(B190&lt;=$C$9,GetGetCDSName(B190),"")</f>
        <v/>
      </c>
      <c r="D190" s="346"/>
      <c r="E190" s="379"/>
      <c r="F190" s="298"/>
      <c r="G190" s="298"/>
      <c r="H190" s="298"/>
      <c r="I190" s="298"/>
      <c r="J190" s="298"/>
      <c r="K190" s="298"/>
      <c r="L190" s="298"/>
      <c r="M190" s="298"/>
      <c r="N190" s="380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</row>
    <row r="191" spans="2:31" ht="15">
      <c r="B191" s="378">
        <f t="shared" si="6"/>
        <v>146</v>
      </c>
      <c r="C191" s="386" t="str" cm="1">
        <f t="array" aca="1" ref="C191" ca="1">IF(B191&lt;=$C$9,GetGetCDSName(B191),"")</f>
        <v/>
      </c>
      <c r="D191" s="346"/>
      <c r="E191" s="379"/>
      <c r="F191" s="298"/>
      <c r="G191" s="298"/>
      <c r="H191" s="298"/>
      <c r="I191" s="298"/>
      <c r="J191" s="298"/>
      <c r="K191" s="298"/>
      <c r="L191" s="298"/>
      <c r="M191" s="298"/>
      <c r="N191" s="380"/>
      <c r="O191" s="273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</row>
    <row r="192" spans="2:31" ht="15">
      <c r="B192" s="378">
        <f t="shared" si="6"/>
        <v>147</v>
      </c>
      <c r="C192" s="386" t="str" cm="1">
        <f t="array" aca="1" ref="C192" ca="1">IF(B192&lt;=$C$9,GetGetCDSName(B192),"")</f>
        <v/>
      </c>
      <c r="D192" s="346"/>
      <c r="E192" s="379"/>
      <c r="F192" s="298"/>
      <c r="G192" s="298"/>
      <c r="H192" s="298"/>
      <c r="I192" s="298"/>
      <c r="J192" s="298"/>
      <c r="K192" s="298"/>
      <c r="L192" s="298"/>
      <c r="M192" s="298"/>
      <c r="N192" s="380"/>
      <c r="O192" s="273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</row>
    <row r="193" spans="2:31" ht="15">
      <c r="B193" s="378">
        <f t="shared" si="6"/>
        <v>148</v>
      </c>
      <c r="C193" s="386" t="str" cm="1">
        <f t="array" aca="1" ref="C193" ca="1">IF(B193&lt;=$C$9,GetGetCDSName(B193),"")</f>
        <v/>
      </c>
      <c r="D193" s="346"/>
      <c r="E193" s="379"/>
      <c r="F193" s="298"/>
      <c r="G193" s="298"/>
      <c r="H193" s="298"/>
      <c r="I193" s="298"/>
      <c r="J193" s="298"/>
      <c r="K193" s="298"/>
      <c r="L193" s="298"/>
      <c r="M193" s="298"/>
      <c r="N193" s="380"/>
      <c r="O193" s="273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</row>
    <row r="194" spans="2:31" ht="15">
      <c r="B194" s="378">
        <f t="shared" si="6"/>
        <v>149</v>
      </c>
      <c r="C194" s="386" t="str" cm="1">
        <f t="array" aca="1" ref="C194" ca="1">IF(B194&lt;=$C$9,GetGetCDSName(B194),"")</f>
        <v/>
      </c>
      <c r="D194" s="346"/>
      <c r="E194" s="379"/>
      <c r="F194" s="298"/>
      <c r="G194" s="298"/>
      <c r="H194" s="298"/>
      <c r="I194" s="298"/>
      <c r="J194" s="298"/>
      <c r="K194" s="298"/>
      <c r="L194" s="298"/>
      <c r="M194" s="298"/>
      <c r="N194" s="380"/>
      <c r="O194" s="273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</row>
    <row r="195" spans="2:31" ht="15">
      <c r="B195" s="378">
        <f t="shared" si="6"/>
        <v>150</v>
      </c>
      <c r="C195" s="386" t="str" cm="1">
        <f t="array" aca="1" ref="C195" ca="1">IF(B195&lt;=$C$9,GetGetCDSName(B195),"")</f>
        <v/>
      </c>
      <c r="D195" s="346"/>
      <c r="E195" s="379"/>
      <c r="F195" s="298"/>
      <c r="G195" s="298"/>
      <c r="H195" s="298"/>
      <c r="I195" s="298"/>
      <c r="J195" s="298"/>
      <c r="K195" s="298"/>
      <c r="L195" s="298"/>
      <c r="M195" s="298"/>
      <c r="N195" s="380"/>
      <c r="O195" s="273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</row>
    <row r="196" spans="2:31" ht="15">
      <c r="B196" s="378">
        <f t="shared" si="6"/>
        <v>151</v>
      </c>
      <c r="C196" s="386" t="str" cm="1">
        <f t="array" aca="1" ref="C196" ca="1">IF(B196&lt;=$C$9,GetGetCDSName(B196),"")</f>
        <v/>
      </c>
      <c r="D196" s="346"/>
      <c r="E196" s="379"/>
      <c r="F196" s="298"/>
      <c r="G196" s="298"/>
      <c r="H196" s="298"/>
      <c r="I196" s="298"/>
      <c r="J196" s="298"/>
      <c r="K196" s="298"/>
      <c r="L196" s="298"/>
      <c r="M196" s="298"/>
      <c r="N196" s="380"/>
      <c r="O196" s="273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</row>
    <row r="197" spans="2:31" ht="15">
      <c r="B197" s="378">
        <f t="shared" si="6"/>
        <v>152</v>
      </c>
      <c r="C197" s="386" t="str" cm="1">
        <f t="array" aca="1" ref="C197" ca="1">IF(B197&lt;=$C$9,GetGetCDSName(B197),"")</f>
        <v/>
      </c>
      <c r="D197" s="346"/>
      <c r="E197" s="379"/>
      <c r="F197" s="298"/>
      <c r="G197" s="298"/>
      <c r="H197" s="298"/>
      <c r="I197" s="298"/>
      <c r="J197" s="298"/>
      <c r="K197" s="298"/>
      <c r="L197" s="298"/>
      <c r="M197" s="298"/>
      <c r="N197" s="380"/>
      <c r="O197" s="273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</row>
    <row r="198" spans="2:31" ht="15">
      <c r="B198" s="378">
        <f t="shared" si="6"/>
        <v>153</v>
      </c>
      <c r="C198" s="386" t="str" cm="1">
        <f t="array" aca="1" ref="C198" ca="1">IF(B198&lt;=$C$9,GetGetCDSName(B198),"")</f>
        <v/>
      </c>
      <c r="D198" s="346"/>
      <c r="E198" s="379"/>
      <c r="F198" s="298"/>
      <c r="G198" s="298"/>
      <c r="H198" s="298"/>
      <c r="I198" s="298"/>
      <c r="J198" s="298"/>
      <c r="K198" s="298"/>
      <c r="L198" s="298"/>
      <c r="M198" s="298"/>
      <c r="N198" s="380"/>
      <c r="O198" s="273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</row>
    <row r="199" spans="2:31" ht="15">
      <c r="B199" s="378">
        <f t="shared" si="6"/>
        <v>154</v>
      </c>
      <c r="C199" s="386" t="str" cm="1">
        <f t="array" aca="1" ref="C199" ca="1">IF(B199&lt;=$C$9,GetGetCDSName(B199),"")</f>
        <v/>
      </c>
      <c r="D199" s="346"/>
      <c r="E199" s="379"/>
      <c r="F199" s="298"/>
      <c r="G199" s="298"/>
      <c r="H199" s="298"/>
      <c r="I199" s="298"/>
      <c r="J199" s="298"/>
      <c r="K199" s="298"/>
      <c r="L199" s="298"/>
      <c r="M199" s="298"/>
      <c r="N199" s="380"/>
      <c r="O199" s="273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</row>
    <row r="200" spans="2:31" ht="15">
      <c r="B200" s="378">
        <f t="shared" si="6"/>
        <v>155</v>
      </c>
      <c r="C200" s="386" t="str" cm="1">
        <f t="array" aca="1" ref="C200" ca="1">IF(B200&lt;=$C$9,GetGetCDSName(B200),"")</f>
        <v/>
      </c>
      <c r="D200" s="346"/>
      <c r="E200" s="379"/>
      <c r="F200" s="298"/>
      <c r="G200" s="298"/>
      <c r="H200" s="298"/>
      <c r="I200" s="298"/>
      <c r="J200" s="298"/>
      <c r="K200" s="298"/>
      <c r="L200" s="298"/>
      <c r="M200" s="298"/>
      <c r="N200" s="380"/>
      <c r="O200" s="273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</row>
    <row r="201" spans="2:31" ht="15">
      <c r="B201" s="378">
        <f t="shared" si="6"/>
        <v>156</v>
      </c>
      <c r="C201" s="386" t="str" cm="1">
        <f t="array" aca="1" ref="C201" ca="1">IF(B201&lt;=$C$9,GetGetCDSName(B201),"")</f>
        <v/>
      </c>
      <c r="D201" s="346"/>
      <c r="E201" s="379"/>
      <c r="F201" s="298"/>
      <c r="G201" s="298"/>
      <c r="H201" s="298"/>
      <c r="I201" s="298"/>
      <c r="J201" s="298"/>
      <c r="K201" s="298"/>
      <c r="L201" s="298"/>
      <c r="M201" s="298"/>
      <c r="N201" s="380"/>
      <c r="O201" s="273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</row>
    <row r="202" spans="2:31" ht="15">
      <c r="B202" s="378">
        <f t="shared" si="6"/>
        <v>157</v>
      </c>
      <c r="C202" s="386" t="str" cm="1">
        <f t="array" aca="1" ref="C202" ca="1">IF(B202&lt;=$C$9,GetGetCDSName(B202),"")</f>
        <v/>
      </c>
      <c r="D202" s="346"/>
      <c r="E202" s="379"/>
      <c r="F202" s="298"/>
      <c r="G202" s="298"/>
      <c r="H202" s="298"/>
      <c r="I202" s="298"/>
      <c r="J202" s="298"/>
      <c r="K202" s="298"/>
      <c r="L202" s="298"/>
      <c r="M202" s="298"/>
      <c r="N202" s="380"/>
      <c r="O202" s="273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</row>
    <row r="203" spans="2:31" ht="15">
      <c r="B203" s="378">
        <f t="shared" si="6"/>
        <v>158</v>
      </c>
      <c r="C203" s="386" t="str" cm="1">
        <f t="array" aca="1" ref="C203" ca="1">IF(B203&lt;=$C$9,GetGetCDSName(B203),"")</f>
        <v/>
      </c>
      <c r="D203" s="346"/>
      <c r="E203" s="379"/>
      <c r="F203" s="298"/>
      <c r="G203" s="298"/>
      <c r="H203" s="298"/>
      <c r="I203" s="298"/>
      <c r="J203" s="298"/>
      <c r="K203" s="298"/>
      <c r="L203" s="298"/>
      <c r="M203" s="298"/>
      <c r="N203" s="380"/>
      <c r="O203" s="273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</row>
    <row r="204" spans="2:31" ht="15">
      <c r="B204" s="378">
        <f t="shared" si="6"/>
        <v>159</v>
      </c>
      <c r="C204" s="386" t="str" cm="1">
        <f t="array" aca="1" ref="C204" ca="1">IF(B204&lt;=$C$9,GetGetCDSName(B204),"")</f>
        <v/>
      </c>
      <c r="D204" s="346"/>
      <c r="E204" s="379"/>
      <c r="F204" s="298"/>
      <c r="G204" s="298"/>
      <c r="H204" s="298"/>
      <c r="I204" s="298"/>
      <c r="J204" s="298"/>
      <c r="K204" s="298"/>
      <c r="L204" s="298"/>
      <c r="M204" s="298"/>
      <c r="N204" s="380"/>
      <c r="O204" s="273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</row>
    <row r="205" spans="2:31" ht="15">
      <c r="B205" s="378">
        <f t="shared" si="6"/>
        <v>160</v>
      </c>
      <c r="C205" s="386" t="str" cm="1">
        <f t="array" aca="1" ref="C205" ca="1">IF(B205&lt;=$C$9,GetGetCDSName(B205),"")</f>
        <v/>
      </c>
      <c r="D205" s="346"/>
      <c r="E205" s="379"/>
      <c r="F205" s="298"/>
      <c r="G205" s="298"/>
      <c r="H205" s="298"/>
      <c r="I205" s="298"/>
      <c r="J205" s="298"/>
      <c r="K205" s="298"/>
      <c r="L205" s="298"/>
      <c r="M205" s="298"/>
      <c r="N205" s="380"/>
      <c r="O205" s="273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</row>
    <row r="206" spans="2:31" ht="15">
      <c r="B206" s="378">
        <f t="shared" si="6"/>
        <v>161</v>
      </c>
      <c r="C206" s="386" t="str" cm="1">
        <f t="array" aca="1" ref="C206" ca="1">IF(B206&lt;=$C$9,GetGetCDSName(B206),"")</f>
        <v/>
      </c>
      <c r="D206" s="346"/>
      <c r="E206" s="379"/>
      <c r="F206" s="298"/>
      <c r="G206" s="298"/>
      <c r="H206" s="298"/>
      <c r="I206" s="298"/>
      <c r="J206" s="298"/>
      <c r="K206" s="298"/>
      <c r="L206" s="298"/>
      <c r="M206" s="298"/>
      <c r="N206" s="380"/>
      <c r="O206" s="273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</row>
    <row r="207" spans="2:31" ht="15">
      <c r="B207" s="378">
        <f t="shared" si="6"/>
        <v>162</v>
      </c>
      <c r="C207" s="386" t="str" cm="1">
        <f t="array" aca="1" ref="C207" ca="1">IF(B207&lt;=$C$9,GetGetCDSName(B207),"")</f>
        <v/>
      </c>
      <c r="D207" s="346"/>
      <c r="E207" s="379"/>
      <c r="F207" s="298"/>
      <c r="G207" s="298"/>
      <c r="H207" s="298"/>
      <c r="I207" s="298"/>
      <c r="J207" s="298"/>
      <c r="K207" s="298"/>
      <c r="L207" s="298"/>
      <c r="M207" s="298"/>
      <c r="N207" s="380"/>
      <c r="O207" s="273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</row>
    <row r="208" spans="2:31" ht="15">
      <c r="B208" s="378">
        <f t="shared" si="6"/>
        <v>163</v>
      </c>
      <c r="C208" s="386" t="str" cm="1">
        <f t="array" aca="1" ref="C208" ca="1">IF(B208&lt;=$C$9,GetGetCDSName(B208),"")</f>
        <v/>
      </c>
      <c r="D208" s="346"/>
      <c r="E208" s="379"/>
      <c r="F208" s="298"/>
      <c r="G208" s="298"/>
      <c r="H208" s="298"/>
      <c r="I208" s="298"/>
      <c r="J208" s="298"/>
      <c r="K208" s="298"/>
      <c r="L208" s="298"/>
      <c r="M208" s="298"/>
      <c r="N208" s="380"/>
      <c r="O208" s="273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</row>
    <row r="209" spans="2:31" ht="15">
      <c r="B209" s="378">
        <f t="shared" si="6"/>
        <v>164</v>
      </c>
      <c r="C209" s="386" t="str" cm="1">
        <f t="array" aca="1" ref="C209" ca="1">IF(B209&lt;=$C$9,GetGetCDSName(B209),"")</f>
        <v/>
      </c>
      <c r="D209" s="346"/>
      <c r="E209" s="379"/>
      <c r="F209" s="298"/>
      <c r="G209" s="298"/>
      <c r="H209" s="298"/>
      <c r="I209" s="298"/>
      <c r="J209" s="298"/>
      <c r="K209" s="298"/>
      <c r="L209" s="298"/>
      <c r="M209" s="298"/>
      <c r="N209" s="380"/>
      <c r="O209" s="273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</row>
    <row r="210" spans="2:31" ht="15">
      <c r="B210" s="378">
        <f t="shared" si="6"/>
        <v>165</v>
      </c>
      <c r="C210" s="386" t="str" cm="1">
        <f t="array" aca="1" ref="C210" ca="1">IF(B210&lt;=$C$9,GetGetCDSName(B210),"")</f>
        <v/>
      </c>
      <c r="D210" s="346"/>
      <c r="E210" s="379"/>
      <c r="F210" s="298"/>
      <c r="G210" s="298"/>
      <c r="H210" s="298"/>
      <c r="I210" s="298"/>
      <c r="J210" s="298"/>
      <c r="K210" s="298"/>
      <c r="L210" s="298"/>
      <c r="M210" s="298"/>
      <c r="N210" s="380"/>
      <c r="O210" s="273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</row>
    <row r="211" spans="2:31" ht="15">
      <c r="B211" s="378">
        <f t="shared" si="6"/>
        <v>166</v>
      </c>
      <c r="C211" s="386" t="str" cm="1">
        <f t="array" aca="1" ref="C211" ca="1">IF(B211&lt;=$C$9,GetGetCDSName(B211),"")</f>
        <v/>
      </c>
      <c r="D211" s="346"/>
      <c r="E211" s="379"/>
      <c r="F211" s="298"/>
      <c r="G211" s="298"/>
      <c r="H211" s="298"/>
      <c r="I211" s="298"/>
      <c r="J211" s="298"/>
      <c r="K211" s="298"/>
      <c r="L211" s="298"/>
      <c r="M211" s="298"/>
      <c r="N211" s="380"/>
      <c r="O211" s="273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</row>
    <row r="212" spans="2:31" ht="15">
      <c r="B212" s="378">
        <f t="shared" si="6"/>
        <v>167</v>
      </c>
      <c r="C212" s="386" t="str" cm="1">
        <f t="array" aca="1" ref="C212" ca="1">IF(B212&lt;=$C$9,GetGetCDSName(B212),"")</f>
        <v/>
      </c>
      <c r="D212" s="346"/>
      <c r="E212" s="379"/>
      <c r="F212" s="298"/>
      <c r="G212" s="298"/>
      <c r="H212" s="298"/>
      <c r="I212" s="298"/>
      <c r="J212" s="298"/>
      <c r="K212" s="298"/>
      <c r="L212" s="298"/>
      <c r="M212" s="298"/>
      <c r="N212" s="380"/>
      <c r="O212" s="273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</row>
    <row r="213" spans="2:31" ht="15">
      <c r="B213" s="378">
        <f t="shared" si="6"/>
        <v>168</v>
      </c>
      <c r="C213" s="386" t="str" cm="1">
        <f t="array" aca="1" ref="C213" ca="1">IF(B213&lt;=$C$9,GetGetCDSName(B213),"")</f>
        <v/>
      </c>
      <c r="D213" s="346"/>
      <c r="E213" s="379"/>
      <c r="F213" s="298"/>
      <c r="G213" s="298"/>
      <c r="H213" s="298"/>
      <c r="I213" s="298"/>
      <c r="J213" s="298"/>
      <c r="K213" s="298"/>
      <c r="L213" s="298"/>
      <c r="M213" s="298"/>
      <c r="N213" s="380"/>
      <c r="O213" s="273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</row>
    <row r="214" spans="2:31" ht="15">
      <c r="B214" s="378">
        <f t="shared" si="6"/>
        <v>169</v>
      </c>
      <c r="C214" s="386" t="str" cm="1">
        <f t="array" aca="1" ref="C214" ca="1">IF(B214&lt;=$C$9,GetGetCDSName(B214),"")</f>
        <v/>
      </c>
      <c r="D214" s="346"/>
      <c r="E214" s="379"/>
      <c r="F214" s="298"/>
      <c r="G214" s="298"/>
      <c r="H214" s="298"/>
      <c r="I214" s="298"/>
      <c r="J214" s="298"/>
      <c r="K214" s="298"/>
      <c r="L214" s="298"/>
      <c r="M214" s="298"/>
      <c r="N214" s="380"/>
      <c r="O214" s="273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</row>
    <row r="215" spans="2:31" ht="15">
      <c r="B215" s="378">
        <f t="shared" si="6"/>
        <v>170</v>
      </c>
      <c r="C215" s="386" t="str" cm="1">
        <f t="array" aca="1" ref="C215" ca="1">IF(B215&lt;=$C$9,GetGetCDSName(B215),"")</f>
        <v/>
      </c>
      <c r="D215" s="346"/>
      <c r="E215" s="379"/>
      <c r="F215" s="298"/>
      <c r="G215" s="298"/>
      <c r="H215" s="298"/>
      <c r="I215" s="298"/>
      <c r="J215" s="298"/>
      <c r="K215" s="298"/>
      <c r="L215" s="298"/>
      <c r="M215" s="298"/>
      <c r="N215" s="380"/>
      <c r="O215" s="273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</row>
    <row r="216" spans="2:31" ht="15">
      <c r="B216" s="378">
        <f t="shared" si="6"/>
        <v>171</v>
      </c>
      <c r="C216" s="386" t="str" cm="1">
        <f t="array" aca="1" ref="C216" ca="1">IF(B216&lt;=$C$9,GetGetCDSName(B216),"")</f>
        <v/>
      </c>
      <c r="D216" s="346"/>
      <c r="E216" s="379"/>
      <c r="F216" s="298"/>
      <c r="G216" s="298"/>
      <c r="H216" s="298"/>
      <c r="I216" s="298"/>
      <c r="J216" s="298"/>
      <c r="K216" s="298"/>
      <c r="L216" s="298"/>
      <c r="M216" s="298"/>
      <c r="N216" s="380"/>
      <c r="O216" s="273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</row>
    <row r="217" spans="2:31" ht="15">
      <c r="B217" s="378">
        <f t="shared" si="6"/>
        <v>172</v>
      </c>
      <c r="C217" s="386" t="str" cm="1">
        <f t="array" aca="1" ref="C217" ca="1">IF(B217&lt;=$C$9,GetGetCDSName(B217),"")</f>
        <v/>
      </c>
      <c r="D217" s="346"/>
      <c r="E217" s="379"/>
      <c r="F217" s="298"/>
      <c r="G217" s="298"/>
      <c r="H217" s="298"/>
      <c r="I217" s="298"/>
      <c r="J217" s="298"/>
      <c r="K217" s="298"/>
      <c r="L217" s="298"/>
      <c r="M217" s="298"/>
      <c r="N217" s="380"/>
      <c r="O217" s="273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</row>
    <row r="218" spans="2:31" ht="15">
      <c r="B218" s="378">
        <f t="shared" si="6"/>
        <v>173</v>
      </c>
      <c r="C218" s="386" t="str" cm="1">
        <f t="array" aca="1" ref="C218" ca="1">IF(B218&lt;=$C$9,GetGetCDSName(B218),"")</f>
        <v/>
      </c>
      <c r="D218" s="346"/>
      <c r="E218" s="379"/>
      <c r="F218" s="298"/>
      <c r="G218" s="298"/>
      <c r="H218" s="298"/>
      <c r="I218" s="298"/>
      <c r="J218" s="298"/>
      <c r="K218" s="298"/>
      <c r="L218" s="298"/>
      <c r="M218" s="298"/>
      <c r="N218" s="380"/>
      <c r="O218" s="273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</row>
    <row r="219" spans="2:31" ht="15">
      <c r="B219" s="378">
        <f t="shared" si="6"/>
        <v>174</v>
      </c>
      <c r="C219" s="386" t="str" cm="1">
        <f t="array" aca="1" ref="C219" ca="1">IF(B219&lt;=$C$9,GetGetCDSName(B219),"")</f>
        <v/>
      </c>
      <c r="D219" s="346"/>
      <c r="E219" s="379"/>
      <c r="F219" s="298"/>
      <c r="G219" s="298"/>
      <c r="H219" s="298"/>
      <c r="I219" s="298"/>
      <c r="J219" s="298"/>
      <c r="K219" s="298"/>
      <c r="L219" s="298"/>
      <c r="M219" s="298"/>
      <c r="N219" s="380"/>
      <c r="O219" s="273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</row>
    <row r="220" spans="2:31" ht="15">
      <c r="B220" s="378">
        <f t="shared" si="6"/>
        <v>175</v>
      </c>
      <c r="C220" s="386" t="str" cm="1">
        <f t="array" aca="1" ref="C220" ca="1">IF(B220&lt;=$C$9,GetGetCDSName(B220),"")</f>
        <v/>
      </c>
      <c r="D220" s="346"/>
      <c r="E220" s="379"/>
      <c r="F220" s="298"/>
      <c r="G220" s="298"/>
      <c r="H220" s="298"/>
      <c r="I220" s="298"/>
      <c r="J220" s="298"/>
      <c r="K220" s="298"/>
      <c r="L220" s="298"/>
      <c r="M220" s="298"/>
      <c r="N220" s="380"/>
      <c r="O220" s="273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</row>
    <row r="221" spans="2:31" ht="15">
      <c r="B221" s="378">
        <f t="shared" si="6"/>
        <v>176</v>
      </c>
      <c r="C221" s="386" t="str" cm="1">
        <f t="array" aca="1" ref="C221" ca="1">IF(B221&lt;=$C$9,GetGetCDSName(B221),"")</f>
        <v/>
      </c>
      <c r="D221" s="346"/>
      <c r="E221" s="379"/>
      <c r="F221" s="298"/>
      <c r="G221" s="298"/>
      <c r="H221" s="298"/>
      <c r="I221" s="298"/>
      <c r="J221" s="298"/>
      <c r="K221" s="298"/>
      <c r="L221" s="298"/>
      <c r="M221" s="298"/>
      <c r="N221" s="380"/>
      <c r="O221" s="273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</row>
    <row r="222" spans="2:31" ht="15">
      <c r="B222" s="378">
        <f t="shared" si="6"/>
        <v>177</v>
      </c>
      <c r="C222" s="386" t="str" cm="1">
        <f t="array" aca="1" ref="C222" ca="1">IF(B222&lt;=$C$9,GetGetCDSName(B222),"")</f>
        <v/>
      </c>
      <c r="D222" s="346"/>
      <c r="E222" s="379"/>
      <c r="F222" s="298"/>
      <c r="G222" s="298"/>
      <c r="H222" s="298"/>
      <c r="I222" s="298"/>
      <c r="J222" s="298"/>
      <c r="K222" s="298"/>
      <c r="L222" s="298"/>
      <c r="M222" s="298"/>
      <c r="N222" s="380"/>
      <c r="O222" s="273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</row>
    <row r="223" spans="2:31" ht="15">
      <c r="B223" s="378">
        <f t="shared" si="6"/>
        <v>178</v>
      </c>
      <c r="C223" s="386" t="str" cm="1">
        <f t="array" aca="1" ref="C223" ca="1">IF(B223&lt;=$C$9,GetGetCDSName(B223),"")</f>
        <v/>
      </c>
      <c r="D223" s="346"/>
      <c r="E223" s="379"/>
      <c r="F223" s="298"/>
      <c r="G223" s="298"/>
      <c r="H223" s="298"/>
      <c r="I223" s="298"/>
      <c r="J223" s="298"/>
      <c r="K223" s="298"/>
      <c r="L223" s="298"/>
      <c r="M223" s="298"/>
      <c r="N223" s="380"/>
      <c r="O223" s="273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</row>
    <row r="224" spans="2:31" ht="15">
      <c r="B224" s="378">
        <f t="shared" si="6"/>
        <v>179</v>
      </c>
      <c r="C224" s="386" t="str" cm="1">
        <f t="array" aca="1" ref="C224" ca="1">IF(B224&lt;=$C$9,GetGetCDSName(B224),"")</f>
        <v/>
      </c>
      <c r="D224" s="346"/>
      <c r="E224" s="379"/>
      <c r="F224" s="298"/>
      <c r="G224" s="298"/>
      <c r="H224" s="298"/>
      <c r="I224" s="298"/>
      <c r="J224" s="298"/>
      <c r="K224" s="298"/>
      <c r="L224" s="298"/>
      <c r="M224" s="298"/>
      <c r="N224" s="380"/>
      <c r="O224" s="273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</row>
    <row r="225" spans="2:31" ht="15">
      <c r="B225" s="378">
        <f t="shared" si="6"/>
        <v>180</v>
      </c>
      <c r="C225" s="386" t="str" cm="1">
        <f t="array" aca="1" ref="C225" ca="1">IF(B225&lt;=$C$9,GetGetCDSName(B225),"")</f>
        <v/>
      </c>
      <c r="D225" s="346"/>
      <c r="E225" s="379"/>
      <c r="F225" s="298"/>
      <c r="G225" s="298"/>
      <c r="H225" s="298"/>
      <c r="I225" s="298"/>
      <c r="J225" s="298"/>
      <c r="K225" s="298"/>
      <c r="L225" s="298"/>
      <c r="M225" s="298"/>
      <c r="N225" s="380"/>
      <c r="O225" s="273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</row>
    <row r="226" spans="2:31" ht="15">
      <c r="B226" s="378">
        <f t="shared" si="6"/>
        <v>181</v>
      </c>
      <c r="C226" s="386" t="str" cm="1">
        <f t="array" aca="1" ref="C226" ca="1">IF(B226&lt;=$C$9,GetGetCDSName(B226),"")</f>
        <v/>
      </c>
      <c r="D226" s="346"/>
      <c r="E226" s="379"/>
      <c r="F226" s="298"/>
      <c r="G226" s="298"/>
      <c r="H226" s="298"/>
      <c r="I226" s="298"/>
      <c r="J226" s="298"/>
      <c r="K226" s="298"/>
      <c r="L226" s="298"/>
      <c r="M226" s="298"/>
      <c r="N226" s="380"/>
      <c r="O226" s="273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</row>
    <row r="227" spans="2:31" ht="15">
      <c r="B227" s="378">
        <f t="shared" si="6"/>
        <v>182</v>
      </c>
      <c r="C227" s="386" t="str" cm="1">
        <f t="array" aca="1" ref="C227" ca="1">IF(B227&lt;=$C$9,GetGetCDSName(B227),"")</f>
        <v/>
      </c>
      <c r="D227" s="346"/>
      <c r="E227" s="379"/>
      <c r="F227" s="298"/>
      <c r="G227" s="298"/>
      <c r="H227" s="298"/>
      <c r="I227" s="298"/>
      <c r="J227" s="298"/>
      <c r="K227" s="298"/>
      <c r="L227" s="298"/>
      <c r="M227" s="298"/>
      <c r="N227" s="380"/>
      <c r="O227" s="273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</row>
    <row r="228" spans="2:31" ht="15">
      <c r="B228" s="378">
        <f t="shared" si="6"/>
        <v>183</v>
      </c>
      <c r="C228" s="386" t="str" cm="1">
        <f t="array" aca="1" ref="C228" ca="1">IF(B228&lt;=$C$9,GetGetCDSName(B228),"")</f>
        <v/>
      </c>
      <c r="D228" s="346"/>
      <c r="E228" s="379"/>
      <c r="F228" s="298"/>
      <c r="G228" s="298"/>
      <c r="H228" s="298"/>
      <c r="I228" s="298"/>
      <c r="J228" s="298"/>
      <c r="K228" s="298"/>
      <c r="L228" s="298"/>
      <c r="M228" s="298"/>
      <c r="N228" s="380"/>
      <c r="O228" s="273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</row>
    <row r="229" spans="2:31" ht="15">
      <c r="B229" s="378">
        <f t="shared" si="6"/>
        <v>184</v>
      </c>
      <c r="C229" s="386" t="str" cm="1">
        <f t="array" aca="1" ref="C229" ca="1">IF(B229&lt;=$C$9,GetGetCDSName(B229),"")</f>
        <v/>
      </c>
      <c r="D229" s="346"/>
      <c r="E229" s="379"/>
      <c r="F229" s="298"/>
      <c r="G229" s="298"/>
      <c r="H229" s="298"/>
      <c r="I229" s="298"/>
      <c r="J229" s="298"/>
      <c r="K229" s="298"/>
      <c r="L229" s="298"/>
      <c r="M229" s="298"/>
      <c r="N229" s="380"/>
      <c r="O229" s="273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</row>
    <row r="230" spans="2:31" ht="15">
      <c r="B230" s="378">
        <f t="shared" si="6"/>
        <v>185</v>
      </c>
      <c r="C230" s="386" t="str" cm="1">
        <f t="array" aca="1" ref="C230" ca="1">IF(B230&lt;=$C$9,GetGetCDSName(B230),"")</f>
        <v/>
      </c>
      <c r="D230" s="346"/>
      <c r="E230" s="379"/>
      <c r="F230" s="298"/>
      <c r="G230" s="298"/>
      <c r="H230" s="298"/>
      <c r="I230" s="298"/>
      <c r="J230" s="298"/>
      <c r="K230" s="298"/>
      <c r="L230" s="298"/>
      <c r="M230" s="298"/>
      <c r="N230" s="380"/>
      <c r="O230" s="273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</row>
    <row r="231" spans="2:31" ht="15">
      <c r="B231" s="378">
        <f t="shared" si="6"/>
        <v>186</v>
      </c>
      <c r="C231" s="386" t="str" cm="1">
        <f t="array" aca="1" ref="C231" ca="1">IF(B231&lt;=$C$9,GetGetCDSName(B231),"")</f>
        <v/>
      </c>
      <c r="D231" s="346"/>
      <c r="E231" s="379"/>
      <c r="F231" s="298"/>
      <c r="G231" s="298"/>
      <c r="H231" s="298"/>
      <c r="I231" s="298"/>
      <c r="J231" s="298"/>
      <c r="K231" s="298"/>
      <c r="L231" s="298"/>
      <c r="M231" s="298"/>
      <c r="N231" s="380"/>
      <c r="O231" s="273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</row>
    <row r="232" spans="2:31" ht="15">
      <c r="B232" s="378">
        <f t="shared" si="6"/>
        <v>187</v>
      </c>
      <c r="C232" s="386" t="str" cm="1">
        <f t="array" aca="1" ref="C232" ca="1">IF(B232&lt;=$C$9,GetGetCDSName(B232),"")</f>
        <v/>
      </c>
      <c r="D232" s="346"/>
      <c r="E232" s="379"/>
      <c r="F232" s="298"/>
      <c r="G232" s="298"/>
      <c r="H232" s="298"/>
      <c r="I232" s="298"/>
      <c r="J232" s="298"/>
      <c r="K232" s="298"/>
      <c r="L232" s="298"/>
      <c r="M232" s="298"/>
      <c r="N232" s="380"/>
      <c r="O232" s="273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</row>
    <row r="233" spans="2:31" ht="15">
      <c r="B233" s="378">
        <f t="shared" si="6"/>
        <v>188</v>
      </c>
      <c r="C233" s="386" t="str" cm="1">
        <f t="array" aca="1" ref="C233" ca="1">IF(B233&lt;=$C$9,GetGetCDSName(B233),"")</f>
        <v/>
      </c>
      <c r="D233" s="346"/>
      <c r="E233" s="379"/>
      <c r="F233" s="298"/>
      <c r="G233" s="298"/>
      <c r="H233" s="298"/>
      <c r="I233" s="298"/>
      <c r="J233" s="298"/>
      <c r="K233" s="298"/>
      <c r="L233" s="298"/>
      <c r="M233" s="298"/>
      <c r="N233" s="380"/>
      <c r="O233" s="273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</row>
    <row r="234" spans="2:31" ht="15">
      <c r="B234" s="378">
        <f t="shared" si="6"/>
        <v>189</v>
      </c>
      <c r="C234" s="386" t="str" cm="1">
        <f t="array" aca="1" ref="C234" ca="1">IF(B234&lt;=$C$9,GetGetCDSName(B234),"")</f>
        <v/>
      </c>
      <c r="D234" s="346"/>
      <c r="E234" s="379"/>
      <c r="F234" s="298"/>
      <c r="G234" s="298"/>
      <c r="H234" s="298"/>
      <c r="I234" s="298"/>
      <c r="J234" s="298"/>
      <c r="K234" s="298"/>
      <c r="L234" s="298"/>
      <c r="M234" s="298"/>
      <c r="N234" s="380"/>
      <c r="O234" s="273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</row>
    <row r="235" spans="2:31" ht="15">
      <c r="B235" s="378">
        <f t="shared" si="6"/>
        <v>190</v>
      </c>
      <c r="C235" s="386" t="str" cm="1">
        <f t="array" aca="1" ref="C235" ca="1">IF(B235&lt;=$C$9,GetGetCDSName(B235),"")</f>
        <v/>
      </c>
      <c r="D235" s="346"/>
      <c r="E235" s="379"/>
      <c r="F235" s="298"/>
      <c r="G235" s="298"/>
      <c r="H235" s="298"/>
      <c r="I235" s="298"/>
      <c r="J235" s="298"/>
      <c r="K235" s="298"/>
      <c r="L235" s="298"/>
      <c r="M235" s="298"/>
      <c r="N235" s="380"/>
      <c r="O235" s="273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</row>
    <row r="236" spans="2:31" ht="15">
      <c r="B236" s="378">
        <f t="shared" si="6"/>
        <v>191</v>
      </c>
      <c r="C236" s="386" t="str" cm="1">
        <f t="array" aca="1" ref="C236" ca="1">IF(B236&lt;=$C$9,GetGetCDSName(B236),"")</f>
        <v/>
      </c>
      <c r="D236" s="346"/>
      <c r="E236" s="379"/>
      <c r="F236" s="298"/>
      <c r="G236" s="298"/>
      <c r="H236" s="298"/>
      <c r="I236" s="298"/>
      <c r="J236" s="298"/>
      <c r="K236" s="298"/>
      <c r="L236" s="298"/>
      <c r="M236" s="298"/>
      <c r="N236" s="380"/>
      <c r="O236" s="273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</row>
    <row r="237" spans="2:31" ht="15">
      <c r="B237" s="378">
        <f t="shared" si="6"/>
        <v>192</v>
      </c>
      <c r="C237" s="386" t="str" cm="1">
        <f t="array" aca="1" ref="C237" ca="1">IF(B237&lt;=$C$9,GetGetCDSName(B237),"")</f>
        <v/>
      </c>
      <c r="D237" s="346"/>
      <c r="E237" s="379"/>
      <c r="F237" s="298"/>
      <c r="G237" s="298"/>
      <c r="H237" s="298"/>
      <c r="I237" s="298"/>
      <c r="J237" s="298"/>
      <c r="K237" s="298"/>
      <c r="L237" s="298"/>
      <c r="M237" s="298"/>
      <c r="N237" s="380"/>
      <c r="O237" s="273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</row>
    <row r="238" spans="2:31" ht="15">
      <c r="B238" s="378">
        <f t="shared" si="6"/>
        <v>193</v>
      </c>
      <c r="C238" s="386" t="str" cm="1">
        <f t="array" aca="1" ref="C238" ca="1">IF(B238&lt;=$C$9,GetGetCDSName(B238),"")</f>
        <v/>
      </c>
      <c r="D238" s="346"/>
      <c r="E238" s="379"/>
      <c r="F238" s="298"/>
      <c r="G238" s="298"/>
      <c r="H238" s="298"/>
      <c r="I238" s="298"/>
      <c r="J238" s="298"/>
      <c r="K238" s="298"/>
      <c r="L238" s="298"/>
      <c r="M238" s="298"/>
      <c r="N238" s="380"/>
      <c r="O238" s="273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</row>
    <row r="239" spans="2:31" ht="15">
      <c r="B239" s="378">
        <f t="shared" ref="B239:B302" si="7">B238+1</f>
        <v>194</v>
      </c>
      <c r="C239" s="386" t="str" cm="1">
        <f t="array" aca="1" ref="C239" ca="1">IF(B239&lt;=$C$9,GetGetCDSName(B239),"")</f>
        <v/>
      </c>
      <c r="D239" s="346"/>
      <c r="E239" s="379"/>
      <c r="F239" s="298"/>
      <c r="G239" s="298"/>
      <c r="H239" s="298"/>
      <c r="I239" s="298"/>
      <c r="J239" s="298"/>
      <c r="K239" s="298"/>
      <c r="L239" s="298"/>
      <c r="M239" s="298"/>
      <c r="N239" s="380"/>
      <c r="O239" s="273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</row>
    <row r="240" spans="2:31" ht="15">
      <c r="B240" s="378">
        <f t="shared" si="7"/>
        <v>195</v>
      </c>
      <c r="C240" s="386" t="str" cm="1">
        <f t="array" aca="1" ref="C240" ca="1">IF(B240&lt;=$C$9,GetGetCDSName(B240),"")</f>
        <v/>
      </c>
      <c r="D240" s="346"/>
      <c r="E240" s="379"/>
      <c r="F240" s="298"/>
      <c r="G240" s="298"/>
      <c r="H240" s="298"/>
      <c r="I240" s="298"/>
      <c r="J240" s="298"/>
      <c r="K240" s="298"/>
      <c r="L240" s="298"/>
      <c r="M240" s="298"/>
      <c r="N240" s="380"/>
      <c r="O240" s="273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</row>
    <row r="241" spans="2:31" ht="15">
      <c r="B241" s="378">
        <f t="shared" si="7"/>
        <v>196</v>
      </c>
      <c r="C241" s="386" t="str" cm="1">
        <f t="array" aca="1" ref="C241" ca="1">IF(B241&lt;=$C$9,GetGetCDSName(B241),"")</f>
        <v/>
      </c>
      <c r="D241" s="346"/>
      <c r="E241" s="379"/>
      <c r="F241" s="298"/>
      <c r="G241" s="298"/>
      <c r="H241" s="298"/>
      <c r="I241" s="298"/>
      <c r="J241" s="298"/>
      <c r="K241" s="298"/>
      <c r="L241" s="298"/>
      <c r="M241" s="298"/>
      <c r="N241" s="380"/>
      <c r="O241" s="273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</row>
    <row r="242" spans="2:31" ht="15">
      <c r="B242" s="378">
        <f t="shared" si="7"/>
        <v>197</v>
      </c>
      <c r="C242" s="386" t="str" cm="1">
        <f t="array" aca="1" ref="C242" ca="1">IF(B242&lt;=$C$9,GetGetCDSName(B242),"")</f>
        <v/>
      </c>
      <c r="D242" s="346"/>
      <c r="E242" s="379"/>
      <c r="F242" s="298"/>
      <c r="G242" s="298"/>
      <c r="H242" s="298"/>
      <c r="I242" s="298"/>
      <c r="J242" s="298"/>
      <c r="K242" s="298"/>
      <c r="L242" s="298"/>
      <c r="M242" s="298"/>
      <c r="N242" s="380"/>
      <c r="O242" s="273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</row>
    <row r="243" spans="2:31" ht="15">
      <c r="B243" s="378">
        <f t="shared" si="7"/>
        <v>198</v>
      </c>
      <c r="C243" s="386" t="str" cm="1">
        <f t="array" aca="1" ref="C243" ca="1">IF(B243&lt;=$C$9,GetGetCDSName(B243),"")</f>
        <v/>
      </c>
      <c r="D243" s="346"/>
      <c r="E243" s="379"/>
      <c r="F243" s="298"/>
      <c r="G243" s="298"/>
      <c r="H243" s="298"/>
      <c r="I243" s="298"/>
      <c r="J243" s="298"/>
      <c r="K243" s="298"/>
      <c r="L243" s="298"/>
      <c r="M243" s="298"/>
      <c r="N243" s="380"/>
      <c r="O243" s="273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</row>
    <row r="244" spans="2:31" ht="15">
      <c r="B244" s="378">
        <f t="shared" si="7"/>
        <v>199</v>
      </c>
      <c r="C244" s="386" t="str" cm="1">
        <f t="array" aca="1" ref="C244" ca="1">IF(B244&lt;=$C$9,GetGetCDSName(B244),"")</f>
        <v/>
      </c>
      <c r="D244" s="346"/>
      <c r="E244" s="379"/>
      <c r="F244" s="298"/>
      <c r="G244" s="298"/>
      <c r="H244" s="298"/>
      <c r="I244" s="298"/>
      <c r="J244" s="298"/>
      <c r="K244" s="298"/>
      <c r="L244" s="298"/>
      <c r="M244" s="298"/>
      <c r="N244" s="380"/>
      <c r="O244" s="273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</row>
    <row r="245" spans="2:31" ht="15">
      <c r="B245" s="378">
        <f t="shared" si="7"/>
        <v>200</v>
      </c>
      <c r="C245" s="386" t="str" cm="1">
        <f t="array" aca="1" ref="C245" ca="1">IF(B245&lt;=$C$9,GetGetCDSName(B245),"")</f>
        <v/>
      </c>
      <c r="D245" s="346"/>
      <c r="E245" s="379"/>
      <c r="F245" s="298"/>
      <c r="G245" s="298"/>
      <c r="H245" s="298"/>
      <c r="I245" s="298"/>
      <c r="J245" s="298"/>
      <c r="K245" s="298"/>
      <c r="L245" s="298"/>
      <c r="M245" s="298"/>
      <c r="N245" s="380"/>
      <c r="O245" s="273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</row>
    <row r="246" spans="2:31" ht="15">
      <c r="B246" s="378">
        <f t="shared" si="7"/>
        <v>201</v>
      </c>
      <c r="C246" s="386" t="str" cm="1">
        <f t="array" aca="1" ref="C246" ca="1">IF(B246&lt;=$C$9,GetGetCDSName(B246),"")</f>
        <v/>
      </c>
      <c r="D246" s="346"/>
      <c r="E246" s="379"/>
      <c r="F246" s="298"/>
      <c r="G246" s="298"/>
      <c r="H246" s="298"/>
      <c r="I246" s="298"/>
      <c r="J246" s="298"/>
      <c r="K246" s="298"/>
      <c r="L246" s="298"/>
      <c r="M246" s="298"/>
      <c r="N246" s="380"/>
      <c r="O246" s="273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</row>
    <row r="247" spans="2:31" ht="15">
      <c r="B247" s="378">
        <f t="shared" si="7"/>
        <v>202</v>
      </c>
      <c r="C247" s="386" t="str" cm="1">
        <f t="array" aca="1" ref="C247" ca="1">IF(B247&lt;=$C$9,GetGetCDSName(B247),"")</f>
        <v/>
      </c>
      <c r="D247" s="346"/>
      <c r="E247" s="379"/>
      <c r="F247" s="298"/>
      <c r="G247" s="298"/>
      <c r="H247" s="298"/>
      <c r="I247" s="298"/>
      <c r="J247" s="298"/>
      <c r="K247" s="298"/>
      <c r="L247" s="298"/>
      <c r="M247" s="298"/>
      <c r="N247" s="380"/>
      <c r="O247" s="273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</row>
    <row r="248" spans="2:31" ht="15">
      <c r="B248" s="378">
        <f t="shared" si="7"/>
        <v>203</v>
      </c>
      <c r="C248" s="386" t="str" cm="1">
        <f t="array" aca="1" ref="C248" ca="1">IF(B248&lt;=$C$9,GetGetCDSName(B248),"")</f>
        <v/>
      </c>
      <c r="D248" s="346"/>
      <c r="E248" s="379"/>
      <c r="F248" s="298"/>
      <c r="G248" s="298"/>
      <c r="H248" s="298"/>
      <c r="I248" s="298"/>
      <c r="J248" s="298"/>
      <c r="K248" s="298"/>
      <c r="L248" s="298"/>
      <c r="M248" s="298"/>
      <c r="N248" s="380"/>
      <c r="O248" s="273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</row>
    <row r="249" spans="2:31" ht="15">
      <c r="B249" s="378">
        <f t="shared" si="7"/>
        <v>204</v>
      </c>
      <c r="C249" s="386" t="str" cm="1">
        <f t="array" aca="1" ref="C249" ca="1">IF(B249&lt;=$C$9,GetGetCDSName(B249),"")</f>
        <v/>
      </c>
      <c r="D249" s="346"/>
      <c r="E249" s="379"/>
      <c r="F249" s="298"/>
      <c r="G249" s="298"/>
      <c r="H249" s="298"/>
      <c r="I249" s="298"/>
      <c r="J249" s="298"/>
      <c r="K249" s="298"/>
      <c r="L249" s="298"/>
      <c r="M249" s="298"/>
      <c r="N249" s="380"/>
      <c r="O249" s="273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</row>
    <row r="250" spans="2:31" ht="15">
      <c r="B250" s="378">
        <f t="shared" si="7"/>
        <v>205</v>
      </c>
      <c r="C250" s="386" t="str" cm="1">
        <f t="array" aca="1" ref="C250" ca="1">IF(B250&lt;=$C$9,GetGetCDSName(B250),"")</f>
        <v/>
      </c>
      <c r="D250" s="346"/>
      <c r="E250" s="379"/>
      <c r="F250" s="298"/>
      <c r="G250" s="298"/>
      <c r="H250" s="298"/>
      <c r="I250" s="298"/>
      <c r="J250" s="298"/>
      <c r="K250" s="298"/>
      <c r="L250" s="298"/>
      <c r="M250" s="298"/>
      <c r="N250" s="380"/>
      <c r="O250" s="273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</row>
    <row r="251" spans="2:31" ht="15">
      <c r="B251" s="378">
        <f t="shared" si="7"/>
        <v>206</v>
      </c>
      <c r="C251" s="386" t="str" cm="1">
        <f t="array" aca="1" ref="C251" ca="1">IF(B251&lt;=$C$9,GetGetCDSName(B251),"")</f>
        <v/>
      </c>
      <c r="D251" s="346"/>
      <c r="E251" s="379"/>
      <c r="F251" s="298"/>
      <c r="G251" s="298"/>
      <c r="H251" s="298"/>
      <c r="I251" s="298"/>
      <c r="J251" s="298"/>
      <c r="K251" s="298"/>
      <c r="L251" s="298"/>
      <c r="M251" s="298"/>
      <c r="N251" s="380"/>
      <c r="O251" s="273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</row>
    <row r="252" spans="2:31" ht="15">
      <c r="B252" s="378">
        <f t="shared" si="7"/>
        <v>207</v>
      </c>
      <c r="C252" s="386" t="str" cm="1">
        <f t="array" aca="1" ref="C252" ca="1">IF(B252&lt;=$C$9,GetGetCDSName(B252),"")</f>
        <v/>
      </c>
      <c r="D252" s="346"/>
      <c r="E252" s="379"/>
      <c r="F252" s="298"/>
      <c r="G252" s="298"/>
      <c r="H252" s="298"/>
      <c r="I252" s="298"/>
      <c r="J252" s="298"/>
      <c r="K252" s="298"/>
      <c r="L252" s="298"/>
      <c r="M252" s="298"/>
      <c r="N252" s="380"/>
      <c r="O252" s="273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</row>
    <row r="253" spans="2:31" ht="15">
      <c r="B253" s="378">
        <f t="shared" si="7"/>
        <v>208</v>
      </c>
      <c r="C253" s="386" t="str" cm="1">
        <f t="array" aca="1" ref="C253" ca="1">IF(B253&lt;=$C$9,GetGetCDSName(B253),"")</f>
        <v/>
      </c>
      <c r="D253" s="346"/>
      <c r="E253" s="379"/>
      <c r="F253" s="298"/>
      <c r="G253" s="298"/>
      <c r="H253" s="298"/>
      <c r="I253" s="298"/>
      <c r="J253" s="298"/>
      <c r="K253" s="298"/>
      <c r="L253" s="298"/>
      <c r="M253" s="298"/>
      <c r="N253" s="380"/>
      <c r="O253" s="273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</row>
    <row r="254" spans="2:31" ht="15">
      <c r="B254" s="378">
        <f t="shared" si="7"/>
        <v>209</v>
      </c>
      <c r="C254" s="386" t="str" cm="1">
        <f t="array" aca="1" ref="C254" ca="1">IF(B254&lt;=$C$9,GetGetCDSName(B254),"")</f>
        <v/>
      </c>
      <c r="D254" s="346"/>
      <c r="E254" s="379"/>
      <c r="F254" s="298"/>
      <c r="G254" s="298"/>
      <c r="H254" s="298"/>
      <c r="I254" s="298"/>
      <c r="J254" s="298"/>
      <c r="K254" s="298"/>
      <c r="L254" s="298"/>
      <c r="M254" s="298"/>
      <c r="N254" s="380"/>
      <c r="O254" s="273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</row>
    <row r="255" spans="2:31" ht="15">
      <c r="B255" s="378">
        <f t="shared" si="7"/>
        <v>210</v>
      </c>
      <c r="C255" s="386" t="str" cm="1">
        <f t="array" aca="1" ref="C255" ca="1">IF(B255&lt;=$C$9,GetGetCDSName(B255),"")</f>
        <v/>
      </c>
      <c r="D255" s="346"/>
      <c r="E255" s="379"/>
      <c r="F255" s="298"/>
      <c r="G255" s="298"/>
      <c r="H255" s="298"/>
      <c r="I255" s="298"/>
      <c r="J255" s="298"/>
      <c r="K255" s="298"/>
      <c r="L255" s="298"/>
      <c r="M255" s="298"/>
      <c r="N255" s="380"/>
      <c r="O255" s="273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</row>
    <row r="256" spans="2:31" ht="15">
      <c r="B256" s="378">
        <f t="shared" si="7"/>
        <v>211</v>
      </c>
      <c r="C256" s="386" t="str" cm="1">
        <f t="array" aca="1" ref="C256" ca="1">IF(B256&lt;=$C$9,GetGetCDSName(B256),"")</f>
        <v/>
      </c>
      <c r="D256" s="346"/>
      <c r="E256" s="379"/>
      <c r="F256" s="298"/>
      <c r="G256" s="298"/>
      <c r="H256" s="298"/>
      <c r="I256" s="298"/>
      <c r="J256" s="298"/>
      <c r="K256" s="298"/>
      <c r="L256" s="298"/>
      <c r="M256" s="298"/>
      <c r="N256" s="380"/>
      <c r="O256" s="273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</row>
    <row r="257" spans="2:31" ht="15">
      <c r="B257" s="378">
        <f t="shared" si="7"/>
        <v>212</v>
      </c>
      <c r="C257" s="386" t="str" cm="1">
        <f t="array" aca="1" ref="C257" ca="1">IF(B257&lt;=$C$9,GetGetCDSName(B257),"")</f>
        <v/>
      </c>
      <c r="D257" s="346"/>
      <c r="E257" s="379"/>
      <c r="F257" s="298"/>
      <c r="G257" s="298"/>
      <c r="H257" s="298"/>
      <c r="I257" s="298"/>
      <c r="J257" s="298"/>
      <c r="K257" s="298"/>
      <c r="L257" s="298"/>
      <c r="M257" s="298"/>
      <c r="N257" s="380"/>
      <c r="O257" s="273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</row>
    <row r="258" spans="2:31" ht="15">
      <c r="B258" s="378">
        <f t="shared" si="7"/>
        <v>213</v>
      </c>
      <c r="C258" s="386" t="str" cm="1">
        <f t="array" aca="1" ref="C258" ca="1">IF(B258&lt;=$C$9,GetGetCDSName(B258),"")</f>
        <v/>
      </c>
      <c r="D258" s="346"/>
      <c r="E258" s="379"/>
      <c r="F258" s="298"/>
      <c r="G258" s="298"/>
      <c r="H258" s="298"/>
      <c r="I258" s="298"/>
      <c r="J258" s="298"/>
      <c r="K258" s="298"/>
      <c r="L258" s="298"/>
      <c r="M258" s="298"/>
      <c r="N258" s="380"/>
      <c r="O258" s="273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</row>
    <row r="259" spans="2:31" ht="15">
      <c r="B259" s="378">
        <f t="shared" si="7"/>
        <v>214</v>
      </c>
      <c r="C259" s="386" t="str" cm="1">
        <f t="array" aca="1" ref="C259" ca="1">IF(B259&lt;=$C$9,GetGetCDSName(B259),"")</f>
        <v/>
      </c>
      <c r="D259" s="346"/>
      <c r="E259" s="379"/>
      <c r="F259" s="298"/>
      <c r="G259" s="298"/>
      <c r="H259" s="298"/>
      <c r="I259" s="298"/>
      <c r="J259" s="298"/>
      <c r="K259" s="298"/>
      <c r="L259" s="298"/>
      <c r="M259" s="298"/>
      <c r="N259" s="380"/>
      <c r="O259" s="273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</row>
    <row r="260" spans="2:31" ht="15">
      <c r="B260" s="378">
        <f t="shared" si="7"/>
        <v>215</v>
      </c>
      <c r="C260" s="386" t="str" cm="1">
        <f t="array" aca="1" ref="C260" ca="1">IF(B260&lt;=$C$9,GetGetCDSName(B260),"")</f>
        <v/>
      </c>
      <c r="D260" s="346"/>
      <c r="E260" s="379"/>
      <c r="F260" s="298"/>
      <c r="G260" s="298"/>
      <c r="H260" s="298"/>
      <c r="I260" s="298"/>
      <c r="J260" s="298"/>
      <c r="K260" s="298"/>
      <c r="L260" s="298"/>
      <c r="M260" s="298"/>
      <c r="N260" s="380"/>
      <c r="O260" s="273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</row>
    <row r="261" spans="2:31" ht="15">
      <c r="B261" s="378">
        <f t="shared" si="7"/>
        <v>216</v>
      </c>
      <c r="C261" s="386" t="str" cm="1">
        <f t="array" aca="1" ref="C261" ca="1">IF(B261&lt;=$C$9,GetGetCDSName(B261),"")</f>
        <v/>
      </c>
      <c r="D261" s="346"/>
      <c r="E261" s="379"/>
      <c r="F261" s="298"/>
      <c r="G261" s="298"/>
      <c r="H261" s="298"/>
      <c r="I261" s="298"/>
      <c r="J261" s="298"/>
      <c r="K261" s="298"/>
      <c r="L261" s="298"/>
      <c r="M261" s="298"/>
      <c r="N261" s="380"/>
      <c r="O261" s="273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</row>
    <row r="262" spans="2:31" ht="15">
      <c r="B262" s="378">
        <f t="shared" si="7"/>
        <v>217</v>
      </c>
      <c r="C262" s="386" t="str" cm="1">
        <f t="array" aca="1" ref="C262" ca="1">IF(B262&lt;=$C$9,GetGetCDSName(B262),"")</f>
        <v/>
      </c>
      <c r="D262" s="346"/>
      <c r="E262" s="379"/>
      <c r="F262" s="298"/>
      <c r="G262" s="298"/>
      <c r="H262" s="298"/>
      <c r="I262" s="298"/>
      <c r="J262" s="298"/>
      <c r="K262" s="298"/>
      <c r="L262" s="298"/>
      <c r="M262" s="298"/>
      <c r="N262" s="380"/>
      <c r="O262" s="273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</row>
    <row r="263" spans="2:31" ht="15">
      <c r="B263" s="378">
        <f t="shared" si="7"/>
        <v>218</v>
      </c>
      <c r="C263" s="386" t="str" cm="1">
        <f t="array" aca="1" ref="C263" ca="1">IF(B263&lt;=$C$9,GetGetCDSName(B263),"")</f>
        <v/>
      </c>
      <c r="D263" s="346"/>
      <c r="E263" s="379"/>
      <c r="F263" s="298"/>
      <c r="G263" s="298"/>
      <c r="H263" s="298"/>
      <c r="I263" s="298"/>
      <c r="J263" s="298"/>
      <c r="K263" s="298"/>
      <c r="L263" s="298"/>
      <c r="M263" s="298"/>
      <c r="N263" s="380"/>
      <c r="O263" s="273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</row>
    <row r="264" spans="2:31" ht="15">
      <c r="B264" s="378">
        <f t="shared" si="7"/>
        <v>219</v>
      </c>
      <c r="C264" s="386" t="str" cm="1">
        <f t="array" aca="1" ref="C264" ca="1">IF(B264&lt;=$C$9,GetGetCDSName(B264),"")</f>
        <v/>
      </c>
      <c r="D264" s="346"/>
      <c r="E264" s="379"/>
      <c r="F264" s="298"/>
      <c r="G264" s="298"/>
      <c r="H264" s="298"/>
      <c r="I264" s="298"/>
      <c r="J264" s="298"/>
      <c r="K264" s="298"/>
      <c r="L264" s="298"/>
      <c r="M264" s="298"/>
      <c r="N264" s="380"/>
      <c r="O264" s="273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</row>
    <row r="265" spans="2:31" ht="15">
      <c r="B265" s="378">
        <f t="shared" si="7"/>
        <v>220</v>
      </c>
      <c r="C265" s="386" t="str" cm="1">
        <f t="array" aca="1" ref="C265" ca="1">IF(B265&lt;=$C$9,GetGetCDSName(B265),"")</f>
        <v/>
      </c>
      <c r="D265" s="346"/>
      <c r="E265" s="379"/>
      <c r="F265" s="298"/>
      <c r="G265" s="298"/>
      <c r="H265" s="298"/>
      <c r="I265" s="298"/>
      <c r="J265" s="298"/>
      <c r="K265" s="298"/>
      <c r="L265" s="298"/>
      <c r="M265" s="298"/>
      <c r="N265" s="380"/>
      <c r="O265" s="273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</row>
    <row r="266" spans="2:31" ht="15">
      <c r="B266" s="378">
        <f t="shared" si="7"/>
        <v>221</v>
      </c>
      <c r="C266" s="386" t="str" cm="1">
        <f t="array" aca="1" ref="C266" ca="1">IF(B266&lt;=$C$9,GetGetCDSName(B266),"")</f>
        <v/>
      </c>
      <c r="D266" s="346"/>
      <c r="E266" s="379"/>
      <c r="F266" s="298"/>
      <c r="G266" s="298"/>
      <c r="H266" s="298"/>
      <c r="I266" s="298"/>
      <c r="J266" s="298"/>
      <c r="K266" s="298"/>
      <c r="L266" s="298"/>
      <c r="M266" s="298"/>
      <c r="N266" s="380"/>
      <c r="O266" s="273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</row>
    <row r="267" spans="2:31" ht="15">
      <c r="B267" s="378">
        <f t="shared" si="7"/>
        <v>222</v>
      </c>
      <c r="C267" s="386" t="str" cm="1">
        <f t="array" aca="1" ref="C267" ca="1">IF(B267&lt;=$C$9,GetGetCDSName(B267),"")</f>
        <v/>
      </c>
      <c r="D267" s="346"/>
      <c r="E267" s="379"/>
      <c r="F267" s="298"/>
      <c r="G267" s="298"/>
      <c r="H267" s="298"/>
      <c r="I267" s="298"/>
      <c r="J267" s="298"/>
      <c r="K267" s="298"/>
      <c r="L267" s="298"/>
      <c r="M267" s="298"/>
      <c r="N267" s="380"/>
      <c r="O267" s="273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</row>
    <row r="268" spans="2:31" ht="15">
      <c r="B268" s="378">
        <f t="shared" si="7"/>
        <v>223</v>
      </c>
      <c r="C268" s="386" t="str" cm="1">
        <f t="array" aca="1" ref="C268" ca="1">IF(B268&lt;=$C$9,GetGetCDSName(B268),"")</f>
        <v/>
      </c>
      <c r="D268" s="346"/>
      <c r="E268" s="379"/>
      <c r="F268" s="298"/>
      <c r="G268" s="298"/>
      <c r="H268" s="298"/>
      <c r="I268" s="298"/>
      <c r="J268" s="298"/>
      <c r="K268" s="298"/>
      <c r="L268" s="298"/>
      <c r="M268" s="298"/>
      <c r="N268" s="380"/>
      <c r="O268" s="273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</row>
    <row r="269" spans="2:31" ht="15">
      <c r="B269" s="378">
        <f t="shared" si="7"/>
        <v>224</v>
      </c>
      <c r="C269" s="386" t="str" cm="1">
        <f t="array" aca="1" ref="C269" ca="1">IF(B269&lt;=$C$9,GetGetCDSName(B269),"")</f>
        <v/>
      </c>
      <c r="D269" s="346"/>
      <c r="E269" s="379"/>
      <c r="F269" s="298"/>
      <c r="G269" s="298"/>
      <c r="H269" s="298"/>
      <c r="I269" s="298"/>
      <c r="J269" s="298"/>
      <c r="K269" s="298"/>
      <c r="L269" s="298"/>
      <c r="M269" s="298"/>
      <c r="N269" s="380"/>
      <c r="O269" s="273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</row>
    <row r="270" spans="2:31" ht="15">
      <c r="B270" s="378">
        <f t="shared" si="7"/>
        <v>225</v>
      </c>
      <c r="C270" s="386" t="str" cm="1">
        <f t="array" aca="1" ref="C270" ca="1">IF(B270&lt;=$C$9,GetGetCDSName(B270),"")</f>
        <v/>
      </c>
      <c r="D270" s="346"/>
      <c r="E270" s="379"/>
      <c r="F270" s="298"/>
      <c r="G270" s="298"/>
      <c r="H270" s="298"/>
      <c r="I270" s="298"/>
      <c r="J270" s="298"/>
      <c r="K270" s="298"/>
      <c r="L270" s="298"/>
      <c r="M270" s="298"/>
      <c r="N270" s="380"/>
      <c r="O270" s="273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</row>
    <row r="271" spans="2:31" ht="15">
      <c r="B271" s="378">
        <f t="shared" si="7"/>
        <v>226</v>
      </c>
      <c r="C271" s="386" t="str" cm="1">
        <f t="array" aca="1" ref="C271" ca="1">IF(B271&lt;=$C$9,GetGetCDSName(B271),"")</f>
        <v/>
      </c>
      <c r="D271" s="346"/>
      <c r="E271" s="379"/>
      <c r="F271" s="298"/>
      <c r="G271" s="298"/>
      <c r="H271" s="298"/>
      <c r="I271" s="298"/>
      <c r="J271" s="298"/>
      <c r="K271" s="298"/>
      <c r="L271" s="298"/>
      <c r="M271" s="298"/>
      <c r="N271" s="380"/>
      <c r="O271" s="273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</row>
    <row r="272" spans="2:31" ht="15">
      <c r="B272" s="378">
        <f t="shared" si="7"/>
        <v>227</v>
      </c>
      <c r="C272" s="386" t="str" cm="1">
        <f t="array" aca="1" ref="C272" ca="1">IF(B272&lt;=$C$9,GetGetCDSName(B272),"")</f>
        <v/>
      </c>
      <c r="D272" s="346"/>
      <c r="E272" s="379"/>
      <c r="F272" s="298"/>
      <c r="G272" s="298"/>
      <c r="H272" s="298"/>
      <c r="I272" s="298"/>
      <c r="J272" s="298"/>
      <c r="K272" s="298"/>
      <c r="L272" s="298"/>
      <c r="M272" s="298"/>
      <c r="N272" s="380"/>
      <c r="O272" s="273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</row>
    <row r="273" spans="2:31" ht="15">
      <c r="B273" s="378">
        <f t="shared" si="7"/>
        <v>228</v>
      </c>
      <c r="C273" s="386" t="str" cm="1">
        <f t="array" aca="1" ref="C273" ca="1">IF(B273&lt;=$C$9,GetGetCDSName(B273),"")</f>
        <v/>
      </c>
      <c r="D273" s="346"/>
      <c r="E273" s="379"/>
      <c r="F273" s="298"/>
      <c r="G273" s="298"/>
      <c r="H273" s="298"/>
      <c r="I273" s="298"/>
      <c r="J273" s="298"/>
      <c r="K273" s="298"/>
      <c r="L273" s="298"/>
      <c r="M273" s="298"/>
      <c r="N273" s="380"/>
      <c r="O273" s="273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</row>
    <row r="274" spans="2:31" ht="15">
      <c r="B274" s="378">
        <f t="shared" si="7"/>
        <v>229</v>
      </c>
      <c r="C274" s="386" t="str" cm="1">
        <f t="array" aca="1" ref="C274" ca="1">IF(B274&lt;=$C$9,GetGetCDSName(B274),"")</f>
        <v/>
      </c>
      <c r="D274" s="346"/>
      <c r="E274" s="379"/>
      <c r="F274" s="298"/>
      <c r="G274" s="298"/>
      <c r="H274" s="298"/>
      <c r="I274" s="298"/>
      <c r="J274" s="298"/>
      <c r="K274" s="298"/>
      <c r="L274" s="298"/>
      <c r="M274" s="298"/>
      <c r="N274" s="380"/>
      <c r="O274" s="273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</row>
    <row r="275" spans="2:31" ht="15">
      <c r="B275" s="378">
        <f t="shared" si="7"/>
        <v>230</v>
      </c>
      <c r="C275" s="386" t="str" cm="1">
        <f t="array" aca="1" ref="C275" ca="1">IF(B275&lt;=$C$9,GetGetCDSName(B275),"")</f>
        <v/>
      </c>
      <c r="D275" s="346"/>
      <c r="E275" s="379"/>
      <c r="F275" s="298"/>
      <c r="G275" s="298"/>
      <c r="H275" s="298"/>
      <c r="I275" s="298"/>
      <c r="J275" s="298"/>
      <c r="K275" s="298"/>
      <c r="L275" s="298"/>
      <c r="M275" s="298"/>
      <c r="N275" s="380"/>
      <c r="O275" s="273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</row>
    <row r="276" spans="2:31" ht="15">
      <c r="B276" s="378">
        <f t="shared" si="7"/>
        <v>231</v>
      </c>
      <c r="C276" s="386" t="str" cm="1">
        <f t="array" aca="1" ref="C276" ca="1">IF(B276&lt;=$C$9,GetGetCDSName(B276),"")</f>
        <v/>
      </c>
      <c r="D276" s="346"/>
      <c r="E276" s="379"/>
      <c r="F276" s="298"/>
      <c r="G276" s="298"/>
      <c r="H276" s="298"/>
      <c r="I276" s="298"/>
      <c r="J276" s="298"/>
      <c r="K276" s="298"/>
      <c r="L276" s="298"/>
      <c r="M276" s="298"/>
      <c r="N276" s="380"/>
      <c r="O276" s="273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</row>
    <row r="277" spans="2:31" ht="15">
      <c r="B277" s="378">
        <f t="shared" si="7"/>
        <v>232</v>
      </c>
      <c r="C277" s="386" t="str" cm="1">
        <f t="array" aca="1" ref="C277" ca="1">IF(B277&lt;=$C$9,GetGetCDSName(B277),"")</f>
        <v/>
      </c>
      <c r="D277" s="346"/>
      <c r="E277" s="379"/>
      <c r="F277" s="298"/>
      <c r="G277" s="298"/>
      <c r="H277" s="298"/>
      <c r="I277" s="298"/>
      <c r="J277" s="298"/>
      <c r="K277" s="298"/>
      <c r="L277" s="298"/>
      <c r="M277" s="298"/>
      <c r="N277" s="380"/>
      <c r="O277" s="273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</row>
    <row r="278" spans="2:31" ht="15">
      <c r="B278" s="378">
        <f t="shared" si="7"/>
        <v>233</v>
      </c>
      <c r="C278" s="386" t="str" cm="1">
        <f t="array" aca="1" ref="C278" ca="1">IF(B278&lt;=$C$9,GetGetCDSName(B278),"")</f>
        <v/>
      </c>
      <c r="D278" s="346"/>
      <c r="E278" s="379"/>
      <c r="F278" s="298"/>
      <c r="G278" s="298"/>
      <c r="H278" s="298"/>
      <c r="I278" s="298"/>
      <c r="J278" s="298"/>
      <c r="K278" s="298"/>
      <c r="L278" s="298"/>
      <c r="M278" s="298"/>
      <c r="N278" s="380"/>
      <c r="O278" s="273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</row>
    <row r="279" spans="2:31" ht="15">
      <c r="B279" s="378">
        <f t="shared" si="7"/>
        <v>234</v>
      </c>
      <c r="C279" s="386" t="str" cm="1">
        <f t="array" aca="1" ref="C279" ca="1">IF(B279&lt;=$C$9,GetGetCDSName(B279),"")</f>
        <v/>
      </c>
      <c r="D279" s="346"/>
      <c r="E279" s="379"/>
      <c r="F279" s="298"/>
      <c r="G279" s="298"/>
      <c r="H279" s="298"/>
      <c r="I279" s="298"/>
      <c r="J279" s="298"/>
      <c r="K279" s="298"/>
      <c r="L279" s="298"/>
      <c r="M279" s="298"/>
      <c r="N279" s="380"/>
      <c r="O279" s="273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</row>
    <row r="280" spans="2:31" ht="15">
      <c r="B280" s="378">
        <f t="shared" si="7"/>
        <v>235</v>
      </c>
      <c r="C280" s="386" t="str" cm="1">
        <f t="array" aca="1" ref="C280" ca="1">IF(B280&lt;=$C$9,GetGetCDSName(B280),"")</f>
        <v/>
      </c>
      <c r="D280" s="346"/>
      <c r="E280" s="379"/>
      <c r="F280" s="298"/>
      <c r="G280" s="298"/>
      <c r="H280" s="298"/>
      <c r="I280" s="298"/>
      <c r="J280" s="298"/>
      <c r="K280" s="298"/>
      <c r="L280" s="298"/>
      <c r="M280" s="298"/>
      <c r="N280" s="380"/>
      <c r="O280" s="273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</row>
    <row r="281" spans="2:31" ht="15">
      <c r="B281" s="378">
        <f t="shared" si="7"/>
        <v>236</v>
      </c>
      <c r="C281" s="386" t="str" cm="1">
        <f t="array" aca="1" ref="C281" ca="1">IF(B281&lt;=$C$9,GetGetCDSName(B281),"")</f>
        <v/>
      </c>
      <c r="D281" s="346"/>
      <c r="E281" s="379"/>
      <c r="F281" s="298"/>
      <c r="G281" s="298"/>
      <c r="H281" s="298"/>
      <c r="I281" s="298"/>
      <c r="J281" s="298"/>
      <c r="K281" s="298"/>
      <c r="L281" s="298"/>
      <c r="M281" s="298"/>
      <c r="N281" s="380"/>
      <c r="O281" s="273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</row>
    <row r="282" spans="2:31" ht="15">
      <c r="B282" s="378">
        <f t="shared" si="7"/>
        <v>237</v>
      </c>
      <c r="C282" s="386" t="str" cm="1">
        <f t="array" aca="1" ref="C282" ca="1">IF(B282&lt;=$C$9,GetGetCDSName(B282),"")</f>
        <v/>
      </c>
      <c r="D282" s="346"/>
      <c r="E282" s="379"/>
      <c r="F282" s="298"/>
      <c r="G282" s="298"/>
      <c r="H282" s="298"/>
      <c r="I282" s="298"/>
      <c r="J282" s="298"/>
      <c r="K282" s="298"/>
      <c r="L282" s="298"/>
      <c r="M282" s="298"/>
      <c r="N282" s="380"/>
      <c r="O282" s="273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</row>
    <row r="283" spans="2:31" ht="15">
      <c r="B283" s="378">
        <f t="shared" si="7"/>
        <v>238</v>
      </c>
      <c r="C283" s="386" t="str" cm="1">
        <f t="array" aca="1" ref="C283" ca="1">IF(B283&lt;=$C$9,GetGetCDSName(B283),"")</f>
        <v/>
      </c>
      <c r="D283" s="346"/>
      <c r="E283" s="379"/>
      <c r="F283" s="298"/>
      <c r="G283" s="298"/>
      <c r="H283" s="298"/>
      <c r="I283" s="298"/>
      <c r="J283" s="298"/>
      <c r="K283" s="298"/>
      <c r="L283" s="298"/>
      <c r="M283" s="298"/>
      <c r="N283" s="380"/>
      <c r="O283" s="273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</row>
    <row r="284" spans="2:31" ht="15">
      <c r="B284" s="378">
        <f t="shared" si="7"/>
        <v>239</v>
      </c>
      <c r="C284" s="386" t="str" cm="1">
        <f t="array" aca="1" ref="C284" ca="1">IF(B284&lt;=$C$9,GetGetCDSName(B284),"")</f>
        <v/>
      </c>
      <c r="D284" s="346"/>
      <c r="E284" s="379"/>
      <c r="F284" s="298"/>
      <c r="G284" s="298"/>
      <c r="H284" s="298"/>
      <c r="I284" s="298"/>
      <c r="J284" s="298"/>
      <c r="K284" s="298"/>
      <c r="L284" s="298"/>
      <c r="M284" s="298"/>
      <c r="N284" s="380"/>
      <c r="O284" s="273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</row>
    <row r="285" spans="2:31" ht="15">
      <c r="B285" s="378">
        <f t="shared" si="7"/>
        <v>240</v>
      </c>
      <c r="C285" s="386" t="str" cm="1">
        <f t="array" aca="1" ref="C285" ca="1">IF(B285&lt;=$C$9,GetGetCDSName(B285),"")</f>
        <v/>
      </c>
      <c r="D285" s="346"/>
      <c r="E285" s="379"/>
      <c r="F285" s="298"/>
      <c r="G285" s="298"/>
      <c r="H285" s="298"/>
      <c r="I285" s="298"/>
      <c r="J285" s="298"/>
      <c r="K285" s="298"/>
      <c r="L285" s="298"/>
      <c r="M285" s="298"/>
      <c r="N285" s="380"/>
      <c r="O285" s="273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</row>
    <row r="286" spans="2:31" ht="15">
      <c r="B286" s="378">
        <f t="shared" si="7"/>
        <v>241</v>
      </c>
      <c r="C286" s="386" t="str" cm="1">
        <f t="array" aca="1" ref="C286" ca="1">IF(B286&lt;=$C$9,GetGetCDSName(B286),"")</f>
        <v/>
      </c>
      <c r="D286" s="346"/>
      <c r="E286" s="379"/>
      <c r="F286" s="298"/>
      <c r="G286" s="298"/>
      <c r="H286" s="298"/>
      <c r="I286" s="298"/>
      <c r="J286" s="298"/>
      <c r="K286" s="298"/>
      <c r="L286" s="298"/>
      <c r="M286" s="298"/>
      <c r="N286" s="380"/>
      <c r="O286" s="273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</row>
    <row r="287" spans="2:31" ht="15">
      <c r="B287" s="378">
        <f t="shared" si="7"/>
        <v>242</v>
      </c>
      <c r="C287" s="386" t="str" cm="1">
        <f t="array" aca="1" ref="C287" ca="1">IF(B287&lt;=$C$9,GetGetCDSName(B287),"")</f>
        <v/>
      </c>
      <c r="D287" s="346"/>
      <c r="E287" s="379"/>
      <c r="F287" s="298"/>
      <c r="G287" s="298"/>
      <c r="H287" s="298"/>
      <c r="I287" s="298"/>
      <c r="J287" s="298"/>
      <c r="K287" s="298"/>
      <c r="L287" s="298"/>
      <c r="M287" s="298"/>
      <c r="N287" s="380"/>
      <c r="O287" s="273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</row>
    <row r="288" spans="2:31" ht="15">
      <c r="B288" s="378">
        <f t="shared" si="7"/>
        <v>243</v>
      </c>
      <c r="C288" s="386" t="str" cm="1">
        <f t="array" aca="1" ref="C288" ca="1">IF(B288&lt;=$C$9,GetGetCDSName(B288),"")</f>
        <v/>
      </c>
      <c r="D288" s="346"/>
      <c r="E288" s="379"/>
      <c r="F288" s="298"/>
      <c r="G288" s="298"/>
      <c r="H288" s="298"/>
      <c r="I288" s="298"/>
      <c r="J288" s="298"/>
      <c r="K288" s="298"/>
      <c r="L288" s="298"/>
      <c r="M288" s="298"/>
      <c r="N288" s="380"/>
      <c r="O288" s="273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</row>
    <row r="289" spans="2:31" ht="15">
      <c r="B289" s="378">
        <f t="shared" si="7"/>
        <v>244</v>
      </c>
      <c r="C289" s="386" t="str" cm="1">
        <f t="array" aca="1" ref="C289" ca="1">IF(B289&lt;=$C$9,GetGetCDSName(B289),"")</f>
        <v/>
      </c>
      <c r="D289" s="346"/>
      <c r="E289" s="379"/>
      <c r="F289" s="298"/>
      <c r="G289" s="298"/>
      <c r="H289" s="298"/>
      <c r="I289" s="298"/>
      <c r="J289" s="298"/>
      <c r="K289" s="298"/>
      <c r="L289" s="298"/>
      <c r="M289" s="298"/>
      <c r="N289" s="380"/>
      <c r="O289" s="273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</row>
    <row r="290" spans="2:31" ht="15">
      <c r="B290" s="378">
        <f t="shared" si="7"/>
        <v>245</v>
      </c>
      <c r="C290" s="386" t="str" cm="1">
        <f t="array" aca="1" ref="C290" ca="1">IF(B290&lt;=$C$9,GetGetCDSName(B290),"")</f>
        <v/>
      </c>
      <c r="D290" s="346"/>
      <c r="E290" s="379"/>
      <c r="F290" s="298"/>
      <c r="G290" s="298"/>
      <c r="H290" s="298"/>
      <c r="I290" s="298"/>
      <c r="J290" s="298"/>
      <c r="K290" s="298"/>
      <c r="L290" s="298"/>
      <c r="M290" s="298"/>
      <c r="N290" s="380"/>
      <c r="O290" s="273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</row>
    <row r="291" spans="2:31" ht="15">
      <c r="B291" s="378">
        <f t="shared" si="7"/>
        <v>246</v>
      </c>
      <c r="C291" s="386" t="str" cm="1">
        <f t="array" aca="1" ref="C291" ca="1">IF(B291&lt;=$C$9,GetGetCDSName(B291),"")</f>
        <v/>
      </c>
      <c r="D291" s="346"/>
      <c r="E291" s="379"/>
      <c r="F291" s="298"/>
      <c r="G291" s="298"/>
      <c r="H291" s="298"/>
      <c r="I291" s="298"/>
      <c r="J291" s="298"/>
      <c r="K291" s="298"/>
      <c r="L291" s="298"/>
      <c r="M291" s="298"/>
      <c r="N291" s="380"/>
      <c r="O291" s="273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</row>
    <row r="292" spans="2:31" ht="15">
      <c r="B292" s="378">
        <f t="shared" si="7"/>
        <v>247</v>
      </c>
      <c r="C292" s="386" t="str" cm="1">
        <f t="array" aca="1" ref="C292" ca="1">IF(B292&lt;=$C$9,GetGetCDSName(B292),"")</f>
        <v/>
      </c>
      <c r="D292" s="346"/>
      <c r="E292" s="379"/>
      <c r="F292" s="298"/>
      <c r="G292" s="298"/>
      <c r="H292" s="298"/>
      <c r="I292" s="298"/>
      <c r="J292" s="298"/>
      <c r="K292" s="298"/>
      <c r="L292" s="298"/>
      <c r="M292" s="298"/>
      <c r="N292" s="380"/>
      <c r="O292" s="273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</row>
    <row r="293" spans="2:31" ht="15">
      <c r="B293" s="378">
        <f t="shared" si="7"/>
        <v>248</v>
      </c>
      <c r="C293" s="386" t="str" cm="1">
        <f t="array" aca="1" ref="C293" ca="1">IF(B293&lt;=$C$9,GetGetCDSName(B293),"")</f>
        <v/>
      </c>
      <c r="D293" s="346"/>
      <c r="E293" s="379"/>
      <c r="F293" s="298"/>
      <c r="G293" s="298"/>
      <c r="H293" s="298"/>
      <c r="I293" s="298"/>
      <c r="J293" s="298"/>
      <c r="K293" s="298"/>
      <c r="L293" s="298"/>
      <c r="M293" s="298"/>
      <c r="N293" s="380"/>
      <c r="O293" s="273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</row>
    <row r="294" spans="2:31" ht="15">
      <c r="B294" s="378">
        <f t="shared" si="7"/>
        <v>249</v>
      </c>
      <c r="C294" s="386" t="str" cm="1">
        <f t="array" aca="1" ref="C294" ca="1">IF(B294&lt;=$C$9,GetGetCDSName(B294),"")</f>
        <v/>
      </c>
      <c r="D294" s="346"/>
      <c r="E294" s="379"/>
      <c r="F294" s="298"/>
      <c r="G294" s="298"/>
      <c r="H294" s="298"/>
      <c r="I294" s="298"/>
      <c r="J294" s="298"/>
      <c r="K294" s="298"/>
      <c r="L294" s="298"/>
      <c r="M294" s="298"/>
      <c r="N294" s="380"/>
      <c r="O294" s="273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</row>
    <row r="295" spans="2:31" ht="15">
      <c r="B295" s="378">
        <f t="shared" si="7"/>
        <v>250</v>
      </c>
      <c r="C295" s="386" t="str" cm="1">
        <f t="array" aca="1" ref="C295" ca="1">IF(B295&lt;=$C$9,GetGetCDSName(B295),"")</f>
        <v/>
      </c>
      <c r="D295" s="346"/>
      <c r="E295" s="379"/>
      <c r="F295" s="298"/>
      <c r="G295" s="298"/>
      <c r="H295" s="298"/>
      <c r="I295" s="298"/>
      <c r="J295" s="298"/>
      <c r="K295" s="298"/>
      <c r="L295" s="298"/>
      <c r="M295" s="298"/>
      <c r="N295" s="380"/>
      <c r="O295" s="273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</row>
    <row r="296" spans="2:31" ht="15">
      <c r="B296" s="378">
        <f t="shared" si="7"/>
        <v>251</v>
      </c>
      <c r="C296" s="386" t="str" cm="1">
        <f t="array" aca="1" ref="C296" ca="1">IF(B296&lt;=$C$9,GetGetCDSName(B296),"")</f>
        <v/>
      </c>
      <c r="D296" s="346"/>
      <c r="E296" s="379"/>
      <c r="F296" s="298"/>
      <c r="G296" s="298"/>
      <c r="H296" s="298"/>
      <c r="I296" s="298"/>
      <c r="J296" s="298"/>
      <c r="K296" s="298"/>
      <c r="L296" s="298"/>
      <c r="M296" s="298"/>
      <c r="N296" s="380"/>
      <c r="O296" s="273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</row>
    <row r="297" spans="2:31" ht="15">
      <c r="B297" s="378">
        <f t="shared" si="7"/>
        <v>252</v>
      </c>
      <c r="C297" s="386" t="str" cm="1">
        <f t="array" aca="1" ref="C297" ca="1">IF(B297&lt;=$C$9,GetGetCDSName(B297),"")</f>
        <v/>
      </c>
      <c r="D297" s="346"/>
      <c r="E297" s="379"/>
      <c r="F297" s="298"/>
      <c r="G297" s="298"/>
      <c r="H297" s="298"/>
      <c r="I297" s="298"/>
      <c r="J297" s="298"/>
      <c r="K297" s="298"/>
      <c r="L297" s="298"/>
      <c r="M297" s="298"/>
      <c r="N297" s="380"/>
      <c r="O297" s="273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</row>
    <row r="298" spans="2:31" ht="15">
      <c r="B298" s="378">
        <f t="shared" si="7"/>
        <v>253</v>
      </c>
      <c r="C298" s="386" t="str" cm="1">
        <f t="array" aca="1" ref="C298" ca="1">IF(B298&lt;=$C$9,GetGetCDSName(B298),"")</f>
        <v/>
      </c>
      <c r="D298" s="346"/>
      <c r="E298" s="379"/>
      <c r="F298" s="298"/>
      <c r="G298" s="298"/>
      <c r="H298" s="298"/>
      <c r="I298" s="298"/>
      <c r="J298" s="298"/>
      <c r="K298" s="298"/>
      <c r="L298" s="298"/>
      <c r="M298" s="298"/>
      <c r="N298" s="380"/>
      <c r="O298" s="273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</row>
    <row r="299" spans="2:31" ht="15">
      <c r="B299" s="378">
        <f t="shared" si="7"/>
        <v>254</v>
      </c>
      <c r="C299" s="386" t="str" cm="1">
        <f t="array" aca="1" ref="C299" ca="1">IF(B299&lt;=$C$9,GetGetCDSName(B299),"")</f>
        <v/>
      </c>
      <c r="D299" s="346"/>
      <c r="E299" s="379"/>
      <c r="F299" s="298"/>
      <c r="G299" s="298"/>
      <c r="H299" s="298"/>
      <c r="I299" s="298"/>
      <c r="J299" s="298"/>
      <c r="K299" s="298"/>
      <c r="L299" s="298"/>
      <c r="M299" s="298"/>
      <c r="N299" s="380"/>
      <c r="O299" s="273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</row>
    <row r="300" spans="2:31" ht="15">
      <c r="B300" s="378">
        <f t="shared" si="7"/>
        <v>255</v>
      </c>
      <c r="C300" s="386" t="str" cm="1">
        <f t="array" aca="1" ref="C300" ca="1">IF(B300&lt;=$C$9,GetGetCDSName(B300),"")</f>
        <v/>
      </c>
      <c r="D300" s="346"/>
      <c r="E300" s="379"/>
      <c r="F300" s="298"/>
      <c r="G300" s="298"/>
      <c r="H300" s="298"/>
      <c r="I300" s="298"/>
      <c r="J300" s="298"/>
      <c r="K300" s="298"/>
      <c r="L300" s="298"/>
      <c r="M300" s="298"/>
      <c r="N300" s="380"/>
      <c r="O300" s="273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</row>
    <row r="301" spans="2:31" ht="15">
      <c r="B301" s="378">
        <f t="shared" si="7"/>
        <v>256</v>
      </c>
      <c r="C301" s="386" t="str" cm="1">
        <f t="array" aca="1" ref="C301" ca="1">IF(B301&lt;=$C$9,GetGetCDSName(B301),"")</f>
        <v/>
      </c>
      <c r="D301" s="346"/>
      <c r="E301" s="379"/>
      <c r="F301" s="298"/>
      <c r="G301" s="298"/>
      <c r="H301" s="298"/>
      <c r="I301" s="298"/>
      <c r="J301" s="298"/>
      <c r="K301" s="298"/>
      <c r="L301" s="298"/>
      <c r="M301" s="298"/>
      <c r="N301" s="380"/>
      <c r="O301" s="273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</row>
    <row r="302" spans="2:31" ht="15">
      <c r="B302" s="378">
        <f t="shared" si="7"/>
        <v>257</v>
      </c>
      <c r="C302" s="386" t="str" cm="1">
        <f t="array" aca="1" ref="C302" ca="1">IF(B302&lt;=$C$9,GetGetCDSName(B302),"")</f>
        <v/>
      </c>
      <c r="D302" s="346"/>
      <c r="E302" s="379"/>
      <c r="F302" s="298"/>
      <c r="G302" s="298"/>
      <c r="H302" s="298"/>
      <c r="I302" s="298"/>
      <c r="J302" s="298"/>
      <c r="K302" s="298"/>
      <c r="L302" s="298"/>
      <c r="M302" s="298"/>
      <c r="N302" s="380"/>
      <c r="O302" s="273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</row>
    <row r="303" spans="2:31" ht="15">
      <c r="B303" s="378">
        <f t="shared" ref="B303:B345" si="8">B302+1</f>
        <v>258</v>
      </c>
      <c r="C303" s="386" t="str" cm="1">
        <f t="array" aca="1" ref="C303" ca="1">IF(B303&lt;=$C$9,GetGetCDSName(B303),"")</f>
        <v/>
      </c>
      <c r="D303" s="346"/>
      <c r="E303" s="379"/>
      <c r="F303" s="298"/>
      <c r="G303" s="298"/>
      <c r="H303" s="298"/>
      <c r="I303" s="298"/>
      <c r="J303" s="298"/>
      <c r="K303" s="298"/>
      <c r="L303" s="298"/>
      <c r="M303" s="298"/>
      <c r="N303" s="380"/>
      <c r="O303" s="273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</row>
    <row r="304" spans="2:31" ht="15">
      <c r="B304" s="378">
        <f t="shared" si="8"/>
        <v>259</v>
      </c>
      <c r="C304" s="386" t="str" cm="1">
        <f t="array" aca="1" ref="C304" ca="1">IF(B304&lt;=$C$9,GetGetCDSName(B304),"")</f>
        <v/>
      </c>
      <c r="D304" s="346"/>
      <c r="E304" s="379"/>
      <c r="F304" s="298"/>
      <c r="G304" s="298"/>
      <c r="H304" s="298"/>
      <c r="I304" s="298"/>
      <c r="J304" s="298"/>
      <c r="K304" s="298"/>
      <c r="L304" s="298"/>
      <c r="M304" s="298"/>
      <c r="N304" s="380"/>
      <c r="O304" s="273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</row>
    <row r="305" spans="2:31" ht="15">
      <c r="B305" s="378">
        <f t="shared" si="8"/>
        <v>260</v>
      </c>
      <c r="C305" s="386" t="str" cm="1">
        <f t="array" aca="1" ref="C305" ca="1">IF(B305&lt;=$C$9,GetGetCDSName(B305),"")</f>
        <v/>
      </c>
      <c r="D305" s="346"/>
      <c r="E305" s="379"/>
      <c r="F305" s="298"/>
      <c r="G305" s="298"/>
      <c r="H305" s="298"/>
      <c r="I305" s="298"/>
      <c r="J305" s="298"/>
      <c r="K305" s="298"/>
      <c r="L305" s="298"/>
      <c r="M305" s="298"/>
      <c r="N305" s="380"/>
      <c r="O305" s="273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</row>
    <row r="306" spans="2:31" ht="15">
      <c r="B306" s="378">
        <f t="shared" si="8"/>
        <v>261</v>
      </c>
      <c r="C306" s="386" t="str" cm="1">
        <f t="array" aca="1" ref="C306" ca="1">IF(B306&lt;=$C$9,GetGetCDSName(B306),"")</f>
        <v/>
      </c>
      <c r="D306" s="346"/>
      <c r="E306" s="379"/>
      <c r="F306" s="298"/>
      <c r="G306" s="298"/>
      <c r="H306" s="298"/>
      <c r="I306" s="298"/>
      <c r="J306" s="298"/>
      <c r="K306" s="298"/>
      <c r="L306" s="298"/>
      <c r="M306" s="298"/>
      <c r="N306" s="380"/>
      <c r="O306" s="273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</row>
    <row r="307" spans="2:31" ht="15">
      <c r="B307" s="378">
        <f t="shared" si="8"/>
        <v>262</v>
      </c>
      <c r="C307" s="386" t="str" cm="1">
        <f t="array" aca="1" ref="C307" ca="1">IF(B307&lt;=$C$9,GetGetCDSName(B307),"")</f>
        <v/>
      </c>
      <c r="D307" s="346"/>
      <c r="E307" s="379"/>
      <c r="F307" s="298"/>
      <c r="G307" s="298"/>
      <c r="H307" s="298"/>
      <c r="I307" s="298"/>
      <c r="J307" s="298"/>
      <c r="K307" s="298"/>
      <c r="L307" s="298"/>
      <c r="M307" s="298"/>
      <c r="N307" s="380"/>
      <c r="O307" s="273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</row>
    <row r="308" spans="2:31" ht="15">
      <c r="B308" s="378">
        <f t="shared" si="8"/>
        <v>263</v>
      </c>
      <c r="C308" s="386" t="str" cm="1">
        <f t="array" aca="1" ref="C308" ca="1">IF(B308&lt;=$C$9,GetGetCDSName(B308),"")</f>
        <v/>
      </c>
      <c r="D308" s="346"/>
      <c r="E308" s="379"/>
      <c r="F308" s="298"/>
      <c r="G308" s="298"/>
      <c r="H308" s="298"/>
      <c r="I308" s="298"/>
      <c r="J308" s="298"/>
      <c r="K308" s="298"/>
      <c r="L308" s="298"/>
      <c r="M308" s="298"/>
      <c r="N308" s="380"/>
      <c r="O308" s="273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</row>
    <row r="309" spans="2:31" ht="15">
      <c r="B309" s="378">
        <f t="shared" si="8"/>
        <v>264</v>
      </c>
      <c r="C309" s="386" t="str" cm="1">
        <f t="array" aca="1" ref="C309" ca="1">IF(B309&lt;=$C$9,GetGetCDSName(B309),"")</f>
        <v/>
      </c>
      <c r="D309" s="346"/>
      <c r="E309" s="379"/>
      <c r="F309" s="298"/>
      <c r="G309" s="298"/>
      <c r="H309" s="298"/>
      <c r="I309" s="298"/>
      <c r="J309" s="298"/>
      <c r="K309" s="298"/>
      <c r="L309" s="298"/>
      <c r="M309" s="298"/>
      <c r="N309" s="380"/>
      <c r="O309" s="273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</row>
    <row r="310" spans="2:31" ht="15">
      <c r="B310" s="378">
        <f t="shared" si="8"/>
        <v>265</v>
      </c>
      <c r="C310" s="386" t="str" cm="1">
        <f t="array" aca="1" ref="C310" ca="1">IF(B310&lt;=$C$9,GetGetCDSName(B310),"")</f>
        <v/>
      </c>
      <c r="D310" s="346"/>
      <c r="E310" s="379"/>
      <c r="F310" s="298"/>
      <c r="G310" s="298"/>
      <c r="H310" s="298"/>
      <c r="I310" s="298"/>
      <c r="J310" s="298"/>
      <c r="K310" s="298"/>
      <c r="L310" s="298"/>
      <c r="M310" s="298"/>
      <c r="N310" s="380"/>
      <c r="O310" s="273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</row>
    <row r="311" spans="2:31" ht="15">
      <c r="B311" s="378">
        <f t="shared" si="8"/>
        <v>266</v>
      </c>
      <c r="C311" s="386" t="str" cm="1">
        <f t="array" aca="1" ref="C311" ca="1">IF(B311&lt;=$C$9,GetGetCDSName(B311),"")</f>
        <v/>
      </c>
      <c r="D311" s="346"/>
      <c r="E311" s="379"/>
      <c r="F311" s="298"/>
      <c r="G311" s="298"/>
      <c r="H311" s="298"/>
      <c r="I311" s="298"/>
      <c r="J311" s="298"/>
      <c r="K311" s="298"/>
      <c r="L311" s="298"/>
      <c r="M311" s="298"/>
      <c r="N311" s="380"/>
      <c r="O311" s="273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</row>
    <row r="312" spans="2:31" ht="15">
      <c r="B312" s="378">
        <f t="shared" si="8"/>
        <v>267</v>
      </c>
      <c r="C312" s="386" t="str" cm="1">
        <f t="array" aca="1" ref="C312" ca="1">IF(B312&lt;=$C$9,GetGetCDSName(B312),"")</f>
        <v/>
      </c>
      <c r="D312" s="346"/>
      <c r="E312" s="379"/>
      <c r="F312" s="298"/>
      <c r="G312" s="298"/>
      <c r="H312" s="298"/>
      <c r="I312" s="298"/>
      <c r="J312" s="298"/>
      <c r="K312" s="298"/>
      <c r="L312" s="298"/>
      <c r="M312" s="298"/>
      <c r="N312" s="380"/>
      <c r="O312" s="273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</row>
    <row r="313" spans="2:31" ht="15">
      <c r="B313" s="378">
        <f t="shared" si="8"/>
        <v>268</v>
      </c>
      <c r="C313" s="386" t="str" cm="1">
        <f t="array" aca="1" ref="C313" ca="1">IF(B313&lt;=$C$9,GetGetCDSName(B313),"")</f>
        <v/>
      </c>
      <c r="D313" s="346"/>
      <c r="E313" s="379"/>
      <c r="F313" s="298"/>
      <c r="G313" s="298"/>
      <c r="H313" s="298"/>
      <c r="I313" s="298"/>
      <c r="J313" s="298"/>
      <c r="K313" s="298"/>
      <c r="L313" s="298"/>
      <c r="M313" s="298"/>
      <c r="N313" s="380"/>
      <c r="O313" s="273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</row>
    <row r="314" spans="2:31" ht="15">
      <c r="B314" s="378">
        <f t="shared" si="8"/>
        <v>269</v>
      </c>
      <c r="C314" s="386" t="str" cm="1">
        <f t="array" aca="1" ref="C314" ca="1">IF(B314&lt;=$C$9,GetGetCDSName(B314),"")</f>
        <v/>
      </c>
      <c r="D314" s="346"/>
      <c r="E314" s="379"/>
      <c r="F314" s="298"/>
      <c r="G314" s="298"/>
      <c r="H314" s="298"/>
      <c r="I314" s="298"/>
      <c r="J314" s="298"/>
      <c r="K314" s="298"/>
      <c r="L314" s="298"/>
      <c r="M314" s="298"/>
      <c r="N314" s="380"/>
      <c r="O314" s="273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</row>
    <row r="315" spans="2:31" ht="15">
      <c r="B315" s="378">
        <f t="shared" si="8"/>
        <v>270</v>
      </c>
      <c r="C315" s="386" t="str" cm="1">
        <f t="array" aca="1" ref="C315" ca="1">IF(B315&lt;=$C$9,GetGetCDSName(B315),"")</f>
        <v/>
      </c>
      <c r="D315" s="346"/>
      <c r="E315" s="379"/>
      <c r="F315" s="298"/>
      <c r="G315" s="298"/>
      <c r="H315" s="298"/>
      <c r="I315" s="298"/>
      <c r="J315" s="298"/>
      <c r="K315" s="298"/>
      <c r="L315" s="298"/>
      <c r="M315" s="298"/>
      <c r="N315" s="380"/>
      <c r="O315" s="273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</row>
    <row r="316" spans="2:31" ht="15">
      <c r="B316" s="378">
        <f t="shared" si="8"/>
        <v>271</v>
      </c>
      <c r="C316" s="386" t="str" cm="1">
        <f t="array" aca="1" ref="C316" ca="1">IF(B316&lt;=$C$9,GetGetCDSName(B316),"")</f>
        <v/>
      </c>
      <c r="D316" s="346"/>
      <c r="E316" s="379"/>
      <c r="F316" s="298"/>
      <c r="G316" s="298"/>
      <c r="H316" s="298"/>
      <c r="I316" s="298"/>
      <c r="J316" s="298"/>
      <c r="K316" s="298"/>
      <c r="L316" s="298"/>
      <c r="M316" s="298"/>
      <c r="N316" s="380"/>
      <c r="O316" s="273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</row>
    <row r="317" spans="2:31" ht="15">
      <c r="B317" s="378">
        <f t="shared" si="8"/>
        <v>272</v>
      </c>
      <c r="C317" s="386" t="str" cm="1">
        <f t="array" aca="1" ref="C317" ca="1">IF(B317&lt;=$C$9,GetGetCDSName(B317),"")</f>
        <v/>
      </c>
      <c r="D317" s="346"/>
      <c r="E317" s="379"/>
      <c r="F317" s="298"/>
      <c r="G317" s="298"/>
      <c r="H317" s="298"/>
      <c r="I317" s="298"/>
      <c r="J317" s="298"/>
      <c r="K317" s="298"/>
      <c r="L317" s="298"/>
      <c r="M317" s="298"/>
      <c r="N317" s="380"/>
      <c r="O317" s="273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</row>
    <row r="318" spans="2:31" ht="15">
      <c r="B318" s="378">
        <f t="shared" si="8"/>
        <v>273</v>
      </c>
      <c r="C318" s="386" t="str" cm="1">
        <f t="array" aca="1" ref="C318" ca="1">IF(B318&lt;=$C$9,GetGetCDSName(B318),"")</f>
        <v/>
      </c>
      <c r="D318" s="346"/>
      <c r="E318" s="379"/>
      <c r="F318" s="298"/>
      <c r="G318" s="298"/>
      <c r="H318" s="298"/>
      <c r="I318" s="298"/>
      <c r="J318" s="298"/>
      <c r="K318" s="298"/>
      <c r="L318" s="298"/>
      <c r="M318" s="298"/>
      <c r="N318" s="380"/>
      <c r="O318" s="273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</row>
    <row r="319" spans="2:31" ht="15">
      <c r="B319" s="378">
        <f t="shared" si="8"/>
        <v>274</v>
      </c>
      <c r="C319" s="386" t="str" cm="1">
        <f t="array" aca="1" ref="C319" ca="1">IF(B319&lt;=$C$9,GetGetCDSName(B319),"")</f>
        <v/>
      </c>
      <c r="D319" s="346"/>
      <c r="E319" s="379"/>
      <c r="F319" s="298"/>
      <c r="G319" s="298"/>
      <c r="H319" s="298"/>
      <c r="I319" s="298"/>
      <c r="J319" s="298"/>
      <c r="K319" s="298"/>
      <c r="L319" s="298"/>
      <c r="M319" s="298"/>
      <c r="N319" s="380"/>
      <c r="O319" s="273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</row>
    <row r="320" spans="2:31" ht="15">
      <c r="B320" s="378">
        <f t="shared" si="8"/>
        <v>275</v>
      </c>
      <c r="C320" s="386" t="str" cm="1">
        <f t="array" aca="1" ref="C320" ca="1">IF(B320&lt;=$C$9,GetGetCDSName(B320),"")</f>
        <v/>
      </c>
      <c r="D320" s="346"/>
      <c r="E320" s="379"/>
      <c r="F320" s="298"/>
      <c r="G320" s="298"/>
      <c r="H320" s="298"/>
      <c r="I320" s="298"/>
      <c r="J320" s="298"/>
      <c r="K320" s="298"/>
      <c r="L320" s="298"/>
      <c r="M320" s="298"/>
      <c r="N320" s="380"/>
      <c r="O320" s="273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</row>
    <row r="321" spans="2:31" ht="15">
      <c r="B321" s="378">
        <f t="shared" si="8"/>
        <v>276</v>
      </c>
      <c r="C321" s="386" t="str" cm="1">
        <f t="array" aca="1" ref="C321" ca="1">IF(B321&lt;=$C$9,GetGetCDSName(B321),"")</f>
        <v/>
      </c>
      <c r="D321" s="346"/>
      <c r="E321" s="379"/>
      <c r="F321" s="298"/>
      <c r="G321" s="298"/>
      <c r="H321" s="298"/>
      <c r="I321" s="298"/>
      <c r="J321" s="298"/>
      <c r="K321" s="298"/>
      <c r="L321" s="298"/>
      <c r="M321" s="298"/>
      <c r="N321" s="380"/>
      <c r="O321" s="273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</row>
    <row r="322" spans="2:31" ht="15">
      <c r="B322" s="378">
        <f t="shared" si="8"/>
        <v>277</v>
      </c>
      <c r="C322" s="386" t="str" cm="1">
        <f t="array" aca="1" ref="C322" ca="1">IF(B322&lt;=$C$9,GetGetCDSName(B322),"")</f>
        <v/>
      </c>
      <c r="D322" s="346"/>
      <c r="E322" s="379"/>
      <c r="F322" s="298"/>
      <c r="G322" s="298"/>
      <c r="H322" s="298"/>
      <c r="I322" s="298"/>
      <c r="J322" s="298"/>
      <c r="K322" s="298"/>
      <c r="L322" s="298"/>
      <c r="M322" s="298"/>
      <c r="N322" s="380"/>
      <c r="O322" s="273"/>
      <c r="P322" s="273"/>
      <c r="Q322" s="273"/>
      <c r="R322" s="273"/>
      <c r="S322" s="273"/>
      <c r="T322" s="273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</row>
    <row r="323" spans="2:31" ht="15">
      <c r="B323" s="378">
        <f t="shared" si="8"/>
        <v>278</v>
      </c>
      <c r="C323" s="386" t="str" cm="1">
        <f t="array" aca="1" ref="C323" ca="1">IF(B323&lt;=$C$9,GetGetCDSName(B323),"")</f>
        <v/>
      </c>
      <c r="D323" s="346"/>
      <c r="E323" s="379"/>
      <c r="F323" s="298"/>
      <c r="G323" s="298"/>
      <c r="H323" s="298"/>
      <c r="I323" s="298"/>
      <c r="J323" s="298"/>
      <c r="K323" s="298"/>
      <c r="L323" s="298"/>
      <c r="M323" s="298"/>
      <c r="N323" s="380"/>
      <c r="O323" s="273"/>
      <c r="P323" s="273"/>
      <c r="Q323" s="273"/>
      <c r="R323" s="273"/>
      <c r="S323" s="273"/>
      <c r="T323" s="273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</row>
    <row r="324" spans="2:31" ht="15">
      <c r="B324" s="378">
        <f t="shared" si="8"/>
        <v>279</v>
      </c>
      <c r="C324" s="386" t="str" cm="1">
        <f t="array" aca="1" ref="C324" ca="1">IF(B324&lt;=$C$9,GetGetCDSName(B324),"")</f>
        <v/>
      </c>
      <c r="D324" s="346"/>
      <c r="E324" s="379"/>
      <c r="F324" s="298"/>
      <c r="G324" s="298"/>
      <c r="H324" s="298"/>
      <c r="I324" s="298"/>
      <c r="J324" s="298"/>
      <c r="K324" s="298"/>
      <c r="L324" s="298"/>
      <c r="M324" s="298"/>
      <c r="N324" s="380"/>
      <c r="O324" s="273"/>
      <c r="P324" s="273"/>
      <c r="Q324" s="273"/>
      <c r="R324" s="273"/>
      <c r="S324" s="273"/>
      <c r="T324" s="273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</row>
    <row r="325" spans="2:31" ht="15">
      <c r="B325" s="378">
        <f t="shared" si="8"/>
        <v>280</v>
      </c>
      <c r="C325" s="386" t="str" cm="1">
        <f t="array" aca="1" ref="C325" ca="1">IF(B325&lt;=$C$9,GetGetCDSName(B325),"")</f>
        <v/>
      </c>
      <c r="D325" s="346"/>
      <c r="E325" s="379"/>
      <c r="F325" s="298"/>
      <c r="G325" s="298"/>
      <c r="H325" s="298"/>
      <c r="I325" s="298"/>
      <c r="J325" s="298"/>
      <c r="K325" s="298"/>
      <c r="L325" s="298"/>
      <c r="M325" s="298"/>
      <c r="N325" s="380"/>
      <c r="O325" s="273"/>
      <c r="P325" s="273"/>
      <c r="Q325" s="273"/>
      <c r="R325" s="273"/>
      <c r="S325" s="273"/>
      <c r="T325" s="273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</row>
    <row r="326" spans="2:31" ht="15">
      <c r="B326" s="378">
        <f t="shared" si="8"/>
        <v>281</v>
      </c>
      <c r="C326" s="386" t="str" cm="1">
        <f t="array" aca="1" ref="C326" ca="1">IF(B326&lt;=$C$9,GetGetCDSName(B326),"")</f>
        <v/>
      </c>
      <c r="D326" s="346"/>
      <c r="E326" s="379"/>
      <c r="F326" s="298"/>
      <c r="G326" s="298"/>
      <c r="H326" s="298"/>
      <c r="I326" s="298"/>
      <c r="J326" s="298"/>
      <c r="K326" s="298"/>
      <c r="L326" s="298"/>
      <c r="M326" s="298"/>
      <c r="N326" s="380"/>
      <c r="O326" s="273"/>
      <c r="P326" s="273"/>
      <c r="Q326" s="273"/>
      <c r="R326" s="273"/>
      <c r="S326" s="273"/>
      <c r="T326" s="273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</row>
    <row r="327" spans="2:31" ht="15">
      <c r="B327" s="378">
        <f t="shared" si="8"/>
        <v>282</v>
      </c>
      <c r="C327" s="386" t="str" cm="1">
        <f t="array" aca="1" ref="C327" ca="1">IF(B327&lt;=$C$9,GetGetCDSName(B327),"")</f>
        <v/>
      </c>
      <c r="D327" s="346"/>
      <c r="E327" s="379"/>
      <c r="F327" s="298"/>
      <c r="G327" s="298"/>
      <c r="H327" s="298"/>
      <c r="I327" s="298"/>
      <c r="J327" s="298"/>
      <c r="K327" s="298"/>
      <c r="L327" s="298"/>
      <c r="M327" s="298"/>
      <c r="N327" s="380"/>
      <c r="O327" s="273"/>
      <c r="P327" s="273"/>
      <c r="Q327" s="273"/>
      <c r="R327" s="273"/>
      <c r="S327" s="273"/>
      <c r="T327" s="273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</row>
    <row r="328" spans="2:31" ht="15">
      <c r="B328" s="378">
        <f t="shared" si="8"/>
        <v>283</v>
      </c>
      <c r="C328" s="386" t="str" cm="1">
        <f t="array" aca="1" ref="C328" ca="1">IF(B328&lt;=$C$9,GetGetCDSName(B328),"")</f>
        <v/>
      </c>
      <c r="D328" s="346"/>
      <c r="E328" s="379"/>
      <c r="F328" s="298"/>
      <c r="G328" s="298"/>
      <c r="H328" s="298"/>
      <c r="I328" s="298"/>
      <c r="J328" s="298"/>
      <c r="K328" s="298"/>
      <c r="L328" s="298"/>
      <c r="M328" s="298"/>
      <c r="N328" s="380"/>
      <c r="O328" s="273"/>
      <c r="P328" s="273"/>
      <c r="Q328" s="273"/>
      <c r="R328" s="273"/>
      <c r="S328" s="273"/>
      <c r="T328" s="273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</row>
    <row r="329" spans="2:31" ht="15">
      <c r="B329" s="378">
        <f t="shared" si="8"/>
        <v>284</v>
      </c>
      <c r="C329" s="386" t="str" cm="1">
        <f t="array" aca="1" ref="C329" ca="1">IF(B329&lt;=$C$9,GetGetCDSName(B329),"")</f>
        <v/>
      </c>
      <c r="D329" s="346"/>
      <c r="E329" s="379"/>
      <c r="F329" s="298"/>
      <c r="G329" s="298"/>
      <c r="H329" s="298"/>
      <c r="I329" s="298"/>
      <c r="J329" s="298"/>
      <c r="K329" s="298"/>
      <c r="L329" s="298"/>
      <c r="M329" s="298"/>
      <c r="N329" s="380"/>
      <c r="O329" s="273"/>
      <c r="P329" s="273"/>
      <c r="Q329" s="273"/>
      <c r="R329" s="273"/>
      <c r="S329" s="273"/>
      <c r="T329" s="273"/>
      <c r="U329" s="273"/>
      <c r="V329" s="273"/>
      <c r="W329" s="273"/>
      <c r="X329" s="273"/>
      <c r="Y329" s="273"/>
      <c r="Z329" s="273"/>
      <c r="AA329" s="273"/>
      <c r="AB329" s="273"/>
      <c r="AC329" s="273"/>
      <c r="AD329" s="273"/>
      <c r="AE329" s="273"/>
    </row>
    <row r="330" spans="2:31" ht="15">
      <c r="B330" s="378">
        <f t="shared" si="8"/>
        <v>285</v>
      </c>
      <c r="C330" s="386" t="str" cm="1">
        <f t="array" aca="1" ref="C330" ca="1">IF(B330&lt;=$C$9,GetGetCDSName(B330),"")</f>
        <v/>
      </c>
      <c r="D330" s="346"/>
      <c r="E330" s="379"/>
      <c r="F330" s="298"/>
      <c r="G330" s="298"/>
      <c r="H330" s="298"/>
      <c r="I330" s="298"/>
      <c r="J330" s="298"/>
      <c r="K330" s="298"/>
      <c r="L330" s="298"/>
      <c r="M330" s="298"/>
      <c r="N330" s="380"/>
      <c r="O330" s="273"/>
      <c r="P330" s="273"/>
      <c r="Q330" s="273"/>
      <c r="R330" s="273"/>
      <c r="S330" s="273"/>
      <c r="T330" s="273"/>
      <c r="U330" s="273"/>
      <c r="V330" s="273"/>
      <c r="W330" s="273"/>
      <c r="X330" s="273"/>
      <c r="Y330" s="273"/>
      <c r="Z330" s="273"/>
      <c r="AA330" s="273"/>
      <c r="AB330" s="273"/>
      <c r="AC330" s="273"/>
      <c r="AD330" s="273"/>
      <c r="AE330" s="273"/>
    </row>
    <row r="331" spans="2:31" ht="15">
      <c r="B331" s="378">
        <f t="shared" si="8"/>
        <v>286</v>
      </c>
      <c r="C331" s="386" t="str" cm="1">
        <f t="array" aca="1" ref="C331" ca="1">IF(B331&lt;=$C$9,GetGetCDSName(B331),"")</f>
        <v/>
      </c>
      <c r="D331" s="346"/>
      <c r="E331" s="379"/>
      <c r="F331" s="298"/>
      <c r="G331" s="298"/>
      <c r="H331" s="298"/>
      <c r="I331" s="298"/>
      <c r="J331" s="298"/>
      <c r="K331" s="298"/>
      <c r="L331" s="298"/>
      <c r="M331" s="298"/>
      <c r="N331" s="380"/>
      <c r="O331" s="273"/>
      <c r="P331" s="273"/>
      <c r="Q331" s="273"/>
      <c r="R331" s="273"/>
      <c r="S331" s="273"/>
      <c r="T331" s="273"/>
      <c r="U331" s="273"/>
      <c r="V331" s="273"/>
      <c r="W331" s="273"/>
      <c r="X331" s="273"/>
      <c r="Y331" s="273"/>
      <c r="Z331" s="273"/>
      <c r="AA331" s="273"/>
      <c r="AB331" s="273"/>
      <c r="AC331" s="273"/>
      <c r="AD331" s="273"/>
      <c r="AE331" s="273"/>
    </row>
    <row r="332" spans="2:31" ht="15">
      <c r="B332" s="378">
        <f t="shared" si="8"/>
        <v>287</v>
      </c>
      <c r="C332" s="386" t="str" cm="1">
        <f t="array" aca="1" ref="C332" ca="1">IF(B332&lt;=$C$9,GetGetCDSName(B332),"")</f>
        <v/>
      </c>
      <c r="D332" s="346"/>
      <c r="E332" s="379"/>
      <c r="F332" s="298"/>
      <c r="G332" s="298"/>
      <c r="H332" s="298"/>
      <c r="I332" s="298"/>
      <c r="J332" s="298"/>
      <c r="K332" s="298"/>
      <c r="L332" s="298"/>
      <c r="M332" s="298"/>
      <c r="N332" s="380"/>
      <c r="O332" s="273"/>
      <c r="P332" s="273"/>
      <c r="Q332" s="273"/>
      <c r="R332" s="273"/>
      <c r="S332" s="273"/>
      <c r="T332" s="273"/>
      <c r="U332" s="273"/>
      <c r="V332" s="273"/>
      <c r="W332" s="273"/>
      <c r="X332" s="273"/>
      <c r="Y332" s="273"/>
      <c r="Z332" s="273"/>
      <c r="AA332" s="273"/>
      <c r="AB332" s="273"/>
      <c r="AC332" s="273"/>
      <c r="AD332" s="273"/>
      <c r="AE332" s="273"/>
    </row>
    <row r="333" spans="2:31" ht="15">
      <c r="B333" s="378">
        <f t="shared" si="8"/>
        <v>288</v>
      </c>
      <c r="C333" s="386" t="str" cm="1">
        <f t="array" aca="1" ref="C333" ca="1">IF(B333&lt;=$C$9,GetGetCDSName(B333),"")</f>
        <v/>
      </c>
      <c r="D333" s="346"/>
      <c r="E333" s="379"/>
      <c r="F333" s="298"/>
      <c r="G333" s="298"/>
      <c r="H333" s="298"/>
      <c r="I333" s="298"/>
      <c r="J333" s="298"/>
      <c r="K333" s="298"/>
      <c r="L333" s="298"/>
      <c r="M333" s="298"/>
      <c r="N333" s="380"/>
      <c r="O333" s="273"/>
      <c r="P333" s="273"/>
      <c r="Q333" s="273"/>
      <c r="R333" s="273"/>
      <c r="S333" s="273"/>
      <c r="T333" s="273"/>
      <c r="U333" s="273"/>
      <c r="V333" s="273"/>
      <c r="W333" s="273"/>
      <c r="X333" s="273"/>
      <c r="Y333" s="273"/>
      <c r="Z333" s="273"/>
      <c r="AA333" s="273"/>
      <c r="AB333" s="273"/>
      <c r="AC333" s="273"/>
      <c r="AD333" s="273"/>
      <c r="AE333" s="273"/>
    </row>
    <row r="334" spans="2:31" ht="15">
      <c r="B334" s="378">
        <f t="shared" si="8"/>
        <v>289</v>
      </c>
      <c r="C334" s="386" t="str" cm="1">
        <f t="array" aca="1" ref="C334" ca="1">IF(B334&lt;=$C$9,GetGetCDSName(B334),"")</f>
        <v/>
      </c>
      <c r="D334" s="346"/>
      <c r="E334" s="379"/>
      <c r="F334" s="298"/>
      <c r="G334" s="298"/>
      <c r="H334" s="298"/>
      <c r="I334" s="298"/>
      <c r="J334" s="298"/>
      <c r="K334" s="298"/>
      <c r="L334" s="298"/>
      <c r="M334" s="298"/>
      <c r="N334" s="380"/>
      <c r="O334" s="273"/>
      <c r="P334" s="273"/>
      <c r="Q334" s="273"/>
      <c r="R334" s="273"/>
      <c r="S334" s="273"/>
      <c r="T334" s="273"/>
      <c r="U334" s="273"/>
      <c r="V334" s="273"/>
      <c r="W334" s="273"/>
      <c r="X334" s="273"/>
      <c r="Y334" s="273"/>
      <c r="Z334" s="273"/>
      <c r="AA334" s="273"/>
      <c r="AB334" s="273"/>
      <c r="AC334" s="273"/>
      <c r="AD334" s="273"/>
      <c r="AE334" s="273"/>
    </row>
    <row r="335" spans="2:31" ht="15">
      <c r="B335" s="378">
        <f t="shared" si="8"/>
        <v>290</v>
      </c>
      <c r="C335" s="386" t="str" cm="1">
        <f t="array" aca="1" ref="C335" ca="1">IF(B335&lt;=$C$9,GetGetCDSName(B335),"")</f>
        <v/>
      </c>
      <c r="D335" s="346"/>
      <c r="E335" s="379"/>
      <c r="F335" s="298"/>
      <c r="G335" s="298"/>
      <c r="H335" s="298"/>
      <c r="I335" s="298"/>
      <c r="J335" s="298"/>
      <c r="K335" s="298"/>
      <c r="L335" s="298"/>
      <c r="M335" s="298"/>
      <c r="N335" s="380"/>
      <c r="O335" s="273"/>
      <c r="P335" s="273"/>
      <c r="Q335" s="273"/>
      <c r="R335" s="273"/>
      <c r="S335" s="273"/>
      <c r="T335" s="273"/>
      <c r="U335" s="273"/>
      <c r="V335" s="273"/>
      <c r="W335" s="273"/>
      <c r="X335" s="273"/>
      <c r="Y335" s="273"/>
      <c r="Z335" s="273"/>
      <c r="AA335" s="273"/>
      <c r="AB335" s="273"/>
      <c r="AC335" s="273"/>
      <c r="AD335" s="273"/>
      <c r="AE335" s="273"/>
    </row>
    <row r="336" spans="2:31" ht="15">
      <c r="B336" s="378">
        <f t="shared" si="8"/>
        <v>291</v>
      </c>
      <c r="C336" s="386" t="str" cm="1">
        <f t="array" aca="1" ref="C336" ca="1">IF(B336&lt;=$C$9,GetGetCDSName(B336),"")</f>
        <v/>
      </c>
      <c r="D336" s="346"/>
      <c r="E336" s="379"/>
      <c r="F336" s="298"/>
      <c r="G336" s="298"/>
      <c r="H336" s="298"/>
      <c r="I336" s="298"/>
      <c r="J336" s="298"/>
      <c r="K336" s="298"/>
      <c r="L336" s="298"/>
      <c r="M336" s="298"/>
      <c r="N336" s="380"/>
      <c r="O336" s="273"/>
      <c r="P336" s="273"/>
      <c r="Q336" s="273"/>
      <c r="R336" s="273"/>
      <c r="S336" s="273"/>
      <c r="T336" s="273"/>
      <c r="U336" s="273"/>
      <c r="V336" s="273"/>
      <c r="W336" s="273"/>
      <c r="X336" s="273"/>
      <c r="Y336" s="273"/>
      <c r="Z336" s="273"/>
      <c r="AA336" s="273"/>
      <c r="AB336" s="273"/>
      <c r="AC336" s="273"/>
      <c r="AD336" s="273"/>
      <c r="AE336" s="273"/>
    </row>
    <row r="337" spans="2:31" ht="15">
      <c r="B337" s="378">
        <f t="shared" si="8"/>
        <v>292</v>
      </c>
      <c r="C337" s="386" t="str" cm="1">
        <f t="array" aca="1" ref="C337" ca="1">IF(B337&lt;=$C$9,GetGetCDSName(B337),"")</f>
        <v/>
      </c>
      <c r="D337" s="346"/>
      <c r="E337" s="379"/>
      <c r="F337" s="298"/>
      <c r="G337" s="298"/>
      <c r="H337" s="298"/>
      <c r="I337" s="298"/>
      <c r="J337" s="298"/>
      <c r="K337" s="298"/>
      <c r="L337" s="298"/>
      <c r="M337" s="298"/>
      <c r="N337" s="380"/>
      <c r="O337" s="273"/>
      <c r="P337" s="273"/>
      <c r="Q337" s="273"/>
      <c r="R337" s="273"/>
      <c r="S337" s="273"/>
      <c r="T337" s="273"/>
      <c r="U337" s="273"/>
      <c r="V337" s="273"/>
      <c r="W337" s="273"/>
      <c r="X337" s="273"/>
      <c r="Y337" s="273"/>
      <c r="Z337" s="273"/>
      <c r="AA337" s="273"/>
      <c r="AB337" s="273"/>
      <c r="AC337" s="273"/>
      <c r="AD337" s="273"/>
      <c r="AE337" s="273"/>
    </row>
    <row r="338" spans="2:31" ht="15">
      <c r="B338" s="378">
        <f t="shared" si="8"/>
        <v>293</v>
      </c>
      <c r="C338" s="386" t="str" cm="1">
        <f t="array" aca="1" ref="C338" ca="1">IF(B338&lt;=$C$9,GetGetCDSName(B338),"")</f>
        <v/>
      </c>
      <c r="D338" s="346"/>
      <c r="E338" s="379"/>
      <c r="F338" s="298"/>
      <c r="G338" s="298"/>
      <c r="H338" s="298"/>
      <c r="I338" s="298"/>
      <c r="J338" s="298"/>
      <c r="K338" s="298"/>
      <c r="L338" s="298"/>
      <c r="M338" s="298"/>
      <c r="N338" s="380"/>
      <c r="O338" s="273"/>
      <c r="P338" s="273"/>
      <c r="Q338" s="273"/>
      <c r="R338" s="273"/>
      <c r="S338" s="273"/>
      <c r="T338" s="273"/>
      <c r="U338" s="273"/>
      <c r="V338" s="273"/>
      <c r="W338" s="273"/>
      <c r="X338" s="273"/>
      <c r="Y338" s="273"/>
      <c r="Z338" s="273"/>
      <c r="AA338" s="273"/>
      <c r="AB338" s="273"/>
      <c r="AC338" s="273"/>
      <c r="AD338" s="273"/>
      <c r="AE338" s="273"/>
    </row>
    <row r="339" spans="2:31" ht="15">
      <c r="B339" s="378">
        <f t="shared" si="8"/>
        <v>294</v>
      </c>
      <c r="C339" s="386" t="str" cm="1">
        <f t="array" aca="1" ref="C339" ca="1">IF(B339&lt;=$C$9,GetGetCDSName(B339),"")</f>
        <v/>
      </c>
      <c r="D339" s="346"/>
      <c r="E339" s="379"/>
      <c r="F339" s="298"/>
      <c r="G339" s="298"/>
      <c r="H339" s="298"/>
      <c r="I339" s="298"/>
      <c r="J339" s="298"/>
      <c r="K339" s="298"/>
      <c r="L339" s="298"/>
      <c r="M339" s="298"/>
      <c r="N339" s="380"/>
      <c r="O339" s="273"/>
      <c r="P339" s="273"/>
      <c r="Q339" s="273"/>
      <c r="R339" s="273"/>
      <c r="S339" s="273"/>
      <c r="T339" s="273"/>
      <c r="U339" s="273"/>
      <c r="V339" s="273"/>
      <c r="W339" s="273"/>
      <c r="X339" s="273"/>
      <c r="Y339" s="273"/>
      <c r="Z339" s="273"/>
      <c r="AA339" s="273"/>
      <c r="AB339" s="273"/>
      <c r="AC339" s="273"/>
      <c r="AD339" s="273"/>
      <c r="AE339" s="273"/>
    </row>
    <row r="340" spans="2:31" ht="15">
      <c r="B340" s="378">
        <f t="shared" si="8"/>
        <v>295</v>
      </c>
      <c r="C340" s="386" t="str" cm="1">
        <f t="array" aca="1" ref="C340" ca="1">IF(B340&lt;=$C$9,GetGetCDSName(B340),"")</f>
        <v/>
      </c>
      <c r="D340" s="346"/>
      <c r="E340" s="379"/>
      <c r="F340" s="298"/>
      <c r="G340" s="298"/>
      <c r="H340" s="298"/>
      <c r="I340" s="298"/>
      <c r="J340" s="298"/>
      <c r="K340" s="298"/>
      <c r="L340" s="298"/>
      <c r="M340" s="298"/>
      <c r="N340" s="380"/>
      <c r="O340" s="273"/>
      <c r="P340" s="273"/>
      <c r="Q340" s="273"/>
      <c r="R340" s="273"/>
      <c r="S340" s="273"/>
      <c r="T340" s="273"/>
      <c r="U340" s="273"/>
      <c r="V340" s="273"/>
      <c r="W340" s="273"/>
      <c r="X340" s="273"/>
      <c r="Y340" s="273"/>
      <c r="Z340" s="273"/>
      <c r="AA340" s="273"/>
      <c r="AB340" s="273"/>
      <c r="AC340" s="273"/>
      <c r="AD340" s="273"/>
      <c r="AE340" s="273"/>
    </row>
    <row r="341" spans="2:31" ht="15">
      <c r="B341" s="378">
        <f t="shared" si="8"/>
        <v>296</v>
      </c>
      <c r="C341" s="386" t="str" cm="1">
        <f t="array" aca="1" ref="C341" ca="1">IF(B341&lt;=$C$9,GetGetCDSName(B341),"")</f>
        <v/>
      </c>
      <c r="D341" s="346"/>
      <c r="E341" s="379"/>
      <c r="F341" s="298"/>
      <c r="G341" s="298"/>
      <c r="H341" s="298"/>
      <c r="I341" s="298"/>
      <c r="J341" s="298"/>
      <c r="K341" s="298"/>
      <c r="L341" s="298"/>
      <c r="M341" s="298"/>
      <c r="N341" s="380"/>
      <c r="O341" s="273"/>
      <c r="P341" s="273"/>
      <c r="Q341" s="273"/>
      <c r="R341" s="273"/>
      <c r="S341" s="273"/>
      <c r="T341" s="273"/>
      <c r="U341" s="273"/>
      <c r="V341" s="273"/>
      <c r="W341" s="273"/>
      <c r="X341" s="273"/>
      <c r="Y341" s="273"/>
      <c r="Z341" s="273"/>
      <c r="AA341" s="273"/>
      <c r="AB341" s="273"/>
      <c r="AC341" s="273"/>
      <c r="AD341" s="273"/>
      <c r="AE341" s="273"/>
    </row>
    <row r="342" spans="2:31" ht="15">
      <c r="B342" s="378">
        <f t="shared" si="8"/>
        <v>297</v>
      </c>
      <c r="C342" s="386" t="str" cm="1">
        <f t="array" aca="1" ref="C342" ca="1">IF(B342&lt;=$C$9,GetGetCDSName(B342),"")</f>
        <v/>
      </c>
      <c r="D342" s="346"/>
      <c r="E342" s="379"/>
      <c r="F342" s="298"/>
      <c r="G342" s="298"/>
      <c r="H342" s="298"/>
      <c r="I342" s="298"/>
      <c r="J342" s="298"/>
      <c r="K342" s="298"/>
      <c r="L342" s="298"/>
      <c r="M342" s="298"/>
      <c r="N342" s="380"/>
      <c r="O342" s="273"/>
      <c r="P342" s="273"/>
      <c r="Q342" s="273"/>
      <c r="R342" s="273"/>
      <c r="S342" s="273"/>
      <c r="T342" s="273"/>
      <c r="U342" s="273"/>
      <c r="V342" s="273"/>
      <c r="W342" s="273"/>
      <c r="X342" s="273"/>
      <c r="Y342" s="273"/>
      <c r="Z342" s="273"/>
      <c r="AA342" s="273"/>
      <c r="AB342" s="273"/>
      <c r="AC342" s="273"/>
      <c r="AD342" s="273"/>
      <c r="AE342" s="273"/>
    </row>
    <row r="343" spans="2:31" ht="15">
      <c r="B343" s="378">
        <f t="shared" si="8"/>
        <v>298</v>
      </c>
      <c r="C343" s="386" t="str" cm="1">
        <f t="array" aca="1" ref="C343" ca="1">IF(B343&lt;=$C$9,GetGetCDSName(B343),"")</f>
        <v/>
      </c>
      <c r="D343" s="346"/>
      <c r="E343" s="379"/>
      <c r="F343" s="298"/>
      <c r="G343" s="298"/>
      <c r="H343" s="298"/>
      <c r="I343" s="298"/>
      <c r="J343" s="298"/>
      <c r="K343" s="298"/>
      <c r="L343" s="298"/>
      <c r="M343" s="298"/>
      <c r="N343" s="380"/>
      <c r="O343" s="273"/>
      <c r="P343" s="273"/>
      <c r="Q343" s="273"/>
      <c r="R343" s="273"/>
      <c r="S343" s="273"/>
      <c r="T343" s="273"/>
      <c r="U343" s="273"/>
      <c r="V343" s="273"/>
      <c r="W343" s="273"/>
      <c r="X343" s="273"/>
      <c r="Y343" s="273"/>
      <c r="Z343" s="273"/>
      <c r="AA343" s="273"/>
      <c r="AB343" s="273"/>
      <c r="AC343" s="273"/>
      <c r="AD343" s="273"/>
      <c r="AE343" s="273"/>
    </row>
    <row r="344" spans="2:31" ht="15">
      <c r="B344" s="378">
        <f t="shared" si="8"/>
        <v>299</v>
      </c>
      <c r="C344" s="386" t="str" cm="1">
        <f t="array" aca="1" ref="C344" ca="1">IF(B344&lt;=$C$9,GetGetCDSName(B344),"")</f>
        <v/>
      </c>
      <c r="D344" s="346"/>
      <c r="E344" s="379"/>
      <c r="F344" s="298"/>
      <c r="G344" s="298"/>
      <c r="H344" s="298"/>
      <c r="I344" s="298"/>
      <c r="J344" s="298"/>
      <c r="K344" s="298"/>
      <c r="L344" s="298"/>
      <c r="M344" s="298"/>
      <c r="N344" s="380"/>
      <c r="O344" s="273"/>
      <c r="P344" s="273"/>
      <c r="Q344" s="273"/>
      <c r="R344" s="273"/>
      <c r="S344" s="273"/>
      <c r="T344" s="273"/>
      <c r="U344" s="273"/>
      <c r="V344" s="273"/>
      <c r="W344" s="273"/>
      <c r="X344" s="273"/>
      <c r="Y344" s="273"/>
      <c r="Z344" s="273"/>
      <c r="AA344" s="273"/>
      <c r="AB344" s="273"/>
      <c r="AC344" s="273"/>
      <c r="AD344" s="273"/>
      <c r="AE344" s="273"/>
    </row>
    <row r="345" spans="2:31" ht="15.75" thickBot="1">
      <c r="B345" s="381">
        <f t="shared" si="8"/>
        <v>300</v>
      </c>
      <c r="C345" s="386" t="str" cm="1">
        <f t="array" aca="1" ref="C345" ca="1">IF(B345&lt;=$C$9,GetGetCDSName(B345),"")</f>
        <v/>
      </c>
      <c r="D345" s="382"/>
      <c r="E345" s="383"/>
      <c r="F345" s="384"/>
      <c r="G345" s="384"/>
      <c r="H345" s="384"/>
      <c r="I345" s="384"/>
      <c r="J345" s="384"/>
      <c r="K345" s="384"/>
      <c r="L345" s="384"/>
      <c r="M345" s="384"/>
      <c r="N345" s="385"/>
      <c r="O345" s="273"/>
      <c r="P345" s="273"/>
      <c r="Q345" s="273"/>
      <c r="R345" s="273"/>
      <c r="S345" s="273"/>
      <c r="T345" s="273"/>
      <c r="U345" s="273"/>
      <c r="V345" s="273"/>
      <c r="W345" s="273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O346" s="273"/>
      <c r="P346" s="273"/>
      <c r="Q346" s="273"/>
      <c r="R346" s="273"/>
      <c r="S346" s="273"/>
      <c r="T346" s="273"/>
      <c r="U346" s="273"/>
      <c r="V346" s="273"/>
      <c r="W346" s="273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O347" s="273"/>
      <c r="P347" s="273"/>
      <c r="Q347" s="273"/>
      <c r="R347" s="273"/>
      <c r="S347" s="273"/>
      <c r="T347" s="273"/>
      <c r="U347" s="273"/>
      <c r="V347" s="273"/>
      <c r="W347" s="273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O348" s="273"/>
      <c r="P348" s="273"/>
      <c r="Q348" s="273"/>
      <c r="R348" s="273"/>
      <c r="S348" s="273"/>
      <c r="T348" s="273"/>
      <c r="U348" s="273"/>
      <c r="V348" s="273"/>
      <c r="W348" s="273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O349" s="273"/>
      <c r="P349" s="273"/>
      <c r="Q349" s="273"/>
      <c r="R349" s="273"/>
      <c r="S349" s="273"/>
      <c r="T349" s="273"/>
      <c r="U349" s="273"/>
      <c r="V349" s="273"/>
      <c r="W349" s="273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O350" s="273"/>
      <c r="P350" s="273"/>
      <c r="Q350" s="273"/>
      <c r="R350" s="273"/>
      <c r="S350" s="273"/>
      <c r="T350" s="273"/>
      <c r="U350" s="273"/>
      <c r="V350" s="273"/>
      <c r="W350" s="273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O351" s="273"/>
      <c r="P351" s="273"/>
      <c r="Q351" s="273"/>
      <c r="R351" s="273"/>
      <c r="S351" s="273"/>
      <c r="T351" s="273"/>
      <c r="U351" s="273"/>
      <c r="V351" s="273"/>
      <c r="W351" s="273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O352" s="273"/>
      <c r="P352" s="273"/>
      <c r="Q352" s="273"/>
      <c r="R352" s="273"/>
      <c r="S352" s="273"/>
      <c r="T352" s="273"/>
      <c r="U352" s="273"/>
      <c r="V352" s="273"/>
      <c r="W352" s="273"/>
      <c r="X352" s="273"/>
      <c r="Y352" s="273"/>
      <c r="Z352" s="273"/>
      <c r="AA352" s="273"/>
      <c r="AB352" s="273"/>
      <c r="AC352" s="273"/>
      <c r="AD352" s="273"/>
      <c r="AE352" s="273"/>
    </row>
    <row r="353" spans="15:31">
      <c r="O353" s="273"/>
      <c r="P353" s="273"/>
      <c r="Q353" s="273"/>
      <c r="R353" s="273"/>
      <c r="S353" s="273"/>
      <c r="T353" s="273"/>
      <c r="U353" s="273"/>
      <c r="V353" s="273"/>
      <c r="W353" s="273"/>
      <c r="X353" s="273"/>
      <c r="Y353" s="273"/>
      <c r="Z353" s="273"/>
      <c r="AA353" s="273"/>
      <c r="AB353" s="273"/>
      <c r="AC353" s="273"/>
      <c r="AD353" s="273"/>
      <c r="AE353" s="273"/>
    </row>
    <row r="354" spans="15:31">
      <c r="O354" s="273"/>
      <c r="P354" s="273"/>
      <c r="Q354" s="273"/>
      <c r="R354" s="273"/>
      <c r="S354" s="273"/>
      <c r="T354" s="273"/>
      <c r="U354" s="273"/>
      <c r="V354" s="273"/>
      <c r="W354" s="273"/>
      <c r="X354" s="273"/>
      <c r="Y354" s="273"/>
      <c r="Z354" s="273"/>
      <c r="AA354" s="273"/>
      <c r="AB354" s="273"/>
      <c r="AC354" s="273"/>
      <c r="AD354" s="273"/>
      <c r="AE354" s="273"/>
    </row>
    <row r="355" spans="15:31">
      <c r="O355" s="273"/>
      <c r="P355" s="273"/>
      <c r="Q355" s="273"/>
      <c r="R355" s="273"/>
      <c r="S355" s="273"/>
      <c r="T355" s="273"/>
      <c r="U355" s="273"/>
      <c r="V355" s="273"/>
      <c r="W355" s="273"/>
      <c r="X355" s="273"/>
      <c r="Y355" s="273"/>
      <c r="Z355" s="273"/>
      <c r="AA355" s="273"/>
      <c r="AB355" s="273"/>
      <c r="AC355" s="273"/>
      <c r="AD355" s="273"/>
      <c r="AE355" s="273"/>
    </row>
    <row r="356" spans="15:31">
      <c r="O356" s="273"/>
      <c r="P356" s="273"/>
      <c r="Q356" s="273"/>
      <c r="R356" s="273"/>
      <c r="S356" s="273"/>
      <c r="T356" s="273"/>
      <c r="U356" s="273"/>
      <c r="V356" s="273"/>
      <c r="W356" s="273"/>
      <c r="X356" s="273"/>
      <c r="Y356" s="273"/>
      <c r="Z356" s="273"/>
      <c r="AA356" s="273"/>
      <c r="AB356" s="273"/>
      <c r="AC356" s="273"/>
      <c r="AD356" s="273"/>
      <c r="AE356" s="273"/>
    </row>
    <row r="357" spans="15:31">
      <c r="O357" s="273"/>
      <c r="P357" s="273"/>
      <c r="Q357" s="273"/>
      <c r="R357" s="273"/>
      <c r="S357" s="273"/>
      <c r="T357" s="273"/>
      <c r="U357" s="273"/>
      <c r="V357" s="273"/>
      <c r="W357" s="273"/>
      <c r="X357" s="273"/>
      <c r="Y357" s="273"/>
      <c r="Z357" s="273"/>
      <c r="AA357" s="273"/>
      <c r="AB357" s="273"/>
      <c r="AC357" s="273"/>
      <c r="AD357" s="273"/>
      <c r="AE357" s="273"/>
    </row>
    <row r="358" spans="15:31">
      <c r="O358" s="273"/>
      <c r="P358" s="273"/>
      <c r="Q358" s="273"/>
      <c r="R358" s="273"/>
      <c r="S358" s="273"/>
      <c r="T358" s="273"/>
      <c r="U358" s="273"/>
      <c r="V358" s="273"/>
      <c r="W358" s="273"/>
      <c r="X358" s="273"/>
      <c r="Y358" s="273"/>
      <c r="Z358" s="273"/>
      <c r="AA358" s="273"/>
      <c r="AB358" s="273"/>
      <c r="AC358" s="273"/>
      <c r="AD358" s="273"/>
      <c r="AE358" s="273"/>
    </row>
    <row r="359" spans="15:31">
      <c r="O359" s="273"/>
      <c r="P359" s="273"/>
      <c r="Q359" s="273"/>
      <c r="R359" s="273"/>
      <c r="S359" s="273"/>
      <c r="T359" s="273"/>
      <c r="U359" s="273"/>
      <c r="V359" s="273"/>
      <c r="W359" s="273"/>
      <c r="X359" s="273"/>
      <c r="Y359" s="273"/>
      <c r="Z359" s="273"/>
      <c r="AA359" s="273"/>
      <c r="AB359" s="273"/>
      <c r="AC359" s="273"/>
      <c r="AD359" s="273"/>
      <c r="AE359" s="273"/>
    </row>
    <row r="360" spans="15:31">
      <c r="O360" s="273"/>
      <c r="P360" s="273"/>
      <c r="Q360" s="273"/>
      <c r="R360" s="273"/>
      <c r="S360" s="273"/>
      <c r="T360" s="273"/>
      <c r="U360" s="273"/>
      <c r="V360" s="273"/>
      <c r="W360" s="273"/>
      <c r="X360" s="273"/>
      <c r="Y360" s="273"/>
      <c r="Z360" s="273"/>
      <c r="AA360" s="273"/>
      <c r="AB360" s="273"/>
      <c r="AC360" s="273"/>
      <c r="AD360" s="273"/>
      <c r="AE360" s="273"/>
    </row>
    <row r="361" spans="15:31">
      <c r="O361" s="273"/>
      <c r="P361" s="273"/>
      <c r="Q361" s="273"/>
      <c r="R361" s="273"/>
      <c r="S361" s="273"/>
      <c r="T361" s="273"/>
      <c r="U361" s="273"/>
      <c r="V361" s="273"/>
      <c r="W361" s="273"/>
      <c r="X361" s="273"/>
      <c r="Y361" s="273"/>
      <c r="Z361" s="273"/>
      <c r="AA361" s="273"/>
      <c r="AB361" s="273"/>
      <c r="AC361" s="273"/>
      <c r="AD361" s="273"/>
      <c r="AE361" s="273"/>
    </row>
    <row r="362" spans="15:31">
      <c r="O362" s="273"/>
      <c r="P362" s="273"/>
      <c r="Q362" s="273"/>
      <c r="R362" s="273"/>
      <c r="S362" s="273"/>
      <c r="T362" s="273"/>
      <c r="U362" s="273"/>
      <c r="V362" s="273"/>
      <c r="W362" s="273"/>
      <c r="X362" s="273"/>
      <c r="Y362" s="273"/>
      <c r="Z362" s="273"/>
      <c r="AA362" s="273"/>
      <c r="AB362" s="273"/>
      <c r="AC362" s="273"/>
      <c r="AD362" s="273"/>
      <c r="AE362" s="273"/>
    </row>
    <row r="363" spans="15:31">
      <c r="O363" s="273"/>
      <c r="P363" s="273"/>
      <c r="Q363" s="273"/>
      <c r="R363" s="273"/>
      <c r="S363" s="273"/>
      <c r="T363" s="273"/>
      <c r="U363" s="273"/>
      <c r="V363" s="273"/>
      <c r="W363" s="273"/>
      <c r="X363" s="273"/>
      <c r="Y363" s="273"/>
      <c r="Z363" s="273"/>
      <c r="AA363" s="273"/>
      <c r="AB363" s="273"/>
      <c r="AC363" s="273"/>
      <c r="AD363" s="273"/>
      <c r="AE363" s="273"/>
    </row>
    <row r="364" spans="15:31">
      <c r="O364" s="273"/>
      <c r="P364" s="273"/>
      <c r="Q364" s="273"/>
      <c r="R364" s="273"/>
      <c r="S364" s="273"/>
      <c r="T364" s="273"/>
      <c r="U364" s="273"/>
      <c r="V364" s="273"/>
      <c r="W364" s="273"/>
      <c r="X364" s="273"/>
      <c r="Y364" s="273"/>
      <c r="Z364" s="273"/>
      <c r="AA364" s="273"/>
      <c r="AB364" s="273"/>
      <c r="AC364" s="273"/>
      <c r="AD364" s="273"/>
      <c r="AE364" s="273"/>
    </row>
    <row r="365" spans="15:31">
      <c r="O365" s="273"/>
      <c r="P365" s="273"/>
      <c r="Q365" s="273"/>
      <c r="R365" s="273"/>
      <c r="S365" s="273"/>
      <c r="T365" s="273"/>
      <c r="U365" s="273"/>
      <c r="V365" s="273"/>
      <c r="W365" s="273"/>
      <c r="X365" s="273"/>
      <c r="Y365" s="273"/>
      <c r="Z365" s="273"/>
      <c r="AA365" s="273"/>
      <c r="AB365" s="273"/>
      <c r="AC365" s="273"/>
      <c r="AD365" s="273"/>
      <c r="AE365" s="273"/>
    </row>
    <row r="366" spans="15:31">
      <c r="O366" s="273"/>
      <c r="P366" s="273"/>
      <c r="Q366" s="273"/>
      <c r="R366" s="273"/>
      <c r="S366" s="273"/>
      <c r="T366" s="273"/>
      <c r="U366" s="273"/>
      <c r="V366" s="273"/>
      <c r="W366" s="273"/>
      <c r="X366" s="273"/>
      <c r="Y366" s="273"/>
      <c r="Z366" s="273"/>
      <c r="AA366" s="273"/>
      <c r="AB366" s="273"/>
      <c r="AC366" s="273"/>
      <c r="AD366" s="273"/>
      <c r="AE366" s="273"/>
    </row>
    <row r="367" spans="15:31">
      <c r="O367" s="273"/>
      <c r="P367" s="273"/>
      <c r="Q367" s="273"/>
      <c r="R367" s="273"/>
      <c r="S367" s="273"/>
      <c r="T367" s="273"/>
      <c r="U367" s="273"/>
      <c r="V367" s="273"/>
      <c r="W367" s="273"/>
      <c r="X367" s="273"/>
      <c r="Y367" s="273"/>
      <c r="Z367" s="273"/>
      <c r="AA367" s="273"/>
      <c r="AB367" s="273"/>
      <c r="AC367" s="273"/>
      <c r="AD367" s="273"/>
      <c r="AE367" s="273"/>
    </row>
    <row r="368" spans="15:31">
      <c r="O368" s="273"/>
      <c r="P368" s="273"/>
      <c r="Q368" s="273"/>
      <c r="R368" s="273"/>
      <c r="S368" s="273"/>
      <c r="T368" s="273"/>
      <c r="U368" s="273"/>
      <c r="V368" s="273"/>
      <c r="W368" s="273"/>
      <c r="X368" s="273"/>
      <c r="Y368" s="273"/>
      <c r="Z368" s="273"/>
      <c r="AA368" s="273"/>
      <c r="AB368" s="273"/>
      <c r="AC368" s="273"/>
      <c r="AD368" s="273"/>
      <c r="AE368" s="273"/>
    </row>
    <row r="369" spans="15:31">
      <c r="O369" s="273"/>
      <c r="P369" s="273"/>
      <c r="Q369" s="273"/>
      <c r="R369" s="273"/>
      <c r="S369" s="273"/>
      <c r="T369" s="273"/>
      <c r="U369" s="273"/>
      <c r="V369" s="273"/>
      <c r="W369" s="273"/>
      <c r="X369" s="273"/>
      <c r="Y369" s="273"/>
      <c r="Z369" s="273"/>
      <c r="AA369" s="273"/>
      <c r="AB369" s="273"/>
      <c r="AC369" s="273"/>
      <c r="AD369" s="273"/>
      <c r="AE369" s="273"/>
    </row>
    <row r="370" spans="15:31">
      <c r="O370" s="273"/>
      <c r="P370" s="273"/>
      <c r="Q370" s="273"/>
      <c r="R370" s="273"/>
      <c r="S370" s="273"/>
      <c r="T370" s="273"/>
      <c r="U370" s="273"/>
      <c r="V370" s="273"/>
      <c r="W370" s="273"/>
      <c r="X370" s="273"/>
      <c r="Y370" s="273"/>
      <c r="Z370" s="273"/>
      <c r="AA370" s="273"/>
      <c r="AB370" s="273"/>
      <c r="AC370" s="273"/>
      <c r="AD370" s="273"/>
      <c r="AE370" s="273"/>
    </row>
    <row r="371" spans="15:31">
      <c r="O371" s="273"/>
      <c r="P371" s="273"/>
      <c r="Q371" s="273"/>
      <c r="R371" s="273"/>
      <c r="S371" s="273"/>
      <c r="T371" s="273"/>
      <c r="U371" s="273"/>
      <c r="V371" s="273"/>
      <c r="W371" s="273"/>
      <c r="X371" s="273"/>
      <c r="Y371" s="273"/>
      <c r="Z371" s="273"/>
      <c r="AA371" s="273"/>
      <c r="AB371" s="273"/>
      <c r="AC371" s="273"/>
      <c r="AD371" s="273"/>
      <c r="AE371" s="273"/>
    </row>
    <row r="372" spans="15:31">
      <c r="O372" s="273"/>
      <c r="P372" s="273"/>
      <c r="Q372" s="273"/>
      <c r="R372" s="273"/>
      <c r="S372" s="273"/>
      <c r="T372" s="273"/>
      <c r="U372" s="273"/>
      <c r="V372" s="273"/>
      <c r="W372" s="273"/>
      <c r="X372" s="273"/>
      <c r="Y372" s="273"/>
      <c r="Z372" s="273"/>
      <c r="AA372" s="273"/>
      <c r="AB372" s="273"/>
      <c r="AC372" s="273"/>
      <c r="AD372" s="273"/>
      <c r="AE372" s="273"/>
    </row>
    <row r="373" spans="15:31">
      <c r="O373" s="273"/>
      <c r="P373" s="273"/>
      <c r="Q373" s="273"/>
      <c r="R373" s="273"/>
      <c r="S373" s="273"/>
      <c r="T373" s="273"/>
      <c r="U373" s="273"/>
      <c r="V373" s="273"/>
      <c r="W373" s="273"/>
      <c r="X373" s="273"/>
      <c r="Y373" s="273"/>
      <c r="Z373" s="273"/>
      <c r="AA373" s="273"/>
      <c r="AB373" s="273"/>
      <c r="AC373" s="273"/>
      <c r="AD373" s="273"/>
      <c r="AE373" s="273"/>
    </row>
    <row r="374" spans="15:31">
      <c r="O374" s="273"/>
      <c r="P374" s="273"/>
      <c r="Q374" s="273"/>
      <c r="R374" s="273"/>
      <c r="S374" s="273"/>
      <c r="T374" s="273"/>
      <c r="U374" s="273"/>
      <c r="V374" s="273"/>
      <c r="W374" s="273"/>
      <c r="X374" s="273"/>
      <c r="Y374" s="273"/>
      <c r="Z374" s="273"/>
      <c r="AA374" s="273"/>
      <c r="AB374" s="273"/>
      <c r="AC374" s="273"/>
      <c r="AD374" s="273"/>
      <c r="AE374" s="273"/>
    </row>
    <row r="375" spans="15:31">
      <c r="O375" s="273"/>
      <c r="P375" s="273"/>
      <c r="Q375" s="273"/>
      <c r="R375" s="273"/>
      <c r="S375" s="273"/>
      <c r="T375" s="273"/>
      <c r="U375" s="273"/>
      <c r="V375" s="273"/>
      <c r="W375" s="273"/>
      <c r="X375" s="273"/>
      <c r="Y375" s="273"/>
      <c r="Z375" s="273"/>
      <c r="AA375" s="273"/>
      <c r="AB375" s="273"/>
      <c r="AC375" s="273"/>
      <c r="AD375" s="273"/>
      <c r="AE375" s="273"/>
    </row>
    <row r="376" spans="15:31">
      <c r="O376" s="273"/>
      <c r="P376" s="273"/>
      <c r="Q376" s="273"/>
      <c r="R376" s="273"/>
      <c r="S376" s="273"/>
      <c r="T376" s="273"/>
      <c r="U376" s="273"/>
      <c r="V376" s="273"/>
      <c r="W376" s="273"/>
      <c r="X376" s="273"/>
      <c r="Y376" s="273"/>
      <c r="Z376" s="273"/>
      <c r="AA376" s="273"/>
      <c r="AB376" s="273"/>
      <c r="AC376" s="273"/>
      <c r="AD376" s="273"/>
      <c r="AE376" s="273"/>
    </row>
    <row r="377" spans="15:31">
      <c r="O377" s="273"/>
      <c r="P377" s="273"/>
      <c r="Q377" s="273"/>
      <c r="R377" s="273"/>
      <c r="S377" s="273"/>
      <c r="T377" s="273"/>
      <c r="U377" s="273"/>
      <c r="V377" s="273"/>
      <c r="W377" s="273"/>
      <c r="X377" s="273"/>
      <c r="Y377" s="273"/>
      <c r="Z377" s="273"/>
      <c r="AA377" s="273"/>
      <c r="AB377" s="273"/>
      <c r="AC377" s="273"/>
      <c r="AD377" s="273"/>
      <c r="AE377" s="273"/>
    </row>
    <row r="378" spans="15:31">
      <c r="O378" s="273"/>
      <c r="P378" s="273"/>
      <c r="Q378" s="273"/>
      <c r="R378" s="273"/>
      <c r="S378" s="273"/>
      <c r="T378" s="273"/>
      <c r="U378" s="273"/>
      <c r="V378" s="273"/>
      <c r="W378" s="273"/>
      <c r="X378" s="273"/>
      <c r="Y378" s="273"/>
      <c r="Z378" s="273"/>
      <c r="AA378" s="273"/>
      <c r="AB378" s="273"/>
      <c r="AC378" s="273"/>
      <c r="AD378" s="273"/>
      <c r="AE378" s="273"/>
    </row>
    <row r="379" spans="15:31">
      <c r="O379" s="273"/>
      <c r="P379" s="273"/>
      <c r="Q379" s="273"/>
      <c r="R379" s="273"/>
      <c r="S379" s="273"/>
      <c r="T379" s="273"/>
      <c r="U379" s="273"/>
      <c r="V379" s="273"/>
      <c r="W379" s="273"/>
      <c r="X379" s="273"/>
      <c r="Y379" s="273"/>
      <c r="Z379" s="273"/>
      <c r="AA379" s="273"/>
      <c r="AB379" s="273"/>
      <c r="AC379" s="273"/>
      <c r="AD379" s="273"/>
      <c r="AE379" s="273"/>
    </row>
    <row r="380" spans="15:31">
      <c r="O380" s="273"/>
      <c r="P380" s="273"/>
      <c r="Q380" s="273"/>
      <c r="R380" s="273"/>
      <c r="S380" s="273"/>
      <c r="T380" s="273"/>
      <c r="U380" s="273"/>
      <c r="V380" s="273"/>
      <c r="W380" s="273"/>
      <c r="X380" s="273"/>
      <c r="Y380" s="273"/>
      <c r="Z380" s="273"/>
      <c r="AA380" s="273"/>
      <c r="AB380" s="273"/>
      <c r="AC380" s="273"/>
      <c r="AD380" s="273"/>
      <c r="AE380" s="273"/>
    </row>
    <row r="381" spans="15:31">
      <c r="O381" s="273"/>
      <c r="P381" s="273"/>
      <c r="Q381" s="273"/>
      <c r="R381" s="273"/>
      <c r="S381" s="273"/>
      <c r="T381" s="273"/>
      <c r="U381" s="273"/>
      <c r="V381" s="273"/>
      <c r="W381" s="273"/>
      <c r="X381" s="273"/>
      <c r="Y381" s="273"/>
      <c r="Z381" s="273"/>
      <c r="AA381" s="273"/>
      <c r="AB381" s="273"/>
      <c r="AC381" s="273"/>
      <c r="AD381" s="273"/>
      <c r="AE381" s="273"/>
    </row>
    <row r="382" spans="15:31">
      <c r="O382" s="273"/>
      <c r="P382" s="273"/>
      <c r="Q382" s="273"/>
      <c r="R382" s="273"/>
      <c r="S382" s="273"/>
      <c r="T382" s="273"/>
      <c r="U382" s="273"/>
      <c r="V382" s="273"/>
      <c r="W382" s="273"/>
      <c r="X382" s="273"/>
      <c r="Y382" s="273"/>
      <c r="Z382" s="273"/>
      <c r="AA382" s="273"/>
      <c r="AB382" s="273"/>
      <c r="AC382" s="273"/>
      <c r="AD382" s="273"/>
      <c r="AE382" s="273"/>
    </row>
    <row r="383" spans="15:31">
      <c r="O383" s="273"/>
      <c r="P383" s="273"/>
      <c r="Q383" s="273"/>
      <c r="R383" s="273"/>
      <c r="S383" s="273"/>
      <c r="T383" s="273"/>
      <c r="U383" s="273"/>
      <c r="V383" s="273"/>
      <c r="W383" s="273"/>
      <c r="X383" s="273"/>
      <c r="Y383" s="273"/>
      <c r="Z383" s="273"/>
      <c r="AA383" s="273"/>
      <c r="AB383" s="273"/>
      <c r="AC383" s="273"/>
      <c r="AD383" s="273"/>
      <c r="AE383" s="273"/>
    </row>
    <row r="384" spans="15:31">
      <c r="O384" s="273"/>
      <c r="P384" s="273"/>
      <c r="Q384" s="273"/>
      <c r="R384" s="273"/>
      <c r="S384" s="273"/>
      <c r="T384" s="273"/>
      <c r="U384" s="273"/>
      <c r="V384" s="273"/>
      <c r="W384" s="273"/>
      <c r="X384" s="273"/>
      <c r="Y384" s="273"/>
      <c r="Z384" s="273"/>
      <c r="AA384" s="273"/>
      <c r="AB384" s="273"/>
      <c r="AC384" s="273"/>
      <c r="AD384" s="273"/>
      <c r="AE384" s="273"/>
    </row>
    <row r="385" spans="15:31">
      <c r="O385" s="273"/>
      <c r="P385" s="273"/>
      <c r="Q385" s="273"/>
      <c r="R385" s="273"/>
      <c r="S385" s="273"/>
      <c r="T385" s="273"/>
      <c r="U385" s="273"/>
      <c r="V385" s="273"/>
      <c r="W385" s="273"/>
      <c r="X385" s="273"/>
      <c r="Y385" s="273"/>
      <c r="Z385" s="273"/>
      <c r="AA385" s="273"/>
      <c r="AB385" s="273"/>
      <c r="AC385" s="273"/>
      <c r="AD385" s="273"/>
      <c r="AE385" s="273"/>
    </row>
    <row r="386" spans="15:31">
      <c r="O386" s="273"/>
      <c r="P386" s="273"/>
      <c r="Q386" s="273"/>
      <c r="R386" s="273"/>
      <c r="S386" s="273"/>
      <c r="T386" s="273"/>
      <c r="U386" s="273"/>
      <c r="V386" s="273"/>
      <c r="W386" s="273"/>
      <c r="X386" s="273"/>
      <c r="Y386" s="273"/>
      <c r="Z386" s="273"/>
      <c r="AA386" s="273"/>
      <c r="AB386" s="273"/>
      <c r="AC386" s="273"/>
      <c r="AD386" s="273"/>
      <c r="AE386" s="273"/>
    </row>
    <row r="387" spans="15:31">
      <c r="O387" s="273"/>
      <c r="P387" s="273"/>
      <c r="Q387" s="273"/>
      <c r="R387" s="273"/>
      <c r="S387" s="273"/>
      <c r="T387" s="273"/>
      <c r="U387" s="273"/>
      <c r="V387" s="273"/>
      <c r="W387" s="273"/>
      <c r="X387" s="273"/>
      <c r="Y387" s="273"/>
      <c r="Z387" s="273"/>
      <c r="AA387" s="273"/>
      <c r="AB387" s="273"/>
      <c r="AC387" s="273"/>
      <c r="AD387" s="273"/>
      <c r="AE387" s="273"/>
    </row>
    <row r="388" spans="15:31">
      <c r="O388" s="273"/>
      <c r="P388" s="273"/>
      <c r="Q388" s="273"/>
      <c r="R388" s="273"/>
      <c r="S388" s="273"/>
      <c r="T388" s="273"/>
      <c r="U388" s="273"/>
      <c r="V388" s="273"/>
      <c r="W388" s="273"/>
      <c r="X388" s="273"/>
      <c r="Y388" s="273"/>
      <c r="Z388" s="273"/>
      <c r="AA388" s="273"/>
      <c r="AB388" s="273"/>
      <c r="AC388" s="273"/>
      <c r="AD388" s="273"/>
      <c r="AE388" s="273"/>
    </row>
    <row r="389" spans="15:31">
      <c r="O389" s="273"/>
      <c r="P389" s="273"/>
      <c r="Q389" s="273"/>
      <c r="R389" s="273"/>
      <c r="S389" s="273"/>
      <c r="T389" s="273"/>
      <c r="U389" s="273"/>
      <c r="V389" s="273"/>
      <c r="W389" s="273"/>
      <c r="X389" s="273"/>
      <c r="Y389" s="273"/>
      <c r="Z389" s="273"/>
      <c r="AA389" s="273"/>
      <c r="AB389" s="273"/>
      <c r="AC389" s="273"/>
      <c r="AD389" s="273"/>
      <c r="AE389" s="273"/>
    </row>
    <row r="390" spans="15:31">
      <c r="O390" s="273"/>
      <c r="P390" s="273"/>
      <c r="Q390" s="273"/>
      <c r="R390" s="273"/>
      <c r="S390" s="273"/>
      <c r="T390" s="273"/>
      <c r="U390" s="273"/>
      <c r="V390" s="273"/>
      <c r="W390" s="273"/>
      <c r="X390" s="273"/>
      <c r="Y390" s="273"/>
      <c r="Z390" s="273"/>
      <c r="AA390" s="273"/>
      <c r="AB390" s="273"/>
      <c r="AC390" s="273"/>
      <c r="AD390" s="273"/>
      <c r="AE390" s="273"/>
    </row>
    <row r="391" spans="15:31">
      <c r="O391" s="273"/>
      <c r="P391" s="273"/>
      <c r="Q391" s="273"/>
      <c r="R391" s="273"/>
      <c r="S391" s="273"/>
      <c r="T391" s="273"/>
      <c r="U391" s="273"/>
      <c r="V391" s="273"/>
      <c r="W391" s="273"/>
      <c r="X391" s="273"/>
      <c r="Y391" s="273"/>
      <c r="Z391" s="273"/>
      <c r="AA391" s="273"/>
      <c r="AB391" s="273"/>
      <c r="AC391" s="273"/>
      <c r="AD391" s="273"/>
      <c r="AE391" s="273"/>
    </row>
    <row r="392" spans="15:31">
      <c r="O392" s="273"/>
      <c r="P392" s="273"/>
      <c r="Q392" s="273"/>
      <c r="R392" s="273"/>
      <c r="S392" s="273"/>
      <c r="T392" s="273"/>
      <c r="U392" s="273"/>
      <c r="V392" s="273"/>
      <c r="W392" s="273"/>
      <c r="X392" s="273"/>
      <c r="Y392" s="273"/>
      <c r="Z392" s="273"/>
      <c r="AA392" s="273"/>
      <c r="AB392" s="273"/>
      <c r="AC392" s="273"/>
      <c r="AD392" s="273"/>
      <c r="AE392" s="273"/>
    </row>
    <row r="393" spans="15:31">
      <c r="O393" s="273"/>
      <c r="P393" s="273"/>
      <c r="Q393" s="273"/>
      <c r="R393" s="273"/>
      <c r="S393" s="273"/>
      <c r="T393" s="273"/>
      <c r="U393" s="273"/>
      <c r="V393" s="273"/>
      <c r="W393" s="273"/>
      <c r="X393" s="273"/>
      <c r="Y393" s="273"/>
      <c r="Z393" s="273"/>
      <c r="AA393" s="273"/>
      <c r="AB393" s="273"/>
      <c r="AC393" s="273"/>
      <c r="AD393" s="273"/>
      <c r="AE393" s="273"/>
    </row>
    <row r="394" spans="15:31">
      <c r="O394" s="273"/>
      <c r="P394" s="273"/>
      <c r="Q394" s="273"/>
      <c r="R394" s="273"/>
      <c r="S394" s="273"/>
      <c r="T394" s="273"/>
      <c r="U394" s="273"/>
      <c r="V394" s="273"/>
      <c r="W394" s="273"/>
      <c r="X394" s="273"/>
      <c r="Y394" s="273"/>
      <c r="Z394" s="273"/>
      <c r="AA394" s="273"/>
      <c r="AB394" s="273"/>
      <c r="AC394" s="273"/>
      <c r="AD394" s="273"/>
      <c r="AE394" s="273"/>
    </row>
    <row r="395" spans="15:31">
      <c r="O395" s="273"/>
      <c r="P395" s="273"/>
      <c r="Q395" s="273"/>
      <c r="R395" s="273"/>
      <c r="S395" s="273"/>
      <c r="T395" s="273"/>
      <c r="U395" s="273"/>
      <c r="V395" s="273"/>
      <c r="W395" s="273"/>
      <c r="X395" s="273"/>
      <c r="Y395" s="273"/>
      <c r="Z395" s="273"/>
      <c r="AA395" s="273"/>
      <c r="AB395" s="273"/>
      <c r="AC395" s="273"/>
      <c r="AD395" s="273"/>
      <c r="AE395" s="273"/>
    </row>
    <row r="396" spans="15:31">
      <c r="O396" s="273"/>
      <c r="P396" s="273"/>
      <c r="Q396" s="273"/>
      <c r="R396" s="273"/>
      <c r="S396" s="273"/>
      <c r="T396" s="273"/>
      <c r="U396" s="273"/>
      <c r="V396" s="273"/>
      <c r="W396" s="273"/>
      <c r="X396" s="273"/>
      <c r="Y396" s="273"/>
      <c r="Z396" s="273"/>
      <c r="AA396" s="273"/>
      <c r="AB396" s="273"/>
      <c r="AC396" s="273"/>
      <c r="AD396" s="273"/>
      <c r="AE396" s="273"/>
    </row>
    <row r="397" spans="15:31">
      <c r="O397" s="273"/>
      <c r="P397" s="273"/>
      <c r="Q397" s="273"/>
      <c r="R397" s="273"/>
      <c r="S397" s="273"/>
      <c r="T397" s="273"/>
      <c r="U397" s="273"/>
      <c r="V397" s="273"/>
      <c r="W397" s="273"/>
      <c r="X397" s="273"/>
      <c r="Y397" s="273"/>
      <c r="Z397" s="273"/>
      <c r="AA397" s="273"/>
      <c r="AB397" s="273"/>
      <c r="AC397" s="273"/>
      <c r="AD397" s="273"/>
      <c r="AE397" s="273"/>
    </row>
    <row r="398" spans="15:31">
      <c r="O398" s="273"/>
      <c r="P398" s="273"/>
      <c r="Q398" s="273"/>
      <c r="R398" s="273"/>
      <c r="S398" s="273"/>
      <c r="T398" s="273"/>
      <c r="U398" s="273"/>
      <c r="V398" s="273"/>
      <c r="W398" s="273"/>
      <c r="X398" s="273"/>
      <c r="Y398" s="273"/>
      <c r="Z398" s="273"/>
      <c r="AA398" s="273"/>
      <c r="AB398" s="273"/>
      <c r="AC398" s="273"/>
      <c r="AD398" s="273"/>
      <c r="AE398" s="273"/>
    </row>
    <row r="399" spans="15:31">
      <c r="O399" s="273"/>
      <c r="P399" s="273"/>
      <c r="Q399" s="273"/>
      <c r="R399" s="273"/>
      <c r="S399" s="273"/>
      <c r="T399" s="273"/>
      <c r="U399" s="273"/>
      <c r="V399" s="273"/>
      <c r="W399" s="273"/>
      <c r="X399" s="273"/>
      <c r="Y399" s="273"/>
      <c r="Z399" s="273"/>
      <c r="AA399" s="273"/>
      <c r="AB399" s="273"/>
      <c r="AC399" s="273"/>
      <c r="AD399" s="273"/>
      <c r="AE399" s="273"/>
    </row>
    <row r="400" spans="15:31">
      <c r="O400" s="273"/>
      <c r="P400" s="273"/>
      <c r="Q400" s="273"/>
      <c r="R400" s="273"/>
      <c r="S400" s="273"/>
      <c r="T400" s="273"/>
      <c r="U400" s="273"/>
      <c r="V400" s="273"/>
      <c r="W400" s="273"/>
      <c r="X400" s="273"/>
      <c r="Y400" s="273"/>
      <c r="Z400" s="273"/>
      <c r="AA400" s="273"/>
      <c r="AB400" s="273"/>
      <c r="AC400" s="273"/>
      <c r="AD400" s="273"/>
      <c r="AE400" s="273"/>
    </row>
    <row r="401" spans="15:31">
      <c r="O401" s="273"/>
      <c r="P401" s="273"/>
      <c r="Q401" s="273"/>
      <c r="R401" s="273"/>
      <c r="S401" s="273"/>
      <c r="T401" s="273"/>
      <c r="U401" s="273"/>
      <c r="V401" s="273"/>
      <c r="W401" s="273"/>
      <c r="X401" s="273"/>
      <c r="Y401" s="273"/>
      <c r="Z401" s="273"/>
      <c r="AA401" s="273"/>
      <c r="AB401" s="273"/>
      <c r="AC401" s="273"/>
      <c r="AD401" s="273"/>
      <c r="AE401" s="273"/>
    </row>
    <row r="402" spans="15:31">
      <c r="O402" s="273"/>
      <c r="P402" s="273"/>
      <c r="Q402" s="273"/>
      <c r="R402" s="273"/>
      <c r="S402" s="273"/>
      <c r="T402" s="273"/>
      <c r="U402" s="273"/>
      <c r="V402" s="273"/>
      <c r="W402" s="273"/>
      <c r="X402" s="273"/>
      <c r="Y402" s="273"/>
      <c r="Z402" s="273"/>
      <c r="AA402" s="273"/>
      <c r="AB402" s="273"/>
      <c r="AC402" s="273"/>
      <c r="AD402" s="273"/>
      <c r="AE402" s="273"/>
    </row>
    <row r="403" spans="15:31">
      <c r="O403" s="273"/>
      <c r="P403" s="273"/>
      <c r="Q403" s="273"/>
      <c r="R403" s="273"/>
      <c r="S403" s="273"/>
      <c r="T403" s="273"/>
      <c r="U403" s="273"/>
      <c r="V403" s="273"/>
      <c r="W403" s="273"/>
      <c r="X403" s="273"/>
      <c r="Y403" s="273"/>
      <c r="Z403" s="273"/>
      <c r="AA403" s="273"/>
      <c r="AB403" s="273"/>
      <c r="AC403" s="273"/>
      <c r="AD403" s="273"/>
      <c r="AE403" s="273"/>
    </row>
    <row r="404" spans="15:31">
      <c r="O404" s="273"/>
      <c r="P404" s="273"/>
      <c r="Q404" s="273"/>
      <c r="R404" s="273"/>
      <c r="S404" s="273"/>
      <c r="T404" s="273"/>
      <c r="U404" s="273"/>
      <c r="V404" s="273"/>
      <c r="W404" s="273"/>
      <c r="X404" s="273"/>
      <c r="Y404" s="273"/>
      <c r="Z404" s="273"/>
      <c r="AA404" s="273"/>
      <c r="AB404" s="273"/>
      <c r="AC404" s="273"/>
      <c r="AD404" s="273"/>
      <c r="AE404" s="273"/>
    </row>
    <row r="405" spans="15:31">
      <c r="O405" s="273"/>
      <c r="P405" s="273"/>
      <c r="Q405" s="273"/>
      <c r="R405" s="273"/>
      <c r="S405" s="273"/>
      <c r="T405" s="273"/>
      <c r="U405" s="273"/>
      <c r="V405" s="273"/>
      <c r="W405" s="273"/>
      <c r="X405" s="273"/>
      <c r="Y405" s="273"/>
      <c r="Z405" s="273"/>
      <c r="AA405" s="273"/>
      <c r="AB405" s="273"/>
      <c r="AC405" s="273"/>
      <c r="AD405" s="273"/>
      <c r="AE405" s="273"/>
    </row>
    <row r="406" spans="15:31">
      <c r="O406" s="273"/>
      <c r="P406" s="273"/>
      <c r="Q406" s="273"/>
      <c r="R406" s="273"/>
      <c r="S406" s="273"/>
      <c r="T406" s="273"/>
      <c r="U406" s="273"/>
      <c r="V406" s="273"/>
      <c r="W406" s="273"/>
      <c r="X406" s="273"/>
      <c r="Y406" s="273"/>
      <c r="Z406" s="273"/>
      <c r="AA406" s="273"/>
      <c r="AB406" s="273"/>
      <c r="AC406" s="273"/>
      <c r="AD406" s="273"/>
      <c r="AE406" s="273"/>
    </row>
    <row r="407" spans="15:31">
      <c r="O407" s="273"/>
      <c r="P407" s="273"/>
      <c r="Q407" s="273"/>
      <c r="R407" s="273"/>
      <c r="S407" s="273"/>
      <c r="T407" s="273"/>
      <c r="U407" s="273"/>
      <c r="V407" s="273"/>
      <c r="W407" s="273"/>
      <c r="X407" s="273"/>
      <c r="Y407" s="273"/>
      <c r="Z407" s="273"/>
      <c r="AA407" s="273"/>
      <c r="AB407" s="273"/>
      <c r="AC407" s="273"/>
      <c r="AD407" s="273"/>
      <c r="AE407" s="273"/>
    </row>
    <row r="408" spans="15:31">
      <c r="O408" s="273"/>
      <c r="P408" s="273"/>
      <c r="Q408" s="273"/>
      <c r="R408" s="273"/>
      <c r="S408" s="273"/>
      <c r="T408" s="273"/>
      <c r="U408" s="273"/>
      <c r="V408" s="273"/>
      <c r="W408" s="273"/>
      <c r="X408" s="273"/>
      <c r="Y408" s="273"/>
      <c r="Z408" s="273"/>
      <c r="AA408" s="273"/>
      <c r="AB408" s="273"/>
      <c r="AC408" s="273"/>
      <c r="AD408" s="273"/>
      <c r="AE408" s="273"/>
    </row>
    <row r="409" spans="15:31">
      <c r="O409" s="273"/>
      <c r="P409" s="273"/>
      <c r="Q409" s="273"/>
      <c r="R409" s="273"/>
      <c r="S409" s="273"/>
      <c r="T409" s="273"/>
      <c r="U409" s="273"/>
      <c r="V409" s="273"/>
      <c r="W409" s="273"/>
      <c r="X409" s="273"/>
      <c r="Y409" s="273"/>
      <c r="Z409" s="273"/>
      <c r="AA409" s="273"/>
      <c r="AB409" s="273"/>
      <c r="AC409" s="273"/>
      <c r="AD409" s="273"/>
      <c r="AE409" s="273"/>
    </row>
    <row r="410" spans="15:31">
      <c r="O410" s="273"/>
      <c r="P410" s="273"/>
      <c r="Q410" s="273"/>
      <c r="R410" s="273"/>
      <c r="S410" s="273"/>
      <c r="T410" s="273"/>
      <c r="U410" s="273"/>
      <c r="V410" s="273"/>
      <c r="W410" s="273"/>
      <c r="X410" s="273"/>
      <c r="Y410" s="273"/>
      <c r="Z410" s="273"/>
      <c r="AA410" s="273"/>
      <c r="AB410" s="273"/>
      <c r="AC410" s="273"/>
      <c r="AD410" s="273"/>
      <c r="AE410" s="273"/>
    </row>
    <row r="411" spans="15:31">
      <c r="O411" s="273"/>
      <c r="P411" s="273"/>
      <c r="Q411" s="273"/>
      <c r="R411" s="273"/>
      <c r="S411" s="273"/>
      <c r="T411" s="273"/>
      <c r="U411" s="273"/>
      <c r="V411" s="273"/>
      <c r="W411" s="273"/>
      <c r="X411" s="273"/>
      <c r="Y411" s="273"/>
      <c r="Z411" s="273"/>
      <c r="AA411" s="273"/>
      <c r="AB411" s="273"/>
      <c r="AC411" s="273"/>
      <c r="AD411" s="273"/>
      <c r="AE411" s="273"/>
    </row>
    <row r="412" spans="15:31">
      <c r="O412" s="273"/>
      <c r="P412" s="273"/>
      <c r="Q412" s="273"/>
      <c r="R412" s="273"/>
      <c r="S412" s="273"/>
      <c r="T412" s="273"/>
      <c r="U412" s="273"/>
      <c r="V412" s="273"/>
      <c r="W412" s="273"/>
      <c r="X412" s="273"/>
      <c r="Y412" s="273"/>
      <c r="Z412" s="273"/>
      <c r="AA412" s="273"/>
      <c r="AB412" s="273"/>
      <c r="AC412" s="273"/>
      <c r="AD412" s="273"/>
      <c r="AE412" s="273"/>
    </row>
    <row r="413" spans="15:31">
      <c r="O413" s="273"/>
      <c r="P413" s="273"/>
      <c r="Q413" s="273"/>
      <c r="R413" s="273"/>
      <c r="S413" s="273"/>
      <c r="T413" s="273"/>
      <c r="U413" s="273"/>
      <c r="V413" s="273"/>
      <c r="W413" s="273"/>
      <c r="X413" s="273"/>
      <c r="Y413" s="273"/>
      <c r="Z413" s="273"/>
      <c r="AA413" s="273"/>
      <c r="AB413" s="273"/>
      <c r="AC413" s="273"/>
      <c r="AD413" s="273"/>
      <c r="AE413" s="273"/>
    </row>
    <row r="414" spans="15:31">
      <c r="O414" s="273"/>
      <c r="P414" s="273"/>
      <c r="Q414" s="273"/>
      <c r="R414" s="273"/>
      <c r="S414" s="273"/>
      <c r="T414" s="273"/>
      <c r="U414" s="273"/>
      <c r="V414" s="273"/>
      <c r="W414" s="273"/>
      <c r="X414" s="273"/>
      <c r="Y414" s="273"/>
      <c r="Z414" s="273"/>
      <c r="AA414" s="273"/>
      <c r="AB414" s="273"/>
      <c r="AC414" s="273"/>
      <c r="AD414" s="273"/>
      <c r="AE414" s="273"/>
    </row>
    <row r="415" spans="15:31">
      <c r="O415" s="273"/>
      <c r="P415" s="273"/>
      <c r="Q415" s="273"/>
      <c r="R415" s="273"/>
      <c r="S415" s="273"/>
      <c r="T415" s="273"/>
      <c r="U415" s="273"/>
      <c r="V415" s="273"/>
      <c r="W415" s="273"/>
      <c r="X415" s="273"/>
      <c r="Y415" s="273"/>
      <c r="Z415" s="273"/>
      <c r="AA415" s="273"/>
      <c r="AB415" s="273"/>
      <c r="AC415" s="273"/>
      <c r="AD415" s="273"/>
      <c r="AE415" s="273"/>
    </row>
    <row r="416" spans="15:31">
      <c r="O416" s="273"/>
      <c r="P416" s="273"/>
      <c r="Q416" s="273"/>
      <c r="R416" s="273"/>
      <c r="S416" s="273"/>
      <c r="T416" s="273"/>
      <c r="U416" s="273"/>
      <c r="V416" s="273"/>
      <c r="W416" s="273"/>
      <c r="X416" s="273"/>
      <c r="Y416" s="273"/>
      <c r="Z416" s="273"/>
      <c r="AA416" s="273"/>
      <c r="AB416" s="273"/>
      <c r="AC416" s="273"/>
      <c r="AD416" s="273"/>
      <c r="AE416" s="273"/>
    </row>
    <row r="417" spans="15:31">
      <c r="O417" s="273"/>
      <c r="P417" s="273"/>
      <c r="Q417" s="273"/>
      <c r="R417" s="273"/>
      <c r="S417" s="273"/>
      <c r="T417" s="273"/>
      <c r="U417" s="273"/>
      <c r="V417" s="273"/>
      <c r="W417" s="273"/>
      <c r="X417" s="273"/>
      <c r="Y417" s="273"/>
      <c r="Z417" s="273"/>
      <c r="AA417" s="273"/>
      <c r="AB417" s="273"/>
      <c r="AC417" s="273"/>
      <c r="AD417" s="273"/>
      <c r="AE417" s="273"/>
    </row>
    <row r="418" spans="15:31">
      <c r="O418" s="273"/>
      <c r="P418" s="273"/>
      <c r="Q418" s="273"/>
      <c r="R418" s="273"/>
      <c r="S418" s="273"/>
      <c r="T418" s="273"/>
      <c r="U418" s="273"/>
      <c r="V418" s="273"/>
      <c r="W418" s="273"/>
      <c r="X418" s="273"/>
      <c r="Y418" s="273"/>
      <c r="Z418" s="273"/>
      <c r="AA418" s="273"/>
      <c r="AB418" s="273"/>
      <c r="AC418" s="273"/>
      <c r="AD418" s="273"/>
      <c r="AE418" s="273"/>
    </row>
    <row r="419" spans="15:31">
      <c r="O419" s="273"/>
      <c r="P419" s="273"/>
      <c r="Q419" s="273"/>
      <c r="R419" s="273"/>
      <c r="S419" s="273"/>
      <c r="T419" s="273"/>
      <c r="U419" s="273"/>
      <c r="V419" s="273"/>
      <c r="W419" s="273"/>
      <c r="X419" s="273"/>
      <c r="Y419" s="273"/>
      <c r="Z419" s="273"/>
      <c r="AA419" s="273"/>
      <c r="AB419" s="273"/>
      <c r="AC419" s="273"/>
      <c r="AD419" s="273"/>
      <c r="AE419" s="273"/>
    </row>
    <row r="420" spans="15:31">
      <c r="O420" s="273"/>
      <c r="P420" s="273"/>
      <c r="Q420" s="273"/>
      <c r="R420" s="273"/>
      <c r="S420" s="273"/>
      <c r="T420" s="273"/>
      <c r="U420" s="273"/>
      <c r="V420" s="273"/>
      <c r="W420" s="273"/>
      <c r="X420" s="273"/>
      <c r="Y420" s="273"/>
      <c r="Z420" s="273"/>
      <c r="AA420" s="273"/>
      <c r="AB420" s="273"/>
      <c r="AC420" s="273"/>
      <c r="AD420" s="273"/>
      <c r="AE420" s="273"/>
    </row>
    <row r="421" spans="15:31">
      <c r="O421" s="273"/>
      <c r="P421" s="273"/>
      <c r="Q421" s="273"/>
      <c r="R421" s="273"/>
      <c r="S421" s="273"/>
      <c r="T421" s="273"/>
      <c r="U421" s="273"/>
      <c r="V421" s="273"/>
      <c r="W421" s="273"/>
      <c r="X421" s="273"/>
      <c r="Y421" s="273"/>
      <c r="Z421" s="273"/>
      <c r="AA421" s="273"/>
      <c r="AB421" s="273"/>
      <c r="AC421" s="273"/>
      <c r="AD421" s="273"/>
      <c r="AE421" s="273"/>
    </row>
    <row r="422" spans="15:31">
      <c r="O422" s="273"/>
      <c r="P422" s="273"/>
      <c r="Q422" s="273"/>
      <c r="R422" s="273"/>
      <c r="S422" s="273"/>
      <c r="T422" s="273"/>
      <c r="U422" s="273"/>
      <c r="V422" s="273"/>
      <c r="W422" s="273"/>
      <c r="X422" s="273"/>
      <c r="Y422" s="273"/>
      <c r="Z422" s="273"/>
      <c r="AA422" s="273"/>
      <c r="AB422" s="273"/>
      <c r="AC422" s="273"/>
      <c r="AD422" s="273"/>
      <c r="AE422" s="273"/>
    </row>
    <row r="423" spans="15:31">
      <c r="O423" s="273"/>
      <c r="P423" s="273"/>
      <c r="Q423" s="273"/>
      <c r="R423" s="273"/>
      <c r="S423" s="273"/>
      <c r="T423" s="273"/>
      <c r="U423" s="273"/>
      <c r="V423" s="273"/>
      <c r="W423" s="273"/>
      <c r="X423" s="273"/>
      <c r="Y423" s="273"/>
      <c r="Z423" s="273"/>
      <c r="AA423" s="273"/>
      <c r="AB423" s="273"/>
      <c r="AC423" s="273"/>
      <c r="AD423" s="273"/>
      <c r="AE423" s="273"/>
    </row>
    <row r="424" spans="15:31">
      <c r="O424" s="273"/>
      <c r="P424" s="273"/>
      <c r="Q424" s="273"/>
      <c r="R424" s="273"/>
      <c r="S424" s="273"/>
      <c r="T424" s="273"/>
      <c r="U424" s="273"/>
      <c r="V424" s="273"/>
      <c r="W424" s="273"/>
      <c r="X424" s="273"/>
      <c r="Y424" s="273"/>
      <c r="Z424" s="273"/>
      <c r="AA424" s="273"/>
      <c r="AB424" s="273"/>
      <c r="AC424" s="273"/>
      <c r="AD424" s="273"/>
      <c r="AE424" s="273"/>
    </row>
    <row r="425" spans="15:31">
      <c r="O425" s="273"/>
      <c r="P425" s="273"/>
      <c r="Q425" s="273"/>
      <c r="R425" s="273"/>
      <c r="S425" s="273"/>
      <c r="T425" s="273"/>
      <c r="U425" s="273"/>
      <c r="V425" s="273"/>
      <c r="W425" s="273"/>
      <c r="X425" s="273"/>
      <c r="Y425" s="273"/>
      <c r="Z425" s="273"/>
      <c r="AA425" s="273"/>
      <c r="AB425" s="273"/>
      <c r="AC425" s="273"/>
      <c r="AD425" s="273"/>
      <c r="AE425" s="273"/>
    </row>
    <row r="426" spans="15:31">
      <c r="O426" s="273"/>
      <c r="P426" s="273"/>
      <c r="Q426" s="273"/>
      <c r="R426" s="273"/>
      <c r="S426" s="273"/>
      <c r="T426" s="273"/>
      <c r="U426" s="273"/>
      <c r="V426" s="273"/>
      <c r="W426" s="273"/>
      <c r="X426" s="273"/>
      <c r="Y426" s="273"/>
      <c r="Z426" s="273"/>
      <c r="AA426" s="273"/>
      <c r="AB426" s="273"/>
      <c r="AC426" s="273"/>
      <c r="AD426" s="273"/>
      <c r="AE426" s="273"/>
    </row>
    <row r="427" spans="15:31">
      <c r="O427" s="273"/>
      <c r="P427" s="273"/>
      <c r="Q427" s="273"/>
      <c r="R427" s="273"/>
      <c r="S427" s="273"/>
      <c r="T427" s="273"/>
      <c r="U427" s="273"/>
      <c r="V427" s="273"/>
      <c r="W427" s="273"/>
      <c r="X427" s="273"/>
      <c r="Y427" s="273"/>
      <c r="Z427" s="273"/>
      <c r="AA427" s="273"/>
      <c r="AB427" s="273"/>
      <c r="AC427" s="273"/>
      <c r="AD427" s="273"/>
      <c r="AE427" s="273"/>
    </row>
    <row r="428" spans="15:31">
      <c r="O428" s="273"/>
      <c r="P428" s="273"/>
      <c r="Q428" s="273"/>
      <c r="R428" s="273"/>
      <c r="S428" s="273"/>
      <c r="T428" s="273"/>
      <c r="U428" s="273"/>
      <c r="V428" s="273"/>
      <c r="W428" s="273"/>
      <c r="X428" s="273"/>
      <c r="Y428" s="273"/>
      <c r="Z428" s="273"/>
      <c r="AA428" s="273"/>
      <c r="AB428" s="273"/>
      <c r="AC428" s="273"/>
      <c r="AD428" s="273"/>
      <c r="AE428" s="273"/>
    </row>
    <row r="429" spans="15:31">
      <c r="O429" s="273"/>
      <c r="P429" s="273"/>
      <c r="Q429" s="273"/>
      <c r="R429" s="273"/>
      <c r="S429" s="273"/>
      <c r="T429" s="273"/>
      <c r="U429" s="273"/>
      <c r="V429" s="273"/>
      <c r="W429" s="273"/>
      <c r="X429" s="273"/>
      <c r="Y429" s="273"/>
      <c r="Z429" s="273"/>
      <c r="AA429" s="273"/>
      <c r="AB429" s="273"/>
      <c r="AC429" s="273"/>
      <c r="AD429" s="273"/>
      <c r="AE429" s="273"/>
    </row>
    <row r="430" spans="15:31">
      <c r="O430" s="273"/>
      <c r="P430" s="273"/>
      <c r="Q430" s="273"/>
      <c r="R430" s="273"/>
      <c r="S430" s="273"/>
      <c r="T430" s="273"/>
      <c r="U430" s="273"/>
      <c r="V430" s="273"/>
      <c r="W430" s="273"/>
      <c r="X430" s="273"/>
      <c r="Y430" s="273"/>
      <c r="Z430" s="273"/>
      <c r="AA430" s="273"/>
      <c r="AB430" s="273"/>
      <c r="AC430" s="273"/>
      <c r="AD430" s="273"/>
      <c r="AE430" s="273"/>
    </row>
    <row r="431" spans="15:31">
      <c r="O431" s="273"/>
      <c r="P431" s="273"/>
      <c r="Q431" s="273"/>
      <c r="R431" s="273"/>
      <c r="S431" s="273"/>
      <c r="T431" s="273"/>
      <c r="U431" s="273"/>
      <c r="V431" s="273"/>
      <c r="W431" s="273"/>
      <c r="X431" s="273"/>
      <c r="Y431" s="273"/>
      <c r="Z431" s="273"/>
      <c r="AA431" s="273"/>
      <c r="AB431" s="273"/>
      <c r="AC431" s="273"/>
      <c r="AD431" s="273"/>
      <c r="AE431" s="273"/>
    </row>
    <row r="432" spans="15:31">
      <c r="O432" s="273"/>
      <c r="P432" s="273"/>
      <c r="Q432" s="273"/>
      <c r="R432" s="273"/>
      <c r="S432" s="273"/>
      <c r="T432" s="273"/>
      <c r="U432" s="273"/>
      <c r="V432" s="273"/>
      <c r="W432" s="273"/>
      <c r="X432" s="273"/>
      <c r="Y432" s="273"/>
      <c r="Z432" s="273"/>
      <c r="AA432" s="273"/>
      <c r="AB432" s="273"/>
      <c r="AC432" s="273"/>
      <c r="AD432" s="273"/>
      <c r="AE432" s="273"/>
    </row>
    <row r="433" spans="15:31">
      <c r="O433" s="273"/>
      <c r="P433" s="273"/>
      <c r="Q433" s="273"/>
      <c r="R433" s="273"/>
      <c r="S433" s="273"/>
      <c r="T433" s="273"/>
      <c r="U433" s="273"/>
      <c r="V433" s="273"/>
      <c r="W433" s="273"/>
      <c r="X433" s="273"/>
      <c r="Y433" s="273"/>
      <c r="Z433" s="273"/>
      <c r="AA433" s="273"/>
      <c r="AB433" s="273"/>
      <c r="AC433" s="273"/>
      <c r="AD433" s="273"/>
      <c r="AE433" s="273"/>
    </row>
    <row r="434" spans="15:31">
      <c r="O434" s="273"/>
      <c r="P434" s="273"/>
      <c r="Q434" s="273"/>
      <c r="R434" s="273"/>
      <c r="S434" s="273"/>
      <c r="T434" s="273"/>
      <c r="U434" s="273"/>
      <c r="V434" s="273"/>
      <c r="W434" s="273"/>
      <c r="X434" s="273"/>
      <c r="Y434" s="273"/>
      <c r="Z434" s="273"/>
      <c r="AA434" s="273"/>
      <c r="AB434" s="273"/>
      <c r="AC434" s="273"/>
      <c r="AD434" s="273"/>
      <c r="AE434" s="273"/>
    </row>
    <row r="435" spans="15:31">
      <c r="O435" s="273"/>
      <c r="P435" s="273"/>
      <c r="Q435" s="273"/>
      <c r="R435" s="273"/>
      <c r="S435" s="273"/>
      <c r="T435" s="273"/>
      <c r="U435" s="273"/>
      <c r="V435" s="273"/>
      <c r="W435" s="273"/>
      <c r="X435" s="273"/>
      <c r="Y435" s="273"/>
      <c r="Z435" s="273"/>
      <c r="AA435" s="273"/>
      <c r="AB435" s="273"/>
      <c r="AC435" s="273"/>
      <c r="AD435" s="273"/>
      <c r="AE435" s="273"/>
    </row>
    <row r="436" spans="15:31">
      <c r="O436" s="273"/>
      <c r="P436" s="273"/>
      <c r="Q436" s="273"/>
      <c r="R436" s="273"/>
      <c r="S436" s="273"/>
      <c r="T436" s="273"/>
      <c r="U436" s="273"/>
      <c r="V436" s="273"/>
      <c r="W436" s="273"/>
      <c r="X436" s="273"/>
      <c r="Y436" s="273"/>
      <c r="Z436" s="273"/>
      <c r="AA436" s="273"/>
      <c r="AB436" s="273"/>
      <c r="AC436" s="273"/>
      <c r="AD436" s="273"/>
      <c r="AE436" s="273"/>
    </row>
    <row r="437" spans="15:31">
      <c r="O437" s="273"/>
      <c r="P437" s="273"/>
      <c r="Q437" s="273"/>
      <c r="R437" s="273"/>
      <c r="S437" s="273"/>
      <c r="T437" s="273"/>
      <c r="U437" s="273"/>
      <c r="V437" s="273"/>
      <c r="W437" s="273"/>
      <c r="X437" s="273"/>
      <c r="Y437" s="273"/>
      <c r="Z437" s="273"/>
      <c r="AA437" s="273"/>
      <c r="AB437" s="273"/>
      <c r="AC437" s="273"/>
      <c r="AD437" s="273"/>
      <c r="AE437" s="273"/>
    </row>
    <row r="438" spans="15:31">
      <c r="O438" s="273"/>
      <c r="P438" s="273"/>
      <c r="Q438" s="273"/>
      <c r="R438" s="273"/>
      <c r="S438" s="273"/>
      <c r="T438" s="273"/>
      <c r="U438" s="273"/>
      <c r="V438" s="273"/>
      <c r="W438" s="273"/>
      <c r="X438" s="273"/>
      <c r="Y438" s="273"/>
      <c r="Z438" s="273"/>
      <c r="AA438" s="273"/>
      <c r="AB438" s="273"/>
      <c r="AC438" s="273"/>
      <c r="AD438" s="273"/>
      <c r="AE438" s="273"/>
    </row>
    <row r="439" spans="15:31">
      <c r="O439" s="273"/>
      <c r="P439" s="273"/>
      <c r="Q439" s="273"/>
      <c r="R439" s="273"/>
      <c r="S439" s="273"/>
      <c r="T439" s="273"/>
      <c r="U439" s="273"/>
      <c r="V439" s="273"/>
      <c r="W439" s="273"/>
      <c r="X439" s="273"/>
      <c r="Y439" s="273"/>
      <c r="Z439" s="273"/>
      <c r="AA439" s="273"/>
      <c r="AB439" s="273"/>
      <c r="AC439" s="273"/>
      <c r="AD439" s="273"/>
      <c r="AE439" s="273"/>
    </row>
    <row r="440" spans="15:31">
      <c r="O440" s="273"/>
      <c r="P440" s="273"/>
      <c r="Q440" s="273"/>
      <c r="R440" s="273"/>
      <c r="S440" s="273"/>
      <c r="T440" s="273"/>
      <c r="U440" s="273"/>
      <c r="V440" s="273"/>
      <c r="W440" s="273"/>
      <c r="X440" s="273"/>
      <c r="Y440" s="273"/>
      <c r="Z440" s="273"/>
      <c r="AA440" s="273"/>
      <c r="AB440" s="273"/>
      <c r="AC440" s="273"/>
      <c r="AD440" s="273"/>
      <c r="AE440" s="273"/>
    </row>
    <row r="441" spans="15:31">
      <c r="O441" s="273"/>
      <c r="P441" s="273"/>
      <c r="Q441" s="273"/>
      <c r="R441" s="273"/>
      <c r="S441" s="273"/>
      <c r="T441" s="273"/>
      <c r="U441" s="273"/>
      <c r="V441" s="273"/>
      <c r="W441" s="273"/>
      <c r="X441" s="273"/>
      <c r="Y441" s="273"/>
      <c r="Z441" s="273"/>
      <c r="AA441" s="273"/>
      <c r="AB441" s="273"/>
      <c r="AC441" s="273"/>
      <c r="AD441" s="273"/>
      <c r="AE441" s="273"/>
    </row>
    <row r="442" spans="15:31">
      <c r="O442" s="273"/>
      <c r="P442" s="273"/>
      <c r="Q442" s="273"/>
      <c r="R442" s="273"/>
      <c r="S442" s="273"/>
      <c r="T442" s="273"/>
      <c r="U442" s="273"/>
      <c r="V442" s="273"/>
      <c r="W442" s="273"/>
      <c r="X442" s="273"/>
      <c r="Y442" s="273"/>
      <c r="Z442" s="273"/>
      <c r="AA442" s="273"/>
      <c r="AB442" s="273"/>
      <c r="AC442" s="273"/>
      <c r="AD442" s="273"/>
      <c r="AE442" s="273"/>
    </row>
    <row r="443" spans="15:31">
      <c r="O443" s="273"/>
      <c r="P443" s="273"/>
      <c r="Q443" s="273"/>
      <c r="R443" s="273"/>
      <c r="S443" s="273"/>
      <c r="T443" s="273"/>
      <c r="U443" s="273"/>
      <c r="V443" s="273"/>
      <c r="W443" s="273"/>
      <c r="X443" s="273"/>
      <c r="Y443" s="273"/>
      <c r="Z443" s="273"/>
      <c r="AA443" s="273"/>
      <c r="AB443" s="273"/>
      <c r="AC443" s="273"/>
      <c r="AD443" s="273"/>
      <c r="AE443" s="273"/>
    </row>
    <row r="444" spans="15:31">
      <c r="O444" s="273"/>
      <c r="P444" s="273"/>
      <c r="Q444" s="273"/>
      <c r="R444" s="273"/>
      <c r="S444" s="273"/>
      <c r="T444" s="273"/>
      <c r="U444" s="273"/>
      <c r="V444" s="273"/>
      <c r="W444" s="273"/>
      <c r="X444" s="273"/>
      <c r="Y444" s="273"/>
      <c r="Z444" s="273"/>
      <c r="AA444" s="273"/>
      <c r="AB444" s="273"/>
      <c r="AC444" s="273"/>
      <c r="AD444" s="273"/>
      <c r="AE444" s="273"/>
    </row>
    <row r="445" spans="15:31">
      <c r="O445" s="273"/>
      <c r="P445" s="273"/>
      <c r="Q445" s="273"/>
      <c r="R445" s="273"/>
      <c r="S445" s="273"/>
      <c r="T445" s="273"/>
      <c r="U445" s="273"/>
      <c r="V445" s="273"/>
      <c r="W445" s="273"/>
      <c r="X445" s="273"/>
      <c r="Y445" s="273"/>
      <c r="Z445" s="273"/>
      <c r="AA445" s="273"/>
      <c r="AB445" s="273"/>
      <c r="AC445" s="273"/>
      <c r="AD445" s="273"/>
      <c r="AE445" s="273"/>
    </row>
    <row r="446" spans="15:31">
      <c r="O446" s="273"/>
      <c r="P446" s="273"/>
      <c r="Q446" s="273"/>
      <c r="R446" s="273"/>
      <c r="S446" s="273"/>
      <c r="T446" s="273"/>
      <c r="U446" s="273"/>
      <c r="V446" s="273"/>
      <c r="W446" s="273"/>
      <c r="X446" s="273"/>
      <c r="Y446" s="273"/>
      <c r="Z446" s="273"/>
      <c r="AA446" s="273"/>
      <c r="AB446" s="273"/>
      <c r="AC446" s="273"/>
      <c r="AD446" s="273"/>
      <c r="AE446" s="273"/>
    </row>
    <row r="447" spans="15:31">
      <c r="O447" s="273"/>
      <c r="P447" s="273"/>
      <c r="Q447" s="273"/>
      <c r="R447" s="273"/>
      <c r="S447" s="273"/>
      <c r="T447" s="273"/>
      <c r="U447" s="273"/>
      <c r="V447" s="273"/>
      <c r="W447" s="273"/>
      <c r="X447" s="273"/>
      <c r="Y447" s="273"/>
      <c r="Z447" s="273"/>
      <c r="AA447" s="273"/>
      <c r="AB447" s="273"/>
      <c r="AC447" s="273"/>
      <c r="AD447" s="273"/>
      <c r="AE447" s="273"/>
    </row>
    <row r="448" spans="15:31">
      <c r="O448" s="273"/>
      <c r="P448" s="273"/>
      <c r="Q448" s="273"/>
      <c r="R448" s="273"/>
      <c r="S448" s="273"/>
      <c r="T448" s="273"/>
      <c r="U448" s="273"/>
      <c r="V448" s="273"/>
      <c r="W448" s="273"/>
      <c r="X448" s="273"/>
      <c r="Y448" s="273"/>
      <c r="Z448" s="273"/>
      <c r="AA448" s="273"/>
      <c r="AB448" s="273"/>
      <c r="AC448" s="273"/>
      <c r="AD448" s="273"/>
      <c r="AE448" s="273"/>
    </row>
    <row r="449" spans="15:31">
      <c r="O449" s="273"/>
      <c r="P449" s="273"/>
      <c r="Q449" s="273"/>
      <c r="R449" s="273"/>
      <c r="S449" s="273"/>
      <c r="T449" s="273"/>
      <c r="U449" s="273"/>
      <c r="V449" s="273"/>
      <c r="W449" s="273"/>
      <c r="X449" s="273"/>
      <c r="Y449" s="273"/>
      <c r="Z449" s="273"/>
      <c r="AA449" s="273"/>
      <c r="AB449" s="273"/>
      <c r="AC449" s="273"/>
      <c r="AD449" s="273"/>
      <c r="AE449" s="273"/>
    </row>
    <row r="450" spans="15:31">
      <c r="O450" s="273"/>
      <c r="P450" s="273"/>
      <c r="Q450" s="273"/>
      <c r="R450" s="273"/>
      <c r="S450" s="273"/>
      <c r="T450" s="273"/>
      <c r="U450" s="273"/>
      <c r="V450" s="273"/>
      <c r="W450" s="273"/>
      <c r="X450" s="273"/>
      <c r="Y450" s="273"/>
      <c r="Z450" s="273"/>
      <c r="AA450" s="273"/>
      <c r="AB450" s="273"/>
      <c r="AC450" s="273"/>
      <c r="AD450" s="273"/>
      <c r="AE450" s="273"/>
    </row>
    <row r="451" spans="15:31">
      <c r="O451" s="273"/>
      <c r="P451" s="273"/>
      <c r="Q451" s="273"/>
      <c r="R451" s="273"/>
      <c r="S451" s="273"/>
      <c r="T451" s="273"/>
      <c r="U451" s="273"/>
      <c r="V451" s="273"/>
      <c r="W451" s="273"/>
      <c r="X451" s="273"/>
      <c r="Y451" s="273"/>
      <c r="Z451" s="273"/>
      <c r="AA451" s="273"/>
      <c r="AB451" s="273"/>
      <c r="AC451" s="273"/>
      <c r="AD451" s="273"/>
      <c r="AE451" s="273"/>
    </row>
    <row r="452" spans="15:31">
      <c r="O452" s="273"/>
      <c r="P452" s="273"/>
      <c r="Q452" s="273"/>
      <c r="R452" s="273"/>
      <c r="S452" s="273"/>
      <c r="T452" s="273"/>
      <c r="U452" s="273"/>
      <c r="V452" s="273"/>
      <c r="W452" s="273"/>
      <c r="X452" s="273"/>
      <c r="Y452" s="273"/>
      <c r="Z452" s="273"/>
      <c r="AA452" s="273"/>
      <c r="AB452" s="273"/>
      <c r="AC452" s="273"/>
      <c r="AD452" s="273"/>
      <c r="AE452" s="273"/>
    </row>
    <row r="453" spans="15:31">
      <c r="O453" s="273"/>
      <c r="P453" s="273"/>
      <c r="Q453" s="273"/>
      <c r="R453" s="273"/>
      <c r="S453" s="273"/>
      <c r="T453" s="273"/>
      <c r="U453" s="273"/>
      <c r="V453" s="273"/>
      <c r="W453" s="273"/>
      <c r="X453" s="273"/>
      <c r="Y453" s="273"/>
      <c r="Z453" s="273"/>
      <c r="AA453" s="273"/>
      <c r="AB453" s="273"/>
      <c r="AC453" s="273"/>
      <c r="AD453" s="273"/>
      <c r="AE453" s="273"/>
    </row>
    <row r="454" spans="15:31">
      <c r="O454" s="273"/>
      <c r="P454" s="273"/>
      <c r="Q454" s="273"/>
      <c r="R454" s="273"/>
      <c r="S454" s="273"/>
      <c r="T454" s="273"/>
      <c r="U454" s="273"/>
      <c r="V454" s="273"/>
      <c r="W454" s="273"/>
      <c r="X454" s="273"/>
      <c r="Y454" s="273"/>
      <c r="Z454" s="273"/>
      <c r="AA454" s="273"/>
      <c r="AB454" s="273"/>
      <c r="AC454" s="273"/>
      <c r="AD454" s="273"/>
      <c r="AE454" s="273"/>
    </row>
    <row r="455" spans="15:31">
      <c r="O455" s="273"/>
      <c r="P455" s="273"/>
      <c r="Q455" s="273"/>
      <c r="R455" s="273"/>
      <c r="S455" s="273"/>
      <c r="T455" s="273"/>
      <c r="U455" s="273"/>
      <c r="V455" s="273"/>
      <c r="W455" s="273"/>
      <c r="X455" s="273"/>
      <c r="Y455" s="273"/>
      <c r="Z455" s="273"/>
      <c r="AA455" s="273"/>
      <c r="AB455" s="273"/>
      <c r="AC455" s="273"/>
      <c r="AD455" s="273"/>
      <c r="AE455" s="273"/>
    </row>
    <row r="456" spans="15:31">
      <c r="O456" s="273"/>
      <c r="P456" s="273"/>
      <c r="Q456" s="273"/>
      <c r="R456" s="273"/>
      <c r="S456" s="273"/>
      <c r="T456" s="273"/>
      <c r="U456" s="273"/>
      <c r="V456" s="273"/>
      <c r="W456" s="273"/>
      <c r="X456" s="273"/>
      <c r="Y456" s="273"/>
      <c r="Z456" s="273"/>
      <c r="AA456" s="273"/>
      <c r="AB456" s="273"/>
      <c r="AC456" s="273"/>
      <c r="AD456" s="273"/>
      <c r="AE456" s="273"/>
    </row>
    <row r="457" spans="15:31">
      <c r="O457" s="273"/>
      <c r="P457" s="273"/>
      <c r="Q457" s="273"/>
      <c r="R457" s="273"/>
      <c r="S457" s="273"/>
      <c r="T457" s="273"/>
      <c r="U457" s="273"/>
      <c r="V457" s="273"/>
      <c r="W457" s="273"/>
      <c r="X457" s="273"/>
      <c r="Y457" s="273"/>
      <c r="Z457" s="273"/>
      <c r="AA457" s="273"/>
      <c r="AB457" s="273"/>
      <c r="AC457" s="273"/>
      <c r="AD457" s="273"/>
      <c r="AE457" s="273"/>
    </row>
    <row r="458" spans="15:31">
      <c r="O458" s="273"/>
      <c r="P458" s="273"/>
      <c r="Q458" s="273"/>
      <c r="R458" s="273"/>
      <c r="S458" s="273"/>
      <c r="T458" s="273"/>
      <c r="U458" s="273"/>
      <c r="V458" s="273"/>
      <c r="W458" s="273"/>
      <c r="X458" s="273"/>
      <c r="Y458" s="273"/>
      <c r="Z458" s="273"/>
      <c r="AA458" s="273"/>
      <c r="AB458" s="273"/>
      <c r="AC458" s="273"/>
      <c r="AD458" s="273"/>
      <c r="AE458" s="273"/>
    </row>
    <row r="459" spans="15:31">
      <c r="O459" s="273"/>
      <c r="P459" s="273"/>
      <c r="Q459" s="273"/>
      <c r="R459" s="273"/>
      <c r="S459" s="273"/>
      <c r="T459" s="273"/>
      <c r="U459" s="273"/>
      <c r="V459" s="273"/>
      <c r="W459" s="273"/>
      <c r="X459" s="273"/>
      <c r="Y459" s="273"/>
      <c r="Z459" s="273"/>
      <c r="AA459" s="273"/>
      <c r="AB459" s="273"/>
      <c r="AC459" s="273"/>
      <c r="AD459" s="273"/>
      <c r="AE459" s="273"/>
    </row>
    <row r="460" spans="15:31">
      <c r="O460" s="273"/>
      <c r="P460" s="273"/>
      <c r="Q460" s="273"/>
      <c r="R460" s="273"/>
      <c r="S460" s="273"/>
      <c r="T460" s="273"/>
      <c r="U460" s="273"/>
      <c r="V460" s="273"/>
      <c r="W460" s="273"/>
      <c r="X460" s="273"/>
      <c r="Y460" s="273"/>
      <c r="Z460" s="273"/>
      <c r="AA460" s="273"/>
      <c r="AB460" s="273"/>
      <c r="AC460" s="273"/>
      <c r="AD460" s="273"/>
      <c r="AE460" s="273"/>
    </row>
    <row r="461" spans="15:31">
      <c r="O461" s="273"/>
      <c r="P461" s="273"/>
      <c r="Q461" s="273"/>
      <c r="R461" s="273"/>
      <c r="S461" s="273"/>
      <c r="T461" s="273"/>
      <c r="U461" s="273"/>
      <c r="V461" s="273"/>
      <c r="W461" s="273"/>
      <c r="X461" s="273"/>
      <c r="Y461" s="273"/>
      <c r="Z461" s="273"/>
      <c r="AA461" s="273"/>
      <c r="AB461" s="273"/>
      <c r="AC461" s="273"/>
      <c r="AD461" s="273"/>
      <c r="AE461" s="273"/>
    </row>
    <row r="462" spans="15:31">
      <c r="O462" s="273"/>
      <c r="P462" s="273"/>
      <c r="Q462" s="273"/>
      <c r="R462" s="273"/>
      <c r="S462" s="273"/>
      <c r="T462" s="273"/>
      <c r="U462" s="273"/>
      <c r="V462" s="273"/>
      <c r="W462" s="273"/>
      <c r="X462" s="273"/>
      <c r="Y462" s="273"/>
      <c r="Z462" s="273"/>
      <c r="AA462" s="273"/>
      <c r="AB462" s="273"/>
      <c r="AC462" s="273"/>
      <c r="AD462" s="273"/>
      <c r="AE462" s="273"/>
    </row>
    <row r="463" spans="15:31">
      <c r="O463" s="273"/>
      <c r="P463" s="273"/>
      <c r="Q463" s="273"/>
      <c r="R463" s="273"/>
      <c r="S463" s="273"/>
      <c r="T463" s="273"/>
      <c r="U463" s="273"/>
      <c r="V463" s="273"/>
      <c r="W463" s="273"/>
      <c r="X463" s="273"/>
      <c r="Y463" s="273"/>
      <c r="Z463" s="273"/>
      <c r="AA463" s="273"/>
      <c r="AB463" s="273"/>
      <c r="AC463" s="273"/>
      <c r="AD463" s="273"/>
      <c r="AE463" s="273"/>
    </row>
    <row r="464" spans="15:31">
      <c r="O464" s="273"/>
      <c r="P464" s="273"/>
      <c r="Q464" s="273"/>
      <c r="R464" s="273"/>
      <c r="S464" s="273"/>
      <c r="T464" s="273"/>
      <c r="U464" s="273"/>
      <c r="V464" s="273"/>
      <c r="W464" s="273"/>
      <c r="X464" s="273"/>
      <c r="Y464" s="273"/>
      <c r="Z464" s="273"/>
      <c r="AA464" s="273"/>
      <c r="AB464" s="273"/>
      <c r="AC464" s="273"/>
      <c r="AD464" s="273"/>
      <c r="AE464" s="273"/>
    </row>
    <row r="465" spans="15:31">
      <c r="O465" s="273"/>
      <c r="P465" s="273"/>
      <c r="Q465" s="273"/>
      <c r="R465" s="273"/>
      <c r="S465" s="273"/>
      <c r="T465" s="273"/>
      <c r="U465" s="273"/>
      <c r="V465" s="273"/>
      <c r="W465" s="273"/>
      <c r="X465" s="273"/>
      <c r="Y465" s="273"/>
      <c r="Z465" s="273"/>
      <c r="AA465" s="273"/>
      <c r="AB465" s="273"/>
      <c r="AC465" s="273"/>
      <c r="AD465" s="273"/>
      <c r="AE465" s="273"/>
    </row>
    <row r="466" spans="15:31">
      <c r="O466" s="273"/>
      <c r="P466" s="273"/>
      <c r="Q466" s="273"/>
      <c r="R466" s="273"/>
      <c r="S466" s="273"/>
      <c r="T466" s="273"/>
      <c r="U466" s="273"/>
      <c r="V466" s="273"/>
      <c r="W466" s="273"/>
      <c r="X466" s="273"/>
      <c r="Y466" s="273"/>
      <c r="Z466" s="273"/>
      <c r="AA466" s="273"/>
      <c r="AB466" s="273"/>
      <c r="AC466" s="273"/>
      <c r="AD466" s="273"/>
      <c r="AE466" s="273"/>
    </row>
    <row r="467" spans="15:31">
      <c r="O467" s="273"/>
      <c r="P467" s="273"/>
      <c r="Q467" s="273"/>
      <c r="R467" s="273"/>
      <c r="S467" s="273"/>
      <c r="T467" s="273"/>
      <c r="U467" s="273"/>
      <c r="V467" s="273"/>
      <c r="W467" s="273"/>
      <c r="X467" s="273"/>
      <c r="Y467" s="273"/>
      <c r="Z467" s="273"/>
      <c r="AA467" s="273"/>
      <c r="AB467" s="273"/>
      <c r="AC467" s="273"/>
      <c r="AD467" s="273"/>
      <c r="AE467" s="273"/>
    </row>
    <row r="468" spans="15:31">
      <c r="O468" s="273"/>
      <c r="P468" s="273"/>
      <c r="Q468" s="273"/>
      <c r="R468" s="273"/>
      <c r="S468" s="273"/>
      <c r="T468" s="273"/>
      <c r="U468" s="273"/>
      <c r="V468" s="273"/>
      <c r="W468" s="273"/>
      <c r="X468" s="273"/>
      <c r="Y468" s="273"/>
      <c r="Z468" s="273"/>
      <c r="AA468" s="273"/>
      <c r="AB468" s="273"/>
      <c r="AC468" s="273"/>
      <c r="AD468" s="273"/>
      <c r="AE468" s="273"/>
    </row>
    <row r="469" spans="15:31">
      <c r="O469" s="273"/>
      <c r="P469" s="273"/>
      <c r="Q469" s="273"/>
      <c r="R469" s="273"/>
      <c r="S469" s="273"/>
      <c r="T469" s="273"/>
      <c r="U469" s="273"/>
      <c r="V469" s="273"/>
      <c r="W469" s="273"/>
      <c r="X469" s="273"/>
      <c r="Y469" s="273"/>
      <c r="Z469" s="273"/>
      <c r="AA469" s="273"/>
      <c r="AB469" s="273"/>
      <c r="AC469" s="273"/>
      <c r="AD469" s="273"/>
      <c r="AE469" s="273"/>
    </row>
    <row r="470" spans="15:31">
      <c r="O470" s="273"/>
      <c r="P470" s="273"/>
      <c r="Q470" s="273"/>
      <c r="R470" s="273"/>
      <c r="S470" s="273"/>
      <c r="T470" s="273"/>
      <c r="U470" s="273"/>
      <c r="V470" s="273"/>
      <c r="W470" s="273"/>
      <c r="X470" s="273"/>
      <c r="Y470" s="273"/>
      <c r="Z470" s="273"/>
      <c r="AA470" s="273"/>
      <c r="AB470" s="273"/>
      <c r="AC470" s="273"/>
      <c r="AD470" s="273"/>
      <c r="AE470" s="273"/>
    </row>
    <row r="471" spans="15:31">
      <c r="O471" s="273"/>
      <c r="P471" s="273"/>
      <c r="Q471" s="273"/>
      <c r="R471" s="273"/>
      <c r="S471" s="273"/>
      <c r="T471" s="273"/>
      <c r="U471" s="273"/>
      <c r="V471" s="273"/>
      <c r="W471" s="273"/>
      <c r="X471" s="273"/>
      <c r="Y471" s="273"/>
      <c r="Z471" s="273"/>
      <c r="AA471" s="273"/>
      <c r="AB471" s="273"/>
      <c r="AC471" s="273"/>
      <c r="AD471" s="273"/>
      <c r="AE471" s="273"/>
    </row>
    <row r="472" spans="15:31">
      <c r="O472" s="273"/>
      <c r="P472" s="273"/>
      <c r="Q472" s="273"/>
      <c r="R472" s="273"/>
      <c r="S472" s="273"/>
      <c r="T472" s="273"/>
      <c r="U472" s="273"/>
      <c r="V472" s="273"/>
      <c r="W472" s="273"/>
      <c r="X472" s="273"/>
      <c r="Y472" s="273"/>
      <c r="Z472" s="273"/>
      <c r="AA472" s="273"/>
      <c r="AB472" s="273"/>
      <c r="AC472" s="273"/>
      <c r="AD472" s="273"/>
      <c r="AE472" s="273"/>
    </row>
    <row r="473" spans="15:31">
      <c r="O473" s="273"/>
      <c r="P473" s="273"/>
      <c r="Q473" s="273"/>
      <c r="R473" s="273"/>
      <c r="S473" s="273"/>
      <c r="T473" s="273"/>
      <c r="U473" s="273"/>
      <c r="V473" s="273"/>
      <c r="W473" s="273"/>
      <c r="X473" s="273"/>
      <c r="Y473" s="273"/>
      <c r="Z473" s="273"/>
      <c r="AA473" s="273"/>
      <c r="AB473" s="273"/>
      <c r="AC473" s="273"/>
      <c r="AD473" s="273"/>
      <c r="AE473" s="273"/>
    </row>
    <row r="474" spans="15:31">
      <c r="O474" s="273"/>
      <c r="P474" s="273"/>
      <c r="Q474" s="273"/>
      <c r="R474" s="273"/>
      <c r="S474" s="273"/>
      <c r="T474" s="273"/>
      <c r="U474" s="273"/>
      <c r="V474" s="273"/>
      <c r="W474" s="273"/>
      <c r="X474" s="273"/>
      <c r="Y474" s="273"/>
      <c r="Z474" s="273"/>
      <c r="AA474" s="273"/>
      <c r="AB474" s="273"/>
      <c r="AC474" s="273"/>
      <c r="AD474" s="273"/>
      <c r="AE474" s="273"/>
    </row>
    <row r="475" spans="15:31">
      <c r="O475" s="273"/>
      <c r="P475" s="273"/>
      <c r="Q475" s="273"/>
      <c r="R475" s="273"/>
      <c r="S475" s="273"/>
      <c r="T475" s="273"/>
      <c r="U475" s="273"/>
      <c r="V475" s="273"/>
      <c r="W475" s="273"/>
      <c r="X475" s="273"/>
      <c r="Y475" s="273"/>
      <c r="Z475" s="273"/>
      <c r="AA475" s="273"/>
      <c r="AB475" s="273"/>
      <c r="AC475" s="273"/>
      <c r="AD475" s="273"/>
      <c r="AE475" s="273"/>
    </row>
    <row r="476" spans="15:31">
      <c r="O476" s="273"/>
      <c r="P476" s="273"/>
      <c r="Q476" s="273"/>
      <c r="R476" s="273"/>
      <c r="S476" s="273"/>
      <c r="T476" s="273"/>
      <c r="U476" s="273"/>
      <c r="V476" s="273"/>
      <c r="W476" s="273"/>
      <c r="X476" s="273"/>
      <c r="Y476" s="273"/>
      <c r="Z476" s="273"/>
      <c r="AA476" s="273"/>
      <c r="AB476" s="273"/>
      <c r="AC476" s="273"/>
      <c r="AD476" s="273"/>
      <c r="AE476" s="273"/>
    </row>
    <row r="477" spans="15:31">
      <c r="O477" s="273"/>
      <c r="P477" s="273"/>
      <c r="Q477" s="273"/>
      <c r="R477" s="273"/>
      <c r="S477" s="273"/>
      <c r="T477" s="273"/>
      <c r="U477" s="273"/>
      <c r="V477" s="273"/>
      <c r="W477" s="273"/>
      <c r="X477" s="273"/>
      <c r="Y477" s="273"/>
      <c r="Z477" s="273"/>
      <c r="AA477" s="273"/>
      <c r="AB477" s="273"/>
      <c r="AC477" s="273"/>
      <c r="AD477" s="273"/>
      <c r="AE477" s="273"/>
    </row>
    <row r="478" spans="15:31">
      <c r="O478" s="273"/>
      <c r="P478" s="273"/>
      <c r="Q478" s="273"/>
      <c r="R478" s="273"/>
      <c r="S478" s="273"/>
      <c r="T478" s="273"/>
      <c r="U478" s="273"/>
      <c r="V478" s="273"/>
      <c r="W478" s="273"/>
      <c r="X478" s="273"/>
      <c r="Y478" s="273"/>
      <c r="Z478" s="273"/>
      <c r="AA478" s="273"/>
      <c r="AB478" s="273"/>
      <c r="AC478" s="273"/>
      <c r="AD478" s="273"/>
      <c r="AE478" s="273"/>
    </row>
    <row r="479" spans="15:31">
      <c r="O479" s="273"/>
      <c r="P479" s="273"/>
      <c r="Q479" s="273"/>
      <c r="R479" s="273"/>
      <c r="S479" s="273"/>
      <c r="T479" s="273"/>
      <c r="U479" s="273"/>
      <c r="V479" s="273"/>
      <c r="W479" s="273"/>
      <c r="X479" s="273"/>
      <c r="Y479" s="273"/>
      <c r="Z479" s="273"/>
      <c r="AA479" s="273"/>
      <c r="AB479" s="273"/>
      <c r="AC479" s="273"/>
      <c r="AD479" s="273"/>
      <c r="AE479" s="273"/>
    </row>
    <row r="480" spans="15:31">
      <c r="O480" s="273"/>
      <c r="P480" s="273"/>
      <c r="Q480" s="273"/>
      <c r="R480" s="273"/>
      <c r="S480" s="273"/>
      <c r="T480" s="273"/>
      <c r="U480" s="273"/>
      <c r="V480" s="273"/>
      <c r="W480" s="273"/>
      <c r="X480" s="273"/>
      <c r="Y480" s="273"/>
      <c r="Z480" s="273"/>
      <c r="AA480" s="273"/>
      <c r="AB480" s="273"/>
      <c r="AC480" s="273"/>
      <c r="AD480" s="273"/>
      <c r="AE480" s="273"/>
    </row>
    <row r="481" spans="15:31">
      <c r="O481" s="273"/>
      <c r="P481" s="273"/>
      <c r="Q481" s="273"/>
      <c r="R481" s="273"/>
      <c r="S481" s="273"/>
      <c r="T481" s="273"/>
      <c r="U481" s="273"/>
      <c r="V481" s="273"/>
      <c r="W481" s="273"/>
      <c r="X481" s="273"/>
      <c r="Y481" s="273"/>
      <c r="Z481" s="273"/>
      <c r="AA481" s="273"/>
      <c r="AB481" s="273"/>
      <c r="AC481" s="273"/>
      <c r="AD481" s="273"/>
      <c r="AE481" s="273"/>
    </row>
    <row r="482" spans="15:31">
      <c r="O482" s="273"/>
      <c r="P482" s="273"/>
      <c r="Q482" s="273"/>
      <c r="R482" s="273"/>
      <c r="S482" s="273"/>
      <c r="T482" s="273"/>
      <c r="U482" s="273"/>
      <c r="V482" s="273"/>
      <c r="W482" s="273"/>
      <c r="X482" s="273"/>
      <c r="Y482" s="273"/>
      <c r="Z482" s="273"/>
      <c r="AA482" s="273"/>
      <c r="AB482" s="273"/>
      <c r="AC482" s="273"/>
      <c r="AD482" s="273"/>
      <c r="AE482" s="273"/>
    </row>
    <row r="483" spans="15:31">
      <c r="O483" s="273"/>
      <c r="P483" s="273"/>
      <c r="Q483" s="273"/>
      <c r="R483" s="273"/>
      <c r="S483" s="273"/>
      <c r="T483" s="273"/>
      <c r="U483" s="273"/>
      <c r="V483" s="273"/>
      <c r="W483" s="273"/>
      <c r="X483" s="273"/>
      <c r="Y483" s="273"/>
      <c r="Z483" s="273"/>
      <c r="AA483" s="273"/>
      <c r="AB483" s="273"/>
      <c r="AC483" s="273"/>
      <c r="AD483" s="273"/>
      <c r="AE483" s="273"/>
    </row>
    <row r="484" spans="15:31">
      <c r="O484" s="273"/>
      <c r="P484" s="273"/>
      <c r="Q484" s="273"/>
      <c r="R484" s="273"/>
      <c r="S484" s="273"/>
      <c r="T484" s="273"/>
      <c r="U484" s="273"/>
      <c r="V484" s="273"/>
      <c r="W484" s="273"/>
      <c r="X484" s="273"/>
      <c r="Y484" s="273"/>
      <c r="Z484" s="273"/>
      <c r="AA484" s="273"/>
      <c r="AB484" s="273"/>
      <c r="AC484" s="273"/>
      <c r="AD484" s="273"/>
      <c r="AE484" s="273"/>
    </row>
    <row r="485" spans="15:31">
      <c r="O485" s="273"/>
      <c r="P485" s="273"/>
      <c r="Q485" s="273"/>
      <c r="R485" s="273"/>
      <c r="S485" s="273"/>
      <c r="T485" s="273"/>
      <c r="U485" s="273"/>
      <c r="V485" s="273"/>
      <c r="W485" s="273"/>
      <c r="X485" s="273"/>
      <c r="Y485" s="273"/>
      <c r="Z485" s="273"/>
      <c r="AA485" s="273"/>
      <c r="AB485" s="273"/>
      <c r="AC485" s="273"/>
      <c r="AD485" s="273"/>
      <c r="AE485" s="273"/>
    </row>
    <row r="486" spans="15:31">
      <c r="O486" s="273"/>
      <c r="P486" s="273"/>
      <c r="Q486" s="273"/>
      <c r="R486" s="273"/>
      <c r="S486" s="273"/>
      <c r="T486" s="273"/>
      <c r="U486" s="273"/>
      <c r="V486" s="273"/>
      <c r="W486" s="273"/>
      <c r="X486" s="273"/>
      <c r="Y486" s="273"/>
      <c r="Z486" s="273"/>
      <c r="AA486" s="273"/>
      <c r="AB486" s="273"/>
      <c r="AC486" s="273"/>
      <c r="AD486" s="273"/>
      <c r="AE486" s="273"/>
    </row>
    <row r="487" spans="15:31">
      <c r="O487" s="273"/>
      <c r="P487" s="273"/>
      <c r="Q487" s="273"/>
      <c r="R487" s="273"/>
      <c r="S487" s="273"/>
      <c r="T487" s="273"/>
      <c r="U487" s="273"/>
      <c r="V487" s="273"/>
      <c r="W487" s="273"/>
      <c r="X487" s="273"/>
      <c r="Y487" s="273"/>
      <c r="Z487" s="273"/>
      <c r="AA487" s="273"/>
      <c r="AB487" s="273"/>
      <c r="AC487" s="273"/>
      <c r="AD487" s="273"/>
      <c r="AE487" s="273"/>
    </row>
    <row r="488" spans="15:31">
      <c r="O488" s="273"/>
      <c r="P488" s="273"/>
      <c r="Q488" s="273"/>
      <c r="R488" s="273"/>
      <c r="S488" s="273"/>
      <c r="T488" s="273"/>
      <c r="U488" s="273"/>
      <c r="V488" s="273"/>
      <c r="W488" s="273"/>
      <c r="X488" s="273"/>
      <c r="Y488" s="273"/>
      <c r="Z488" s="273"/>
      <c r="AA488" s="273"/>
      <c r="AB488" s="273"/>
      <c r="AC488" s="273"/>
      <c r="AD488" s="273"/>
      <c r="AE488" s="273"/>
    </row>
    <row r="489" spans="15:31">
      <c r="O489" s="273"/>
      <c r="P489" s="273"/>
      <c r="Q489" s="273"/>
      <c r="R489" s="273"/>
      <c r="S489" s="273"/>
      <c r="T489" s="273"/>
      <c r="U489" s="273"/>
      <c r="V489" s="273"/>
      <c r="W489" s="273"/>
      <c r="X489" s="273"/>
      <c r="Y489" s="273"/>
      <c r="Z489" s="273"/>
      <c r="AA489" s="273"/>
      <c r="AB489" s="273"/>
      <c r="AC489" s="273"/>
      <c r="AD489" s="273"/>
      <c r="AE489" s="273"/>
    </row>
    <row r="490" spans="15:31">
      <c r="O490" s="273"/>
      <c r="P490" s="273"/>
      <c r="Q490" s="273"/>
      <c r="R490" s="273"/>
      <c r="S490" s="273"/>
      <c r="T490" s="273"/>
      <c r="U490" s="273"/>
      <c r="V490" s="273"/>
      <c r="W490" s="273"/>
      <c r="X490" s="273"/>
      <c r="Y490" s="273"/>
      <c r="Z490" s="273"/>
      <c r="AA490" s="273"/>
      <c r="AB490" s="273"/>
      <c r="AC490" s="273"/>
      <c r="AD490" s="273"/>
      <c r="AE490" s="273"/>
    </row>
    <row r="491" spans="15:31">
      <c r="O491" s="273"/>
      <c r="P491" s="273"/>
      <c r="Q491" s="273"/>
      <c r="R491" s="273"/>
      <c r="S491" s="273"/>
      <c r="T491" s="273"/>
      <c r="U491" s="273"/>
      <c r="V491" s="273"/>
      <c r="W491" s="273"/>
      <c r="X491" s="273"/>
      <c r="Y491" s="273"/>
      <c r="Z491" s="273"/>
      <c r="AA491" s="273"/>
      <c r="AB491" s="273"/>
      <c r="AC491" s="273"/>
      <c r="AD491" s="273"/>
      <c r="AE491" s="273"/>
    </row>
    <row r="492" spans="15:31">
      <c r="O492" s="273"/>
      <c r="P492" s="273"/>
      <c r="Q492" s="273"/>
      <c r="R492" s="273"/>
      <c r="S492" s="273"/>
      <c r="T492" s="273"/>
      <c r="U492" s="273"/>
      <c r="V492" s="273"/>
      <c r="W492" s="273"/>
      <c r="X492" s="273"/>
      <c r="Y492" s="273"/>
      <c r="Z492" s="273"/>
      <c r="AA492" s="273"/>
      <c r="AB492" s="273"/>
      <c r="AC492" s="273"/>
      <c r="AD492" s="273"/>
      <c r="AE492" s="273"/>
    </row>
    <row r="493" spans="15:31">
      <c r="O493" s="273"/>
      <c r="P493" s="273"/>
      <c r="Q493" s="273"/>
      <c r="R493" s="273"/>
      <c r="S493" s="273"/>
      <c r="T493" s="273"/>
      <c r="U493" s="273"/>
      <c r="V493" s="273"/>
      <c r="W493" s="273"/>
      <c r="X493" s="273"/>
      <c r="Y493" s="273"/>
      <c r="Z493" s="273"/>
      <c r="AA493" s="273"/>
      <c r="AB493" s="273"/>
      <c r="AC493" s="273"/>
      <c r="AD493" s="273"/>
      <c r="AE493" s="273"/>
    </row>
    <row r="494" spans="15:31">
      <c r="O494" s="273"/>
      <c r="P494" s="273"/>
      <c r="Q494" s="273"/>
      <c r="R494" s="273"/>
      <c r="S494" s="273"/>
      <c r="T494" s="273"/>
      <c r="U494" s="273"/>
      <c r="V494" s="273"/>
      <c r="W494" s="273"/>
      <c r="X494" s="273"/>
      <c r="Y494" s="273"/>
      <c r="Z494" s="273"/>
      <c r="AA494" s="273"/>
      <c r="AB494" s="273"/>
      <c r="AC494" s="273"/>
      <c r="AD494" s="273"/>
      <c r="AE494" s="273"/>
    </row>
    <row r="495" spans="15:31">
      <c r="O495" s="273"/>
      <c r="P495" s="273"/>
      <c r="Q495" s="273"/>
      <c r="R495" s="273"/>
      <c r="S495" s="273"/>
      <c r="T495" s="273"/>
      <c r="U495" s="273"/>
      <c r="V495" s="273"/>
      <c r="W495" s="273"/>
      <c r="X495" s="273"/>
      <c r="Y495" s="273"/>
      <c r="Z495" s="273"/>
      <c r="AA495" s="273"/>
      <c r="AB495" s="273"/>
      <c r="AC495" s="273"/>
      <c r="AD495" s="273"/>
      <c r="AE495" s="273"/>
    </row>
    <row r="496" spans="15:31">
      <c r="O496" s="273"/>
      <c r="P496" s="273"/>
      <c r="Q496" s="273"/>
      <c r="R496" s="273"/>
      <c r="S496" s="273"/>
      <c r="T496" s="273"/>
      <c r="U496" s="273"/>
      <c r="V496" s="273"/>
      <c r="W496" s="273"/>
      <c r="X496" s="273"/>
      <c r="Y496" s="273"/>
      <c r="Z496" s="273"/>
      <c r="AA496" s="273"/>
      <c r="AB496" s="273"/>
      <c r="AC496" s="273"/>
      <c r="AD496" s="273"/>
      <c r="AE496" s="273"/>
    </row>
    <row r="497" spans="15:31">
      <c r="O497" s="273"/>
      <c r="P497" s="273"/>
      <c r="Q497" s="273"/>
      <c r="R497" s="273"/>
      <c r="S497" s="273"/>
      <c r="T497" s="273"/>
      <c r="U497" s="273"/>
      <c r="V497" s="273"/>
      <c r="W497" s="273"/>
      <c r="X497" s="273"/>
      <c r="Y497" s="273"/>
      <c r="Z497" s="273"/>
      <c r="AA497" s="273"/>
      <c r="AB497" s="273"/>
      <c r="AC497" s="273"/>
      <c r="AD497" s="273"/>
      <c r="AE497" s="273"/>
    </row>
    <row r="498" spans="15:31">
      <c r="O498" s="273"/>
      <c r="P498" s="273"/>
      <c r="Q498" s="273"/>
      <c r="R498" s="273"/>
      <c r="S498" s="273"/>
      <c r="T498" s="273"/>
      <c r="U498" s="273"/>
      <c r="V498" s="273"/>
      <c r="W498" s="273"/>
      <c r="X498" s="273"/>
      <c r="Y498" s="273"/>
      <c r="Z498" s="273"/>
      <c r="AA498" s="273"/>
      <c r="AB498" s="273"/>
      <c r="AC498" s="273"/>
      <c r="AD498" s="273"/>
      <c r="AE498" s="273"/>
    </row>
    <row r="499" spans="15:31">
      <c r="O499" s="273"/>
      <c r="P499" s="273"/>
      <c r="Q499" s="273"/>
      <c r="R499" s="273"/>
      <c r="S499" s="273"/>
      <c r="T499" s="273"/>
      <c r="U499" s="273"/>
      <c r="V499" s="273"/>
      <c r="W499" s="273"/>
      <c r="X499" s="273"/>
      <c r="Y499" s="273"/>
      <c r="Z499" s="273"/>
      <c r="AA499" s="273"/>
      <c r="AB499" s="273"/>
      <c r="AC499" s="273"/>
      <c r="AD499" s="273"/>
      <c r="AE499" s="273"/>
    </row>
    <row r="500" spans="15:31">
      <c r="O500" s="273"/>
      <c r="P500" s="273"/>
      <c r="Q500" s="273"/>
      <c r="R500" s="273"/>
      <c r="S500" s="273"/>
      <c r="T500" s="273"/>
      <c r="U500" s="273"/>
      <c r="V500" s="273"/>
      <c r="W500" s="273"/>
      <c r="X500" s="273"/>
      <c r="Y500" s="273"/>
      <c r="Z500" s="273"/>
      <c r="AA500" s="273"/>
      <c r="AB500" s="273"/>
      <c r="AC500" s="273"/>
      <c r="AD500" s="273"/>
      <c r="AE500" s="273"/>
    </row>
    <row r="501" spans="15:31">
      <c r="O501" s="273"/>
      <c r="P501" s="273"/>
      <c r="Q501" s="273"/>
      <c r="R501" s="273"/>
      <c r="S501" s="273"/>
      <c r="T501" s="273"/>
      <c r="U501" s="273"/>
      <c r="V501" s="273"/>
      <c r="W501" s="273"/>
      <c r="X501" s="273"/>
      <c r="Y501" s="273"/>
      <c r="Z501" s="273"/>
      <c r="AA501" s="273"/>
      <c r="AB501" s="273"/>
      <c r="AC501" s="273"/>
      <c r="AD501" s="273"/>
      <c r="AE501" s="273"/>
    </row>
    <row r="502" spans="15:31">
      <c r="O502" s="273"/>
      <c r="P502" s="273"/>
      <c r="Q502" s="273"/>
      <c r="R502" s="273"/>
      <c r="S502" s="273"/>
      <c r="T502" s="273"/>
      <c r="U502" s="273"/>
      <c r="V502" s="273"/>
      <c r="W502" s="273"/>
      <c r="X502" s="273"/>
      <c r="Y502" s="273"/>
      <c r="Z502" s="273"/>
      <c r="AA502" s="273"/>
      <c r="AB502" s="273"/>
      <c r="AC502" s="273"/>
      <c r="AD502" s="273"/>
      <c r="AE502" s="273"/>
    </row>
    <row r="503" spans="15:31">
      <c r="O503" s="273"/>
      <c r="P503" s="273"/>
      <c r="Q503" s="273"/>
      <c r="R503" s="273"/>
      <c r="S503" s="273"/>
      <c r="T503" s="273"/>
      <c r="U503" s="273"/>
      <c r="V503" s="273"/>
      <c r="W503" s="273"/>
      <c r="X503" s="273"/>
      <c r="Y503" s="273"/>
      <c r="Z503" s="273"/>
      <c r="AA503" s="273"/>
      <c r="AB503" s="273"/>
      <c r="AC503" s="273"/>
      <c r="AD503" s="273"/>
      <c r="AE503" s="273"/>
    </row>
    <row r="504" spans="15:31">
      <c r="O504" s="273"/>
      <c r="P504" s="273"/>
      <c r="Q504" s="273"/>
      <c r="R504" s="273"/>
      <c r="S504" s="273"/>
      <c r="T504" s="273"/>
      <c r="U504" s="273"/>
      <c r="V504" s="273"/>
      <c r="W504" s="273"/>
      <c r="X504" s="273"/>
      <c r="Y504" s="273"/>
      <c r="Z504" s="273"/>
      <c r="AA504" s="273"/>
      <c r="AB504" s="273"/>
      <c r="AC504" s="273"/>
      <c r="AD504" s="273"/>
      <c r="AE504" s="273"/>
    </row>
    <row r="505" spans="15:31">
      <c r="O505" s="273"/>
      <c r="P505" s="273"/>
      <c r="Q505" s="273"/>
      <c r="R505" s="273"/>
      <c r="S505" s="273"/>
      <c r="T505" s="273"/>
      <c r="U505" s="273"/>
      <c r="V505" s="273"/>
      <c r="W505" s="273"/>
      <c r="X505" s="273"/>
      <c r="Y505" s="273"/>
      <c r="Z505" s="273"/>
      <c r="AA505" s="273"/>
      <c r="AB505" s="273"/>
      <c r="AC505" s="273"/>
      <c r="AD505" s="273"/>
      <c r="AE505" s="273"/>
    </row>
    <row r="506" spans="15:31">
      <c r="O506" s="273"/>
      <c r="P506" s="273"/>
      <c r="Q506" s="273"/>
      <c r="R506" s="273"/>
      <c r="S506" s="273"/>
      <c r="T506" s="273"/>
      <c r="U506" s="273"/>
      <c r="V506" s="273"/>
      <c r="W506" s="273"/>
      <c r="X506" s="273"/>
      <c r="Y506" s="273"/>
      <c r="Z506" s="273"/>
      <c r="AA506" s="273"/>
      <c r="AB506" s="273"/>
      <c r="AC506" s="273"/>
      <c r="AD506" s="273"/>
      <c r="AE506" s="273"/>
    </row>
    <row r="507" spans="15:31">
      <c r="O507" s="273"/>
      <c r="P507" s="273"/>
      <c r="Q507" s="273"/>
      <c r="R507" s="273"/>
      <c r="S507" s="273"/>
      <c r="T507" s="273"/>
      <c r="U507" s="273"/>
      <c r="V507" s="273"/>
      <c r="W507" s="273"/>
      <c r="X507" s="273"/>
      <c r="Y507" s="273"/>
      <c r="Z507" s="273"/>
      <c r="AA507" s="273"/>
      <c r="AB507" s="273"/>
      <c r="AC507" s="273"/>
      <c r="AD507" s="273"/>
      <c r="AE507" s="273"/>
    </row>
    <row r="508" spans="15:31">
      <c r="O508" s="273"/>
      <c r="P508" s="273"/>
      <c r="Q508" s="273"/>
      <c r="R508" s="273"/>
      <c r="S508" s="273"/>
      <c r="T508" s="273"/>
      <c r="U508" s="273"/>
      <c r="V508" s="273"/>
      <c r="W508" s="273"/>
      <c r="X508" s="273"/>
      <c r="Y508" s="273"/>
      <c r="Z508" s="273"/>
      <c r="AA508" s="273"/>
      <c r="AB508" s="273"/>
      <c r="AC508" s="273"/>
      <c r="AD508" s="273"/>
      <c r="AE508" s="273"/>
    </row>
    <row r="509" spans="15:31">
      <c r="O509" s="273"/>
      <c r="P509" s="273"/>
      <c r="Q509" s="273"/>
      <c r="R509" s="273"/>
      <c r="S509" s="273"/>
      <c r="T509" s="273"/>
      <c r="U509" s="273"/>
      <c r="V509" s="273"/>
      <c r="W509" s="273"/>
      <c r="X509" s="273"/>
      <c r="Y509" s="273"/>
      <c r="Z509" s="273"/>
      <c r="AA509" s="273"/>
      <c r="AB509" s="273"/>
      <c r="AC509" s="273"/>
      <c r="AD509" s="273"/>
      <c r="AE509" s="273"/>
    </row>
    <row r="510" spans="15:31">
      <c r="O510" s="273"/>
      <c r="P510" s="273"/>
      <c r="Q510" s="273"/>
      <c r="R510" s="273"/>
      <c r="S510" s="273"/>
      <c r="T510" s="273"/>
      <c r="U510" s="273"/>
      <c r="V510" s="273"/>
      <c r="W510" s="273"/>
      <c r="X510" s="273"/>
      <c r="Y510" s="273"/>
      <c r="Z510" s="273"/>
      <c r="AA510" s="273"/>
      <c r="AB510" s="273"/>
      <c r="AC510" s="273"/>
      <c r="AD510" s="273"/>
      <c r="AE510" s="273"/>
    </row>
    <row r="511" spans="15:31">
      <c r="O511" s="273"/>
      <c r="P511" s="273"/>
      <c r="Q511" s="273"/>
      <c r="R511" s="273"/>
      <c r="S511" s="273"/>
      <c r="T511" s="273"/>
      <c r="U511" s="273"/>
      <c r="V511" s="273"/>
      <c r="W511" s="273"/>
      <c r="X511" s="273"/>
      <c r="Y511" s="273"/>
      <c r="Z511" s="273"/>
      <c r="AA511" s="273"/>
      <c r="AB511" s="273"/>
      <c r="AC511" s="273"/>
      <c r="AD511" s="273"/>
      <c r="AE511" s="273"/>
    </row>
    <row r="512" spans="15:31">
      <c r="O512" s="273"/>
      <c r="P512" s="273"/>
      <c r="Q512" s="273"/>
      <c r="R512" s="273"/>
      <c r="S512" s="273"/>
      <c r="T512" s="273"/>
      <c r="U512" s="273"/>
      <c r="V512" s="273"/>
      <c r="W512" s="273"/>
      <c r="X512" s="273"/>
      <c r="Y512" s="273"/>
      <c r="Z512" s="273"/>
      <c r="AA512" s="273"/>
      <c r="AB512" s="273"/>
      <c r="AC512" s="273"/>
      <c r="AD512" s="273"/>
      <c r="AE512" s="273"/>
    </row>
    <row r="513" spans="15:31">
      <c r="O513" s="273"/>
      <c r="P513" s="273"/>
      <c r="Q513" s="273"/>
      <c r="R513" s="273"/>
      <c r="S513" s="273"/>
      <c r="T513" s="273"/>
      <c r="U513" s="273"/>
      <c r="V513" s="273"/>
      <c r="W513" s="273"/>
      <c r="X513" s="273"/>
      <c r="Y513" s="273"/>
      <c r="Z513" s="273"/>
      <c r="AA513" s="273"/>
      <c r="AB513" s="273"/>
      <c r="AC513" s="273"/>
      <c r="AD513" s="273"/>
      <c r="AE513" s="273"/>
    </row>
    <row r="514" spans="15:31">
      <c r="O514" s="273"/>
      <c r="P514" s="273"/>
      <c r="Q514" s="273"/>
      <c r="R514" s="273"/>
      <c r="S514" s="273"/>
      <c r="T514" s="273"/>
      <c r="U514" s="273"/>
      <c r="V514" s="273"/>
      <c r="W514" s="273"/>
      <c r="X514" s="273"/>
      <c r="Y514" s="273"/>
      <c r="Z514" s="273"/>
      <c r="AA514" s="273"/>
      <c r="AB514" s="273"/>
      <c r="AC514" s="273"/>
      <c r="AD514" s="273"/>
      <c r="AE514" s="273"/>
    </row>
    <row r="515" spans="15:31">
      <c r="O515" s="273"/>
      <c r="P515" s="273"/>
      <c r="Q515" s="273"/>
      <c r="R515" s="273"/>
      <c r="S515" s="273"/>
      <c r="T515" s="273"/>
      <c r="U515" s="273"/>
      <c r="V515" s="273"/>
      <c r="W515" s="273"/>
      <c r="X515" s="273"/>
      <c r="Y515" s="273"/>
      <c r="Z515" s="273"/>
      <c r="AA515" s="273"/>
      <c r="AB515" s="273"/>
      <c r="AC515" s="273"/>
      <c r="AD515" s="273"/>
      <c r="AE515" s="273"/>
    </row>
    <row r="516" spans="15:31">
      <c r="O516" s="273"/>
      <c r="P516" s="273"/>
      <c r="Q516" s="273"/>
      <c r="R516" s="273"/>
      <c r="S516" s="273"/>
      <c r="T516" s="273"/>
      <c r="U516" s="273"/>
      <c r="V516" s="273"/>
      <c r="W516" s="273"/>
      <c r="X516" s="273"/>
      <c r="Y516" s="273"/>
      <c r="Z516" s="273"/>
      <c r="AA516" s="273"/>
      <c r="AB516" s="273"/>
      <c r="AC516" s="273"/>
      <c r="AD516" s="273"/>
      <c r="AE516" s="273"/>
    </row>
    <row r="517" spans="15:31">
      <c r="O517" s="273"/>
      <c r="P517" s="273"/>
      <c r="Q517" s="273"/>
      <c r="R517" s="273"/>
      <c r="S517" s="273"/>
      <c r="T517" s="273"/>
      <c r="U517" s="273"/>
      <c r="V517" s="273"/>
      <c r="W517" s="273"/>
      <c r="X517" s="273"/>
      <c r="Y517" s="273"/>
      <c r="Z517" s="273"/>
      <c r="AA517" s="273"/>
      <c r="AB517" s="273"/>
      <c r="AC517" s="273"/>
      <c r="AD517" s="273"/>
      <c r="AE517" s="273"/>
    </row>
    <row r="518" spans="15:31">
      <c r="O518" s="273"/>
      <c r="P518" s="273"/>
      <c r="Q518" s="273"/>
      <c r="R518" s="273"/>
      <c r="S518" s="273"/>
      <c r="T518" s="273"/>
      <c r="U518" s="273"/>
      <c r="V518" s="273"/>
      <c r="W518" s="273"/>
      <c r="X518" s="273"/>
      <c r="Y518" s="273"/>
      <c r="Z518" s="273"/>
      <c r="AA518" s="273"/>
      <c r="AB518" s="273"/>
      <c r="AC518" s="273"/>
      <c r="AD518" s="273"/>
      <c r="AE518" s="273"/>
    </row>
    <row r="519" spans="15:31">
      <c r="O519" s="273"/>
      <c r="P519" s="273"/>
      <c r="Q519" s="273"/>
      <c r="R519" s="273"/>
      <c r="S519" s="273"/>
      <c r="T519" s="273"/>
      <c r="U519" s="273"/>
      <c r="V519" s="273"/>
      <c r="W519" s="273"/>
      <c r="X519" s="273"/>
      <c r="Y519" s="273"/>
      <c r="Z519" s="273"/>
      <c r="AA519" s="273"/>
      <c r="AB519" s="273"/>
      <c r="AC519" s="273"/>
      <c r="AD519" s="273"/>
      <c r="AE519" s="273"/>
    </row>
    <row r="520" spans="15:31">
      <c r="O520" s="273"/>
      <c r="P520" s="273"/>
      <c r="Q520" s="273"/>
      <c r="R520" s="273"/>
      <c r="S520" s="273"/>
      <c r="T520" s="273"/>
      <c r="U520" s="273"/>
      <c r="V520" s="273"/>
      <c r="W520" s="273"/>
      <c r="X520" s="273"/>
      <c r="Y520" s="273"/>
      <c r="Z520" s="273"/>
      <c r="AA520" s="273"/>
      <c r="AB520" s="273"/>
      <c r="AC520" s="273"/>
      <c r="AD520" s="273"/>
      <c r="AE520" s="273"/>
    </row>
    <row r="521" spans="15:31">
      <c r="O521" s="273"/>
      <c r="P521" s="273"/>
      <c r="Q521" s="273"/>
      <c r="R521" s="273"/>
      <c r="S521" s="273"/>
      <c r="T521" s="273"/>
      <c r="U521" s="273"/>
      <c r="V521" s="273"/>
      <c r="W521" s="273"/>
      <c r="X521" s="273"/>
      <c r="Y521" s="273"/>
      <c r="Z521" s="273"/>
      <c r="AA521" s="273"/>
      <c r="AB521" s="273"/>
      <c r="AC521" s="273"/>
      <c r="AD521" s="273"/>
      <c r="AE521" s="273"/>
    </row>
    <row r="522" spans="15:31">
      <c r="O522" s="273"/>
      <c r="P522" s="273"/>
      <c r="Q522" s="273"/>
      <c r="R522" s="273"/>
      <c r="S522" s="273"/>
      <c r="T522" s="273"/>
      <c r="U522" s="273"/>
      <c r="V522" s="273"/>
      <c r="W522" s="273"/>
      <c r="X522" s="273"/>
      <c r="Y522" s="273"/>
      <c r="Z522" s="273"/>
      <c r="AA522" s="273"/>
      <c r="AB522" s="273"/>
      <c r="AC522" s="273"/>
      <c r="AD522" s="273"/>
      <c r="AE522" s="273"/>
    </row>
    <row r="523" spans="15:31">
      <c r="O523" s="273"/>
      <c r="P523" s="273"/>
      <c r="Q523" s="273"/>
      <c r="R523" s="273"/>
      <c r="S523" s="273"/>
      <c r="T523" s="273"/>
      <c r="U523" s="273"/>
      <c r="V523" s="273"/>
      <c r="W523" s="273"/>
      <c r="X523" s="273"/>
      <c r="Y523" s="273"/>
      <c r="Z523" s="273"/>
      <c r="AA523" s="273"/>
      <c r="AB523" s="273"/>
      <c r="AC523" s="273"/>
      <c r="AD523" s="273"/>
      <c r="AE523" s="273"/>
    </row>
    <row r="524" spans="15:31">
      <c r="O524" s="273"/>
      <c r="P524" s="273"/>
      <c r="Q524" s="273"/>
      <c r="R524" s="273"/>
      <c r="S524" s="273"/>
      <c r="T524" s="273"/>
      <c r="U524" s="273"/>
      <c r="V524" s="273"/>
      <c r="W524" s="273"/>
      <c r="X524" s="273"/>
      <c r="Y524" s="273"/>
      <c r="Z524" s="273"/>
      <c r="AA524" s="273"/>
      <c r="AB524" s="273"/>
      <c r="AC524" s="273"/>
      <c r="AD524" s="273"/>
      <c r="AE524" s="273"/>
    </row>
    <row r="525" spans="15:31">
      <c r="O525" s="273"/>
      <c r="P525" s="273"/>
      <c r="Q525" s="273"/>
      <c r="R525" s="273"/>
      <c r="S525" s="273"/>
      <c r="T525" s="273"/>
      <c r="U525" s="273"/>
      <c r="V525" s="273"/>
      <c r="W525" s="273"/>
      <c r="X525" s="273"/>
      <c r="Y525" s="273"/>
      <c r="Z525" s="273"/>
      <c r="AA525" s="273"/>
      <c r="AB525" s="273"/>
      <c r="AC525" s="273"/>
      <c r="AD525" s="273"/>
      <c r="AE525" s="273"/>
    </row>
    <row r="526" spans="15:31">
      <c r="O526" s="273"/>
      <c r="P526" s="273"/>
      <c r="Q526" s="273"/>
      <c r="R526" s="273"/>
      <c r="S526" s="273"/>
      <c r="T526" s="273"/>
      <c r="U526" s="273"/>
      <c r="V526" s="273"/>
      <c r="W526" s="273"/>
      <c r="X526" s="273"/>
      <c r="Y526" s="273"/>
      <c r="Z526" s="273"/>
      <c r="AA526" s="273"/>
      <c r="AB526" s="273"/>
      <c r="AC526" s="273"/>
      <c r="AD526" s="273"/>
      <c r="AE526" s="273"/>
    </row>
    <row r="527" spans="15:31">
      <c r="O527" s="273"/>
      <c r="P527" s="273"/>
      <c r="Q527" s="273"/>
      <c r="R527" s="273"/>
      <c r="S527" s="273"/>
      <c r="T527" s="273"/>
      <c r="U527" s="273"/>
      <c r="V527" s="273"/>
      <c r="W527" s="273"/>
      <c r="X527" s="273"/>
      <c r="Y527" s="273"/>
      <c r="Z527" s="273"/>
      <c r="AA527" s="273"/>
      <c r="AB527" s="273"/>
      <c r="AC527" s="273"/>
      <c r="AD527" s="273"/>
      <c r="AE527" s="273"/>
    </row>
    <row r="528" spans="15:31">
      <c r="O528" s="273"/>
      <c r="P528" s="273"/>
      <c r="Q528" s="273"/>
      <c r="R528" s="273"/>
      <c r="S528" s="273"/>
      <c r="T528" s="273"/>
      <c r="U528" s="273"/>
      <c r="V528" s="273"/>
      <c r="W528" s="273"/>
      <c r="X528" s="273"/>
      <c r="Y528" s="273"/>
      <c r="Z528" s="273"/>
      <c r="AA528" s="273"/>
      <c r="AB528" s="273"/>
      <c r="AC528" s="273"/>
      <c r="AD528" s="273"/>
      <c r="AE528" s="273"/>
    </row>
    <row r="529" spans="15:31">
      <c r="O529" s="273"/>
      <c r="P529" s="273"/>
      <c r="Q529" s="273"/>
      <c r="R529" s="273"/>
      <c r="S529" s="273"/>
      <c r="T529" s="273"/>
      <c r="U529" s="273"/>
      <c r="V529" s="273"/>
      <c r="W529" s="273"/>
      <c r="X529" s="273"/>
      <c r="Y529" s="273"/>
      <c r="Z529" s="273"/>
      <c r="AA529" s="273"/>
      <c r="AB529" s="273"/>
      <c r="AC529" s="273"/>
      <c r="AD529" s="273"/>
      <c r="AE529" s="273"/>
    </row>
    <row r="530" spans="15:31">
      <c r="O530" s="273"/>
      <c r="P530" s="273"/>
      <c r="Q530" s="273"/>
      <c r="R530" s="273"/>
      <c r="S530" s="273"/>
      <c r="T530" s="273"/>
      <c r="U530" s="273"/>
      <c r="V530" s="273"/>
      <c r="W530" s="273"/>
      <c r="X530" s="273"/>
      <c r="Y530" s="273"/>
      <c r="Z530" s="273"/>
      <c r="AA530" s="273"/>
      <c r="AB530" s="273"/>
      <c r="AC530" s="273"/>
      <c r="AD530" s="273"/>
      <c r="AE530" s="273"/>
    </row>
    <row r="531" spans="15:31">
      <c r="O531" s="273"/>
      <c r="P531" s="273"/>
      <c r="Q531" s="273"/>
      <c r="R531" s="273"/>
      <c r="S531" s="273"/>
      <c r="T531" s="273"/>
      <c r="U531" s="273"/>
      <c r="V531" s="273"/>
      <c r="W531" s="273"/>
      <c r="X531" s="273"/>
      <c r="Y531" s="273"/>
      <c r="Z531" s="273"/>
      <c r="AA531" s="273"/>
      <c r="AB531" s="273"/>
      <c r="AC531" s="273"/>
      <c r="AD531" s="273"/>
      <c r="AE531" s="273"/>
    </row>
    <row r="532" spans="15:31">
      <c r="O532" s="273"/>
      <c r="P532" s="273"/>
      <c r="Q532" s="273"/>
      <c r="R532" s="273"/>
      <c r="S532" s="273"/>
      <c r="T532" s="273"/>
      <c r="U532" s="273"/>
      <c r="V532" s="273"/>
      <c r="W532" s="273"/>
      <c r="X532" s="273"/>
      <c r="Y532" s="273"/>
      <c r="Z532" s="273"/>
      <c r="AA532" s="273"/>
      <c r="AB532" s="273"/>
      <c r="AC532" s="273"/>
      <c r="AD532" s="273"/>
      <c r="AE532" s="273"/>
    </row>
    <row r="533" spans="15:31">
      <c r="O533" s="273"/>
      <c r="P533" s="273"/>
      <c r="Q533" s="273"/>
      <c r="R533" s="273"/>
      <c r="S533" s="273"/>
      <c r="T533" s="273"/>
      <c r="U533" s="273"/>
      <c r="V533" s="273"/>
      <c r="W533" s="273"/>
      <c r="X533" s="273"/>
      <c r="Y533" s="273"/>
      <c r="Z533" s="273"/>
      <c r="AA533" s="273"/>
      <c r="AB533" s="273"/>
      <c r="AC533" s="273"/>
      <c r="AD533" s="273"/>
      <c r="AE533" s="273"/>
    </row>
    <row r="534" spans="15:31">
      <c r="O534" s="273"/>
      <c r="P534" s="273"/>
      <c r="Q534" s="273"/>
      <c r="R534" s="273"/>
      <c r="S534" s="273"/>
      <c r="T534" s="273"/>
      <c r="U534" s="273"/>
      <c r="V534" s="273"/>
      <c r="W534" s="273"/>
      <c r="X534" s="273"/>
      <c r="Y534" s="273"/>
      <c r="Z534" s="273"/>
      <c r="AA534" s="273"/>
      <c r="AB534" s="273"/>
      <c r="AC534" s="273"/>
      <c r="AD534" s="273"/>
      <c r="AE534" s="273"/>
    </row>
    <row r="535" spans="15:31">
      <c r="O535" s="273"/>
      <c r="P535" s="273"/>
      <c r="Q535" s="273"/>
      <c r="R535" s="273"/>
      <c r="S535" s="273"/>
      <c r="T535" s="273"/>
      <c r="U535" s="273"/>
      <c r="V535" s="273"/>
      <c r="W535" s="273"/>
      <c r="X535" s="273"/>
      <c r="Y535" s="273"/>
      <c r="Z535" s="273"/>
      <c r="AA535" s="273"/>
      <c r="AB535" s="273"/>
      <c r="AC535" s="273"/>
      <c r="AD535" s="273"/>
      <c r="AE535" s="273"/>
    </row>
    <row r="536" spans="15:31">
      <c r="O536" s="273"/>
      <c r="P536" s="273"/>
      <c r="Q536" s="273"/>
      <c r="R536" s="273"/>
      <c r="S536" s="273"/>
      <c r="T536" s="273"/>
      <c r="U536" s="273"/>
      <c r="V536" s="273"/>
      <c r="W536" s="273"/>
      <c r="X536" s="273"/>
      <c r="Y536" s="273"/>
      <c r="Z536" s="273"/>
      <c r="AA536" s="273"/>
      <c r="AB536" s="273"/>
      <c r="AC536" s="273"/>
      <c r="AD536" s="273"/>
      <c r="AE536" s="273"/>
    </row>
    <row r="537" spans="15:31">
      <c r="O537" s="273"/>
      <c r="P537" s="273"/>
      <c r="Q537" s="273"/>
      <c r="R537" s="273"/>
      <c r="S537" s="273"/>
      <c r="T537" s="273"/>
      <c r="U537" s="273"/>
      <c r="V537" s="273"/>
      <c r="W537" s="273"/>
      <c r="X537" s="273"/>
      <c r="Y537" s="273"/>
      <c r="Z537" s="273"/>
      <c r="AA537" s="273"/>
      <c r="AB537" s="273"/>
      <c r="AC537" s="273"/>
      <c r="AD537" s="273"/>
      <c r="AE537" s="273"/>
    </row>
    <row r="538" spans="15:31">
      <c r="O538" s="273"/>
      <c r="P538" s="273"/>
      <c r="Q538" s="273"/>
      <c r="R538" s="273"/>
      <c r="S538" s="273"/>
      <c r="T538" s="273"/>
      <c r="U538" s="273"/>
      <c r="V538" s="273"/>
      <c r="W538" s="273"/>
      <c r="X538" s="273"/>
      <c r="Y538" s="273"/>
      <c r="Z538" s="273"/>
      <c r="AA538" s="273"/>
      <c r="AB538" s="273"/>
      <c r="AC538" s="273"/>
      <c r="AD538" s="273"/>
      <c r="AE538" s="273"/>
    </row>
    <row r="539" spans="15:31">
      <c r="O539" s="273"/>
      <c r="P539" s="273"/>
      <c r="Q539" s="273"/>
      <c r="R539" s="273"/>
      <c r="S539" s="273"/>
      <c r="T539" s="273"/>
      <c r="U539" s="273"/>
      <c r="V539" s="273"/>
      <c r="W539" s="273"/>
      <c r="X539" s="273"/>
      <c r="Y539" s="273"/>
      <c r="Z539" s="273"/>
      <c r="AA539" s="273"/>
      <c r="AB539" s="273"/>
      <c r="AC539" s="273"/>
      <c r="AD539" s="273"/>
      <c r="AE539" s="273"/>
    </row>
    <row r="540" spans="15:31">
      <c r="O540" s="273"/>
      <c r="P540" s="273"/>
      <c r="Q540" s="273"/>
      <c r="R540" s="273"/>
      <c r="S540" s="273"/>
      <c r="T540" s="273"/>
      <c r="U540" s="273"/>
      <c r="V540" s="273"/>
      <c r="W540" s="273"/>
      <c r="X540" s="273"/>
      <c r="Y540" s="273"/>
      <c r="Z540" s="273"/>
      <c r="AA540" s="273"/>
      <c r="AB540" s="273"/>
      <c r="AC540" s="273"/>
      <c r="AD540" s="273"/>
      <c r="AE540" s="273"/>
    </row>
    <row r="541" spans="15:31">
      <c r="O541" s="273"/>
      <c r="P541" s="273"/>
      <c r="Q541" s="273"/>
      <c r="R541" s="273"/>
      <c r="S541" s="273"/>
      <c r="T541" s="273"/>
      <c r="U541" s="273"/>
      <c r="V541" s="273"/>
      <c r="W541" s="273"/>
      <c r="X541" s="273"/>
      <c r="Y541" s="273"/>
      <c r="Z541" s="273"/>
      <c r="AA541" s="273"/>
      <c r="AB541" s="273"/>
      <c r="AC541" s="273"/>
      <c r="AD541" s="273"/>
      <c r="AE541" s="273"/>
    </row>
    <row r="542" spans="15:31">
      <c r="O542" s="273"/>
      <c r="P542" s="273"/>
      <c r="Q542" s="273"/>
      <c r="R542" s="273"/>
      <c r="S542" s="273"/>
      <c r="T542" s="273"/>
      <c r="U542" s="273"/>
      <c r="V542" s="273"/>
      <c r="W542" s="273"/>
      <c r="X542" s="273"/>
      <c r="Y542" s="273"/>
      <c r="Z542" s="273"/>
      <c r="AA542" s="273"/>
      <c r="AB542" s="273"/>
      <c r="AC542" s="273"/>
      <c r="AD542" s="273"/>
      <c r="AE542" s="273"/>
    </row>
    <row r="543" spans="15:31">
      <c r="O543" s="273"/>
      <c r="P543" s="273"/>
      <c r="Q543" s="273"/>
      <c r="R543" s="273"/>
      <c r="S543" s="273"/>
      <c r="T543" s="273"/>
      <c r="U543" s="273"/>
      <c r="V543" s="273"/>
      <c r="W543" s="273"/>
      <c r="X543" s="273"/>
      <c r="Y543" s="273"/>
      <c r="Z543" s="273"/>
      <c r="AA543" s="273"/>
      <c r="AB543" s="273"/>
      <c r="AC543" s="273"/>
      <c r="AD543" s="273"/>
      <c r="AE543" s="273"/>
    </row>
    <row r="544" spans="15:31">
      <c r="O544" s="273"/>
      <c r="P544" s="273"/>
      <c r="Q544" s="273"/>
      <c r="R544" s="273"/>
      <c r="S544" s="273"/>
      <c r="T544" s="273"/>
      <c r="U544" s="273"/>
      <c r="V544" s="273"/>
      <c r="W544" s="273"/>
      <c r="X544" s="273"/>
      <c r="Y544" s="273"/>
      <c r="Z544" s="273"/>
      <c r="AA544" s="273"/>
      <c r="AB544" s="273"/>
      <c r="AC544" s="273"/>
      <c r="AD544" s="273"/>
      <c r="AE544" s="273"/>
    </row>
    <row r="545" spans="15:31">
      <c r="O545" s="273"/>
      <c r="P545" s="273"/>
      <c r="Q545" s="273"/>
      <c r="R545" s="273"/>
      <c r="S545" s="273"/>
      <c r="T545" s="273"/>
      <c r="U545" s="273"/>
      <c r="V545" s="273"/>
      <c r="W545" s="273"/>
      <c r="X545" s="273"/>
      <c r="Y545" s="273"/>
      <c r="Z545" s="273"/>
      <c r="AA545" s="273"/>
      <c r="AB545" s="273"/>
      <c r="AC545" s="273"/>
      <c r="AD545" s="273"/>
      <c r="AE545" s="273"/>
    </row>
    <row r="546" spans="15:31">
      <c r="O546" s="273"/>
      <c r="P546" s="273"/>
      <c r="Q546" s="273"/>
      <c r="R546" s="273"/>
      <c r="S546" s="273"/>
      <c r="T546" s="273"/>
      <c r="U546" s="273"/>
      <c r="V546" s="273"/>
      <c r="W546" s="273"/>
      <c r="X546" s="273"/>
      <c r="Y546" s="273"/>
      <c r="Z546" s="273"/>
      <c r="AA546" s="273"/>
      <c r="AB546" s="273"/>
      <c r="AC546" s="273"/>
      <c r="AD546" s="273"/>
      <c r="AE546" s="273"/>
    </row>
    <row r="547" spans="15:31">
      <c r="O547" s="273"/>
      <c r="P547" s="273"/>
      <c r="Q547" s="273"/>
      <c r="R547" s="273"/>
      <c r="S547" s="273"/>
      <c r="T547" s="273"/>
      <c r="U547" s="273"/>
      <c r="V547" s="273"/>
      <c r="W547" s="273"/>
      <c r="X547" s="273"/>
      <c r="Y547" s="273"/>
      <c r="Z547" s="273"/>
      <c r="AA547" s="273"/>
      <c r="AB547" s="273"/>
      <c r="AC547" s="273"/>
      <c r="AD547" s="273"/>
      <c r="AE547" s="273"/>
    </row>
    <row r="548" spans="15:31">
      <c r="O548" s="273"/>
      <c r="P548" s="273"/>
      <c r="Q548" s="273"/>
      <c r="R548" s="273"/>
      <c r="S548" s="273"/>
      <c r="T548" s="273"/>
      <c r="U548" s="273"/>
      <c r="V548" s="273"/>
      <c r="W548" s="273"/>
      <c r="X548" s="273"/>
      <c r="Y548" s="273"/>
      <c r="Z548" s="273"/>
      <c r="AA548" s="273"/>
      <c r="AB548" s="273"/>
      <c r="AC548" s="273"/>
      <c r="AD548" s="273"/>
      <c r="AE548" s="273"/>
    </row>
    <row r="549" spans="15:31">
      <c r="O549" s="273"/>
      <c r="P549" s="273"/>
      <c r="Q549" s="273"/>
      <c r="R549" s="273"/>
      <c r="S549" s="273"/>
      <c r="T549" s="273"/>
      <c r="U549" s="273"/>
      <c r="V549" s="273"/>
      <c r="W549" s="273"/>
      <c r="X549" s="273"/>
      <c r="Y549" s="273"/>
      <c r="Z549" s="273"/>
      <c r="AA549" s="273"/>
      <c r="AB549" s="273"/>
      <c r="AC549" s="273"/>
      <c r="AD549" s="273"/>
      <c r="AE549" s="273"/>
    </row>
    <row r="550" spans="15:31">
      <c r="O550" s="273"/>
      <c r="P550" s="273"/>
      <c r="Q550" s="273"/>
      <c r="R550" s="273"/>
      <c r="S550" s="273"/>
      <c r="T550" s="273"/>
      <c r="U550" s="273"/>
      <c r="V550" s="273"/>
      <c r="W550" s="273"/>
      <c r="X550" s="273"/>
      <c r="Y550" s="273"/>
      <c r="Z550" s="273"/>
      <c r="AA550" s="273"/>
      <c r="AB550" s="273"/>
      <c r="AC550" s="273"/>
      <c r="AD550" s="273"/>
      <c r="AE550" s="273"/>
    </row>
    <row r="551" spans="15:31">
      <c r="O551" s="273"/>
      <c r="P551" s="273"/>
      <c r="Q551" s="273"/>
      <c r="R551" s="273"/>
      <c r="S551" s="273"/>
      <c r="T551" s="273"/>
      <c r="U551" s="273"/>
      <c r="V551" s="273"/>
      <c r="W551" s="273"/>
      <c r="X551" s="273"/>
      <c r="Y551" s="273"/>
      <c r="Z551" s="273"/>
      <c r="AA551" s="273"/>
      <c r="AB551" s="273"/>
      <c r="AC551" s="273"/>
      <c r="AD551" s="273"/>
      <c r="AE551" s="273"/>
    </row>
    <row r="552" spans="15:31">
      <c r="O552" s="273"/>
      <c r="P552" s="273"/>
      <c r="Q552" s="273"/>
      <c r="R552" s="273"/>
      <c r="S552" s="273"/>
      <c r="T552" s="273"/>
      <c r="U552" s="273"/>
      <c r="V552" s="273"/>
      <c r="W552" s="273"/>
      <c r="X552" s="273"/>
      <c r="Y552" s="273"/>
      <c r="Z552" s="273"/>
      <c r="AA552" s="273"/>
      <c r="AB552" s="273"/>
      <c r="AC552" s="273"/>
      <c r="AD552" s="273"/>
      <c r="AE552" s="273"/>
    </row>
    <row r="553" spans="15:31">
      <c r="O553" s="273"/>
      <c r="P553" s="273"/>
      <c r="Q553" s="273"/>
      <c r="R553" s="273"/>
      <c r="S553" s="273"/>
      <c r="T553" s="273"/>
      <c r="U553" s="273"/>
      <c r="V553" s="273"/>
      <c r="W553" s="273"/>
      <c r="X553" s="273"/>
      <c r="Y553" s="273"/>
      <c r="Z553" s="273"/>
      <c r="AA553" s="273"/>
      <c r="AB553" s="273"/>
      <c r="AC553" s="273"/>
      <c r="AD553" s="273"/>
      <c r="AE553" s="273"/>
    </row>
    <row r="554" spans="15:31">
      <c r="O554" s="273"/>
      <c r="P554" s="273"/>
      <c r="Q554" s="273"/>
      <c r="R554" s="273"/>
      <c r="S554" s="273"/>
      <c r="T554" s="273"/>
      <c r="U554" s="273"/>
      <c r="V554" s="273"/>
      <c r="W554" s="273"/>
      <c r="X554" s="273"/>
      <c r="Y554" s="273"/>
      <c r="Z554" s="273"/>
      <c r="AA554" s="273"/>
      <c r="AB554" s="273"/>
      <c r="AC554" s="273"/>
      <c r="AD554" s="273"/>
      <c r="AE554" s="273"/>
    </row>
    <row r="555" spans="15:31">
      <c r="O555" s="273"/>
      <c r="P555" s="273"/>
      <c r="Q555" s="273"/>
      <c r="R555" s="273"/>
      <c r="S555" s="273"/>
      <c r="T555" s="273"/>
      <c r="U555" s="273"/>
      <c r="V555" s="273"/>
      <c r="W555" s="273"/>
      <c r="X555" s="273"/>
      <c r="Y555" s="273"/>
      <c r="Z555" s="273"/>
      <c r="AA555" s="273"/>
      <c r="AB555" s="273"/>
      <c r="AC555" s="273"/>
      <c r="AD555" s="273"/>
      <c r="AE555" s="273"/>
    </row>
    <row r="556" spans="15:31">
      <c r="O556" s="273"/>
      <c r="P556" s="273"/>
      <c r="Q556" s="273"/>
      <c r="R556" s="273"/>
      <c r="S556" s="273"/>
      <c r="T556" s="273"/>
      <c r="U556" s="273"/>
      <c r="V556" s="273"/>
      <c r="W556" s="273"/>
      <c r="X556" s="273"/>
      <c r="Y556" s="273"/>
      <c r="Z556" s="273"/>
      <c r="AA556" s="273"/>
      <c r="AB556" s="273"/>
      <c r="AC556" s="273"/>
      <c r="AD556" s="273"/>
      <c r="AE556" s="273"/>
    </row>
    <row r="557" spans="15:31">
      <c r="O557" s="273"/>
      <c r="P557" s="273"/>
      <c r="Q557" s="273"/>
      <c r="R557" s="273"/>
      <c r="S557" s="273"/>
      <c r="T557" s="273"/>
      <c r="U557" s="273"/>
      <c r="V557" s="273"/>
      <c r="W557" s="273"/>
      <c r="X557" s="273"/>
      <c r="Y557" s="273"/>
      <c r="Z557" s="273"/>
      <c r="AA557" s="273"/>
      <c r="AB557" s="273"/>
      <c r="AC557" s="273"/>
      <c r="AD557" s="273"/>
      <c r="AE557" s="273"/>
    </row>
    <row r="558" spans="15:31">
      <c r="O558" s="273"/>
      <c r="P558" s="273"/>
      <c r="Q558" s="273"/>
      <c r="R558" s="273"/>
      <c r="S558" s="273"/>
      <c r="T558" s="273"/>
      <c r="U558" s="273"/>
      <c r="V558" s="273"/>
      <c r="W558" s="273"/>
      <c r="X558" s="273"/>
      <c r="Y558" s="273"/>
      <c r="Z558" s="273"/>
      <c r="AA558" s="273"/>
      <c r="AB558" s="273"/>
      <c r="AC558" s="273"/>
      <c r="AD558" s="273"/>
      <c r="AE558" s="273"/>
    </row>
    <row r="559" spans="15:31">
      <c r="O559" s="273"/>
      <c r="P559" s="273"/>
      <c r="Q559" s="273"/>
      <c r="R559" s="273"/>
      <c r="S559" s="273"/>
      <c r="T559" s="273"/>
      <c r="U559" s="273"/>
      <c r="V559" s="273"/>
      <c r="W559" s="273"/>
      <c r="X559" s="273"/>
      <c r="Y559" s="273"/>
      <c r="Z559" s="273"/>
      <c r="AA559" s="273"/>
      <c r="AB559" s="273"/>
      <c r="AC559" s="273"/>
      <c r="AD559" s="273"/>
      <c r="AE559" s="273"/>
    </row>
    <row r="560" spans="15:31">
      <c r="O560" s="273"/>
      <c r="P560" s="273"/>
      <c r="Q560" s="273"/>
      <c r="R560" s="273"/>
      <c r="S560" s="273"/>
      <c r="T560" s="273"/>
      <c r="U560" s="273"/>
      <c r="V560" s="273"/>
      <c r="W560" s="273"/>
      <c r="X560" s="273"/>
      <c r="Y560" s="273"/>
      <c r="Z560" s="273"/>
      <c r="AA560" s="273"/>
      <c r="AB560" s="273"/>
      <c r="AC560" s="273"/>
      <c r="AD560" s="273"/>
      <c r="AE560" s="273"/>
    </row>
    <row r="561" spans="15:31">
      <c r="O561" s="273"/>
      <c r="P561" s="273"/>
      <c r="Q561" s="273"/>
      <c r="R561" s="273"/>
      <c r="S561" s="273"/>
      <c r="T561" s="273"/>
      <c r="U561" s="273"/>
      <c r="V561" s="273"/>
      <c r="W561" s="273"/>
      <c r="X561" s="273"/>
      <c r="Y561" s="273"/>
      <c r="Z561" s="273"/>
      <c r="AA561" s="273"/>
      <c r="AB561" s="273"/>
      <c r="AC561" s="273"/>
      <c r="AD561" s="273"/>
      <c r="AE561" s="273"/>
    </row>
    <row r="562" spans="15:31">
      <c r="O562" s="273"/>
      <c r="P562" s="273"/>
      <c r="Q562" s="273"/>
      <c r="R562" s="273"/>
      <c r="S562" s="273"/>
      <c r="T562" s="273"/>
      <c r="U562" s="273"/>
      <c r="V562" s="273"/>
      <c r="W562" s="273"/>
      <c r="X562" s="273"/>
      <c r="Y562" s="273"/>
      <c r="Z562" s="273"/>
      <c r="AA562" s="273"/>
      <c r="AB562" s="273"/>
      <c r="AC562" s="273"/>
      <c r="AD562" s="273"/>
      <c r="AE562" s="273"/>
    </row>
    <row r="563" spans="15:31">
      <c r="O563" s="273"/>
      <c r="P563" s="273"/>
      <c r="Q563" s="273"/>
      <c r="R563" s="273"/>
      <c r="S563" s="273"/>
      <c r="T563" s="273"/>
      <c r="U563" s="273"/>
      <c r="V563" s="273"/>
      <c r="W563" s="273"/>
      <c r="X563" s="273"/>
      <c r="Y563" s="273"/>
      <c r="Z563" s="273"/>
      <c r="AA563" s="273"/>
      <c r="AB563" s="273"/>
      <c r="AC563" s="273"/>
      <c r="AD563" s="273"/>
      <c r="AE563" s="273"/>
    </row>
    <row r="564" spans="15:31">
      <c r="O564" s="273"/>
      <c r="P564" s="273"/>
      <c r="Q564" s="273"/>
      <c r="R564" s="273"/>
      <c r="S564" s="273"/>
      <c r="T564" s="273"/>
      <c r="U564" s="273"/>
      <c r="V564" s="273"/>
      <c r="W564" s="273"/>
      <c r="X564" s="273"/>
      <c r="Y564" s="273"/>
      <c r="Z564" s="273"/>
      <c r="AA564" s="273"/>
      <c r="AB564" s="273"/>
      <c r="AC564" s="273"/>
      <c r="AD564" s="273"/>
      <c r="AE564" s="273"/>
    </row>
    <row r="565" spans="15:31">
      <c r="O565" s="273"/>
      <c r="P565" s="273"/>
      <c r="Q565" s="273"/>
      <c r="R565" s="273"/>
      <c r="S565" s="273"/>
      <c r="T565" s="273"/>
      <c r="U565" s="273"/>
      <c r="V565" s="273"/>
      <c r="W565" s="273"/>
      <c r="X565" s="273"/>
      <c r="Y565" s="273"/>
      <c r="Z565" s="273"/>
      <c r="AA565" s="273"/>
      <c r="AB565" s="273"/>
      <c r="AC565" s="273"/>
      <c r="AD565" s="273"/>
      <c r="AE565" s="273"/>
    </row>
    <row r="566" spans="15:31">
      <c r="O566" s="273"/>
      <c r="P566" s="273"/>
      <c r="Q566" s="273"/>
      <c r="R566" s="273"/>
      <c r="S566" s="273"/>
      <c r="T566" s="273"/>
      <c r="U566" s="273"/>
      <c r="V566" s="273"/>
      <c r="W566" s="273"/>
      <c r="X566" s="273"/>
      <c r="Y566" s="273"/>
      <c r="Z566" s="273"/>
      <c r="AA566" s="273"/>
      <c r="AB566" s="273"/>
      <c r="AC566" s="273"/>
      <c r="AD566" s="273"/>
      <c r="AE566" s="273"/>
    </row>
    <row r="567" spans="15:31">
      <c r="O567" s="273"/>
      <c r="P567" s="273"/>
      <c r="Q567" s="273"/>
      <c r="R567" s="273"/>
      <c r="S567" s="273"/>
      <c r="T567" s="273"/>
      <c r="U567" s="273"/>
      <c r="V567" s="273"/>
      <c r="W567" s="273"/>
      <c r="X567" s="273"/>
      <c r="Y567" s="273"/>
      <c r="Z567" s="273"/>
      <c r="AA567" s="273"/>
      <c r="AB567" s="273"/>
      <c r="AC567" s="273"/>
      <c r="AD567" s="273"/>
      <c r="AE567" s="273"/>
    </row>
    <row r="568" spans="15:31">
      <c r="O568" s="273"/>
      <c r="P568" s="273"/>
      <c r="Q568" s="273"/>
      <c r="R568" s="273"/>
      <c r="S568" s="273"/>
      <c r="T568" s="273"/>
      <c r="U568" s="273"/>
      <c r="V568" s="273"/>
      <c r="W568" s="273"/>
      <c r="X568" s="273"/>
      <c r="Y568" s="273"/>
      <c r="Z568" s="273"/>
      <c r="AA568" s="273"/>
      <c r="AB568" s="273"/>
      <c r="AC568" s="273"/>
      <c r="AD568" s="273"/>
      <c r="AE568" s="273"/>
    </row>
    <row r="569" spans="15:31">
      <c r="O569" s="273"/>
      <c r="P569" s="273"/>
      <c r="Q569" s="273"/>
      <c r="R569" s="273"/>
      <c r="S569" s="273"/>
      <c r="T569" s="273"/>
      <c r="U569" s="273"/>
      <c r="V569" s="273"/>
      <c r="W569" s="273"/>
      <c r="X569" s="273"/>
      <c r="Y569" s="273"/>
      <c r="Z569" s="273"/>
      <c r="AA569" s="273"/>
      <c r="AB569" s="273"/>
      <c r="AC569" s="273"/>
      <c r="AD569" s="273"/>
      <c r="AE569" s="273"/>
    </row>
    <row r="570" spans="15:31">
      <c r="O570" s="273"/>
      <c r="P570" s="273"/>
      <c r="Q570" s="273"/>
      <c r="R570" s="273"/>
      <c r="S570" s="273"/>
      <c r="T570" s="273"/>
      <c r="U570" s="273"/>
      <c r="V570" s="273"/>
      <c r="W570" s="273"/>
      <c r="X570" s="273"/>
      <c r="Y570" s="273"/>
      <c r="Z570" s="273"/>
      <c r="AA570" s="273"/>
      <c r="AB570" s="273"/>
      <c r="AC570" s="273"/>
      <c r="AD570" s="273"/>
      <c r="AE570" s="273"/>
    </row>
    <row r="571" spans="15:31">
      <c r="O571" s="273"/>
      <c r="P571" s="273"/>
      <c r="Q571" s="273"/>
      <c r="R571" s="273"/>
      <c r="S571" s="273"/>
      <c r="T571" s="273"/>
      <c r="U571" s="273"/>
      <c r="V571" s="273"/>
      <c r="W571" s="273"/>
      <c r="X571" s="273"/>
      <c r="Y571" s="273"/>
      <c r="Z571" s="273"/>
      <c r="AA571" s="273"/>
      <c r="AB571" s="273"/>
      <c r="AC571" s="273"/>
      <c r="AD571" s="273"/>
      <c r="AE571" s="273"/>
    </row>
    <row r="572" spans="15:31">
      <c r="O572" s="273"/>
      <c r="P572" s="273"/>
      <c r="Q572" s="273"/>
      <c r="R572" s="273"/>
      <c r="S572" s="273"/>
      <c r="T572" s="273"/>
      <c r="U572" s="273"/>
      <c r="V572" s="273"/>
      <c r="W572" s="273"/>
      <c r="X572" s="273"/>
      <c r="Y572" s="273"/>
      <c r="Z572" s="273"/>
      <c r="AA572" s="273"/>
      <c r="AB572" s="273"/>
      <c r="AC572" s="273"/>
      <c r="AD572" s="273"/>
      <c r="AE572" s="273"/>
    </row>
    <row r="573" spans="15:31">
      <c r="O573" s="273"/>
      <c r="P573" s="273"/>
      <c r="Q573" s="273"/>
      <c r="R573" s="273"/>
      <c r="S573" s="273"/>
      <c r="T573" s="273"/>
      <c r="U573" s="273"/>
      <c r="V573" s="273"/>
      <c r="W573" s="273"/>
      <c r="X573" s="273"/>
      <c r="Y573" s="273"/>
      <c r="Z573" s="273"/>
      <c r="AA573" s="273"/>
      <c r="AB573" s="273"/>
      <c r="AC573" s="273"/>
      <c r="AD573" s="273"/>
      <c r="AE573" s="273"/>
    </row>
    <row r="574" spans="15:31">
      <c r="O574" s="273"/>
      <c r="P574" s="273"/>
      <c r="Q574" s="273"/>
      <c r="R574" s="273"/>
      <c r="S574" s="273"/>
      <c r="T574" s="273"/>
      <c r="U574" s="273"/>
      <c r="V574" s="273"/>
      <c r="W574" s="273"/>
      <c r="X574" s="273"/>
      <c r="Y574" s="273"/>
      <c r="Z574" s="273"/>
      <c r="AA574" s="273"/>
      <c r="AB574" s="273"/>
      <c r="AC574" s="273"/>
      <c r="AD574" s="273"/>
      <c r="AE574" s="273"/>
    </row>
    <row r="575" spans="15:31">
      <c r="O575" s="273"/>
      <c r="P575" s="273"/>
      <c r="Q575" s="273"/>
      <c r="R575" s="273"/>
      <c r="S575" s="273"/>
      <c r="T575" s="273"/>
      <c r="U575" s="273"/>
      <c r="V575" s="273"/>
      <c r="W575" s="273"/>
      <c r="X575" s="273"/>
      <c r="Y575" s="273"/>
      <c r="Z575" s="273"/>
      <c r="AA575" s="273"/>
      <c r="AB575" s="273"/>
      <c r="AC575" s="273"/>
      <c r="AD575" s="273"/>
      <c r="AE575" s="273"/>
    </row>
    <row r="576" spans="15:31">
      <c r="O576" s="273"/>
      <c r="P576" s="273"/>
      <c r="Q576" s="273"/>
      <c r="R576" s="273"/>
      <c r="S576" s="273"/>
      <c r="T576" s="273"/>
      <c r="U576" s="273"/>
      <c r="V576" s="273"/>
      <c r="W576" s="273"/>
      <c r="X576" s="273"/>
      <c r="Y576" s="273"/>
      <c r="Z576" s="273"/>
      <c r="AA576" s="273"/>
      <c r="AB576" s="273"/>
      <c r="AC576" s="273"/>
      <c r="AD576" s="273"/>
      <c r="AE576" s="273"/>
    </row>
    <row r="577" spans="15:31">
      <c r="O577" s="273"/>
      <c r="P577" s="273"/>
      <c r="Q577" s="273"/>
      <c r="R577" s="273"/>
      <c r="S577" s="273"/>
      <c r="T577" s="273"/>
      <c r="U577" s="273"/>
      <c r="V577" s="273"/>
      <c r="W577" s="273"/>
      <c r="X577" s="273"/>
      <c r="Y577" s="273"/>
      <c r="Z577" s="273"/>
      <c r="AA577" s="273"/>
      <c r="AB577" s="273"/>
      <c r="AC577" s="273"/>
      <c r="AD577" s="273"/>
      <c r="AE577" s="273"/>
    </row>
    <row r="578" spans="15:31">
      <c r="O578" s="273"/>
      <c r="P578" s="273"/>
      <c r="Q578" s="273"/>
      <c r="R578" s="273"/>
      <c r="S578" s="273"/>
      <c r="T578" s="273"/>
      <c r="U578" s="273"/>
      <c r="V578" s="273"/>
      <c r="W578" s="273"/>
      <c r="X578" s="273"/>
      <c r="Y578" s="273"/>
      <c r="Z578" s="273"/>
      <c r="AA578" s="273"/>
      <c r="AB578" s="273"/>
      <c r="AC578" s="273"/>
      <c r="AD578" s="273"/>
      <c r="AE578" s="273"/>
    </row>
    <row r="579" spans="15:31">
      <c r="O579" s="273"/>
      <c r="P579" s="273"/>
      <c r="Q579" s="273"/>
      <c r="R579" s="273"/>
      <c r="S579" s="273"/>
      <c r="T579" s="273"/>
      <c r="U579" s="273"/>
      <c r="V579" s="273"/>
      <c r="W579" s="273"/>
      <c r="X579" s="273"/>
      <c r="Y579" s="273"/>
      <c r="Z579" s="273"/>
      <c r="AA579" s="273"/>
      <c r="AB579" s="273"/>
      <c r="AC579" s="273"/>
      <c r="AD579" s="273"/>
      <c r="AE579" s="273"/>
    </row>
    <row r="580" spans="15:31">
      <c r="O580" s="273"/>
      <c r="P580" s="273"/>
      <c r="Q580" s="273"/>
      <c r="R580" s="273"/>
      <c r="S580" s="273"/>
      <c r="T580" s="273"/>
      <c r="U580" s="273"/>
      <c r="V580" s="273"/>
      <c r="W580" s="273"/>
      <c r="X580" s="273"/>
      <c r="Y580" s="273"/>
      <c r="Z580" s="273"/>
      <c r="AA580" s="273"/>
      <c r="AB580" s="273"/>
      <c r="AC580" s="273"/>
      <c r="AD580" s="273"/>
      <c r="AE580" s="273"/>
    </row>
    <row r="581" spans="15:31">
      <c r="O581" s="273"/>
      <c r="P581" s="273"/>
      <c r="Q581" s="273"/>
      <c r="R581" s="273"/>
      <c r="S581" s="273"/>
      <c r="T581" s="273"/>
      <c r="U581" s="273"/>
      <c r="V581" s="273"/>
      <c r="W581" s="273"/>
      <c r="X581" s="273"/>
      <c r="Y581" s="273"/>
      <c r="Z581" s="273"/>
      <c r="AA581" s="273"/>
      <c r="AB581" s="273"/>
      <c r="AC581" s="273"/>
      <c r="AD581" s="273"/>
      <c r="AE581" s="273"/>
    </row>
    <row r="582" spans="15:31">
      <c r="O582" s="273"/>
      <c r="P582" s="273"/>
      <c r="Q582" s="273"/>
      <c r="R582" s="273"/>
      <c r="S582" s="273"/>
      <c r="T582" s="273"/>
      <c r="U582" s="273"/>
      <c r="V582" s="273"/>
      <c r="W582" s="273"/>
      <c r="X582" s="273"/>
      <c r="Y582" s="273"/>
      <c r="Z582" s="273"/>
      <c r="AA582" s="273"/>
      <c r="AB582" s="273"/>
      <c r="AC582" s="273"/>
      <c r="AD582" s="273"/>
      <c r="AE582" s="273"/>
    </row>
    <row r="583" spans="15:31">
      <c r="O583" s="273"/>
      <c r="P583" s="273"/>
      <c r="Q583" s="273"/>
      <c r="R583" s="273"/>
      <c r="S583" s="273"/>
      <c r="T583" s="273"/>
      <c r="U583" s="273"/>
      <c r="V583" s="273"/>
      <c r="W583" s="273"/>
      <c r="X583" s="273"/>
      <c r="Y583" s="273"/>
      <c r="Z583" s="273"/>
      <c r="AA583" s="273"/>
      <c r="AB583" s="273"/>
      <c r="AC583" s="273"/>
      <c r="AD583" s="273"/>
      <c r="AE583" s="273"/>
    </row>
    <row r="584" spans="15:31">
      <c r="O584" s="273"/>
      <c r="P584" s="273"/>
      <c r="Q584" s="273"/>
      <c r="R584" s="273"/>
      <c r="S584" s="273"/>
      <c r="T584" s="273"/>
      <c r="U584" s="273"/>
      <c r="V584" s="273"/>
      <c r="W584" s="273"/>
      <c r="X584" s="273"/>
      <c r="Y584" s="273"/>
      <c r="Z584" s="273"/>
      <c r="AA584" s="273"/>
      <c r="AB584" s="273"/>
      <c r="AC584" s="273"/>
      <c r="AD584" s="273"/>
      <c r="AE584" s="273"/>
    </row>
    <row r="585" spans="15:31">
      <c r="O585" s="273"/>
      <c r="P585" s="273"/>
      <c r="Q585" s="273"/>
      <c r="R585" s="273"/>
      <c r="S585" s="273"/>
      <c r="T585" s="273"/>
      <c r="U585" s="273"/>
      <c r="V585" s="273"/>
      <c r="W585" s="273"/>
      <c r="X585" s="273"/>
      <c r="Y585" s="273"/>
      <c r="Z585" s="273"/>
      <c r="AA585" s="273"/>
      <c r="AB585" s="273"/>
      <c r="AC585" s="273"/>
      <c r="AD585" s="273"/>
      <c r="AE585" s="273"/>
    </row>
    <row r="586" spans="15:31">
      <c r="O586" s="273"/>
      <c r="P586" s="273"/>
      <c r="Q586" s="273"/>
      <c r="R586" s="273"/>
      <c r="S586" s="273"/>
      <c r="T586" s="273"/>
      <c r="U586" s="273"/>
      <c r="V586" s="273"/>
      <c r="W586" s="273"/>
      <c r="X586" s="273"/>
      <c r="Y586" s="273"/>
      <c r="Z586" s="273"/>
      <c r="AA586" s="273"/>
      <c r="AB586" s="273"/>
      <c r="AC586" s="273"/>
      <c r="AD586" s="273"/>
      <c r="AE586" s="273"/>
    </row>
    <row r="587" spans="15:31">
      <c r="O587" s="273"/>
      <c r="P587" s="273"/>
      <c r="Q587" s="273"/>
      <c r="R587" s="273"/>
      <c r="S587" s="273"/>
      <c r="T587" s="273"/>
      <c r="U587" s="273"/>
      <c r="V587" s="273"/>
      <c r="W587" s="273"/>
      <c r="X587" s="273"/>
      <c r="Y587" s="273"/>
      <c r="Z587" s="273"/>
      <c r="AA587" s="273"/>
      <c r="AB587" s="273"/>
      <c r="AC587" s="273"/>
      <c r="AD587" s="273"/>
      <c r="AE587" s="273"/>
    </row>
    <row r="588" spans="15:31">
      <c r="O588" s="273"/>
      <c r="P588" s="273"/>
      <c r="Q588" s="273"/>
      <c r="R588" s="273"/>
      <c r="S588" s="273"/>
      <c r="T588" s="273"/>
      <c r="U588" s="273"/>
      <c r="V588" s="273"/>
      <c r="W588" s="273"/>
      <c r="X588" s="273"/>
      <c r="Y588" s="273"/>
      <c r="Z588" s="273"/>
      <c r="AA588" s="273"/>
      <c r="AB588" s="273"/>
      <c r="AC588" s="273"/>
      <c r="AD588" s="273"/>
      <c r="AE588" s="273"/>
    </row>
    <row r="589" spans="15:31">
      <c r="O589" s="273"/>
      <c r="P589" s="273"/>
      <c r="Q589" s="273"/>
      <c r="R589" s="273"/>
      <c r="S589" s="273"/>
      <c r="T589" s="273"/>
      <c r="U589" s="273"/>
      <c r="V589" s="273"/>
      <c r="W589" s="273"/>
      <c r="X589" s="273"/>
      <c r="Y589" s="273"/>
      <c r="Z589" s="273"/>
      <c r="AA589" s="273"/>
      <c r="AB589" s="273"/>
      <c r="AC589" s="273"/>
      <c r="AD589" s="273"/>
      <c r="AE589" s="273"/>
    </row>
    <row r="590" spans="15:31">
      <c r="O590" s="273"/>
      <c r="P590" s="273"/>
      <c r="Q590" s="273"/>
      <c r="R590" s="273"/>
      <c r="S590" s="273"/>
      <c r="T590" s="273"/>
      <c r="U590" s="273"/>
      <c r="V590" s="273"/>
      <c r="W590" s="273"/>
      <c r="X590" s="273"/>
      <c r="Y590" s="273"/>
      <c r="Z590" s="273"/>
      <c r="AA590" s="273"/>
      <c r="AB590" s="273"/>
      <c r="AC590" s="273"/>
      <c r="AD590" s="273"/>
      <c r="AE590" s="273"/>
    </row>
    <row r="591" spans="15:31">
      <c r="O591" s="273"/>
      <c r="P591" s="273"/>
      <c r="Q591" s="273"/>
      <c r="R591" s="273"/>
      <c r="S591" s="273"/>
      <c r="T591" s="273"/>
      <c r="U591" s="273"/>
      <c r="V591" s="273"/>
      <c r="W591" s="273"/>
      <c r="X591" s="273"/>
      <c r="Y591" s="273"/>
      <c r="Z591" s="273"/>
      <c r="AA591" s="273"/>
      <c r="AB591" s="273"/>
      <c r="AC591" s="273"/>
      <c r="AD591" s="273"/>
      <c r="AE591" s="273"/>
    </row>
    <row r="592" spans="15:31">
      <c r="O592" s="273"/>
      <c r="P592" s="273"/>
      <c r="Q592" s="273"/>
      <c r="R592" s="273"/>
      <c r="S592" s="273"/>
      <c r="T592" s="273"/>
      <c r="U592" s="273"/>
      <c r="V592" s="273"/>
      <c r="W592" s="273"/>
      <c r="X592" s="273"/>
      <c r="Y592" s="273"/>
      <c r="Z592" s="273"/>
      <c r="AA592" s="273"/>
      <c r="AB592" s="273"/>
      <c r="AC592" s="273"/>
      <c r="AD592" s="273"/>
      <c r="AE592" s="273"/>
    </row>
    <row r="593" spans="15:31">
      <c r="O593" s="273"/>
      <c r="P593" s="273"/>
      <c r="Q593" s="273"/>
      <c r="R593" s="273"/>
      <c r="S593" s="273"/>
      <c r="T593" s="273"/>
      <c r="U593" s="273"/>
      <c r="V593" s="273"/>
      <c r="W593" s="273"/>
      <c r="X593" s="273"/>
      <c r="Y593" s="273"/>
      <c r="Z593" s="273"/>
      <c r="AA593" s="273"/>
      <c r="AB593" s="273"/>
      <c r="AC593" s="273"/>
      <c r="AD593" s="273"/>
      <c r="AE593" s="273"/>
    </row>
    <row r="594" spans="15:31">
      <c r="O594" s="273"/>
      <c r="P594" s="273"/>
      <c r="Q594" s="273"/>
      <c r="R594" s="273"/>
      <c r="S594" s="273"/>
      <c r="T594" s="273"/>
      <c r="U594" s="273"/>
      <c r="V594" s="273"/>
      <c r="W594" s="273"/>
      <c r="X594" s="273"/>
      <c r="Y594" s="273"/>
      <c r="Z594" s="273"/>
      <c r="AA594" s="273"/>
      <c r="AB594" s="273"/>
      <c r="AC594" s="273"/>
      <c r="AD594" s="273"/>
      <c r="AE594" s="273"/>
    </row>
    <row r="595" spans="15:31">
      <c r="O595" s="273"/>
      <c r="P595" s="273"/>
      <c r="Q595" s="273"/>
      <c r="R595" s="273"/>
      <c r="S595" s="273"/>
      <c r="T595" s="273"/>
      <c r="U595" s="273"/>
      <c r="V595" s="273"/>
      <c r="W595" s="273"/>
      <c r="X595" s="273"/>
      <c r="Y595" s="273"/>
      <c r="Z595" s="273"/>
      <c r="AA595" s="273"/>
      <c r="AB595" s="273"/>
      <c r="AC595" s="273"/>
      <c r="AD595" s="273"/>
      <c r="AE595" s="273"/>
    </row>
    <row r="596" spans="15:31">
      <c r="O596" s="273"/>
      <c r="P596" s="273"/>
      <c r="Q596" s="273"/>
      <c r="R596" s="273"/>
      <c r="S596" s="273"/>
      <c r="T596" s="273"/>
      <c r="U596" s="273"/>
      <c r="V596" s="273"/>
      <c r="W596" s="273"/>
      <c r="X596" s="273"/>
      <c r="Y596" s="273"/>
      <c r="Z596" s="273"/>
      <c r="AA596" s="273"/>
      <c r="AB596" s="273"/>
      <c r="AC596" s="273"/>
      <c r="AD596" s="273"/>
      <c r="AE596" s="273"/>
    </row>
    <row r="597" spans="15:31">
      <c r="O597" s="273"/>
      <c r="P597" s="273"/>
      <c r="Q597" s="273"/>
      <c r="R597" s="273"/>
      <c r="S597" s="273"/>
      <c r="T597" s="273"/>
      <c r="U597" s="273"/>
      <c r="V597" s="273"/>
      <c r="W597" s="273"/>
      <c r="X597" s="273"/>
      <c r="Y597" s="273"/>
      <c r="Z597" s="273"/>
      <c r="AA597" s="273"/>
      <c r="AB597" s="273"/>
      <c r="AC597" s="273"/>
      <c r="AD597" s="273"/>
      <c r="AE597" s="273"/>
    </row>
    <row r="598" spans="15:31">
      <c r="O598" s="273"/>
      <c r="P598" s="273"/>
      <c r="Q598" s="273"/>
      <c r="R598" s="273"/>
      <c r="S598" s="273"/>
      <c r="T598" s="273"/>
      <c r="U598" s="273"/>
      <c r="V598" s="273"/>
      <c r="W598" s="273"/>
      <c r="X598" s="273"/>
      <c r="Y598" s="273"/>
      <c r="Z598" s="273"/>
      <c r="AA598" s="273"/>
      <c r="AB598" s="273"/>
      <c r="AC598" s="273"/>
      <c r="AD598" s="273"/>
      <c r="AE598" s="273"/>
    </row>
    <row r="599" spans="15:31">
      <c r="O599" s="273"/>
      <c r="P599" s="273"/>
      <c r="Q599" s="273"/>
      <c r="R599" s="273"/>
      <c r="S599" s="273"/>
      <c r="T599" s="273"/>
      <c r="U599" s="273"/>
      <c r="V599" s="273"/>
      <c r="W599" s="273"/>
      <c r="X599" s="273"/>
      <c r="Y599" s="273"/>
      <c r="Z599" s="273"/>
      <c r="AA599" s="273"/>
      <c r="AB599" s="273"/>
      <c r="AC599" s="273"/>
      <c r="AD599" s="273"/>
      <c r="AE599" s="273"/>
    </row>
    <row r="600" spans="15:31">
      <c r="O600" s="273"/>
      <c r="P600" s="273"/>
      <c r="Q600" s="273"/>
      <c r="R600" s="273"/>
      <c r="S600" s="273"/>
      <c r="T600" s="273"/>
      <c r="U600" s="273"/>
      <c r="V600" s="273"/>
      <c r="W600" s="273"/>
      <c r="X600" s="273"/>
      <c r="Y600" s="273"/>
      <c r="Z600" s="273"/>
      <c r="AA600" s="273"/>
      <c r="AB600" s="273"/>
      <c r="AC600" s="273"/>
      <c r="AD600" s="273"/>
      <c r="AE600" s="273"/>
    </row>
    <row r="601" spans="15:31">
      <c r="O601" s="273"/>
      <c r="P601" s="273"/>
      <c r="Q601" s="273"/>
      <c r="R601" s="273"/>
      <c r="S601" s="273"/>
      <c r="T601" s="273"/>
      <c r="U601" s="273"/>
      <c r="V601" s="273"/>
      <c r="W601" s="273"/>
      <c r="X601" s="273"/>
      <c r="Y601" s="273"/>
      <c r="Z601" s="273"/>
      <c r="AA601" s="273"/>
      <c r="AB601" s="273"/>
      <c r="AC601" s="273"/>
      <c r="AD601" s="273"/>
      <c r="AE601" s="273"/>
    </row>
    <row r="602" spans="15:31">
      <c r="O602" s="273"/>
      <c r="P602" s="273"/>
      <c r="Q602" s="273"/>
      <c r="R602" s="273"/>
      <c r="S602" s="273"/>
      <c r="T602" s="273"/>
      <c r="U602" s="273"/>
      <c r="V602" s="273"/>
      <c r="W602" s="273"/>
      <c r="X602" s="273"/>
      <c r="Y602" s="273"/>
      <c r="Z602" s="273"/>
      <c r="AA602" s="273"/>
      <c r="AB602" s="273"/>
      <c r="AC602" s="273"/>
      <c r="AD602" s="273"/>
      <c r="AE602" s="273"/>
    </row>
    <row r="603" spans="15:31">
      <c r="O603" s="273"/>
      <c r="P603" s="273"/>
      <c r="Q603" s="273"/>
      <c r="R603" s="273"/>
      <c r="S603" s="273"/>
      <c r="T603" s="273"/>
      <c r="U603" s="273"/>
      <c r="V603" s="273"/>
      <c r="W603" s="273"/>
      <c r="X603" s="273"/>
      <c r="Y603" s="273"/>
      <c r="Z603" s="273"/>
      <c r="AA603" s="273"/>
      <c r="AB603" s="273"/>
      <c r="AC603" s="273"/>
      <c r="AD603" s="273"/>
      <c r="AE603" s="273"/>
    </row>
    <row r="604" spans="15:31">
      <c r="O604" s="273"/>
      <c r="P604" s="273"/>
      <c r="Q604" s="273"/>
      <c r="R604" s="273"/>
      <c r="S604" s="273"/>
      <c r="T604" s="273"/>
      <c r="U604" s="273"/>
      <c r="V604" s="273"/>
      <c r="W604" s="273"/>
      <c r="X604" s="273"/>
      <c r="Y604" s="273"/>
      <c r="Z604" s="273"/>
      <c r="AA604" s="273"/>
      <c r="AB604" s="273"/>
      <c r="AC604" s="273"/>
      <c r="AD604" s="273"/>
      <c r="AE604" s="273"/>
    </row>
    <row r="605" spans="15:31">
      <c r="O605" s="273"/>
      <c r="P605" s="273"/>
      <c r="Q605" s="273"/>
      <c r="R605" s="273"/>
      <c r="S605" s="273"/>
      <c r="T605" s="273"/>
      <c r="U605" s="273"/>
      <c r="V605" s="273"/>
      <c r="W605" s="273"/>
      <c r="X605" s="273"/>
      <c r="Y605" s="273"/>
      <c r="Z605" s="273"/>
      <c r="AA605" s="273"/>
      <c r="AB605" s="273"/>
      <c r="AC605" s="273"/>
      <c r="AD605" s="273"/>
      <c r="AE605" s="273"/>
    </row>
    <row r="606" spans="15:31">
      <c r="O606" s="273"/>
      <c r="P606" s="273"/>
      <c r="Q606" s="273"/>
      <c r="R606" s="273"/>
      <c r="S606" s="273"/>
      <c r="T606" s="273"/>
      <c r="U606" s="273"/>
      <c r="V606" s="273"/>
      <c r="W606" s="273"/>
      <c r="X606" s="273"/>
      <c r="Y606" s="273"/>
      <c r="Z606" s="273"/>
      <c r="AA606" s="273"/>
      <c r="AB606" s="273"/>
      <c r="AC606" s="273"/>
      <c r="AD606" s="273"/>
      <c r="AE606" s="273"/>
    </row>
    <row r="607" spans="15:31">
      <c r="O607" s="273"/>
      <c r="P607" s="273"/>
      <c r="Q607" s="273"/>
      <c r="R607" s="273"/>
      <c r="S607" s="273"/>
      <c r="T607" s="273"/>
      <c r="U607" s="273"/>
      <c r="V607" s="273"/>
      <c r="W607" s="273"/>
      <c r="X607" s="273"/>
      <c r="Y607" s="273"/>
      <c r="Z607" s="273"/>
      <c r="AA607" s="273"/>
      <c r="AB607" s="273"/>
      <c r="AC607" s="273"/>
      <c r="AD607" s="273"/>
      <c r="AE607" s="273"/>
    </row>
    <row r="608" spans="15:31">
      <c r="O608" s="273"/>
      <c r="P608" s="273"/>
      <c r="Q608" s="273"/>
      <c r="R608" s="273"/>
      <c r="S608" s="273"/>
      <c r="T608" s="273"/>
      <c r="U608" s="273"/>
      <c r="V608" s="273"/>
      <c r="W608" s="273"/>
      <c r="X608" s="273"/>
      <c r="Y608" s="273"/>
      <c r="Z608" s="273"/>
      <c r="AA608" s="273"/>
      <c r="AB608" s="273"/>
      <c r="AC608" s="273"/>
      <c r="AD608" s="273"/>
      <c r="AE608" s="273"/>
    </row>
    <row r="609" spans="15:31">
      <c r="O609" s="273"/>
      <c r="P609" s="273"/>
      <c r="Q609" s="273"/>
      <c r="R609" s="273"/>
      <c r="S609" s="273"/>
      <c r="T609" s="273"/>
      <c r="U609" s="273"/>
      <c r="V609" s="273"/>
      <c r="W609" s="273"/>
      <c r="X609" s="273"/>
      <c r="Y609" s="273"/>
      <c r="Z609" s="273"/>
      <c r="AA609" s="273"/>
      <c r="AB609" s="273"/>
      <c r="AC609" s="273"/>
      <c r="AD609" s="273"/>
      <c r="AE609" s="273"/>
    </row>
    <row r="610" spans="15:31">
      <c r="O610" s="273"/>
      <c r="P610" s="273"/>
      <c r="Q610" s="273"/>
      <c r="R610" s="273"/>
      <c r="S610" s="273"/>
      <c r="T610" s="273"/>
      <c r="U610" s="273"/>
      <c r="V610" s="273"/>
      <c r="W610" s="273"/>
      <c r="X610" s="273"/>
      <c r="Y610" s="273"/>
      <c r="Z610" s="273"/>
      <c r="AA610" s="273"/>
      <c r="AB610" s="273"/>
      <c r="AC610" s="273"/>
      <c r="AD610" s="273"/>
      <c r="AE610" s="273"/>
    </row>
    <row r="611" spans="15:31">
      <c r="O611" s="273"/>
      <c r="P611" s="273"/>
      <c r="Q611" s="273"/>
      <c r="R611" s="273"/>
      <c r="S611" s="273"/>
      <c r="T611" s="273"/>
      <c r="U611" s="273"/>
      <c r="V611" s="273"/>
      <c r="W611" s="273"/>
      <c r="X611" s="273"/>
      <c r="Y611" s="273"/>
      <c r="Z611" s="273"/>
      <c r="AA611" s="273"/>
      <c r="AB611" s="273"/>
      <c r="AC611" s="273"/>
      <c r="AD611" s="273"/>
      <c r="AE611" s="273"/>
    </row>
    <row r="612" spans="15:31">
      <c r="O612" s="273"/>
      <c r="P612" s="273"/>
      <c r="Q612" s="273"/>
      <c r="R612" s="273"/>
      <c r="S612" s="273"/>
      <c r="T612" s="273"/>
      <c r="U612" s="273"/>
      <c r="V612" s="273"/>
      <c r="W612" s="273"/>
      <c r="X612" s="273"/>
      <c r="Y612" s="273"/>
      <c r="Z612" s="273"/>
      <c r="AA612" s="273"/>
      <c r="AB612" s="273"/>
      <c r="AC612" s="273"/>
      <c r="AD612" s="273"/>
      <c r="AE612" s="273"/>
    </row>
    <row r="613" spans="15:31">
      <c r="O613" s="273"/>
      <c r="P613" s="273"/>
      <c r="Q613" s="273"/>
      <c r="R613" s="273"/>
      <c r="S613" s="273"/>
      <c r="T613" s="273"/>
      <c r="U613" s="273"/>
      <c r="V613" s="273"/>
      <c r="W613" s="273"/>
      <c r="X613" s="273"/>
      <c r="Y613" s="273"/>
      <c r="Z613" s="273"/>
      <c r="AA613" s="273"/>
      <c r="AB613" s="273"/>
      <c r="AC613" s="273"/>
      <c r="AD613" s="273"/>
      <c r="AE613" s="273"/>
    </row>
    <row r="614" spans="15:31">
      <c r="O614" s="273"/>
      <c r="P614" s="273"/>
      <c r="Q614" s="273"/>
      <c r="R614" s="273"/>
      <c r="S614" s="273"/>
      <c r="T614" s="273"/>
      <c r="U614" s="273"/>
      <c r="V614" s="273"/>
      <c r="W614" s="273"/>
      <c r="X614" s="273"/>
      <c r="Y614" s="273"/>
      <c r="Z614" s="273"/>
      <c r="AA614" s="273"/>
      <c r="AB614" s="273"/>
      <c r="AC614" s="273"/>
      <c r="AD614" s="273"/>
      <c r="AE614" s="273"/>
    </row>
    <row r="615" spans="15:31">
      <c r="O615" s="273"/>
      <c r="P615" s="273"/>
      <c r="Q615" s="273"/>
      <c r="R615" s="273"/>
      <c r="S615" s="273"/>
      <c r="T615" s="273"/>
      <c r="U615" s="273"/>
      <c r="V615" s="273"/>
      <c r="W615" s="273"/>
      <c r="X615" s="273"/>
      <c r="Y615" s="273"/>
      <c r="Z615" s="273"/>
      <c r="AA615" s="273"/>
      <c r="AB615" s="273"/>
      <c r="AC615" s="273"/>
      <c r="AD615" s="273"/>
      <c r="AE615" s="273"/>
    </row>
    <row r="616" spans="15:31">
      <c r="O616" s="273"/>
      <c r="P616" s="273"/>
      <c r="Q616" s="273"/>
      <c r="R616" s="273"/>
      <c r="S616" s="273"/>
      <c r="T616" s="273"/>
      <c r="U616" s="273"/>
      <c r="V616" s="273"/>
      <c r="W616" s="273"/>
      <c r="X616" s="273"/>
      <c r="Y616" s="273"/>
      <c r="Z616" s="273"/>
      <c r="AA616" s="273"/>
      <c r="AB616" s="273"/>
      <c r="AC616" s="273"/>
      <c r="AD616" s="273"/>
      <c r="AE616" s="273"/>
    </row>
    <row r="617" spans="15:31">
      <c r="O617" s="273"/>
      <c r="P617" s="273"/>
      <c r="Q617" s="273"/>
      <c r="R617" s="273"/>
      <c r="S617" s="273"/>
      <c r="T617" s="273"/>
      <c r="U617" s="273"/>
      <c r="V617" s="273"/>
      <c r="W617" s="273"/>
      <c r="X617" s="273"/>
      <c r="Y617" s="273"/>
      <c r="Z617" s="273"/>
      <c r="AA617" s="273"/>
      <c r="AB617" s="273"/>
      <c r="AC617" s="273"/>
      <c r="AD617" s="273"/>
      <c r="AE617" s="273"/>
    </row>
    <row r="618" spans="15:31">
      <c r="O618" s="273"/>
      <c r="P618" s="273"/>
      <c r="Q618" s="273"/>
      <c r="R618" s="273"/>
      <c r="S618" s="273"/>
      <c r="T618" s="273"/>
      <c r="U618" s="273"/>
      <c r="V618" s="273"/>
      <c r="W618" s="273"/>
      <c r="X618" s="273"/>
      <c r="Y618" s="273"/>
      <c r="Z618" s="273"/>
      <c r="AA618" s="273"/>
      <c r="AB618" s="273"/>
      <c r="AC618" s="273"/>
      <c r="AD618" s="273"/>
      <c r="AE618" s="273"/>
    </row>
    <row r="619" spans="15:31">
      <c r="O619" s="273"/>
      <c r="P619" s="273"/>
      <c r="Q619" s="273"/>
      <c r="R619" s="273"/>
      <c r="S619" s="273"/>
      <c r="T619" s="273"/>
      <c r="U619" s="273"/>
      <c r="V619" s="273"/>
      <c r="W619" s="273"/>
      <c r="X619" s="273"/>
      <c r="Y619" s="273"/>
      <c r="Z619" s="273"/>
      <c r="AA619" s="273"/>
      <c r="AB619" s="273"/>
      <c r="AC619" s="273"/>
      <c r="AD619" s="273"/>
      <c r="AE619" s="273"/>
    </row>
    <row r="620" spans="15:31">
      <c r="O620" s="273"/>
      <c r="P620" s="273"/>
      <c r="Q620" s="273"/>
      <c r="R620" s="273"/>
      <c r="S620" s="273"/>
      <c r="T620" s="273"/>
      <c r="U620" s="273"/>
      <c r="V620" s="273"/>
      <c r="W620" s="273"/>
      <c r="X620" s="273"/>
      <c r="Y620" s="273"/>
      <c r="Z620" s="273"/>
      <c r="AA620" s="273"/>
      <c r="AB620" s="273"/>
      <c r="AC620" s="273"/>
      <c r="AD620" s="273"/>
      <c r="AE620" s="273"/>
    </row>
    <row r="621" spans="15:31">
      <c r="O621" s="273"/>
      <c r="P621" s="273"/>
      <c r="Q621" s="273"/>
      <c r="R621" s="273"/>
      <c r="S621" s="273"/>
      <c r="T621" s="273"/>
      <c r="U621" s="273"/>
      <c r="V621" s="273"/>
      <c r="W621" s="273"/>
      <c r="X621" s="273"/>
      <c r="Y621" s="273"/>
      <c r="Z621" s="273"/>
      <c r="AA621" s="273"/>
      <c r="AB621" s="273"/>
      <c r="AC621" s="273"/>
      <c r="AD621" s="273"/>
      <c r="AE621" s="273"/>
    </row>
    <row r="622" spans="15:31">
      <c r="O622" s="273"/>
      <c r="P622" s="273"/>
      <c r="Q622" s="273"/>
      <c r="R622" s="273"/>
      <c r="S622" s="273"/>
      <c r="T622" s="273"/>
      <c r="U622" s="273"/>
      <c r="V622" s="273"/>
      <c r="W622" s="273"/>
      <c r="X622" s="273"/>
      <c r="Y622" s="273"/>
      <c r="Z622" s="273"/>
      <c r="AA622" s="273"/>
      <c r="AB622" s="273"/>
      <c r="AC622" s="273"/>
      <c r="AD622" s="273"/>
      <c r="AE622" s="273"/>
    </row>
    <row r="623" spans="15:31">
      <c r="O623" s="273"/>
      <c r="P623" s="273"/>
      <c r="Q623" s="273"/>
      <c r="R623" s="273"/>
      <c r="S623" s="273"/>
      <c r="T623" s="273"/>
      <c r="U623" s="273"/>
      <c r="V623" s="273"/>
      <c r="W623" s="273"/>
      <c r="X623" s="273"/>
      <c r="Y623" s="273"/>
      <c r="Z623" s="273"/>
      <c r="AA623" s="273"/>
      <c r="AB623" s="273"/>
      <c r="AC623" s="273"/>
      <c r="AD623" s="273"/>
      <c r="AE623" s="273"/>
    </row>
    <row r="624" spans="15:31">
      <c r="O624" s="273"/>
      <c r="P624" s="273"/>
      <c r="Q624" s="273"/>
      <c r="R624" s="273"/>
      <c r="S624" s="273"/>
      <c r="T624" s="273"/>
      <c r="U624" s="273"/>
      <c r="V624" s="273"/>
      <c r="W624" s="273"/>
      <c r="X624" s="273"/>
      <c r="Y624" s="273"/>
      <c r="Z624" s="273"/>
      <c r="AA624" s="273"/>
      <c r="AB624" s="273"/>
      <c r="AC624" s="273"/>
      <c r="AD624" s="273"/>
      <c r="AE624" s="273"/>
    </row>
    <row r="625" spans="15:31">
      <c r="O625" s="273"/>
      <c r="P625" s="273"/>
      <c r="Q625" s="273"/>
      <c r="R625" s="273"/>
      <c r="S625" s="273"/>
      <c r="T625" s="273"/>
      <c r="U625" s="273"/>
      <c r="V625" s="273"/>
      <c r="W625" s="273"/>
      <c r="X625" s="273"/>
      <c r="Y625" s="273"/>
      <c r="Z625" s="273"/>
      <c r="AA625" s="273"/>
      <c r="AB625" s="273"/>
      <c r="AC625" s="273"/>
      <c r="AD625" s="273"/>
      <c r="AE625" s="273"/>
    </row>
    <row r="626" spans="15:31">
      <c r="O626" s="273"/>
      <c r="P626" s="273"/>
      <c r="Q626" s="273"/>
      <c r="R626" s="273"/>
      <c r="S626" s="273"/>
      <c r="T626" s="273"/>
      <c r="U626" s="273"/>
      <c r="V626" s="273"/>
      <c r="W626" s="273"/>
      <c r="X626" s="273"/>
      <c r="Y626" s="273"/>
      <c r="Z626" s="273"/>
      <c r="AA626" s="273"/>
      <c r="AB626" s="273"/>
      <c r="AC626" s="273"/>
      <c r="AD626" s="273"/>
      <c r="AE626" s="273"/>
    </row>
    <row r="627" spans="15:31">
      <c r="O627" s="273"/>
      <c r="P627" s="273"/>
      <c r="Q627" s="273"/>
      <c r="R627" s="273"/>
      <c r="S627" s="273"/>
      <c r="T627" s="273"/>
      <c r="U627" s="273"/>
      <c r="V627" s="273"/>
      <c r="W627" s="273"/>
      <c r="X627" s="273"/>
      <c r="Y627" s="273"/>
      <c r="Z627" s="273"/>
      <c r="AA627" s="273"/>
      <c r="AB627" s="273"/>
      <c r="AC627" s="273"/>
      <c r="AD627" s="273"/>
      <c r="AE627" s="273"/>
    </row>
    <row r="628" spans="15:31">
      <c r="O628" s="273"/>
      <c r="P628" s="273"/>
      <c r="Q628" s="273"/>
      <c r="R628" s="273"/>
      <c r="S628" s="273"/>
      <c r="T628" s="273"/>
      <c r="U628" s="273"/>
      <c r="V628" s="273"/>
      <c r="W628" s="273"/>
      <c r="X628" s="273"/>
      <c r="Y628" s="273"/>
      <c r="Z628" s="273"/>
      <c r="AA628" s="273"/>
      <c r="AB628" s="273"/>
      <c r="AC628" s="273"/>
      <c r="AD628" s="273"/>
      <c r="AE628" s="273"/>
    </row>
    <row r="629" spans="15:31">
      <c r="O629" s="273"/>
      <c r="P629" s="273"/>
      <c r="Q629" s="273"/>
      <c r="R629" s="273"/>
      <c r="S629" s="273"/>
      <c r="T629" s="273"/>
      <c r="U629" s="273"/>
      <c r="V629" s="273"/>
      <c r="W629" s="273"/>
      <c r="X629" s="273"/>
      <c r="Y629" s="273"/>
      <c r="Z629" s="273"/>
      <c r="AA629" s="273"/>
      <c r="AB629" s="273"/>
      <c r="AC629" s="273"/>
      <c r="AD629" s="273"/>
      <c r="AE629" s="273"/>
    </row>
    <row r="630" spans="15:31">
      <c r="O630" s="273"/>
      <c r="P630" s="273"/>
      <c r="Q630" s="273"/>
      <c r="R630" s="273"/>
      <c r="S630" s="273"/>
      <c r="T630" s="273"/>
      <c r="U630" s="273"/>
      <c r="V630" s="273"/>
      <c r="W630" s="273"/>
      <c r="X630" s="273"/>
      <c r="Y630" s="273"/>
      <c r="Z630" s="273"/>
      <c r="AA630" s="273"/>
      <c r="AB630" s="273"/>
      <c r="AC630" s="273"/>
      <c r="AD630" s="273"/>
      <c r="AE630" s="273"/>
    </row>
    <row r="631" spans="15:31">
      <c r="O631" s="273"/>
      <c r="P631" s="273"/>
      <c r="Q631" s="273"/>
      <c r="R631" s="273"/>
      <c r="S631" s="273"/>
      <c r="T631" s="273"/>
      <c r="U631" s="273"/>
      <c r="V631" s="273"/>
      <c r="W631" s="273"/>
      <c r="X631" s="273"/>
      <c r="Y631" s="273"/>
      <c r="Z631" s="273"/>
      <c r="AA631" s="273"/>
      <c r="AB631" s="273"/>
      <c r="AC631" s="273"/>
      <c r="AD631" s="273"/>
      <c r="AE631" s="273"/>
    </row>
    <row r="632" spans="15:31">
      <c r="O632" s="273"/>
      <c r="P632" s="273"/>
      <c r="Q632" s="273"/>
      <c r="R632" s="273"/>
      <c r="S632" s="273"/>
      <c r="T632" s="273"/>
      <c r="U632" s="273"/>
      <c r="V632" s="273"/>
      <c r="W632" s="273"/>
      <c r="X632" s="273"/>
      <c r="Y632" s="273"/>
      <c r="Z632" s="273"/>
      <c r="AA632" s="273"/>
      <c r="AB632" s="273"/>
      <c r="AC632" s="273"/>
      <c r="AD632" s="273"/>
      <c r="AE632" s="273"/>
    </row>
    <row r="633" spans="15:31">
      <c r="O633" s="273"/>
      <c r="P633" s="273"/>
      <c r="Q633" s="273"/>
      <c r="R633" s="273"/>
      <c r="S633" s="273"/>
      <c r="T633" s="273"/>
      <c r="U633" s="273"/>
      <c r="V633" s="273"/>
      <c r="W633" s="273"/>
      <c r="X633" s="273"/>
      <c r="Y633" s="273"/>
      <c r="Z633" s="273"/>
      <c r="AA633" s="273"/>
      <c r="AB633" s="273"/>
      <c r="AC633" s="273"/>
      <c r="AD633" s="273"/>
      <c r="AE633" s="273"/>
    </row>
    <row r="634" spans="15:31">
      <c r="O634" s="273"/>
      <c r="P634" s="273"/>
      <c r="Q634" s="273"/>
      <c r="R634" s="273"/>
      <c r="S634" s="273"/>
      <c r="T634" s="273"/>
      <c r="U634" s="273"/>
      <c r="V634" s="273"/>
      <c r="W634" s="273"/>
      <c r="X634" s="273"/>
      <c r="Y634" s="273"/>
      <c r="Z634" s="273"/>
      <c r="AA634" s="273"/>
      <c r="AB634" s="273"/>
      <c r="AC634" s="273"/>
      <c r="AD634" s="273"/>
      <c r="AE634" s="273"/>
    </row>
    <row r="635" spans="15:31">
      <c r="O635" s="273"/>
      <c r="P635" s="273"/>
      <c r="Q635" s="273"/>
      <c r="R635" s="273"/>
      <c r="S635" s="273"/>
      <c r="T635" s="273"/>
      <c r="U635" s="273"/>
      <c r="V635" s="273"/>
      <c r="W635" s="273"/>
      <c r="X635" s="273"/>
      <c r="Y635" s="273"/>
      <c r="Z635" s="273"/>
      <c r="AA635" s="273"/>
      <c r="AB635" s="273"/>
      <c r="AC635" s="273"/>
      <c r="AD635" s="273"/>
      <c r="AE635" s="273"/>
    </row>
    <row r="636" spans="15:31">
      <c r="O636" s="273"/>
      <c r="P636" s="273"/>
      <c r="Q636" s="273"/>
      <c r="R636" s="273"/>
      <c r="S636" s="273"/>
      <c r="T636" s="273"/>
      <c r="U636" s="273"/>
      <c r="V636" s="273"/>
      <c r="W636" s="273"/>
      <c r="X636" s="273"/>
      <c r="Y636" s="273"/>
      <c r="Z636" s="273"/>
      <c r="AA636" s="273"/>
      <c r="AB636" s="273"/>
      <c r="AC636" s="273"/>
      <c r="AD636" s="273"/>
      <c r="AE636" s="273"/>
    </row>
    <row r="637" spans="15:31">
      <c r="O637" s="273"/>
      <c r="P637" s="273"/>
      <c r="Q637" s="273"/>
      <c r="R637" s="273"/>
      <c r="S637" s="273"/>
      <c r="T637" s="273"/>
      <c r="U637" s="273"/>
      <c r="V637" s="273"/>
      <c r="W637" s="273"/>
      <c r="X637" s="273"/>
      <c r="Y637" s="273"/>
      <c r="Z637" s="273"/>
      <c r="AA637" s="273"/>
      <c r="AB637" s="273"/>
      <c r="AC637" s="273"/>
      <c r="AD637" s="273"/>
      <c r="AE637" s="273"/>
    </row>
    <row r="638" spans="15:31">
      <c r="O638" s="273"/>
      <c r="P638" s="273"/>
      <c r="Q638" s="273"/>
      <c r="R638" s="273"/>
      <c r="S638" s="273"/>
      <c r="T638" s="273"/>
      <c r="U638" s="273"/>
      <c r="V638" s="273"/>
      <c r="W638" s="273"/>
      <c r="X638" s="273"/>
      <c r="Y638" s="273"/>
      <c r="Z638" s="273"/>
      <c r="AA638" s="273"/>
      <c r="AB638" s="273"/>
      <c r="AC638" s="273"/>
      <c r="AD638" s="273"/>
      <c r="AE638" s="273"/>
    </row>
    <row r="639" spans="15:31">
      <c r="O639" s="273"/>
      <c r="P639" s="273"/>
      <c r="Q639" s="273"/>
      <c r="R639" s="273"/>
      <c r="S639" s="273"/>
      <c r="T639" s="273"/>
      <c r="U639" s="273"/>
      <c r="V639" s="273"/>
      <c r="W639" s="273"/>
      <c r="X639" s="273"/>
      <c r="Y639" s="273"/>
      <c r="Z639" s="273"/>
      <c r="AA639" s="273"/>
      <c r="AB639" s="273"/>
      <c r="AC639" s="273"/>
      <c r="AD639" s="273"/>
      <c r="AE639" s="273"/>
    </row>
    <row r="640" spans="15:31">
      <c r="O640" s="273"/>
      <c r="P640" s="273"/>
      <c r="Q640" s="273"/>
      <c r="R640" s="273"/>
      <c r="S640" s="273"/>
      <c r="T640" s="273"/>
      <c r="U640" s="273"/>
      <c r="V640" s="273"/>
      <c r="W640" s="273"/>
      <c r="X640" s="273"/>
      <c r="Y640" s="273"/>
      <c r="Z640" s="273"/>
      <c r="AA640" s="273"/>
      <c r="AB640" s="273"/>
      <c r="AC640" s="273"/>
      <c r="AD640" s="273"/>
      <c r="AE640" s="273"/>
    </row>
    <row r="641" spans="15:31">
      <c r="O641" s="273"/>
      <c r="P641" s="273"/>
      <c r="Q641" s="273"/>
      <c r="R641" s="273"/>
      <c r="S641" s="273"/>
      <c r="T641" s="273"/>
      <c r="U641" s="273"/>
      <c r="V641" s="273"/>
      <c r="W641" s="273"/>
      <c r="X641" s="273"/>
      <c r="Y641" s="273"/>
      <c r="Z641" s="273"/>
      <c r="AA641" s="273"/>
      <c r="AB641" s="273"/>
      <c r="AC641" s="273"/>
      <c r="AD641" s="273"/>
      <c r="AE641" s="273"/>
    </row>
    <row r="642" spans="15:31">
      <c r="O642" s="273"/>
      <c r="P642" s="273"/>
      <c r="Q642" s="273"/>
      <c r="R642" s="273"/>
      <c r="S642" s="273"/>
      <c r="T642" s="273"/>
      <c r="U642" s="273"/>
      <c r="V642" s="273"/>
      <c r="W642" s="273"/>
      <c r="X642" s="273"/>
      <c r="Y642" s="273"/>
      <c r="Z642" s="273"/>
      <c r="AA642" s="273"/>
      <c r="AB642" s="273"/>
      <c r="AC642" s="273"/>
      <c r="AD642" s="273"/>
      <c r="AE642" s="273"/>
    </row>
    <row r="643" spans="15:31">
      <c r="O643" s="273"/>
      <c r="P643" s="273"/>
      <c r="Q643" s="273"/>
      <c r="R643" s="273"/>
      <c r="S643" s="273"/>
      <c r="T643" s="273"/>
      <c r="U643" s="273"/>
      <c r="V643" s="273"/>
      <c r="W643" s="273"/>
      <c r="X643" s="273"/>
      <c r="Y643" s="273"/>
      <c r="Z643" s="273"/>
      <c r="AA643" s="273"/>
      <c r="AB643" s="273"/>
      <c r="AC643" s="273"/>
      <c r="AD643" s="273"/>
      <c r="AE643" s="273"/>
    </row>
    <row r="644" spans="15:31">
      <c r="O644" s="273"/>
      <c r="P644" s="273"/>
      <c r="Q644" s="273"/>
      <c r="R644" s="273"/>
      <c r="S644" s="273"/>
      <c r="T644" s="273"/>
      <c r="U644" s="273"/>
      <c r="V644" s="273"/>
      <c r="W644" s="273"/>
      <c r="X644" s="273"/>
      <c r="Y644" s="273"/>
      <c r="Z644" s="273"/>
      <c r="AA644" s="273"/>
      <c r="AB644" s="273"/>
      <c r="AC644" s="273"/>
      <c r="AD644" s="273"/>
      <c r="AE644" s="273"/>
    </row>
    <row r="645" spans="15:31">
      <c r="O645" s="273"/>
      <c r="P645" s="273"/>
      <c r="Q645" s="273"/>
      <c r="R645" s="273"/>
      <c r="S645" s="273"/>
      <c r="T645" s="273"/>
      <c r="U645" s="273"/>
      <c r="V645" s="273"/>
      <c r="W645" s="273"/>
      <c r="X645" s="273"/>
      <c r="Y645" s="273"/>
      <c r="Z645" s="273"/>
      <c r="AA645" s="273"/>
      <c r="AB645" s="273"/>
      <c r="AC645" s="273"/>
      <c r="AD645" s="273"/>
      <c r="AE645" s="273"/>
    </row>
    <row r="646" spans="15:31">
      <c r="O646" s="273"/>
      <c r="P646" s="273"/>
      <c r="Q646" s="273"/>
      <c r="R646" s="273"/>
      <c r="S646" s="273"/>
      <c r="T646" s="273"/>
      <c r="U646" s="273"/>
      <c r="V646" s="273"/>
      <c r="W646" s="273"/>
      <c r="X646" s="273"/>
      <c r="Y646" s="273"/>
      <c r="Z646" s="273"/>
      <c r="AA646" s="273"/>
      <c r="AB646" s="273"/>
      <c r="AC646" s="273"/>
      <c r="AD646" s="273"/>
      <c r="AE646" s="273"/>
    </row>
    <row r="647" spans="15:31">
      <c r="O647" s="273"/>
      <c r="P647" s="273"/>
      <c r="Q647" s="273"/>
      <c r="R647" s="273"/>
      <c r="S647" s="273"/>
      <c r="T647" s="273"/>
      <c r="U647" s="273"/>
      <c r="V647" s="273"/>
      <c r="W647" s="273"/>
      <c r="X647" s="273"/>
      <c r="Y647" s="273"/>
      <c r="Z647" s="273"/>
      <c r="AA647" s="273"/>
      <c r="AB647" s="273"/>
      <c r="AC647" s="273"/>
      <c r="AD647" s="273"/>
      <c r="AE647" s="273"/>
    </row>
    <row r="648" spans="15:31">
      <c r="O648" s="273"/>
      <c r="P648" s="273"/>
      <c r="Q648" s="273"/>
      <c r="R648" s="273"/>
      <c r="S648" s="273"/>
      <c r="T648" s="273"/>
      <c r="U648" s="273"/>
      <c r="V648" s="273"/>
      <c r="W648" s="273"/>
      <c r="X648" s="273"/>
      <c r="Y648" s="273"/>
      <c r="Z648" s="273"/>
      <c r="AA648" s="273"/>
      <c r="AB648" s="273"/>
      <c r="AC648" s="273"/>
      <c r="AD648" s="273"/>
      <c r="AE648" s="273"/>
    </row>
    <row r="649" spans="15:31">
      <c r="O649" s="273"/>
      <c r="P649" s="273"/>
      <c r="Q649" s="273"/>
      <c r="R649" s="273"/>
      <c r="S649" s="273"/>
      <c r="T649" s="273"/>
      <c r="U649" s="273"/>
      <c r="V649" s="273"/>
      <c r="W649" s="273"/>
      <c r="X649" s="273"/>
      <c r="Y649" s="273"/>
      <c r="Z649" s="273"/>
      <c r="AA649" s="273"/>
      <c r="AB649" s="273"/>
      <c r="AC649" s="273"/>
      <c r="AD649" s="273"/>
      <c r="AE649" s="273"/>
    </row>
    <row r="650" spans="15:31">
      <c r="O650" s="273"/>
      <c r="P650" s="273"/>
      <c r="Q650" s="273"/>
      <c r="R650" s="273"/>
      <c r="S650" s="273"/>
      <c r="T650" s="273"/>
      <c r="U650" s="273"/>
      <c r="V650" s="273"/>
      <c r="W650" s="273"/>
      <c r="X650" s="273"/>
      <c r="Y650" s="273"/>
      <c r="Z650" s="273"/>
      <c r="AA650" s="273"/>
      <c r="AB650" s="273"/>
      <c r="AC650" s="273"/>
      <c r="AD650" s="273"/>
      <c r="AE650" s="273"/>
    </row>
    <row r="651" spans="15:31">
      <c r="O651" s="273"/>
      <c r="P651" s="273"/>
      <c r="Q651" s="273"/>
      <c r="R651" s="273"/>
      <c r="S651" s="273"/>
      <c r="T651" s="273"/>
      <c r="U651" s="273"/>
      <c r="V651" s="273"/>
      <c r="W651" s="273"/>
      <c r="X651" s="273"/>
      <c r="Y651" s="273"/>
      <c r="Z651" s="273"/>
      <c r="AA651" s="273"/>
      <c r="AB651" s="273"/>
      <c r="AC651" s="273"/>
      <c r="AD651" s="273"/>
      <c r="AE651" s="273"/>
    </row>
    <row r="652" spans="15:31">
      <c r="O652" s="273"/>
      <c r="P652" s="273"/>
      <c r="Q652" s="273"/>
      <c r="R652" s="273"/>
      <c r="S652" s="273"/>
      <c r="T652" s="273"/>
      <c r="U652" s="273"/>
      <c r="V652" s="273"/>
      <c r="W652" s="273"/>
      <c r="X652" s="273"/>
      <c r="Y652" s="273"/>
      <c r="Z652" s="273"/>
      <c r="AA652" s="273"/>
      <c r="AB652" s="273"/>
      <c r="AC652" s="273"/>
      <c r="AD652" s="273"/>
      <c r="AE652" s="273"/>
    </row>
    <row r="653" spans="15:31">
      <c r="O653" s="273"/>
      <c r="P653" s="273"/>
      <c r="Q653" s="273"/>
      <c r="R653" s="273"/>
      <c r="S653" s="273"/>
      <c r="T653" s="273"/>
      <c r="U653" s="273"/>
      <c r="V653" s="273"/>
      <c r="W653" s="273"/>
      <c r="X653" s="273"/>
      <c r="Y653" s="273"/>
      <c r="Z653" s="273"/>
      <c r="AA653" s="273"/>
      <c r="AB653" s="273"/>
      <c r="AC653" s="273"/>
      <c r="AD653" s="273"/>
      <c r="AE653" s="273"/>
    </row>
    <row r="654" spans="15:31">
      <c r="O654" s="273"/>
      <c r="P654" s="273"/>
      <c r="Q654" s="273"/>
      <c r="R654" s="273"/>
      <c r="S654" s="273"/>
      <c r="T654" s="273"/>
      <c r="U654" s="273"/>
      <c r="V654" s="273"/>
      <c r="W654" s="273"/>
      <c r="X654" s="273"/>
      <c r="Y654" s="273"/>
      <c r="Z654" s="273"/>
      <c r="AA654" s="273"/>
      <c r="AB654" s="273"/>
      <c r="AC654" s="273"/>
      <c r="AD654" s="273"/>
      <c r="AE654" s="273"/>
    </row>
    <row r="655" spans="15:31">
      <c r="O655" s="273"/>
      <c r="P655" s="273"/>
      <c r="Q655" s="273"/>
      <c r="R655" s="273"/>
      <c r="S655" s="273"/>
      <c r="T655" s="273"/>
      <c r="U655" s="273"/>
      <c r="V655" s="273"/>
      <c r="W655" s="273"/>
      <c r="X655" s="273"/>
      <c r="Y655" s="273"/>
      <c r="Z655" s="273"/>
      <c r="AA655" s="273"/>
      <c r="AB655" s="273"/>
      <c r="AC655" s="273"/>
      <c r="AD655" s="273"/>
      <c r="AE655" s="273"/>
    </row>
    <row r="656" spans="15:31">
      <c r="O656" s="273"/>
      <c r="P656" s="273"/>
      <c r="Q656" s="273"/>
      <c r="R656" s="273"/>
      <c r="S656" s="273"/>
      <c r="T656" s="273"/>
      <c r="U656" s="273"/>
      <c r="V656" s="273"/>
      <c r="W656" s="273"/>
      <c r="X656" s="273"/>
      <c r="Y656" s="273"/>
      <c r="Z656" s="273"/>
      <c r="AA656" s="273"/>
      <c r="AB656" s="273"/>
      <c r="AC656" s="273"/>
      <c r="AD656" s="273"/>
      <c r="AE656" s="273"/>
    </row>
    <row r="657" spans="15:31">
      <c r="O657" s="273"/>
      <c r="P657" s="273"/>
      <c r="Q657" s="273"/>
      <c r="R657" s="273"/>
      <c r="S657" s="273"/>
      <c r="T657" s="273"/>
      <c r="U657" s="273"/>
      <c r="V657" s="273"/>
      <c r="W657" s="273"/>
      <c r="X657" s="273"/>
      <c r="Y657" s="273"/>
      <c r="Z657" s="273"/>
      <c r="AA657" s="273"/>
      <c r="AB657" s="273"/>
      <c r="AC657" s="273"/>
      <c r="AD657" s="273"/>
      <c r="AE657" s="273"/>
    </row>
    <row r="658" spans="15:31">
      <c r="O658" s="273"/>
      <c r="P658" s="273"/>
      <c r="Q658" s="273"/>
      <c r="R658" s="273"/>
      <c r="S658" s="273"/>
      <c r="T658" s="273"/>
      <c r="U658" s="273"/>
      <c r="V658" s="273"/>
      <c r="W658" s="273"/>
      <c r="X658" s="273"/>
      <c r="Y658" s="273"/>
      <c r="Z658" s="273"/>
      <c r="AA658" s="273"/>
      <c r="AB658" s="273"/>
      <c r="AC658" s="273"/>
      <c r="AD658" s="273"/>
      <c r="AE658" s="273"/>
    </row>
    <row r="659" spans="15:31">
      <c r="O659" s="273"/>
      <c r="P659" s="273"/>
      <c r="Q659" s="273"/>
      <c r="R659" s="273"/>
      <c r="S659" s="273"/>
      <c r="T659" s="273"/>
      <c r="U659" s="273"/>
      <c r="V659" s="273"/>
      <c r="W659" s="273"/>
      <c r="X659" s="273"/>
      <c r="Y659" s="273"/>
      <c r="Z659" s="273"/>
      <c r="AA659" s="273"/>
      <c r="AB659" s="273"/>
      <c r="AC659" s="273"/>
      <c r="AD659" s="273"/>
      <c r="AE659" s="273"/>
    </row>
    <row r="660" spans="15:31">
      <c r="O660" s="273"/>
      <c r="P660" s="273"/>
      <c r="Q660" s="273"/>
      <c r="R660" s="273"/>
      <c r="S660" s="273"/>
      <c r="T660" s="273"/>
      <c r="U660" s="273"/>
      <c r="V660" s="273"/>
      <c r="W660" s="273"/>
      <c r="X660" s="273"/>
      <c r="Y660" s="273"/>
      <c r="Z660" s="273"/>
      <c r="AA660" s="273"/>
      <c r="AB660" s="273"/>
      <c r="AC660" s="273"/>
      <c r="AD660" s="273"/>
      <c r="AE660" s="273"/>
    </row>
    <row r="661" spans="15:31">
      <c r="O661" s="273"/>
      <c r="P661" s="273"/>
      <c r="Q661" s="273"/>
      <c r="R661" s="273"/>
      <c r="S661" s="273"/>
      <c r="T661" s="273"/>
      <c r="U661" s="273"/>
      <c r="V661" s="273"/>
      <c r="W661" s="273"/>
      <c r="X661" s="273"/>
      <c r="Y661" s="273"/>
      <c r="Z661" s="273"/>
      <c r="AA661" s="273"/>
      <c r="AB661" s="273"/>
      <c r="AC661" s="273"/>
      <c r="AD661" s="273"/>
      <c r="AE661" s="273"/>
    </row>
    <row r="662" spans="15:31">
      <c r="O662" s="273"/>
      <c r="P662" s="273"/>
      <c r="Q662" s="273"/>
      <c r="R662" s="273"/>
      <c r="S662" s="273"/>
      <c r="T662" s="273"/>
      <c r="U662" s="273"/>
      <c r="V662" s="273"/>
      <c r="W662" s="273"/>
      <c r="X662" s="273"/>
      <c r="Y662" s="273"/>
      <c r="Z662" s="273"/>
      <c r="AA662" s="273"/>
      <c r="AB662" s="273"/>
      <c r="AC662" s="273"/>
      <c r="AD662" s="273"/>
      <c r="AE662" s="273"/>
    </row>
    <row r="663" spans="15:31">
      <c r="O663" s="273"/>
      <c r="P663" s="273"/>
      <c r="Q663" s="273"/>
      <c r="R663" s="273"/>
      <c r="S663" s="273"/>
      <c r="T663" s="273"/>
      <c r="U663" s="273"/>
      <c r="V663" s="273"/>
      <c r="W663" s="273"/>
      <c r="X663" s="273"/>
      <c r="Y663" s="273"/>
      <c r="Z663" s="273"/>
      <c r="AA663" s="273"/>
      <c r="AB663" s="273"/>
      <c r="AC663" s="273"/>
      <c r="AD663" s="273"/>
      <c r="AE663" s="273"/>
    </row>
    <row r="664" spans="15:31">
      <c r="O664" s="273"/>
      <c r="P664" s="273"/>
      <c r="Q664" s="273"/>
      <c r="R664" s="273"/>
      <c r="S664" s="273"/>
      <c r="T664" s="273"/>
      <c r="U664" s="273"/>
      <c r="V664" s="273"/>
      <c r="W664" s="273"/>
      <c r="X664" s="273"/>
      <c r="Y664" s="273"/>
      <c r="Z664" s="273"/>
      <c r="AA664" s="273"/>
      <c r="AB664" s="273"/>
      <c r="AC664" s="273"/>
      <c r="AD664" s="273"/>
      <c r="AE664" s="273"/>
    </row>
    <row r="665" spans="15:31">
      <c r="O665" s="273"/>
      <c r="P665" s="273"/>
      <c r="Q665" s="273"/>
      <c r="R665" s="273"/>
      <c r="S665" s="273"/>
      <c r="T665" s="273"/>
      <c r="U665" s="273"/>
      <c r="V665" s="273"/>
      <c r="W665" s="273"/>
      <c r="X665" s="273"/>
      <c r="Y665" s="273"/>
      <c r="Z665" s="273"/>
      <c r="AA665" s="273"/>
      <c r="AB665" s="273"/>
      <c r="AC665" s="273"/>
      <c r="AD665" s="273"/>
      <c r="AE665" s="273"/>
    </row>
    <row r="666" spans="15:31">
      <c r="O666" s="273"/>
      <c r="P666" s="273"/>
      <c r="Q666" s="273"/>
      <c r="R666" s="273"/>
      <c r="S666" s="273"/>
      <c r="T666" s="273"/>
      <c r="U666" s="273"/>
      <c r="V666" s="273"/>
      <c r="W666" s="273"/>
      <c r="X666" s="273"/>
      <c r="Y666" s="273"/>
      <c r="Z666" s="273"/>
      <c r="AA666" s="273"/>
      <c r="AB666" s="273"/>
      <c r="AC666" s="273"/>
      <c r="AD666" s="273"/>
      <c r="AE666" s="273"/>
    </row>
    <row r="667" spans="15:31">
      <c r="O667" s="273"/>
      <c r="P667" s="273"/>
      <c r="Q667" s="273"/>
      <c r="R667" s="273"/>
      <c r="S667" s="273"/>
      <c r="T667" s="273"/>
      <c r="U667" s="273"/>
      <c r="V667" s="273"/>
      <c r="W667" s="273"/>
      <c r="X667" s="273"/>
      <c r="Y667" s="273"/>
      <c r="Z667" s="273"/>
      <c r="AA667" s="273"/>
      <c r="AB667" s="273"/>
      <c r="AC667" s="273"/>
      <c r="AD667" s="273"/>
      <c r="AE667" s="273"/>
    </row>
    <row r="668" spans="15:31">
      <c r="O668" s="273"/>
      <c r="P668" s="273"/>
      <c r="Q668" s="273"/>
      <c r="R668" s="273"/>
      <c r="S668" s="273"/>
      <c r="T668" s="273"/>
      <c r="U668" s="273"/>
      <c r="V668" s="273"/>
      <c r="W668" s="273"/>
      <c r="X668" s="273"/>
      <c r="Y668" s="273"/>
      <c r="Z668" s="273"/>
      <c r="AA668" s="273"/>
      <c r="AB668" s="273"/>
      <c r="AC668" s="273"/>
      <c r="AD668" s="273"/>
      <c r="AE668" s="273"/>
    </row>
    <row r="669" spans="15:31">
      <c r="O669" s="273"/>
      <c r="P669" s="273"/>
      <c r="Q669" s="273"/>
      <c r="R669" s="273"/>
      <c r="S669" s="273"/>
      <c r="T669" s="273"/>
      <c r="U669" s="273"/>
      <c r="V669" s="273"/>
      <c r="W669" s="273"/>
      <c r="X669" s="273"/>
      <c r="Y669" s="273"/>
      <c r="Z669" s="273"/>
      <c r="AA669" s="273"/>
      <c r="AB669" s="273"/>
      <c r="AC669" s="273"/>
      <c r="AD669" s="273"/>
      <c r="AE669" s="273"/>
    </row>
    <row r="670" spans="15:31">
      <c r="O670" s="273"/>
      <c r="P670" s="273"/>
      <c r="Q670" s="273"/>
      <c r="R670" s="273"/>
      <c r="S670" s="273"/>
      <c r="T670" s="273"/>
      <c r="U670" s="273"/>
      <c r="V670" s="273"/>
      <c r="W670" s="273"/>
      <c r="X670" s="273"/>
      <c r="Y670" s="273"/>
      <c r="Z670" s="273"/>
      <c r="AA670" s="273"/>
      <c r="AB670" s="273"/>
      <c r="AC670" s="273"/>
      <c r="AD670" s="273"/>
      <c r="AE670" s="273"/>
    </row>
    <row r="671" spans="15:31">
      <c r="O671" s="273"/>
      <c r="P671" s="273"/>
      <c r="Q671" s="273"/>
      <c r="R671" s="273"/>
      <c r="S671" s="273"/>
      <c r="T671" s="273"/>
      <c r="U671" s="273"/>
      <c r="V671" s="273"/>
      <c r="W671" s="273"/>
      <c r="X671" s="273"/>
      <c r="Y671" s="273"/>
      <c r="Z671" s="273"/>
      <c r="AA671" s="273"/>
      <c r="AB671" s="273"/>
      <c r="AC671" s="273"/>
      <c r="AD671" s="273"/>
      <c r="AE671" s="273"/>
    </row>
    <row r="672" spans="15:31">
      <c r="O672" s="273"/>
      <c r="P672" s="273"/>
      <c r="Q672" s="273"/>
      <c r="R672" s="273"/>
      <c r="S672" s="273"/>
      <c r="T672" s="273"/>
      <c r="U672" s="273"/>
      <c r="V672" s="273"/>
      <c r="W672" s="273"/>
      <c r="X672" s="273"/>
      <c r="Y672" s="273"/>
      <c r="Z672" s="273"/>
      <c r="AA672" s="273"/>
      <c r="AB672" s="273"/>
      <c r="AC672" s="273"/>
      <c r="AD672" s="273"/>
      <c r="AE672" s="273"/>
    </row>
    <row r="673" spans="15:31">
      <c r="O673" s="273"/>
      <c r="P673" s="273"/>
      <c r="Q673" s="273"/>
      <c r="R673" s="273"/>
      <c r="S673" s="273"/>
      <c r="T673" s="273"/>
      <c r="U673" s="273"/>
      <c r="V673" s="273"/>
      <c r="W673" s="273"/>
      <c r="X673" s="273"/>
      <c r="Y673" s="273"/>
      <c r="Z673" s="273"/>
      <c r="AA673" s="273"/>
      <c r="AB673" s="273"/>
      <c r="AC673" s="273"/>
      <c r="AD673" s="273"/>
      <c r="AE673" s="273"/>
    </row>
    <row r="674" spans="15:31">
      <c r="O674" s="273"/>
      <c r="P674" s="273"/>
      <c r="Q674" s="273"/>
      <c r="R674" s="273"/>
      <c r="S674" s="273"/>
      <c r="T674" s="273"/>
      <c r="U674" s="273"/>
      <c r="V674" s="273"/>
      <c r="W674" s="273"/>
      <c r="X674" s="273"/>
      <c r="Y674" s="273"/>
      <c r="Z674" s="273"/>
      <c r="AA674" s="273"/>
      <c r="AB674" s="273"/>
      <c r="AC674" s="273"/>
      <c r="AD674" s="273"/>
      <c r="AE674" s="273"/>
    </row>
    <row r="675" spans="15:31">
      <c r="O675" s="273"/>
      <c r="P675" s="273"/>
      <c r="Q675" s="273"/>
      <c r="R675" s="273"/>
      <c r="S675" s="273"/>
      <c r="T675" s="273"/>
      <c r="U675" s="273"/>
      <c r="V675" s="273"/>
      <c r="W675" s="273"/>
      <c r="X675" s="273"/>
      <c r="Y675" s="273"/>
      <c r="Z675" s="273"/>
      <c r="AA675" s="273"/>
      <c r="AB675" s="273"/>
      <c r="AC675" s="273"/>
      <c r="AD675" s="273"/>
      <c r="AE675" s="273"/>
    </row>
    <row r="676" spans="15:31">
      <c r="O676" s="273"/>
      <c r="P676" s="273"/>
      <c r="Q676" s="273"/>
      <c r="R676" s="273"/>
      <c r="S676" s="273"/>
      <c r="T676" s="273"/>
      <c r="U676" s="273"/>
      <c r="V676" s="273"/>
      <c r="W676" s="273"/>
      <c r="X676" s="273"/>
      <c r="Y676" s="273"/>
      <c r="Z676" s="273"/>
      <c r="AA676" s="273"/>
      <c r="AB676" s="273"/>
      <c r="AC676" s="273"/>
      <c r="AD676" s="273"/>
      <c r="AE676" s="273"/>
    </row>
    <row r="677" spans="15:31">
      <c r="O677" s="273"/>
      <c r="P677" s="273"/>
      <c r="Q677" s="273"/>
      <c r="R677" s="273"/>
      <c r="S677" s="273"/>
      <c r="T677" s="273"/>
      <c r="U677" s="273"/>
      <c r="V677" s="273"/>
      <c r="W677" s="273"/>
      <c r="X677" s="273"/>
      <c r="Y677" s="273"/>
      <c r="Z677" s="273"/>
      <c r="AA677" s="273"/>
      <c r="AB677" s="273"/>
      <c r="AC677" s="273"/>
      <c r="AD677" s="273"/>
      <c r="AE677" s="273"/>
    </row>
    <row r="678" spans="15:31">
      <c r="O678" s="273"/>
      <c r="P678" s="273"/>
      <c r="Q678" s="273"/>
      <c r="R678" s="273"/>
      <c r="S678" s="273"/>
      <c r="T678" s="273"/>
      <c r="U678" s="273"/>
      <c r="V678" s="273"/>
      <c r="W678" s="273"/>
      <c r="X678" s="273"/>
      <c r="Y678" s="273"/>
      <c r="Z678" s="273"/>
      <c r="AA678" s="273"/>
      <c r="AB678" s="273"/>
      <c r="AC678" s="273"/>
      <c r="AD678" s="273"/>
      <c r="AE678" s="273"/>
    </row>
    <row r="679" spans="15:31">
      <c r="O679" s="273"/>
      <c r="P679" s="273"/>
      <c r="Q679" s="273"/>
      <c r="R679" s="273"/>
      <c r="S679" s="273"/>
      <c r="T679" s="273"/>
      <c r="U679" s="273"/>
      <c r="V679" s="273"/>
      <c r="W679" s="273"/>
      <c r="X679" s="273"/>
      <c r="Y679" s="273"/>
      <c r="Z679" s="273"/>
      <c r="AA679" s="273"/>
      <c r="AB679" s="273"/>
      <c r="AC679" s="273"/>
      <c r="AD679" s="273"/>
      <c r="AE679" s="273"/>
    </row>
    <row r="680" spans="15:31">
      <c r="O680" s="273"/>
      <c r="P680" s="273"/>
      <c r="Q680" s="273"/>
      <c r="R680" s="273"/>
      <c r="S680" s="273"/>
      <c r="T680" s="273"/>
      <c r="U680" s="273"/>
      <c r="V680" s="273"/>
      <c r="W680" s="273"/>
      <c r="X680" s="273"/>
      <c r="Y680" s="273"/>
      <c r="Z680" s="273"/>
      <c r="AA680" s="273"/>
      <c r="AB680" s="273"/>
      <c r="AC680" s="273"/>
      <c r="AD680" s="273"/>
      <c r="AE680" s="273"/>
    </row>
    <row r="681" spans="15:31">
      <c r="O681" s="273"/>
      <c r="P681" s="273"/>
      <c r="Q681" s="273"/>
      <c r="R681" s="273"/>
      <c r="S681" s="273"/>
      <c r="T681" s="273"/>
      <c r="U681" s="273"/>
      <c r="V681" s="273"/>
      <c r="W681" s="273"/>
      <c r="X681" s="273"/>
      <c r="Y681" s="273"/>
      <c r="Z681" s="273"/>
      <c r="AA681" s="273"/>
      <c r="AB681" s="273"/>
      <c r="AC681" s="273"/>
      <c r="AD681" s="273"/>
      <c r="AE681" s="273"/>
    </row>
    <row r="682" spans="15:31">
      <c r="O682" s="273"/>
      <c r="P682" s="273"/>
      <c r="Q682" s="273"/>
      <c r="R682" s="273"/>
      <c r="S682" s="273"/>
      <c r="T682" s="273"/>
      <c r="U682" s="273"/>
      <c r="V682" s="273"/>
      <c r="W682" s="273"/>
      <c r="X682" s="273"/>
      <c r="Y682" s="273"/>
      <c r="Z682" s="273"/>
      <c r="AA682" s="273"/>
      <c r="AB682" s="273"/>
      <c r="AC682" s="273"/>
      <c r="AD682" s="273"/>
      <c r="AE682" s="273"/>
    </row>
    <row r="683" spans="15:31">
      <c r="O683" s="273"/>
      <c r="P683" s="273"/>
      <c r="Q683" s="273"/>
      <c r="R683" s="273"/>
      <c r="S683" s="273"/>
      <c r="T683" s="273"/>
      <c r="U683" s="273"/>
      <c r="V683" s="273"/>
      <c r="W683" s="273"/>
      <c r="X683" s="273"/>
      <c r="Y683" s="273"/>
      <c r="Z683" s="273"/>
      <c r="AA683" s="273"/>
      <c r="AB683" s="273"/>
      <c r="AC683" s="273"/>
      <c r="AD683" s="273"/>
      <c r="AE683" s="273"/>
    </row>
    <row r="684" spans="15:31">
      <c r="O684" s="273"/>
      <c r="P684" s="273"/>
      <c r="Q684" s="273"/>
      <c r="R684" s="273"/>
      <c r="S684" s="273"/>
      <c r="T684" s="273"/>
      <c r="U684" s="273"/>
      <c r="V684" s="273"/>
      <c r="W684" s="273"/>
      <c r="X684" s="273"/>
      <c r="Y684" s="273"/>
      <c r="Z684" s="273"/>
      <c r="AA684" s="273"/>
      <c r="AB684" s="273"/>
      <c r="AC684" s="273"/>
      <c r="AD684" s="273"/>
      <c r="AE684" s="273"/>
    </row>
    <row r="685" spans="15:31">
      <c r="O685" s="273"/>
      <c r="P685" s="273"/>
      <c r="Q685" s="273"/>
      <c r="R685" s="273"/>
      <c r="S685" s="273"/>
      <c r="T685" s="273"/>
      <c r="U685" s="273"/>
      <c r="V685" s="273"/>
      <c r="W685" s="273"/>
      <c r="X685" s="273"/>
      <c r="Y685" s="273"/>
      <c r="Z685" s="273"/>
      <c r="AA685" s="273"/>
      <c r="AB685" s="273"/>
      <c r="AC685" s="273"/>
      <c r="AD685" s="273"/>
      <c r="AE685" s="273"/>
    </row>
    <row r="686" spans="15:31">
      <c r="O686" s="273"/>
      <c r="P686" s="273"/>
      <c r="Q686" s="273"/>
      <c r="R686" s="273"/>
      <c r="S686" s="273"/>
      <c r="T686" s="273"/>
      <c r="U686" s="273"/>
      <c r="V686" s="273"/>
      <c r="W686" s="273"/>
      <c r="X686" s="273"/>
      <c r="Y686" s="273"/>
      <c r="Z686" s="273"/>
      <c r="AA686" s="273"/>
      <c r="AB686" s="273"/>
      <c r="AC686" s="273"/>
      <c r="AD686" s="273"/>
      <c r="AE686" s="273"/>
    </row>
    <row r="687" spans="15:31">
      <c r="O687" s="273"/>
      <c r="P687" s="273"/>
      <c r="Q687" s="273"/>
      <c r="R687" s="273"/>
      <c r="S687" s="273"/>
      <c r="T687" s="273"/>
      <c r="U687" s="273"/>
      <c r="V687" s="273"/>
      <c r="W687" s="273"/>
      <c r="X687" s="273"/>
      <c r="Y687" s="273"/>
      <c r="Z687" s="273"/>
      <c r="AA687" s="273"/>
      <c r="AB687" s="273"/>
      <c r="AC687" s="273"/>
      <c r="AD687" s="273"/>
      <c r="AE687" s="273"/>
    </row>
    <row r="688" spans="15:31">
      <c r="O688" s="273"/>
      <c r="P688" s="273"/>
      <c r="Q688" s="273"/>
      <c r="R688" s="273"/>
      <c r="S688" s="273"/>
      <c r="T688" s="273"/>
      <c r="U688" s="273"/>
      <c r="V688" s="273"/>
      <c r="W688" s="273"/>
      <c r="X688" s="273"/>
      <c r="Y688" s="273"/>
      <c r="Z688" s="273"/>
      <c r="AA688" s="273"/>
      <c r="AB688" s="273"/>
      <c r="AC688" s="273"/>
      <c r="AD688" s="273"/>
      <c r="AE688" s="273"/>
    </row>
    <row r="689" spans="15:31">
      <c r="O689" s="273"/>
      <c r="P689" s="273"/>
      <c r="Q689" s="273"/>
      <c r="R689" s="273"/>
      <c r="S689" s="273"/>
      <c r="T689" s="273"/>
      <c r="U689" s="273"/>
      <c r="V689" s="273"/>
      <c r="W689" s="273"/>
      <c r="X689" s="273"/>
      <c r="Y689" s="273"/>
      <c r="Z689" s="273"/>
      <c r="AA689" s="273"/>
      <c r="AB689" s="273"/>
      <c r="AC689" s="273"/>
      <c r="AD689" s="273"/>
      <c r="AE689" s="273"/>
    </row>
    <row r="690" spans="15:31">
      <c r="O690" s="273"/>
      <c r="P690" s="273"/>
      <c r="Q690" s="273"/>
      <c r="R690" s="273"/>
      <c r="S690" s="273"/>
      <c r="T690" s="273"/>
      <c r="U690" s="273"/>
      <c r="V690" s="273"/>
      <c r="W690" s="273"/>
      <c r="X690" s="273"/>
      <c r="Y690" s="273"/>
      <c r="Z690" s="273"/>
      <c r="AA690" s="273"/>
      <c r="AB690" s="273"/>
      <c r="AC690" s="273"/>
      <c r="AD690" s="273"/>
      <c r="AE690" s="273"/>
    </row>
    <row r="691" spans="15:31">
      <c r="O691" s="273"/>
      <c r="P691" s="273"/>
      <c r="Q691" s="273"/>
      <c r="R691" s="273"/>
      <c r="S691" s="273"/>
      <c r="T691" s="273"/>
      <c r="U691" s="273"/>
      <c r="V691" s="273"/>
      <c r="W691" s="273"/>
      <c r="X691" s="273"/>
      <c r="Y691" s="273"/>
      <c r="Z691" s="273"/>
      <c r="AA691" s="273"/>
      <c r="AB691" s="273"/>
      <c r="AC691" s="273"/>
      <c r="AD691" s="273"/>
      <c r="AE691" s="273"/>
    </row>
    <row r="692" spans="15:31">
      <c r="O692" s="273"/>
      <c r="P692" s="273"/>
      <c r="Q692" s="273"/>
      <c r="R692" s="273"/>
      <c r="S692" s="273"/>
      <c r="T692" s="273"/>
      <c r="U692" s="273"/>
      <c r="V692" s="273"/>
      <c r="W692" s="273"/>
      <c r="X692" s="273"/>
      <c r="Y692" s="273"/>
      <c r="Z692" s="273"/>
      <c r="AA692" s="273"/>
      <c r="AB692" s="273"/>
      <c r="AC692" s="273"/>
      <c r="AD692" s="273"/>
      <c r="AE692" s="273"/>
    </row>
    <row r="693" spans="15:31">
      <c r="O693" s="273"/>
      <c r="P693" s="273"/>
      <c r="Q693" s="273"/>
      <c r="R693" s="273"/>
      <c r="S693" s="273"/>
      <c r="T693" s="273"/>
      <c r="U693" s="273"/>
      <c r="V693" s="273"/>
      <c r="W693" s="273"/>
      <c r="X693" s="273"/>
      <c r="Y693" s="273"/>
      <c r="Z693" s="273"/>
      <c r="AA693" s="273"/>
      <c r="AB693" s="273"/>
      <c r="AC693" s="273"/>
      <c r="AD693" s="273"/>
      <c r="AE693" s="273"/>
    </row>
    <row r="694" spans="15:31">
      <c r="O694" s="273"/>
      <c r="P694" s="273"/>
      <c r="Q694" s="273"/>
      <c r="R694" s="273"/>
      <c r="S694" s="273"/>
      <c r="T694" s="273"/>
      <c r="U694" s="273"/>
      <c r="V694" s="273"/>
      <c r="W694" s="273"/>
      <c r="X694" s="273"/>
      <c r="Y694" s="273"/>
      <c r="Z694" s="273"/>
      <c r="AA694" s="273"/>
      <c r="AB694" s="273"/>
      <c r="AC694" s="273"/>
      <c r="AD694" s="273"/>
      <c r="AE694" s="273"/>
    </row>
    <row r="695" spans="15:31">
      <c r="O695" s="273"/>
      <c r="P695" s="273"/>
      <c r="Q695" s="273"/>
      <c r="R695" s="273"/>
      <c r="S695" s="273"/>
      <c r="T695" s="273"/>
      <c r="U695" s="273"/>
      <c r="V695" s="273"/>
      <c r="W695" s="273"/>
      <c r="X695" s="273"/>
      <c r="Y695" s="273"/>
      <c r="Z695" s="273"/>
      <c r="AA695" s="273"/>
      <c r="AB695" s="273"/>
      <c r="AC695" s="273"/>
      <c r="AD695" s="273"/>
      <c r="AE695" s="273"/>
    </row>
    <row r="696" spans="15:31">
      <c r="O696" s="273"/>
      <c r="P696" s="273"/>
      <c r="Q696" s="273"/>
      <c r="R696" s="273"/>
      <c r="S696" s="273"/>
      <c r="T696" s="273"/>
      <c r="U696" s="273"/>
      <c r="V696" s="273"/>
      <c r="W696" s="273"/>
      <c r="X696" s="273"/>
      <c r="Y696" s="273"/>
      <c r="Z696" s="273"/>
      <c r="AA696" s="273"/>
      <c r="AB696" s="273"/>
      <c r="AC696" s="273"/>
      <c r="AD696" s="273"/>
      <c r="AE696" s="273"/>
    </row>
    <row r="697" spans="15:31">
      <c r="O697" s="273"/>
      <c r="P697" s="273"/>
      <c r="Q697" s="273"/>
      <c r="R697" s="273"/>
      <c r="S697" s="273"/>
      <c r="T697" s="273"/>
      <c r="U697" s="273"/>
      <c r="V697" s="273"/>
      <c r="W697" s="273"/>
      <c r="X697" s="273"/>
      <c r="Y697" s="273"/>
      <c r="Z697" s="273"/>
      <c r="AA697" s="273"/>
      <c r="AB697" s="273"/>
      <c r="AC697" s="273"/>
      <c r="AD697" s="273"/>
      <c r="AE697" s="273"/>
    </row>
    <row r="698" spans="15:31">
      <c r="O698" s="273"/>
      <c r="P698" s="273"/>
      <c r="Q698" s="273"/>
      <c r="R698" s="273"/>
      <c r="S698" s="273"/>
      <c r="T698" s="273"/>
      <c r="U698" s="273"/>
      <c r="V698" s="273"/>
      <c r="W698" s="273"/>
      <c r="X698" s="273"/>
      <c r="Y698" s="273"/>
      <c r="Z698" s="273"/>
      <c r="AA698" s="273"/>
      <c r="AB698" s="273"/>
      <c r="AC698" s="273"/>
      <c r="AD698" s="273"/>
      <c r="AE698" s="273"/>
    </row>
    <row r="699" spans="15:31">
      <c r="O699" s="273"/>
      <c r="P699" s="273"/>
      <c r="Q699" s="273"/>
      <c r="R699" s="273"/>
      <c r="S699" s="273"/>
      <c r="T699" s="273"/>
      <c r="U699" s="273"/>
      <c r="V699" s="273"/>
      <c r="W699" s="273"/>
      <c r="X699" s="273"/>
      <c r="Y699" s="273"/>
      <c r="Z699" s="273"/>
      <c r="AA699" s="273"/>
      <c r="AB699" s="273"/>
      <c r="AC699" s="273"/>
      <c r="AD699" s="273"/>
      <c r="AE699" s="273"/>
    </row>
    <row r="700" spans="15:31">
      <c r="O700" s="273"/>
      <c r="P700" s="273"/>
      <c r="Q700" s="273"/>
      <c r="R700" s="273"/>
      <c r="S700" s="273"/>
      <c r="T700" s="273"/>
      <c r="U700" s="273"/>
      <c r="V700" s="273"/>
      <c r="W700" s="273"/>
      <c r="X700" s="273"/>
      <c r="Y700" s="273"/>
      <c r="Z700" s="273"/>
      <c r="AA700" s="273"/>
      <c r="AB700" s="273"/>
      <c r="AC700" s="273"/>
      <c r="AD700" s="273"/>
      <c r="AE700" s="273"/>
    </row>
    <row r="701" spans="15:31">
      <c r="O701" s="273"/>
      <c r="P701" s="273"/>
      <c r="Q701" s="273"/>
      <c r="R701" s="273"/>
      <c r="S701" s="273"/>
      <c r="T701" s="273"/>
      <c r="U701" s="273"/>
      <c r="V701" s="273"/>
      <c r="W701" s="273"/>
      <c r="X701" s="273"/>
      <c r="Y701" s="273"/>
      <c r="Z701" s="273"/>
      <c r="AA701" s="273"/>
      <c r="AB701" s="273"/>
      <c r="AC701" s="273"/>
      <c r="AD701" s="273"/>
      <c r="AE701" s="273"/>
    </row>
    <row r="702" spans="15:31">
      <c r="O702" s="273"/>
      <c r="P702" s="273"/>
      <c r="Q702" s="273"/>
      <c r="R702" s="273"/>
      <c r="S702" s="273"/>
      <c r="T702" s="273"/>
      <c r="U702" s="273"/>
      <c r="V702" s="273"/>
      <c r="W702" s="273"/>
      <c r="X702" s="273"/>
      <c r="Y702" s="273"/>
      <c r="Z702" s="273"/>
      <c r="AA702" s="273"/>
      <c r="AB702" s="273"/>
      <c r="AC702" s="273"/>
      <c r="AD702" s="273"/>
      <c r="AE702" s="273"/>
    </row>
    <row r="703" spans="15:31">
      <c r="O703" s="273"/>
      <c r="P703" s="273"/>
      <c r="Q703" s="273"/>
      <c r="R703" s="273"/>
      <c r="S703" s="273"/>
      <c r="T703" s="273"/>
      <c r="U703" s="273"/>
      <c r="V703" s="273"/>
      <c r="W703" s="273"/>
      <c r="X703" s="273"/>
      <c r="Y703" s="273"/>
      <c r="Z703" s="273"/>
      <c r="AA703" s="273"/>
      <c r="AB703" s="273"/>
      <c r="AC703" s="273"/>
      <c r="AD703" s="273"/>
      <c r="AE703" s="273"/>
    </row>
    <row r="704" spans="15:31">
      <c r="O704" s="273"/>
      <c r="P704" s="273"/>
      <c r="Q704" s="273"/>
      <c r="R704" s="273"/>
      <c r="S704" s="273"/>
      <c r="T704" s="273"/>
      <c r="U704" s="273"/>
      <c r="V704" s="273"/>
      <c r="W704" s="273"/>
      <c r="X704" s="273"/>
      <c r="Y704" s="273"/>
      <c r="Z704" s="273"/>
      <c r="AA704" s="273"/>
      <c r="AB704" s="273"/>
      <c r="AC704" s="273"/>
      <c r="AD704" s="273"/>
      <c r="AE704" s="273"/>
    </row>
    <row r="705" spans="15:31">
      <c r="O705" s="273"/>
      <c r="P705" s="273"/>
      <c r="Q705" s="273"/>
      <c r="R705" s="273"/>
      <c r="S705" s="273"/>
      <c r="T705" s="273"/>
      <c r="U705" s="273"/>
      <c r="V705" s="273"/>
      <c r="W705" s="273"/>
      <c r="X705" s="273"/>
      <c r="Y705" s="273"/>
      <c r="Z705" s="273"/>
      <c r="AA705" s="273"/>
      <c r="AB705" s="273"/>
      <c r="AC705" s="273"/>
      <c r="AD705" s="273"/>
      <c r="AE705" s="273"/>
    </row>
    <row r="706" spans="15:31">
      <c r="O706" s="273"/>
      <c r="P706" s="273"/>
      <c r="Q706" s="273"/>
      <c r="R706" s="273"/>
      <c r="S706" s="273"/>
      <c r="T706" s="273"/>
      <c r="U706" s="273"/>
      <c r="V706" s="273"/>
      <c r="W706" s="273"/>
      <c r="X706" s="273"/>
      <c r="Y706" s="273"/>
      <c r="Z706" s="273"/>
      <c r="AA706" s="273"/>
      <c r="AB706" s="273"/>
      <c r="AC706" s="273"/>
      <c r="AD706" s="273"/>
      <c r="AE706" s="273"/>
    </row>
    <row r="707" spans="15:31">
      <c r="O707" s="273"/>
      <c r="P707" s="273"/>
      <c r="Q707" s="273"/>
      <c r="R707" s="273"/>
      <c r="S707" s="273"/>
      <c r="T707" s="273"/>
      <c r="U707" s="273"/>
      <c r="V707" s="273"/>
      <c r="W707" s="273"/>
      <c r="X707" s="273"/>
      <c r="Y707" s="273"/>
      <c r="Z707" s="273"/>
      <c r="AA707" s="273"/>
      <c r="AB707" s="273"/>
      <c r="AC707" s="273"/>
      <c r="AD707" s="273"/>
      <c r="AE707" s="273"/>
    </row>
    <row r="708" spans="15:31">
      <c r="O708" s="273"/>
      <c r="P708" s="273"/>
      <c r="Q708" s="273"/>
      <c r="R708" s="273"/>
      <c r="S708" s="273"/>
      <c r="T708" s="273"/>
      <c r="U708" s="273"/>
      <c r="V708" s="273"/>
      <c r="W708" s="273"/>
      <c r="X708" s="273"/>
      <c r="Y708" s="273"/>
      <c r="Z708" s="273"/>
      <c r="AA708" s="273"/>
      <c r="AB708" s="273"/>
      <c r="AC708" s="273"/>
      <c r="AD708" s="273"/>
      <c r="AE708" s="273"/>
    </row>
    <row r="709" spans="15:31">
      <c r="O709" s="273"/>
      <c r="P709" s="273"/>
      <c r="Q709" s="273"/>
      <c r="R709" s="273"/>
      <c r="S709" s="273"/>
      <c r="T709" s="273"/>
      <c r="U709" s="273"/>
      <c r="V709" s="273"/>
      <c r="W709" s="273"/>
      <c r="X709" s="273"/>
      <c r="Y709" s="273"/>
      <c r="Z709" s="273"/>
      <c r="AA709" s="273"/>
      <c r="AB709" s="273"/>
      <c r="AC709" s="273"/>
      <c r="AD709" s="273"/>
      <c r="AE709" s="273"/>
    </row>
    <row r="710" spans="15:31">
      <c r="O710" s="273"/>
      <c r="P710" s="273"/>
      <c r="Q710" s="273"/>
      <c r="R710" s="273"/>
      <c r="S710" s="273"/>
      <c r="T710" s="273"/>
      <c r="U710" s="273"/>
      <c r="V710" s="273"/>
      <c r="W710" s="273"/>
      <c r="X710" s="273"/>
      <c r="Y710" s="273"/>
      <c r="Z710" s="273"/>
      <c r="AA710" s="273"/>
      <c r="AB710" s="273"/>
      <c r="AC710" s="273"/>
      <c r="AD710" s="273"/>
      <c r="AE710" s="273"/>
    </row>
    <row r="711" spans="15:31">
      <c r="O711" s="273"/>
      <c r="P711" s="273"/>
      <c r="Q711" s="273"/>
      <c r="R711" s="273"/>
      <c r="S711" s="273"/>
      <c r="T711" s="273"/>
      <c r="U711" s="273"/>
      <c r="V711" s="273"/>
      <c r="W711" s="273"/>
      <c r="X711" s="273"/>
      <c r="Y711" s="273"/>
      <c r="Z711" s="273"/>
      <c r="AA711" s="273"/>
      <c r="AB711" s="273"/>
      <c r="AC711" s="273"/>
      <c r="AD711" s="273"/>
      <c r="AE711" s="273"/>
    </row>
    <row r="712" spans="15:31">
      <c r="O712" s="273"/>
      <c r="P712" s="273"/>
      <c r="Q712" s="273"/>
      <c r="R712" s="273"/>
      <c r="S712" s="273"/>
      <c r="T712" s="273"/>
      <c r="U712" s="273"/>
      <c r="V712" s="273"/>
      <c r="W712" s="273"/>
      <c r="X712" s="273"/>
      <c r="Y712" s="273"/>
      <c r="Z712" s="273"/>
      <c r="AA712" s="273"/>
      <c r="AB712" s="273"/>
      <c r="AC712" s="273"/>
      <c r="AD712" s="273"/>
      <c r="AE712" s="273"/>
    </row>
    <row r="713" spans="15:31">
      <c r="O713" s="273"/>
      <c r="P713" s="273"/>
      <c r="Q713" s="273"/>
      <c r="R713" s="273"/>
      <c r="S713" s="273"/>
      <c r="T713" s="273"/>
      <c r="U713" s="273"/>
      <c r="V713" s="273"/>
      <c r="W713" s="273"/>
      <c r="X713" s="273"/>
      <c r="Y713" s="273"/>
      <c r="Z713" s="273"/>
      <c r="AA713" s="273"/>
      <c r="AB713" s="273"/>
      <c r="AC713" s="273"/>
      <c r="AD713" s="273"/>
      <c r="AE713" s="273"/>
    </row>
    <row r="714" spans="15:31">
      <c r="O714" s="273"/>
      <c r="P714" s="273"/>
      <c r="Q714" s="273"/>
      <c r="R714" s="273"/>
      <c r="S714" s="273"/>
      <c r="T714" s="273"/>
      <c r="U714" s="273"/>
      <c r="V714" s="273"/>
      <c r="W714" s="273"/>
      <c r="X714" s="273"/>
      <c r="Y714" s="273"/>
      <c r="Z714" s="273"/>
      <c r="AA714" s="273"/>
      <c r="AB714" s="273"/>
      <c r="AC714" s="273"/>
      <c r="AD714" s="273"/>
      <c r="AE714" s="273"/>
    </row>
    <row r="715" spans="15:31">
      <c r="O715" s="273"/>
      <c r="P715" s="273"/>
      <c r="Q715" s="273"/>
      <c r="R715" s="273"/>
      <c r="S715" s="273"/>
      <c r="T715" s="273"/>
      <c r="U715" s="273"/>
      <c r="V715" s="273"/>
      <c r="W715" s="273"/>
      <c r="X715" s="273"/>
      <c r="Y715" s="273"/>
      <c r="Z715" s="273"/>
      <c r="AA715" s="273"/>
      <c r="AB715" s="273"/>
      <c r="AC715" s="273"/>
      <c r="AD715" s="273"/>
      <c r="AE715" s="273"/>
    </row>
    <row r="716" spans="15:31">
      <c r="O716" s="273"/>
      <c r="P716" s="273"/>
      <c r="Q716" s="273"/>
      <c r="R716" s="273"/>
      <c r="S716" s="273"/>
      <c r="T716" s="273"/>
      <c r="U716" s="273"/>
      <c r="V716" s="273"/>
      <c r="W716" s="273"/>
      <c r="X716" s="273"/>
      <c r="Y716" s="273"/>
      <c r="Z716" s="273"/>
      <c r="AA716" s="273"/>
      <c r="AB716" s="273"/>
      <c r="AC716" s="273"/>
      <c r="AD716" s="273"/>
      <c r="AE716" s="273"/>
    </row>
    <row r="717" spans="15:31">
      <c r="O717" s="273"/>
      <c r="P717" s="273"/>
      <c r="Q717" s="273"/>
      <c r="R717" s="273"/>
      <c r="S717" s="273"/>
      <c r="T717" s="273"/>
      <c r="U717" s="273"/>
      <c r="V717" s="273"/>
      <c r="W717" s="273"/>
      <c r="X717" s="273"/>
      <c r="Y717" s="273"/>
      <c r="Z717" s="273"/>
      <c r="AA717" s="273"/>
      <c r="AB717" s="273"/>
      <c r="AC717" s="273"/>
      <c r="AD717" s="273"/>
      <c r="AE717" s="273"/>
    </row>
    <row r="718" spans="15:31">
      <c r="O718" s="273"/>
      <c r="P718" s="273"/>
      <c r="Q718" s="273"/>
      <c r="R718" s="273"/>
      <c r="S718" s="273"/>
      <c r="T718" s="273"/>
      <c r="U718" s="273"/>
      <c r="V718" s="273"/>
      <c r="W718" s="273"/>
      <c r="X718" s="273"/>
      <c r="Y718" s="273"/>
      <c r="Z718" s="273"/>
      <c r="AA718" s="273"/>
      <c r="AB718" s="273"/>
      <c r="AC718" s="273"/>
      <c r="AD718" s="273"/>
      <c r="AE718" s="273"/>
    </row>
    <row r="719" spans="15:31">
      <c r="O719" s="273"/>
      <c r="P719" s="273"/>
      <c r="Q719" s="273"/>
      <c r="R719" s="273"/>
      <c r="S719" s="273"/>
      <c r="T719" s="273"/>
      <c r="U719" s="273"/>
      <c r="V719" s="273"/>
      <c r="W719" s="273"/>
      <c r="X719" s="273"/>
      <c r="Y719" s="273"/>
      <c r="Z719" s="273"/>
      <c r="AA719" s="273"/>
      <c r="AB719" s="273"/>
      <c r="AC719" s="273"/>
      <c r="AD719" s="273"/>
      <c r="AE719" s="273"/>
    </row>
    <row r="720" spans="15:31">
      <c r="O720" s="273"/>
      <c r="P720" s="273"/>
      <c r="Q720" s="273"/>
      <c r="R720" s="273"/>
      <c r="S720" s="273"/>
      <c r="T720" s="273"/>
      <c r="U720" s="273"/>
      <c r="V720" s="273"/>
      <c r="W720" s="273"/>
      <c r="X720" s="273"/>
      <c r="Y720" s="273"/>
      <c r="Z720" s="273"/>
      <c r="AA720" s="273"/>
      <c r="AB720" s="273"/>
      <c r="AC720" s="273"/>
      <c r="AD720" s="273"/>
      <c r="AE720" s="273"/>
    </row>
    <row r="721" spans="15:31">
      <c r="O721" s="273"/>
      <c r="P721" s="273"/>
      <c r="Q721" s="273"/>
      <c r="R721" s="273"/>
      <c r="S721" s="273"/>
      <c r="T721" s="273"/>
      <c r="U721" s="273"/>
      <c r="V721" s="273"/>
      <c r="W721" s="273"/>
      <c r="X721" s="273"/>
      <c r="Y721" s="273"/>
      <c r="Z721" s="273"/>
      <c r="AA721" s="273"/>
      <c r="AB721" s="273"/>
      <c r="AC721" s="273"/>
      <c r="AD721" s="273"/>
      <c r="AE721" s="273"/>
    </row>
    <row r="722" spans="15:31">
      <c r="O722" s="273"/>
      <c r="P722" s="273"/>
      <c r="Q722" s="273"/>
      <c r="R722" s="273"/>
      <c r="S722" s="273"/>
      <c r="T722" s="273"/>
      <c r="U722" s="273"/>
      <c r="V722" s="273"/>
      <c r="W722" s="273"/>
      <c r="X722" s="273"/>
      <c r="Y722" s="273"/>
      <c r="Z722" s="273"/>
      <c r="AA722" s="273"/>
      <c r="AB722" s="273"/>
      <c r="AC722" s="273"/>
      <c r="AD722" s="273"/>
      <c r="AE722" s="273"/>
    </row>
    <row r="723" spans="15:31">
      <c r="O723" s="273"/>
      <c r="P723" s="273"/>
      <c r="Q723" s="273"/>
      <c r="R723" s="273"/>
      <c r="S723" s="273"/>
      <c r="T723" s="273"/>
      <c r="U723" s="273"/>
      <c r="V723" s="273"/>
      <c r="W723" s="273"/>
      <c r="X723" s="273"/>
      <c r="Y723" s="273"/>
      <c r="Z723" s="273"/>
      <c r="AA723" s="273"/>
      <c r="AB723" s="273"/>
      <c r="AC723" s="273"/>
      <c r="AD723" s="273"/>
      <c r="AE723" s="273"/>
    </row>
    <row r="724" spans="15:31">
      <c r="O724" s="273"/>
      <c r="P724" s="273"/>
      <c r="Q724" s="273"/>
      <c r="R724" s="273"/>
      <c r="S724" s="273"/>
      <c r="T724" s="273"/>
      <c r="U724" s="273"/>
      <c r="V724" s="273"/>
      <c r="W724" s="273"/>
      <c r="X724" s="273"/>
      <c r="Y724" s="273"/>
      <c r="Z724" s="273"/>
      <c r="AA724" s="273"/>
      <c r="AB724" s="273"/>
      <c r="AC724" s="273"/>
      <c r="AD724" s="273"/>
      <c r="AE724" s="273"/>
    </row>
    <row r="725" spans="15:31">
      <c r="O725" s="273"/>
      <c r="P725" s="273"/>
      <c r="Q725" s="273"/>
      <c r="R725" s="273"/>
      <c r="S725" s="273"/>
      <c r="T725" s="273"/>
      <c r="U725" s="273"/>
      <c r="V725" s="273"/>
      <c r="W725" s="273"/>
      <c r="X725" s="273"/>
      <c r="Y725" s="273"/>
      <c r="Z725" s="273"/>
      <c r="AA725" s="273"/>
      <c r="AB725" s="273"/>
      <c r="AC725" s="273"/>
      <c r="AD725" s="273"/>
      <c r="AE725" s="273"/>
    </row>
    <row r="726" spans="15:31">
      <c r="O726" s="273"/>
      <c r="P726" s="273"/>
      <c r="Q726" s="273"/>
      <c r="R726" s="273"/>
      <c r="S726" s="273"/>
      <c r="T726" s="273"/>
      <c r="U726" s="273"/>
      <c r="V726" s="273"/>
      <c r="W726" s="273"/>
      <c r="X726" s="273"/>
      <c r="Y726" s="273"/>
      <c r="Z726" s="273"/>
      <c r="AA726" s="273"/>
      <c r="AB726" s="273"/>
      <c r="AC726" s="273"/>
      <c r="AD726" s="273"/>
      <c r="AE726" s="273"/>
    </row>
    <row r="727" spans="15:31">
      <c r="O727" s="273"/>
      <c r="P727" s="273"/>
      <c r="Q727" s="273"/>
      <c r="R727" s="273"/>
      <c r="S727" s="273"/>
      <c r="T727" s="273"/>
      <c r="U727" s="273"/>
      <c r="V727" s="273"/>
      <c r="W727" s="273"/>
      <c r="X727" s="273"/>
      <c r="Y727" s="273"/>
      <c r="Z727" s="273"/>
      <c r="AA727" s="273"/>
      <c r="AB727" s="273"/>
      <c r="AC727" s="273"/>
      <c r="AD727" s="273"/>
      <c r="AE727" s="273"/>
    </row>
    <row r="728" spans="15:31">
      <c r="O728" s="273"/>
      <c r="P728" s="273"/>
      <c r="Q728" s="273"/>
      <c r="R728" s="273"/>
      <c r="S728" s="273"/>
      <c r="T728" s="273"/>
      <c r="U728" s="273"/>
      <c r="V728" s="273"/>
      <c r="W728" s="273"/>
      <c r="X728" s="273"/>
      <c r="Y728" s="273"/>
      <c r="Z728" s="273"/>
      <c r="AA728" s="273"/>
      <c r="AB728" s="273"/>
      <c r="AC728" s="273"/>
      <c r="AD728" s="273"/>
      <c r="AE728" s="273"/>
    </row>
    <row r="729" spans="15:31">
      <c r="O729" s="273"/>
      <c r="P729" s="273"/>
      <c r="Q729" s="273"/>
      <c r="R729" s="273"/>
      <c r="S729" s="273"/>
      <c r="T729" s="273"/>
      <c r="U729" s="273"/>
      <c r="V729" s="273"/>
      <c r="W729" s="273"/>
      <c r="X729" s="273"/>
      <c r="Y729" s="273"/>
      <c r="Z729" s="273"/>
      <c r="AA729" s="273"/>
      <c r="AB729" s="273"/>
      <c r="AC729" s="273"/>
      <c r="AD729" s="273"/>
      <c r="AE729" s="273"/>
    </row>
    <row r="730" spans="15:31">
      <c r="O730" s="273"/>
      <c r="P730" s="273"/>
      <c r="Q730" s="273"/>
      <c r="R730" s="273"/>
      <c r="S730" s="273"/>
      <c r="T730" s="273"/>
      <c r="U730" s="273"/>
      <c r="V730" s="273"/>
      <c r="W730" s="273"/>
      <c r="X730" s="273"/>
      <c r="Y730" s="273"/>
      <c r="Z730" s="273"/>
      <c r="AA730" s="273"/>
      <c r="AB730" s="273"/>
      <c r="AC730" s="273"/>
      <c r="AD730" s="273"/>
      <c r="AE730" s="273"/>
    </row>
    <row r="731" spans="15:31">
      <c r="O731" s="273"/>
      <c r="P731" s="273"/>
      <c r="Q731" s="273"/>
      <c r="R731" s="273"/>
      <c r="S731" s="273"/>
      <c r="T731" s="273"/>
      <c r="U731" s="273"/>
      <c r="V731" s="273"/>
      <c r="W731" s="273"/>
      <c r="X731" s="273"/>
      <c r="Y731" s="273"/>
      <c r="Z731" s="273"/>
      <c r="AA731" s="273"/>
      <c r="AB731" s="273"/>
      <c r="AC731" s="273"/>
      <c r="AD731" s="273"/>
      <c r="AE731" s="273"/>
    </row>
    <row r="732" spans="15:31">
      <c r="O732" s="273"/>
      <c r="P732" s="273"/>
      <c r="Q732" s="273"/>
      <c r="R732" s="273"/>
      <c r="S732" s="273"/>
      <c r="T732" s="273"/>
      <c r="U732" s="273"/>
      <c r="V732" s="273"/>
      <c r="W732" s="273"/>
      <c r="X732" s="273"/>
      <c r="Y732" s="273"/>
      <c r="Z732" s="273"/>
      <c r="AA732" s="273"/>
      <c r="AB732" s="273"/>
      <c r="AC732" s="273"/>
      <c r="AD732" s="273"/>
      <c r="AE732" s="273"/>
    </row>
    <row r="733" spans="15:31">
      <c r="O733" s="273"/>
      <c r="P733" s="273"/>
      <c r="Q733" s="273"/>
      <c r="R733" s="273"/>
      <c r="S733" s="273"/>
      <c r="T733" s="273"/>
      <c r="U733" s="273"/>
      <c r="V733" s="273"/>
      <c r="W733" s="273"/>
      <c r="X733" s="273"/>
      <c r="Y733" s="273"/>
      <c r="Z733" s="273"/>
      <c r="AA733" s="273"/>
      <c r="AB733" s="273"/>
      <c r="AC733" s="273"/>
      <c r="AD733" s="273"/>
      <c r="AE733" s="273"/>
    </row>
    <row r="734" spans="15:31">
      <c r="O734" s="273"/>
      <c r="P734" s="273"/>
      <c r="Q734" s="273"/>
      <c r="R734" s="273"/>
      <c r="S734" s="273"/>
      <c r="T734" s="273"/>
      <c r="U734" s="273"/>
      <c r="V734" s="273"/>
      <c r="W734" s="273"/>
      <c r="X734" s="273"/>
      <c r="Y734" s="273"/>
      <c r="Z734" s="273"/>
      <c r="AA734" s="273"/>
      <c r="AB734" s="273"/>
      <c r="AC734" s="273"/>
      <c r="AD734" s="273"/>
      <c r="AE734" s="273"/>
    </row>
    <row r="735" spans="15:31">
      <c r="O735" s="273"/>
      <c r="P735" s="273"/>
      <c r="Q735" s="273"/>
      <c r="R735" s="273"/>
      <c r="S735" s="273"/>
      <c r="T735" s="273"/>
      <c r="U735" s="273"/>
      <c r="V735" s="273"/>
      <c r="W735" s="273"/>
      <c r="X735" s="273"/>
      <c r="Y735" s="273"/>
      <c r="Z735" s="273"/>
      <c r="AA735" s="273"/>
      <c r="AB735" s="273"/>
      <c r="AC735" s="273"/>
      <c r="AD735" s="273"/>
      <c r="AE735" s="273"/>
    </row>
    <row r="736" spans="15:31">
      <c r="O736" s="273"/>
      <c r="P736" s="273"/>
      <c r="Q736" s="273"/>
      <c r="R736" s="273"/>
      <c r="S736" s="273"/>
      <c r="T736" s="273"/>
      <c r="U736" s="273"/>
      <c r="V736" s="273"/>
      <c r="W736" s="273"/>
      <c r="X736" s="273"/>
      <c r="Y736" s="273"/>
      <c r="Z736" s="273"/>
      <c r="AA736" s="273"/>
      <c r="AB736" s="273"/>
      <c r="AC736" s="273"/>
      <c r="AD736" s="273"/>
      <c r="AE736" s="273"/>
    </row>
    <row r="737" spans="15:31">
      <c r="O737" s="273"/>
      <c r="P737" s="273"/>
      <c r="Q737" s="273"/>
      <c r="R737" s="273"/>
      <c r="S737" s="273"/>
      <c r="T737" s="273"/>
      <c r="U737" s="273"/>
      <c r="V737" s="273"/>
      <c r="W737" s="273"/>
      <c r="X737" s="273"/>
      <c r="Y737" s="273"/>
      <c r="Z737" s="273"/>
      <c r="AA737" s="273"/>
      <c r="AB737" s="273"/>
      <c r="AC737" s="273"/>
      <c r="AD737" s="273"/>
      <c r="AE737" s="273"/>
    </row>
    <row r="738" spans="15:31">
      <c r="O738" s="273"/>
      <c r="P738" s="273"/>
      <c r="Q738" s="273"/>
      <c r="R738" s="273"/>
      <c r="S738" s="273"/>
      <c r="T738" s="273"/>
      <c r="U738" s="273"/>
      <c r="V738" s="273"/>
      <c r="W738" s="273"/>
      <c r="X738" s="273"/>
      <c r="Y738" s="273"/>
      <c r="Z738" s="273"/>
      <c r="AA738" s="273"/>
      <c r="AB738" s="273"/>
      <c r="AC738" s="273"/>
      <c r="AD738" s="273"/>
      <c r="AE738" s="273"/>
    </row>
    <row r="739" spans="15:31">
      <c r="O739" s="273"/>
      <c r="P739" s="273"/>
      <c r="Q739" s="273"/>
      <c r="R739" s="273"/>
      <c r="S739" s="273"/>
      <c r="T739" s="273"/>
      <c r="U739" s="273"/>
      <c r="V739" s="273"/>
      <c r="W739" s="273"/>
      <c r="X739" s="273"/>
      <c r="Y739" s="273"/>
      <c r="Z739" s="273"/>
      <c r="AA739" s="273"/>
      <c r="AB739" s="273"/>
      <c r="AC739" s="273"/>
      <c r="AD739" s="273"/>
      <c r="AE739" s="273"/>
    </row>
    <row r="740" spans="15:31">
      <c r="O740" s="273"/>
      <c r="P740" s="273"/>
      <c r="Q740" s="273"/>
      <c r="R740" s="273"/>
      <c r="S740" s="273"/>
      <c r="T740" s="273"/>
      <c r="U740" s="273"/>
      <c r="V740" s="273"/>
      <c r="W740" s="273"/>
      <c r="X740" s="273"/>
      <c r="Y740" s="273"/>
      <c r="Z740" s="273"/>
      <c r="AA740" s="273"/>
      <c r="AB740" s="273"/>
      <c r="AC740" s="273"/>
      <c r="AD740" s="273"/>
      <c r="AE740" s="273"/>
    </row>
    <row r="741" spans="15:31">
      <c r="O741" s="273"/>
      <c r="P741" s="273"/>
      <c r="Q741" s="273"/>
      <c r="R741" s="273"/>
      <c r="S741" s="273"/>
      <c r="T741" s="273"/>
      <c r="U741" s="273"/>
      <c r="V741" s="273"/>
      <c r="W741" s="273"/>
      <c r="X741" s="273"/>
      <c r="Y741" s="273"/>
      <c r="Z741" s="273"/>
      <c r="AA741" s="273"/>
      <c r="AB741" s="273"/>
      <c r="AC741" s="273"/>
      <c r="AD741" s="273"/>
      <c r="AE741" s="273"/>
    </row>
    <row r="742" spans="15:31">
      <c r="O742" s="273"/>
      <c r="P742" s="273"/>
      <c r="Q742" s="273"/>
      <c r="R742" s="273"/>
      <c r="S742" s="273"/>
      <c r="T742" s="273"/>
      <c r="U742" s="273"/>
      <c r="V742" s="273"/>
      <c r="W742" s="273"/>
      <c r="X742" s="273"/>
      <c r="Y742" s="273"/>
      <c r="Z742" s="273"/>
      <c r="AA742" s="273"/>
      <c r="AB742" s="273"/>
      <c r="AC742" s="273"/>
      <c r="AD742" s="273"/>
      <c r="AE742" s="273"/>
    </row>
    <row r="743" spans="15:31">
      <c r="O743" s="273"/>
      <c r="P743" s="273"/>
      <c r="Q743" s="273"/>
      <c r="R743" s="273"/>
      <c r="S743" s="273"/>
      <c r="T743" s="273"/>
      <c r="U743" s="273"/>
      <c r="V743" s="273"/>
      <c r="W743" s="273"/>
      <c r="X743" s="273"/>
      <c r="Y743" s="273"/>
      <c r="Z743" s="273"/>
      <c r="AA743" s="273"/>
      <c r="AB743" s="273"/>
      <c r="AC743" s="273"/>
      <c r="AD743" s="273"/>
      <c r="AE743" s="273"/>
    </row>
    <row r="744" spans="15:31">
      <c r="O744" s="273"/>
      <c r="P744" s="273"/>
      <c r="Q744" s="273"/>
      <c r="R744" s="273"/>
      <c r="S744" s="273"/>
      <c r="T744" s="273"/>
      <c r="U744" s="273"/>
      <c r="V744" s="273"/>
      <c r="W744" s="273"/>
      <c r="X744" s="273"/>
      <c r="Y744" s="273"/>
      <c r="Z744" s="273"/>
      <c r="AA744" s="273"/>
      <c r="AB744" s="273"/>
      <c r="AC744" s="273"/>
      <c r="AD744" s="273"/>
      <c r="AE744" s="273"/>
    </row>
    <row r="745" spans="15:31">
      <c r="O745" s="273"/>
      <c r="P745" s="273"/>
      <c r="Q745" s="273"/>
      <c r="R745" s="273"/>
      <c r="S745" s="273"/>
      <c r="T745" s="273"/>
      <c r="U745" s="273"/>
      <c r="V745" s="273"/>
      <c r="W745" s="273"/>
      <c r="X745" s="273"/>
      <c r="Y745" s="273"/>
      <c r="Z745" s="273"/>
      <c r="AA745" s="273"/>
      <c r="AB745" s="273"/>
      <c r="AC745" s="273"/>
      <c r="AD745" s="273"/>
      <c r="AE745" s="273"/>
    </row>
    <row r="746" spans="15:31">
      <c r="O746" s="273"/>
      <c r="P746" s="273"/>
      <c r="Q746" s="273"/>
      <c r="R746" s="273"/>
      <c r="S746" s="273"/>
      <c r="T746" s="273"/>
      <c r="U746" s="273"/>
      <c r="V746" s="273"/>
      <c r="W746" s="273"/>
      <c r="X746" s="273"/>
      <c r="Y746" s="273"/>
      <c r="Z746" s="273"/>
      <c r="AA746" s="273"/>
      <c r="AB746" s="273"/>
      <c r="AC746" s="273"/>
      <c r="AD746" s="273"/>
      <c r="AE746" s="273"/>
    </row>
    <row r="747" spans="15:31">
      <c r="O747" s="273"/>
      <c r="P747" s="273"/>
      <c r="Q747" s="273"/>
      <c r="R747" s="273"/>
      <c r="S747" s="273"/>
      <c r="T747" s="273"/>
      <c r="U747" s="273"/>
      <c r="V747" s="273"/>
      <c r="W747" s="273"/>
      <c r="X747" s="273"/>
      <c r="Y747" s="273"/>
      <c r="Z747" s="273"/>
      <c r="AA747" s="273"/>
      <c r="AB747" s="273"/>
      <c r="AC747" s="273"/>
      <c r="AD747" s="273"/>
      <c r="AE747" s="273"/>
    </row>
    <row r="748" spans="15:31">
      <c r="O748" s="273"/>
      <c r="P748" s="273"/>
      <c r="Q748" s="273"/>
      <c r="R748" s="273"/>
      <c r="S748" s="273"/>
      <c r="T748" s="273"/>
      <c r="U748" s="273"/>
      <c r="V748" s="273"/>
      <c r="W748" s="273"/>
      <c r="X748" s="273"/>
      <c r="Y748" s="273"/>
      <c r="Z748" s="273"/>
      <c r="AA748" s="273"/>
      <c r="AB748" s="273"/>
      <c r="AC748" s="273"/>
      <c r="AD748" s="273"/>
      <c r="AE748" s="273"/>
    </row>
    <row r="749" spans="15:31">
      <c r="O749" s="273"/>
      <c r="P749" s="273"/>
      <c r="Q749" s="273"/>
      <c r="R749" s="273"/>
      <c r="S749" s="273"/>
      <c r="T749" s="273"/>
      <c r="U749" s="273"/>
      <c r="V749" s="273"/>
      <c r="W749" s="273"/>
      <c r="X749" s="273"/>
      <c r="Y749" s="273"/>
      <c r="Z749" s="273"/>
      <c r="AA749" s="273"/>
      <c r="AB749" s="273"/>
      <c r="AC749" s="273"/>
      <c r="AD749" s="273"/>
      <c r="AE749" s="273"/>
    </row>
    <row r="750" spans="15:31">
      <c r="O750" s="273"/>
      <c r="P750" s="273"/>
      <c r="Q750" s="273"/>
      <c r="R750" s="273"/>
      <c r="S750" s="273"/>
      <c r="T750" s="273"/>
      <c r="U750" s="273"/>
      <c r="V750" s="273"/>
      <c r="W750" s="273"/>
      <c r="X750" s="273"/>
      <c r="Y750" s="273"/>
      <c r="Z750" s="273"/>
      <c r="AA750" s="273"/>
      <c r="AB750" s="273"/>
      <c r="AC750" s="273"/>
      <c r="AD750" s="273"/>
      <c r="AE750" s="273"/>
    </row>
    <row r="751" spans="15:31">
      <c r="O751" s="273"/>
      <c r="P751" s="273"/>
      <c r="Q751" s="273"/>
      <c r="R751" s="273"/>
      <c r="S751" s="273"/>
      <c r="T751" s="273"/>
      <c r="U751" s="273"/>
      <c r="V751" s="273"/>
      <c r="W751" s="273"/>
      <c r="X751" s="273"/>
      <c r="Y751" s="273"/>
      <c r="Z751" s="273"/>
      <c r="AA751" s="273"/>
      <c r="AB751" s="273"/>
      <c r="AC751" s="273"/>
      <c r="AD751" s="273"/>
      <c r="AE751" s="273"/>
    </row>
    <row r="752" spans="15:31">
      <c r="O752" s="273"/>
      <c r="P752" s="273"/>
      <c r="Q752" s="273"/>
      <c r="R752" s="273"/>
      <c r="S752" s="273"/>
      <c r="T752" s="273"/>
      <c r="U752" s="273"/>
      <c r="V752" s="273"/>
      <c r="W752" s="273"/>
      <c r="X752" s="273"/>
      <c r="Y752" s="273"/>
      <c r="Z752" s="273"/>
      <c r="AA752" s="273"/>
      <c r="AB752" s="273"/>
      <c r="AC752" s="273"/>
      <c r="AD752" s="273"/>
      <c r="AE752" s="273"/>
    </row>
    <row r="753" spans="15:31">
      <c r="O753" s="273"/>
      <c r="P753" s="273"/>
      <c r="Q753" s="273"/>
      <c r="R753" s="273"/>
      <c r="S753" s="273"/>
      <c r="T753" s="273"/>
      <c r="U753" s="273"/>
      <c r="V753" s="273"/>
      <c r="W753" s="273"/>
      <c r="X753" s="273"/>
      <c r="Y753" s="273"/>
      <c r="Z753" s="273"/>
      <c r="AA753" s="273"/>
      <c r="AB753" s="273"/>
      <c r="AC753" s="273"/>
      <c r="AD753" s="273"/>
      <c r="AE753" s="273"/>
    </row>
    <row r="754" spans="15:31">
      <c r="O754" s="273"/>
      <c r="P754" s="273"/>
      <c r="Q754" s="273"/>
      <c r="R754" s="273"/>
      <c r="S754" s="273"/>
      <c r="T754" s="273"/>
      <c r="U754" s="273"/>
      <c r="V754" s="273"/>
      <c r="W754" s="273"/>
      <c r="X754" s="273"/>
      <c r="Y754" s="273"/>
      <c r="Z754" s="273"/>
      <c r="AA754" s="273"/>
      <c r="AB754" s="273"/>
      <c r="AC754" s="273"/>
      <c r="AD754" s="273"/>
      <c r="AE754" s="273"/>
    </row>
    <row r="755" spans="15:31">
      <c r="O755" s="273"/>
      <c r="P755" s="273"/>
      <c r="Q755" s="273"/>
      <c r="R755" s="273"/>
      <c r="S755" s="273"/>
      <c r="T755" s="273"/>
      <c r="U755" s="273"/>
      <c r="V755" s="273"/>
      <c r="W755" s="273"/>
      <c r="X755" s="273"/>
      <c r="Y755" s="273"/>
      <c r="Z755" s="273"/>
      <c r="AA755" s="273"/>
      <c r="AB755" s="273"/>
      <c r="AC755" s="273"/>
      <c r="AD755" s="273"/>
      <c r="AE755" s="273"/>
    </row>
    <row r="756" spans="15:31">
      <c r="O756" s="273"/>
      <c r="P756" s="273"/>
      <c r="Q756" s="273"/>
      <c r="R756" s="273"/>
      <c r="S756" s="273"/>
      <c r="T756" s="273"/>
      <c r="U756" s="273"/>
      <c r="V756" s="273"/>
      <c r="W756" s="273"/>
      <c r="X756" s="273"/>
      <c r="Y756" s="273"/>
      <c r="Z756" s="273"/>
      <c r="AA756" s="273"/>
      <c r="AB756" s="273"/>
      <c r="AC756" s="273"/>
      <c r="AD756" s="273"/>
      <c r="AE756" s="273"/>
    </row>
    <row r="757" spans="15:31">
      <c r="O757" s="273"/>
      <c r="P757" s="273"/>
      <c r="Q757" s="273"/>
      <c r="R757" s="273"/>
      <c r="S757" s="273"/>
      <c r="T757" s="273"/>
      <c r="U757" s="273"/>
      <c r="V757" s="273"/>
      <c r="W757" s="273"/>
      <c r="X757" s="273"/>
      <c r="Y757" s="273"/>
      <c r="Z757" s="273"/>
      <c r="AA757" s="273"/>
      <c r="AB757" s="273"/>
      <c r="AC757" s="273"/>
      <c r="AD757" s="273"/>
      <c r="AE757" s="273"/>
    </row>
    <row r="758" spans="15:31">
      <c r="O758" s="273"/>
      <c r="P758" s="273"/>
      <c r="Q758" s="273"/>
      <c r="R758" s="273"/>
      <c r="S758" s="273"/>
      <c r="T758" s="273"/>
      <c r="U758" s="273"/>
      <c r="V758" s="273"/>
      <c r="W758" s="273"/>
      <c r="X758" s="273"/>
      <c r="Y758" s="273"/>
      <c r="Z758" s="273"/>
      <c r="AA758" s="273"/>
      <c r="AB758" s="273"/>
      <c r="AC758" s="273"/>
      <c r="AD758" s="273"/>
      <c r="AE758" s="273"/>
    </row>
    <row r="759" spans="15:31">
      <c r="O759" s="273"/>
      <c r="P759" s="273"/>
      <c r="Q759" s="273"/>
      <c r="R759" s="273"/>
      <c r="S759" s="273"/>
      <c r="T759" s="273"/>
      <c r="U759" s="273"/>
      <c r="V759" s="273"/>
      <c r="W759" s="273"/>
      <c r="X759" s="273"/>
      <c r="Y759" s="273"/>
      <c r="Z759" s="273"/>
      <c r="AA759" s="273"/>
      <c r="AB759" s="273"/>
      <c r="AC759" s="273"/>
      <c r="AD759" s="273"/>
      <c r="AE759" s="273"/>
    </row>
    <row r="760" spans="15:31">
      <c r="O760" s="273"/>
      <c r="P760" s="273"/>
      <c r="Q760" s="273"/>
      <c r="R760" s="273"/>
      <c r="S760" s="273"/>
      <c r="T760" s="273"/>
      <c r="U760" s="273"/>
      <c r="V760" s="273"/>
      <c r="W760" s="273"/>
      <c r="X760" s="273"/>
      <c r="Y760" s="273"/>
      <c r="Z760" s="273"/>
      <c r="AA760" s="273"/>
      <c r="AB760" s="273"/>
      <c r="AC760" s="273"/>
      <c r="AD760" s="273"/>
      <c r="AE760" s="273"/>
    </row>
    <row r="761" spans="15:31">
      <c r="O761" s="273"/>
      <c r="P761" s="273"/>
      <c r="Q761" s="273"/>
      <c r="R761" s="273"/>
      <c r="S761" s="273"/>
      <c r="T761" s="273"/>
      <c r="U761" s="273"/>
      <c r="V761" s="273"/>
      <c r="W761" s="273"/>
      <c r="X761" s="273"/>
      <c r="Y761" s="273"/>
      <c r="Z761" s="273"/>
      <c r="AA761" s="273"/>
      <c r="AB761" s="273"/>
      <c r="AC761" s="273"/>
      <c r="AD761" s="273"/>
      <c r="AE761" s="273"/>
    </row>
    <row r="762" spans="15:31">
      <c r="O762" s="273"/>
      <c r="P762" s="273"/>
      <c r="Q762" s="273"/>
      <c r="R762" s="273"/>
      <c r="S762" s="273"/>
      <c r="T762" s="273"/>
      <c r="U762" s="273"/>
      <c r="V762" s="273"/>
      <c r="W762" s="273"/>
      <c r="X762" s="273"/>
      <c r="Y762" s="273"/>
      <c r="Z762" s="273"/>
      <c r="AA762" s="273"/>
      <c r="AB762" s="273"/>
      <c r="AC762" s="273"/>
      <c r="AD762" s="273"/>
      <c r="AE762" s="273"/>
    </row>
    <row r="763" spans="15:31">
      <c r="O763" s="273"/>
      <c r="P763" s="273"/>
      <c r="Q763" s="273"/>
      <c r="R763" s="273"/>
      <c r="S763" s="273"/>
      <c r="T763" s="273"/>
      <c r="U763" s="273"/>
      <c r="V763" s="273"/>
      <c r="W763" s="273"/>
      <c r="X763" s="273"/>
      <c r="Y763" s="273"/>
      <c r="Z763" s="273"/>
      <c r="AA763" s="273"/>
      <c r="AB763" s="273"/>
      <c r="AC763" s="273"/>
      <c r="AD763" s="273"/>
      <c r="AE763" s="273"/>
    </row>
    <row r="764" spans="15:31">
      <c r="O764" s="273"/>
      <c r="P764" s="273"/>
      <c r="Q764" s="273"/>
      <c r="R764" s="273"/>
      <c r="S764" s="273"/>
      <c r="T764" s="273"/>
      <c r="U764" s="273"/>
      <c r="V764" s="273"/>
      <c r="W764" s="273"/>
      <c r="X764" s="273"/>
      <c r="Y764" s="273"/>
      <c r="Z764" s="273"/>
      <c r="AA764" s="273"/>
      <c r="AB764" s="273"/>
      <c r="AC764" s="273"/>
      <c r="AD764" s="273"/>
      <c r="AE764" s="273"/>
    </row>
    <row r="765" spans="15:31">
      <c r="O765" s="273"/>
      <c r="P765" s="273"/>
      <c r="Q765" s="273"/>
      <c r="R765" s="273"/>
      <c r="S765" s="273"/>
      <c r="T765" s="273"/>
      <c r="U765" s="273"/>
      <c r="V765" s="273"/>
      <c r="W765" s="273"/>
      <c r="X765" s="273"/>
      <c r="Y765" s="273"/>
      <c r="Z765" s="273"/>
      <c r="AA765" s="273"/>
      <c r="AB765" s="273"/>
      <c r="AC765" s="273"/>
      <c r="AD765" s="273"/>
      <c r="AE765" s="273"/>
    </row>
    <row r="766" spans="15:31">
      <c r="O766" s="273"/>
      <c r="P766" s="273"/>
      <c r="Q766" s="273"/>
      <c r="R766" s="273"/>
      <c r="S766" s="273"/>
      <c r="T766" s="273"/>
      <c r="U766" s="273"/>
      <c r="V766" s="273"/>
      <c r="W766" s="273"/>
      <c r="X766" s="273"/>
      <c r="Y766" s="273"/>
      <c r="Z766" s="273"/>
      <c r="AA766" s="273"/>
      <c r="AB766" s="273"/>
      <c r="AC766" s="273"/>
      <c r="AD766" s="273"/>
      <c r="AE766" s="273"/>
    </row>
    <row r="767" spans="15:31">
      <c r="O767" s="273"/>
      <c r="P767" s="273"/>
      <c r="Q767" s="273"/>
      <c r="R767" s="273"/>
      <c r="S767" s="273"/>
      <c r="T767" s="273"/>
      <c r="U767" s="273"/>
      <c r="V767" s="273"/>
      <c r="W767" s="273"/>
      <c r="X767" s="273"/>
      <c r="Y767" s="273"/>
      <c r="Z767" s="273"/>
      <c r="AA767" s="273"/>
      <c r="AB767" s="273"/>
      <c r="AC767" s="273"/>
      <c r="AD767" s="273"/>
      <c r="AE767" s="273"/>
    </row>
    <row r="768" spans="15:31">
      <c r="O768" s="273"/>
      <c r="P768" s="273"/>
      <c r="Q768" s="273"/>
      <c r="R768" s="273"/>
      <c r="S768" s="273"/>
      <c r="T768" s="273"/>
      <c r="U768" s="273"/>
      <c r="V768" s="273"/>
      <c r="W768" s="273"/>
      <c r="X768" s="273"/>
      <c r="Y768" s="273"/>
      <c r="Z768" s="273"/>
      <c r="AA768" s="273"/>
      <c r="AB768" s="273"/>
      <c r="AC768" s="273"/>
      <c r="AD768" s="273"/>
      <c r="AE768" s="273"/>
    </row>
    <row r="769" spans="15:31">
      <c r="O769" s="273"/>
      <c r="P769" s="273"/>
      <c r="Q769" s="273"/>
      <c r="R769" s="273"/>
      <c r="S769" s="273"/>
      <c r="T769" s="273"/>
      <c r="U769" s="273"/>
      <c r="V769" s="273"/>
      <c r="W769" s="273"/>
      <c r="X769" s="273"/>
      <c r="Y769" s="273"/>
      <c r="Z769" s="273"/>
      <c r="AA769" s="273"/>
      <c r="AB769" s="273"/>
      <c r="AC769" s="273"/>
      <c r="AD769" s="273"/>
      <c r="AE769" s="273"/>
    </row>
    <row r="770" spans="15:31">
      <c r="O770" s="273"/>
      <c r="P770" s="273"/>
      <c r="Q770" s="273"/>
      <c r="R770" s="273"/>
      <c r="S770" s="273"/>
      <c r="T770" s="273"/>
      <c r="U770" s="273"/>
      <c r="V770" s="273"/>
      <c r="W770" s="273"/>
      <c r="X770" s="273"/>
      <c r="Y770" s="273"/>
      <c r="Z770" s="273"/>
      <c r="AA770" s="273"/>
      <c r="AB770" s="273"/>
      <c r="AC770" s="273"/>
      <c r="AD770" s="273"/>
      <c r="AE770" s="273"/>
    </row>
    <row r="771" spans="15:31">
      <c r="O771" s="273"/>
      <c r="P771" s="273"/>
      <c r="Q771" s="273"/>
      <c r="R771" s="273"/>
      <c r="S771" s="273"/>
      <c r="T771" s="273"/>
      <c r="U771" s="273"/>
      <c r="V771" s="273"/>
      <c r="W771" s="273"/>
      <c r="X771" s="273"/>
      <c r="Y771" s="273"/>
      <c r="Z771" s="273"/>
      <c r="AA771" s="273"/>
      <c r="AB771" s="273"/>
      <c r="AC771" s="273"/>
      <c r="AD771" s="273"/>
      <c r="AE771" s="273"/>
    </row>
    <row r="772" spans="15:31">
      <c r="O772" s="273"/>
      <c r="P772" s="273"/>
      <c r="Q772" s="273"/>
      <c r="R772" s="273"/>
      <c r="S772" s="273"/>
      <c r="T772" s="273"/>
      <c r="U772" s="273"/>
      <c r="V772" s="273"/>
      <c r="W772" s="273"/>
      <c r="X772" s="273"/>
      <c r="Y772" s="273"/>
      <c r="Z772" s="273"/>
      <c r="AA772" s="273"/>
      <c r="AB772" s="273"/>
      <c r="AC772" s="273"/>
      <c r="AD772" s="273"/>
      <c r="AE772" s="273"/>
    </row>
    <row r="773" spans="15:31">
      <c r="O773" s="273"/>
      <c r="P773" s="273"/>
      <c r="Q773" s="273"/>
      <c r="R773" s="273"/>
      <c r="S773" s="273"/>
      <c r="T773" s="273"/>
      <c r="U773" s="273"/>
      <c r="V773" s="273"/>
      <c r="W773" s="273"/>
      <c r="X773" s="273"/>
      <c r="Y773" s="273"/>
      <c r="Z773" s="273"/>
      <c r="AA773" s="273"/>
      <c r="AB773" s="273"/>
      <c r="AC773" s="273"/>
      <c r="AD773" s="273"/>
      <c r="AE773" s="273"/>
    </row>
    <row r="774" spans="15:31">
      <c r="O774" s="273"/>
      <c r="P774" s="273"/>
      <c r="Q774" s="273"/>
      <c r="R774" s="273"/>
      <c r="S774" s="273"/>
      <c r="T774" s="273"/>
      <c r="U774" s="273"/>
      <c r="V774" s="273"/>
      <c r="W774" s="273"/>
      <c r="X774" s="273"/>
      <c r="Y774" s="273"/>
      <c r="Z774" s="273"/>
      <c r="AA774" s="273"/>
      <c r="AB774" s="273"/>
      <c r="AC774" s="273"/>
      <c r="AD774" s="273"/>
      <c r="AE774" s="273"/>
    </row>
    <row r="775" spans="15:31">
      <c r="O775" s="273"/>
      <c r="P775" s="273"/>
      <c r="Q775" s="273"/>
      <c r="R775" s="273"/>
      <c r="S775" s="273"/>
      <c r="T775" s="273"/>
      <c r="U775" s="273"/>
      <c r="V775" s="273"/>
      <c r="W775" s="273"/>
      <c r="X775" s="273"/>
      <c r="Y775" s="273"/>
      <c r="Z775" s="273"/>
      <c r="AA775" s="273"/>
      <c r="AB775" s="273"/>
      <c r="AC775" s="273"/>
      <c r="AD775" s="273"/>
      <c r="AE775" s="273"/>
    </row>
    <row r="776" spans="15:31">
      <c r="O776" s="273"/>
      <c r="P776" s="273"/>
      <c r="Q776" s="273"/>
      <c r="R776" s="273"/>
      <c r="S776" s="273"/>
      <c r="T776" s="273"/>
      <c r="U776" s="273"/>
      <c r="V776" s="273"/>
      <c r="W776" s="273"/>
      <c r="X776" s="273"/>
      <c r="Y776" s="273"/>
      <c r="Z776" s="273"/>
      <c r="AA776" s="273"/>
      <c r="AB776" s="273"/>
      <c r="AC776" s="273"/>
      <c r="AD776" s="273"/>
      <c r="AE776" s="273"/>
    </row>
    <row r="777" spans="15:31">
      <c r="O777" s="273"/>
      <c r="P777" s="273"/>
      <c r="Q777" s="273"/>
      <c r="R777" s="273"/>
      <c r="S777" s="273"/>
      <c r="T777" s="273"/>
      <c r="U777" s="273"/>
      <c r="V777" s="273"/>
      <c r="W777" s="273"/>
      <c r="X777" s="273"/>
      <c r="Y777" s="273"/>
      <c r="Z777" s="273"/>
      <c r="AA777" s="273"/>
      <c r="AB777" s="273"/>
      <c r="AC777" s="273"/>
      <c r="AD777" s="273"/>
      <c r="AE777" s="273"/>
    </row>
    <row r="778" spans="15:31">
      <c r="O778" s="273"/>
      <c r="P778" s="273"/>
      <c r="Q778" s="273"/>
      <c r="R778" s="273"/>
      <c r="S778" s="273"/>
      <c r="T778" s="273"/>
      <c r="U778" s="273"/>
      <c r="V778" s="273"/>
      <c r="W778" s="273"/>
      <c r="X778" s="273"/>
      <c r="Y778" s="273"/>
      <c r="Z778" s="273"/>
      <c r="AA778" s="273"/>
      <c r="AB778" s="273"/>
      <c r="AC778" s="273"/>
      <c r="AD778" s="273"/>
      <c r="AE778" s="273"/>
    </row>
    <row r="779" spans="15:31">
      <c r="O779" s="273"/>
      <c r="P779" s="273"/>
      <c r="Q779" s="273"/>
      <c r="R779" s="273"/>
      <c r="S779" s="273"/>
      <c r="T779" s="273"/>
      <c r="U779" s="273"/>
      <c r="V779" s="273"/>
      <c r="W779" s="273"/>
      <c r="X779" s="273"/>
      <c r="Y779" s="273"/>
      <c r="Z779" s="273"/>
      <c r="AA779" s="273"/>
      <c r="AB779" s="273"/>
      <c r="AC779" s="273"/>
      <c r="AD779" s="273"/>
      <c r="AE779" s="273"/>
    </row>
    <row r="780" spans="15:31">
      <c r="O780" s="273"/>
      <c r="P780" s="273"/>
      <c r="Q780" s="273"/>
      <c r="R780" s="273"/>
      <c r="S780" s="273"/>
      <c r="T780" s="273"/>
      <c r="U780" s="273"/>
      <c r="V780" s="273"/>
      <c r="W780" s="273"/>
      <c r="X780" s="273"/>
      <c r="Y780" s="273"/>
      <c r="Z780" s="273"/>
      <c r="AA780" s="273"/>
      <c r="AB780" s="273"/>
      <c r="AC780" s="273"/>
      <c r="AD780" s="273"/>
      <c r="AE780" s="273"/>
    </row>
    <row r="781" spans="15:31">
      <c r="O781" s="273"/>
      <c r="P781" s="273"/>
      <c r="Q781" s="273"/>
      <c r="R781" s="273"/>
      <c r="S781" s="273"/>
      <c r="T781" s="273"/>
      <c r="U781" s="273"/>
      <c r="V781" s="273"/>
      <c r="W781" s="273"/>
      <c r="X781" s="273"/>
      <c r="Y781" s="273"/>
      <c r="Z781" s="273"/>
      <c r="AA781" s="273"/>
      <c r="AB781" s="273"/>
      <c r="AC781" s="273"/>
      <c r="AD781" s="273"/>
      <c r="AE781" s="273"/>
    </row>
    <row r="782" spans="15:31">
      <c r="O782" s="273"/>
      <c r="P782" s="273"/>
      <c r="Q782" s="273"/>
      <c r="R782" s="273"/>
      <c r="S782" s="273"/>
      <c r="T782" s="273"/>
      <c r="U782" s="273"/>
      <c r="V782" s="273"/>
      <c r="W782" s="273"/>
      <c r="X782" s="273"/>
      <c r="Y782" s="273"/>
      <c r="Z782" s="273"/>
      <c r="AA782" s="273"/>
      <c r="AB782" s="273"/>
      <c r="AC782" s="273"/>
      <c r="AD782" s="273"/>
      <c r="AE782" s="273"/>
    </row>
    <row r="783" spans="15:31">
      <c r="O783" s="273"/>
      <c r="P783" s="273"/>
      <c r="Q783" s="273"/>
      <c r="R783" s="273"/>
      <c r="S783" s="273"/>
      <c r="T783" s="273"/>
      <c r="U783" s="273"/>
      <c r="V783" s="273"/>
      <c r="W783" s="273"/>
      <c r="X783" s="273"/>
      <c r="Y783" s="273"/>
      <c r="Z783" s="273"/>
      <c r="AA783" s="273"/>
      <c r="AB783" s="273"/>
      <c r="AC783" s="273"/>
      <c r="AD783" s="273"/>
      <c r="AE783" s="273"/>
    </row>
    <row r="784" spans="15:31">
      <c r="O784" s="273"/>
      <c r="P784" s="273"/>
      <c r="Q784" s="273"/>
      <c r="R784" s="273"/>
      <c r="S784" s="273"/>
      <c r="T784" s="273"/>
      <c r="U784" s="273"/>
      <c r="V784" s="273"/>
      <c r="W784" s="273"/>
      <c r="X784" s="273"/>
      <c r="Y784" s="273"/>
      <c r="Z784" s="273"/>
      <c r="AA784" s="273"/>
      <c r="AB784" s="273"/>
      <c r="AC784" s="273"/>
      <c r="AD784" s="273"/>
      <c r="AE784" s="273"/>
    </row>
    <row r="785" spans="15:31">
      <c r="O785" s="273"/>
      <c r="P785" s="273"/>
      <c r="Q785" s="273"/>
      <c r="R785" s="273"/>
      <c r="S785" s="273"/>
      <c r="T785" s="273"/>
      <c r="U785" s="273"/>
      <c r="V785" s="273"/>
      <c r="W785" s="273"/>
      <c r="X785" s="273"/>
      <c r="Y785" s="273"/>
      <c r="Z785" s="273"/>
      <c r="AA785" s="273"/>
      <c r="AB785" s="273"/>
      <c r="AC785" s="273"/>
      <c r="AD785" s="273"/>
      <c r="AE785" s="273"/>
    </row>
    <row r="786" spans="15:31">
      <c r="O786" s="273"/>
      <c r="P786" s="273"/>
      <c r="Q786" s="273"/>
      <c r="R786" s="273"/>
      <c r="S786" s="273"/>
      <c r="T786" s="273"/>
      <c r="U786" s="273"/>
      <c r="V786" s="273"/>
      <c r="W786" s="273"/>
      <c r="X786" s="273"/>
      <c r="Y786" s="273"/>
      <c r="Z786" s="273"/>
      <c r="AA786" s="273"/>
      <c r="AB786" s="273"/>
      <c r="AC786" s="273"/>
      <c r="AD786" s="273"/>
      <c r="AE786" s="273"/>
    </row>
    <row r="787" spans="15:31">
      <c r="O787" s="273"/>
      <c r="P787" s="273"/>
      <c r="Q787" s="273"/>
      <c r="R787" s="273"/>
      <c r="S787" s="273"/>
      <c r="T787" s="273"/>
      <c r="U787" s="273"/>
      <c r="V787" s="273"/>
      <c r="W787" s="273"/>
      <c r="X787" s="273"/>
      <c r="Y787" s="273"/>
      <c r="Z787" s="273"/>
      <c r="AA787" s="273"/>
      <c r="AB787" s="273"/>
      <c r="AC787" s="273"/>
      <c r="AD787" s="273"/>
      <c r="AE787" s="273"/>
    </row>
    <row r="788" spans="15:31">
      <c r="O788" s="273"/>
      <c r="P788" s="273"/>
      <c r="Q788" s="273"/>
      <c r="R788" s="273"/>
      <c r="S788" s="273"/>
      <c r="T788" s="273"/>
      <c r="U788" s="273"/>
      <c r="V788" s="273"/>
      <c r="W788" s="273"/>
      <c r="X788" s="273"/>
      <c r="Y788" s="273"/>
      <c r="Z788" s="273"/>
      <c r="AA788" s="273"/>
      <c r="AB788" s="273"/>
      <c r="AC788" s="273"/>
      <c r="AD788" s="273"/>
      <c r="AE788" s="273"/>
    </row>
    <row r="789" spans="15:31">
      <c r="O789" s="273"/>
      <c r="P789" s="273"/>
      <c r="Q789" s="273"/>
      <c r="R789" s="273"/>
      <c r="S789" s="273"/>
      <c r="T789" s="273"/>
      <c r="U789" s="273"/>
      <c r="V789" s="273"/>
      <c r="W789" s="273"/>
      <c r="X789" s="273"/>
      <c r="Y789" s="273"/>
      <c r="Z789" s="273"/>
      <c r="AA789" s="273"/>
      <c r="AB789" s="273"/>
      <c r="AC789" s="273"/>
      <c r="AD789" s="273"/>
      <c r="AE789" s="273"/>
    </row>
    <row r="790" spans="15:31">
      <c r="O790" s="273"/>
      <c r="P790" s="273"/>
      <c r="Q790" s="273"/>
      <c r="R790" s="273"/>
      <c r="S790" s="273"/>
      <c r="T790" s="273"/>
      <c r="U790" s="273"/>
      <c r="V790" s="273"/>
      <c r="W790" s="273"/>
      <c r="X790" s="273"/>
      <c r="Y790" s="273"/>
      <c r="Z790" s="273"/>
      <c r="AA790" s="273"/>
      <c r="AB790" s="273"/>
      <c r="AC790" s="273"/>
      <c r="AD790" s="273"/>
      <c r="AE790" s="273"/>
    </row>
    <row r="791" spans="15:31">
      <c r="O791" s="273"/>
      <c r="P791" s="273"/>
      <c r="Q791" s="273"/>
      <c r="R791" s="273"/>
      <c r="S791" s="273"/>
      <c r="T791" s="273"/>
      <c r="U791" s="273"/>
      <c r="V791" s="273"/>
      <c r="W791" s="273"/>
      <c r="X791" s="273"/>
      <c r="Y791" s="273"/>
      <c r="Z791" s="273"/>
      <c r="AA791" s="273"/>
      <c r="AB791" s="273"/>
      <c r="AC791" s="273"/>
      <c r="AD791" s="273"/>
      <c r="AE791" s="273"/>
    </row>
    <row r="792" spans="15:31">
      <c r="O792" s="273"/>
      <c r="P792" s="273"/>
      <c r="Q792" s="273"/>
      <c r="R792" s="273"/>
      <c r="S792" s="273"/>
      <c r="T792" s="273"/>
      <c r="U792" s="273"/>
      <c r="V792" s="273"/>
      <c r="W792" s="273"/>
      <c r="X792" s="273"/>
      <c r="Y792" s="273"/>
      <c r="Z792" s="273"/>
      <c r="AA792" s="273"/>
      <c r="AB792" s="273"/>
      <c r="AC792" s="273"/>
      <c r="AD792" s="273"/>
      <c r="AE792" s="273"/>
    </row>
    <row r="793" spans="15:31">
      <c r="O793" s="273"/>
      <c r="P793" s="273"/>
      <c r="Q793" s="273"/>
      <c r="R793" s="273"/>
      <c r="S793" s="273"/>
      <c r="T793" s="273"/>
      <c r="U793" s="273"/>
      <c r="V793" s="273"/>
      <c r="W793" s="273"/>
      <c r="X793" s="273"/>
      <c r="Y793" s="273"/>
      <c r="Z793" s="273"/>
      <c r="AA793" s="273"/>
      <c r="AB793" s="273"/>
      <c r="AC793" s="273"/>
      <c r="AD793" s="273"/>
      <c r="AE793" s="273"/>
    </row>
    <row r="794" spans="15:31">
      <c r="O794" s="273"/>
      <c r="P794" s="273"/>
      <c r="Q794" s="273"/>
      <c r="R794" s="273"/>
      <c r="S794" s="273"/>
      <c r="T794" s="273"/>
      <c r="U794" s="273"/>
      <c r="V794" s="273"/>
      <c r="W794" s="273"/>
      <c r="X794" s="273"/>
      <c r="Y794" s="273"/>
      <c r="Z794" s="273"/>
      <c r="AA794" s="273"/>
      <c r="AB794" s="273"/>
      <c r="AC794" s="273"/>
      <c r="AD794" s="273"/>
      <c r="AE794" s="273"/>
    </row>
    <row r="795" spans="15:31">
      <c r="O795" s="273"/>
      <c r="P795" s="273"/>
      <c r="Q795" s="273"/>
      <c r="R795" s="273"/>
      <c r="S795" s="273"/>
      <c r="T795" s="273"/>
      <c r="U795" s="273"/>
      <c r="V795" s="273"/>
      <c r="W795" s="273"/>
      <c r="X795" s="273"/>
      <c r="Y795" s="273"/>
      <c r="Z795" s="273"/>
      <c r="AA795" s="273"/>
      <c r="AB795" s="273"/>
      <c r="AC795" s="273"/>
      <c r="AD795" s="273"/>
      <c r="AE795" s="273"/>
    </row>
    <row r="796" spans="15:31">
      <c r="O796" s="273"/>
      <c r="P796" s="273"/>
      <c r="Q796" s="273"/>
      <c r="R796" s="273"/>
      <c r="S796" s="273"/>
      <c r="T796" s="273"/>
      <c r="U796" s="273"/>
      <c r="V796" s="273"/>
      <c r="W796" s="273"/>
      <c r="X796" s="273"/>
      <c r="Y796" s="273"/>
      <c r="Z796" s="273"/>
      <c r="AA796" s="273"/>
      <c r="AB796" s="273"/>
      <c r="AC796" s="273"/>
      <c r="AD796" s="273"/>
      <c r="AE796" s="273"/>
    </row>
    <row r="797" spans="15:31">
      <c r="O797" s="273"/>
      <c r="P797" s="273"/>
      <c r="Q797" s="273"/>
      <c r="R797" s="273"/>
      <c r="S797" s="273"/>
      <c r="T797" s="273"/>
      <c r="U797" s="273"/>
      <c r="V797" s="273"/>
      <c r="W797" s="273"/>
      <c r="X797" s="273"/>
      <c r="Y797" s="273"/>
      <c r="Z797" s="273"/>
      <c r="AA797" s="273"/>
      <c r="AB797" s="273"/>
      <c r="AC797" s="273"/>
      <c r="AD797" s="273"/>
      <c r="AE797" s="273"/>
    </row>
    <row r="798" spans="15:31">
      <c r="O798" s="273"/>
      <c r="P798" s="273"/>
      <c r="Q798" s="273"/>
      <c r="R798" s="273"/>
      <c r="S798" s="273"/>
      <c r="T798" s="273"/>
      <c r="U798" s="273"/>
      <c r="V798" s="273"/>
      <c r="W798" s="273"/>
      <c r="X798" s="273"/>
      <c r="Y798" s="273"/>
      <c r="Z798" s="273"/>
      <c r="AA798" s="273"/>
      <c r="AB798" s="273"/>
      <c r="AC798" s="273"/>
      <c r="AD798" s="273"/>
      <c r="AE798" s="273"/>
    </row>
    <row r="799" spans="15:31">
      <c r="O799" s="273"/>
      <c r="P799" s="273"/>
      <c r="Q799" s="273"/>
      <c r="R799" s="273"/>
      <c r="S799" s="273"/>
      <c r="T799" s="273"/>
      <c r="U799" s="273"/>
      <c r="V799" s="273"/>
      <c r="W799" s="273"/>
      <c r="X799" s="273"/>
      <c r="Y799" s="273"/>
      <c r="Z799" s="273"/>
      <c r="AA799" s="273"/>
      <c r="AB799" s="273"/>
      <c r="AC799" s="273"/>
      <c r="AD799" s="273"/>
      <c r="AE799" s="273"/>
    </row>
    <row r="800" spans="15:31">
      <c r="O800" s="273"/>
      <c r="P800" s="273"/>
      <c r="Q800" s="273"/>
      <c r="R800" s="273"/>
      <c r="S800" s="273"/>
      <c r="T800" s="273"/>
      <c r="U800" s="273"/>
      <c r="V800" s="273"/>
      <c r="W800" s="273"/>
      <c r="X800" s="273"/>
      <c r="Y800" s="273"/>
      <c r="Z800" s="273"/>
      <c r="AA800" s="273"/>
      <c r="AB800" s="273"/>
      <c r="AC800" s="273"/>
      <c r="AD800" s="273"/>
      <c r="AE800" s="273"/>
    </row>
    <row r="801" spans="15:31">
      <c r="O801" s="273"/>
      <c r="P801" s="273"/>
      <c r="Q801" s="273"/>
      <c r="R801" s="273"/>
      <c r="S801" s="273"/>
      <c r="T801" s="273"/>
      <c r="U801" s="273"/>
      <c r="V801" s="273"/>
      <c r="W801" s="273"/>
      <c r="X801" s="273"/>
      <c r="Y801" s="273"/>
      <c r="Z801" s="273"/>
      <c r="AA801" s="273"/>
      <c r="AB801" s="273"/>
      <c r="AC801" s="273"/>
      <c r="AD801" s="273"/>
      <c r="AE801" s="273"/>
    </row>
    <row r="802" spans="15:31">
      <c r="O802" s="273"/>
      <c r="P802" s="273"/>
      <c r="Q802" s="273"/>
      <c r="R802" s="273"/>
      <c r="S802" s="273"/>
      <c r="T802" s="273"/>
      <c r="U802" s="273"/>
      <c r="V802" s="273"/>
      <c r="W802" s="273"/>
      <c r="X802" s="273"/>
      <c r="Y802" s="273"/>
      <c r="Z802" s="273"/>
      <c r="AA802" s="273"/>
      <c r="AB802" s="273"/>
      <c r="AC802" s="273"/>
      <c r="AD802" s="273"/>
      <c r="AE802" s="273"/>
    </row>
    <row r="803" spans="15:31">
      <c r="O803" s="273"/>
      <c r="P803" s="273"/>
      <c r="Q803" s="273"/>
      <c r="R803" s="273"/>
      <c r="S803" s="273"/>
      <c r="T803" s="273"/>
      <c r="U803" s="273"/>
      <c r="V803" s="273"/>
      <c r="W803" s="273"/>
      <c r="X803" s="273"/>
      <c r="Y803" s="273"/>
      <c r="Z803" s="273"/>
      <c r="AA803" s="273"/>
      <c r="AB803" s="273"/>
      <c r="AC803" s="273"/>
      <c r="AD803" s="273"/>
      <c r="AE803" s="273"/>
    </row>
    <row r="804" spans="15:31">
      <c r="O804" s="273"/>
      <c r="P804" s="273"/>
      <c r="Q804" s="273"/>
      <c r="R804" s="273"/>
      <c r="S804" s="273"/>
      <c r="T804" s="273"/>
      <c r="U804" s="273"/>
      <c r="V804" s="273"/>
      <c r="W804" s="273"/>
      <c r="X804" s="273"/>
      <c r="Y804" s="273"/>
      <c r="Z804" s="273"/>
      <c r="AA804" s="273"/>
      <c r="AB804" s="273"/>
      <c r="AC804" s="273"/>
      <c r="AD804" s="273"/>
      <c r="AE804" s="273"/>
    </row>
    <row r="805" spans="15:31">
      <c r="O805" s="273"/>
      <c r="P805" s="273"/>
      <c r="Q805" s="273"/>
      <c r="R805" s="273"/>
      <c r="S805" s="273"/>
      <c r="T805" s="273"/>
      <c r="U805" s="273"/>
      <c r="V805" s="273"/>
      <c r="W805" s="273"/>
      <c r="X805" s="273"/>
      <c r="Y805" s="273"/>
      <c r="Z805" s="273"/>
      <c r="AA805" s="273"/>
      <c r="AB805" s="273"/>
      <c r="AC805" s="273"/>
      <c r="AD805" s="273"/>
      <c r="AE805" s="273"/>
    </row>
    <row r="806" spans="15:31">
      <c r="O806" s="273"/>
      <c r="P806" s="273"/>
      <c r="Q806" s="273"/>
      <c r="R806" s="273"/>
      <c r="S806" s="273"/>
      <c r="T806" s="273"/>
      <c r="U806" s="273"/>
      <c r="V806" s="273"/>
      <c r="W806" s="273"/>
      <c r="X806" s="273"/>
      <c r="Y806" s="273"/>
      <c r="Z806" s="273"/>
      <c r="AA806" s="273"/>
      <c r="AB806" s="273"/>
      <c r="AC806" s="273"/>
      <c r="AD806" s="273"/>
      <c r="AE806" s="273"/>
    </row>
    <row r="807" spans="15:31">
      <c r="O807" s="273"/>
      <c r="P807" s="273"/>
      <c r="Q807" s="273"/>
      <c r="R807" s="273"/>
      <c r="S807" s="273"/>
      <c r="T807" s="273"/>
      <c r="U807" s="273"/>
      <c r="V807" s="273"/>
      <c r="W807" s="273"/>
      <c r="X807" s="273"/>
      <c r="Y807" s="273"/>
      <c r="Z807" s="273"/>
      <c r="AA807" s="273"/>
      <c r="AB807" s="273"/>
      <c r="AC807" s="273"/>
      <c r="AD807" s="273"/>
      <c r="AE807" s="273"/>
    </row>
    <row r="808" spans="15:31">
      <c r="O808" s="273"/>
      <c r="P808" s="273"/>
      <c r="Q808" s="273"/>
      <c r="R808" s="273"/>
      <c r="S808" s="273"/>
      <c r="T808" s="273"/>
      <c r="U808" s="273"/>
      <c r="V808" s="273"/>
      <c r="W808" s="273"/>
      <c r="X808" s="273"/>
      <c r="Y808" s="273"/>
      <c r="Z808" s="273"/>
      <c r="AA808" s="273"/>
      <c r="AB808" s="273"/>
      <c r="AC808" s="273"/>
      <c r="AD808" s="273"/>
      <c r="AE808" s="273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CDO Bespoke</vt:lpstr>
      <vt:lpstr>Fwd Intensity</vt:lpstr>
      <vt:lpstr>CDS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2024-09-03T11:52:06Z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